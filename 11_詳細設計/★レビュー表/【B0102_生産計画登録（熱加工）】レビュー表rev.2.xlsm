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mc:AlternateContent xmlns:mc="http://schemas.openxmlformats.org/markup-compatibility/2006">
    <mc:Choice Requires="x15">
      <x15ac:absPath xmlns:x15ac="http://schemas.microsoft.com/office/spreadsheetml/2010/11/ac" url="https://msdnacesystems.sharepoint.com/sites/22A1106-00/Shared Documents/General/11_詳細設計/★レビュー表/"/>
    </mc:Choice>
  </mc:AlternateContent>
  <xr:revisionPtr revIDLastSave="176" documentId="13_ncr:20001_{89D6FA51-614E-4F72-BC42-6EEB8A856F1B}" xr6:coauthVersionLast="47" xr6:coauthVersionMax="47" xr10:uidLastSave="{87B526F1-4A36-4C2A-A0D7-545528AEEF29}"/>
  <bookViews>
    <workbookView xWindow="-108" yWindow="-108" windowWidth="23256" windowHeight="13176" xr2:uid="{00000000-000D-0000-FFFF-FFFF00000000}"/>
  </bookViews>
  <sheets>
    <sheet name="レビュー表" sheetId="1" r:id="rId1"/>
    <sheet name="マスタ" sheetId="2" r:id="rId2"/>
    <sheet name="指摘区分" sheetId="4" r:id="rId3"/>
    <sheet name="原因区分" sheetId="5" r:id="rId4"/>
  </sheets>
  <externalReferences>
    <externalReference r:id="rId5"/>
  </externalReferences>
  <definedNames>
    <definedName name="ＰＧ指摘件数">[1]表紙!$B$28</definedName>
    <definedName name="_xlnm.Print_Area" localSheetId="3">原因区分!$A$1:$D$26</definedName>
    <definedName name="_xlnm.Print_Area" localSheetId="2">指摘区分!$A$1:$C$25</definedName>
    <definedName name="_xlnm.Print_Titles" localSheetId="0">レビュー表!$7:$8</definedName>
    <definedName name="ＰＳ指摘件数">[1]表紙!$B$16</definedName>
    <definedName name="ＰＴ仕様書">[1]表紙!$B$3</definedName>
    <definedName name="ＰＴ仕様書指摘件数">[1]表紙!$B$22</definedName>
    <definedName name="サブシステム名">[1]表紙!$I$6</definedName>
    <definedName name="サブシステム名リスト">[1]プロセス!$D$2</definedName>
    <definedName name="プロセス範囲">[1]プロセス!$J$3:$L$21</definedName>
    <definedName name="会社名リスト範囲">[1]コード表!$G$2</definedName>
    <definedName name="開発規模">[1]表紙!$I$12</definedName>
    <definedName name="管理単位_管理単位１">[1]設定シート!$E$2</definedName>
    <definedName name="管理単位_管理単位２">[1]設定シート!$F$2</definedName>
    <definedName name="基本テスト項目数">[1]表紙!$AA$16</definedName>
    <definedName name="基本原因区分１">[1]表紙!$O$62</definedName>
    <definedName name="基本原因区分１０">[1]表紙!$O$71</definedName>
    <definedName name="基本原因区分１１">[1]表紙!$O$72</definedName>
    <definedName name="基本原因区分１２">[1]表紙!$O$73</definedName>
    <definedName name="基本原因区分１３">[1]表紙!$O$74</definedName>
    <definedName name="基本原因区分１４">[1]表紙!$O$75</definedName>
    <definedName name="基本原因区分１５">[1]表紙!$O$76</definedName>
    <definedName name="基本原因区分１６">[1]表紙!$O$77</definedName>
    <definedName name="基本原因区分１７">[1]表紙!$O$78</definedName>
    <definedName name="基本原因区分１８">[1]表紙!$O$79</definedName>
    <definedName name="基本原因区分１９">[1]表紙!$O$80</definedName>
    <definedName name="基本原因区分２">[1]表紙!$O$63</definedName>
    <definedName name="基本原因区分２０">[1]表紙!$O$81</definedName>
    <definedName name="基本原因区分２１">[1]表紙!$O$82</definedName>
    <definedName name="基本原因区分２２">[1]表紙!$O$83</definedName>
    <definedName name="基本原因区分２３">[1]表紙!$O$84</definedName>
    <definedName name="基本原因区分２４">[1]表紙!$O$85</definedName>
    <definedName name="基本原因区分２５">[1]表紙!$O$86</definedName>
    <definedName name="基本原因区分２６">[1]表紙!$O$87</definedName>
    <definedName name="基本原因区分２７">[1]表紙!$O$88</definedName>
    <definedName name="基本原因区分２８">[1]表紙!$O$89</definedName>
    <definedName name="基本原因区分２９">[1]表紙!$O$90</definedName>
    <definedName name="基本原因区分３">[1]表紙!$O$64</definedName>
    <definedName name="基本原因区分３０">[1]表紙!$O$91</definedName>
    <definedName name="基本原因区分３１">[1]表紙!$O$92</definedName>
    <definedName name="基本原因区分３２">[1]表紙!$O$93</definedName>
    <definedName name="基本原因区分３３">[1]表紙!$O$94</definedName>
    <definedName name="基本原因区分３４">[1]表紙!$O$95</definedName>
    <definedName name="基本原因区分３５">[1]表紙!$O$96</definedName>
    <definedName name="基本原因区分３６">[1]表紙!$O$97</definedName>
    <definedName name="基本原因区分３７">[1]表紙!$O$98</definedName>
    <definedName name="基本原因区分３８">[1]表紙!$O$99</definedName>
    <definedName name="基本原因区分３９">[1]表紙!$O$100</definedName>
    <definedName name="基本原因区分４">[1]表紙!$O$65</definedName>
    <definedName name="基本原因区分４０">[1]表紙!$O$101</definedName>
    <definedName name="基本原因区分５">[1]表紙!$O$66</definedName>
    <definedName name="基本原因区分６">[1]表紙!$O$67</definedName>
    <definedName name="基本原因区分７">[1]表紙!$O$68</definedName>
    <definedName name="基本原因区分８">[1]表紙!$O$69</definedName>
    <definedName name="基本原因区分９">[1]表紙!$O$70</definedName>
    <definedName name="基本原因工程１">[1]表紙!$AA$22</definedName>
    <definedName name="基本原因工程１０">[1]表紙!$AA$31</definedName>
    <definedName name="基本原因工程２">[1]表紙!$AA$23</definedName>
    <definedName name="基本原因工程３">[1]表紙!$AA$24</definedName>
    <definedName name="基本原因工程４">[1]表紙!$AA$25</definedName>
    <definedName name="基本原因工程５">[1]表紙!$AA$26</definedName>
    <definedName name="基本原因工程６">[1]表紙!$AA$27</definedName>
    <definedName name="基本原因工程７">[1]表紙!$AA$28</definedName>
    <definedName name="基本原因工程８">[1]表紙!$AA$29</definedName>
    <definedName name="基本原因工程９">[1]表紙!$AA$30</definedName>
    <definedName name="基本障害件数">[1]表紙!$AA$19</definedName>
    <definedName name="共通設定_規模">[1]【変更不可】共通設定!$B$1</definedName>
    <definedName name="業務テスト項目数">[1]表紙!$AG$16</definedName>
    <definedName name="業務プロセス範囲">[1]プロセス!$F$3:$H$9</definedName>
    <definedName name="業務プロセス名">[1]表紙!$I$7</definedName>
    <definedName name="業務原因区分１">[1]表紙!$U$62</definedName>
    <definedName name="業務原因区分１０">[1]表紙!$U$71</definedName>
    <definedName name="業務原因区分１１">[1]表紙!$U$72</definedName>
    <definedName name="業務原因区分１２">[1]表紙!$U$73</definedName>
    <definedName name="業務原因区分１３">[1]表紙!$U$74</definedName>
    <definedName name="業務原因区分１４">[1]表紙!$U$75</definedName>
    <definedName name="業務原因区分１５">[1]表紙!$U$76</definedName>
    <definedName name="業務原因区分１６">[1]表紙!$U$77</definedName>
    <definedName name="業務原因区分１７">[1]表紙!$U$78</definedName>
    <definedName name="業務原因区分１８">[1]表紙!$U$79</definedName>
    <definedName name="業務原因区分１９">[1]表紙!$U$80</definedName>
    <definedName name="業務原因区分２">[1]表紙!$U$63</definedName>
    <definedName name="業務原因区分２０">[1]表紙!$U$81</definedName>
    <definedName name="業務原因区分２１">[1]表紙!$U$82</definedName>
    <definedName name="業務原因区分２２">[1]表紙!$U$83</definedName>
    <definedName name="業務原因区分２３">[1]表紙!$U$84</definedName>
    <definedName name="業務原因区分２４">[1]表紙!$U$85</definedName>
    <definedName name="業務原因区分２５">[1]表紙!$U$86</definedName>
    <definedName name="業務原因区分２６">[1]表紙!$U$87</definedName>
    <definedName name="業務原因区分２７">[1]表紙!$U$88</definedName>
    <definedName name="業務原因区分２８">[1]表紙!$U$89</definedName>
    <definedName name="業務原因区分２９">[1]表紙!$U$90</definedName>
    <definedName name="業務原因区分３">[1]表紙!$U$64</definedName>
    <definedName name="業務原因区分３０">[1]表紙!$U$91</definedName>
    <definedName name="業務原因区分３１">[1]表紙!$U$92</definedName>
    <definedName name="業務原因区分３２">[1]表紙!$U$93</definedName>
    <definedName name="業務原因区分３３">[1]表紙!$U$94</definedName>
    <definedName name="業務原因区分３４">[1]表紙!$U$95</definedName>
    <definedName name="業務原因区分３５">[1]表紙!$U$96</definedName>
    <definedName name="業務原因区分３６">[1]表紙!$U$97</definedName>
    <definedName name="業務原因区分３７">[1]表紙!$U$98</definedName>
    <definedName name="業務原因区分３８">[1]表紙!$U$99</definedName>
    <definedName name="業務原因区分３９">[1]表紙!$U$100</definedName>
    <definedName name="業務原因区分４">[1]表紙!$U$65</definedName>
    <definedName name="業務原因区分４０">[1]表紙!$U$101</definedName>
    <definedName name="業務原因区分５">[1]表紙!$U$66</definedName>
    <definedName name="業務原因区分６">[1]表紙!$U$67</definedName>
    <definedName name="業務原因区分７">[1]表紙!$U$68</definedName>
    <definedName name="業務原因区分８">[1]表紙!$U$69</definedName>
    <definedName name="業務原因区分９">[1]表紙!$U$70</definedName>
    <definedName name="業務原因工程１">[1]表紙!$AG$22</definedName>
    <definedName name="業務原因工程１０">[1]表紙!$AG$31</definedName>
    <definedName name="業務原因工程２">[1]表紙!$AG$23</definedName>
    <definedName name="業務原因工程３">[1]表紙!$AG$24</definedName>
    <definedName name="業務原因工程４">[1]表紙!$AG$25</definedName>
    <definedName name="業務原因工程５">[1]表紙!$AG$26</definedName>
    <definedName name="業務原因工程６">[1]表紙!$AG$27</definedName>
    <definedName name="業務原因工程７">[1]表紙!$AG$28</definedName>
    <definedName name="業務原因工程８">[1]表紙!$AG$29</definedName>
    <definedName name="業務原因工程９">[1]表紙!$AG$30</definedName>
    <definedName name="業務障害件数">[1]表紙!$AG$19</definedName>
    <definedName name="原因一覧_開始" localSheetId="3">原因区分!#REF!</definedName>
    <definedName name="原因一覧_開始" localSheetId="2">指摘区分!#REF!</definedName>
    <definedName name="原因一覧_開始">#REF!</definedName>
    <definedName name="原因一覧_終了" localSheetId="3">原因区分!$B$26</definedName>
    <definedName name="原因一覧_終了" localSheetId="2">指摘区分!$B$25</definedName>
    <definedName name="原因一覧_終了">#REF!</definedName>
    <definedName name="原因区分名１">[1]表紙!$C$62</definedName>
    <definedName name="原因区分名１０">[1]表紙!$C$71</definedName>
    <definedName name="原因区分名１１">[1]表紙!$C$72</definedName>
    <definedName name="原因区分名１２">[1]表紙!$C$73</definedName>
    <definedName name="原因区分名１３">[1]表紙!$C$74</definedName>
    <definedName name="原因区分名１４">[1]表紙!$C$75</definedName>
    <definedName name="原因区分名１５">[1]表紙!$C$76</definedName>
    <definedName name="原因区分名１６">[1]表紙!$C$77</definedName>
    <definedName name="原因区分名１７">[1]表紙!$C$78</definedName>
    <definedName name="原因区分名１８">[1]表紙!$C$79</definedName>
    <definedName name="原因区分名１９">[1]表紙!$C$80</definedName>
    <definedName name="原因区分名２">[1]表紙!$C$63</definedName>
    <definedName name="原因区分名２０">[1]表紙!$C$81</definedName>
    <definedName name="原因区分名２１">[1]表紙!$C$82</definedName>
    <definedName name="原因区分名２２">[1]表紙!$C$83</definedName>
    <definedName name="原因区分名２３">[1]表紙!$C$84</definedName>
    <definedName name="原因区分名２４">[1]表紙!$C$85</definedName>
    <definedName name="原因区分名２５">[1]表紙!$C$86</definedName>
    <definedName name="原因区分名２６">[1]表紙!$C$87</definedName>
    <definedName name="原因区分名２７">[1]表紙!$C$88</definedName>
    <definedName name="原因区分名２８">[1]表紙!$C$89</definedName>
    <definedName name="原因区分名２９">[1]表紙!$C$90</definedName>
    <definedName name="原因区分名３">[1]表紙!$C$64</definedName>
    <definedName name="原因区分名３０">[1]表紙!$C$91</definedName>
    <definedName name="原因区分名３１">[1]表紙!$C$92</definedName>
    <definedName name="原因区分名３２">[1]表紙!$C$93</definedName>
    <definedName name="原因区分名３３">[1]表紙!$C$94</definedName>
    <definedName name="原因区分名３４">[1]表紙!$C$95</definedName>
    <definedName name="原因区分名３５">[1]表紙!$C$96</definedName>
    <definedName name="原因区分名３６">[1]表紙!$C$97</definedName>
    <definedName name="原因区分名３７">[1]表紙!$C$98</definedName>
    <definedName name="原因区分名３８">[1]表紙!$C$99</definedName>
    <definedName name="原因区分名３９">[1]表紙!$C$100</definedName>
    <definedName name="原因区分名４">[1]表紙!$C$65</definedName>
    <definedName name="原因区分名４０">[1]表紙!$C$101</definedName>
    <definedName name="原因区分名５">[1]表紙!$C$66</definedName>
    <definedName name="原因区分名６">[1]表紙!$C$67</definedName>
    <definedName name="原因区分名７">[1]表紙!$C$68</definedName>
    <definedName name="原因区分名８">[1]表紙!$C$69</definedName>
    <definedName name="原因区分名９">[1]表紙!$C$70</definedName>
    <definedName name="原因工程名１">[1]表紙!$U$22</definedName>
    <definedName name="原因工程名１０">[1]表紙!$U$31</definedName>
    <definedName name="原因工程名２">[1]表紙!$U$23</definedName>
    <definedName name="原因工程名３">[1]表紙!$U$24</definedName>
    <definedName name="原因工程名４">[1]表紙!$U$25</definedName>
    <definedName name="原因工程名５">[1]表紙!$U$26</definedName>
    <definedName name="原因工程名６">[1]表紙!$U$27</definedName>
    <definedName name="原因工程名７">[1]表紙!$U$28</definedName>
    <definedName name="原因工程名８">[1]表紙!$U$29</definedName>
    <definedName name="原因工程名９">[1]表紙!$U$30</definedName>
    <definedName name="工程リスト範囲">[1]コード表!$C$2</definedName>
    <definedName name="合計テスト項目数">[1]表紙!$AM$16</definedName>
    <definedName name="合計障害件数">[1]表紙!$AM$19</definedName>
    <definedName name="最終行">レビュー表!$A$50</definedName>
    <definedName name="担当者名リスト範囲">[1]コード表!$I$2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9" i="1" l="1"/>
  <c r="A48" i="1"/>
  <c r="A47" i="1"/>
  <c r="A46" i="1"/>
  <c r="A45" i="1"/>
  <c r="A44" i="1"/>
  <c r="A43" i="1"/>
  <c r="A42" i="1"/>
  <c r="A41" i="1"/>
  <c r="A39" i="1" l="1"/>
  <c r="A38" i="1"/>
  <c r="A37" i="1"/>
  <c r="A36" i="1"/>
  <c r="A35" i="1"/>
  <c r="A34" i="1"/>
  <c r="A33" i="1"/>
  <c r="A32" i="1"/>
  <c r="A31" i="1"/>
  <c r="A30" i="1"/>
  <c r="A29" i="1"/>
  <c r="A28" i="1"/>
  <c r="A26" i="1"/>
  <c r="A27" i="1"/>
  <c r="A25" i="1" l="1"/>
  <c r="A24" i="1"/>
  <c r="A23" i="1"/>
  <c r="A22" i="1"/>
  <c r="A21" i="1"/>
  <c r="A20" i="1"/>
  <c r="A10" i="1" l="1"/>
  <c r="A40" i="1" l="1"/>
  <c r="A19" i="1"/>
  <c r="A18" i="1"/>
  <c r="A17" i="1"/>
  <c r="A16" i="1"/>
  <c r="A14" i="1"/>
  <c r="A15" i="1"/>
  <c r="A13" i="1"/>
  <c r="A12" i="1"/>
  <c r="A11" i="1"/>
  <c r="A9" i="1"/>
  <c r="S5" i="1"/>
  <c r="W5" i="1"/>
  <c r="Z5" i="1"/>
  <c r="Q5" i="1"/>
  <c r="J2" i="1" l="1"/>
</calcChain>
</file>

<file path=xl/sharedStrings.xml><?xml version="1.0" encoding="utf-8"?>
<sst xmlns="http://schemas.openxmlformats.org/spreadsheetml/2006/main" count="774" uniqueCount="519">
  <si>
    <t>レビュードキュメント</t>
  </si>
  <si>
    <t>業務分類</t>
    <rPh sb="0" eb="2">
      <t>ギョウム</t>
    </rPh>
    <rPh sb="2" eb="4">
      <t>ブンルイ</t>
    </rPh>
    <phoneticPr fontId="2"/>
  </si>
  <si>
    <t>機能ID</t>
    <rPh sb="0" eb="2">
      <t>キノウ</t>
    </rPh>
    <phoneticPr fontId="2"/>
  </si>
  <si>
    <t>機能名</t>
    <rPh sb="0" eb="3">
      <t>キノウメイ</t>
    </rPh>
    <phoneticPr fontId="2"/>
  </si>
  <si>
    <t>頁数</t>
  </si>
  <si>
    <t>詳細設計</t>
  </si>
  <si>
    <t>B.生産計画</t>
  </si>
  <si>
    <t>B0102</t>
    <phoneticPr fontId="2"/>
  </si>
  <si>
    <t>レビューア①</t>
    <phoneticPr fontId="2"/>
  </si>
  <si>
    <t>下井</t>
    <rPh sb="0" eb="2">
      <t>シモイ</t>
    </rPh>
    <phoneticPr fontId="2"/>
  </si>
  <si>
    <t>レビューア②</t>
    <phoneticPr fontId="2"/>
  </si>
  <si>
    <t>レビュー回数</t>
    <rPh sb="4" eb="6">
      <t>カイスウ</t>
    </rPh>
    <phoneticPr fontId="2"/>
  </si>
  <si>
    <t>レビュー開催日</t>
    <rPh sb="4" eb="6">
      <t>カイサイ</t>
    </rPh>
    <rPh sb="6" eb="7">
      <t>ヒ</t>
    </rPh>
    <phoneticPr fontId="2"/>
  </si>
  <si>
    <t>開始時間</t>
    <rPh sb="0" eb="2">
      <t>カイシ</t>
    </rPh>
    <rPh sb="2" eb="4">
      <t>ジカン</t>
    </rPh>
    <phoneticPr fontId="2"/>
  </si>
  <si>
    <t>終了時間</t>
    <rPh sb="0" eb="2">
      <t>シュウリョウ</t>
    </rPh>
    <rPh sb="2" eb="4">
      <t>ジカン</t>
    </rPh>
    <phoneticPr fontId="2"/>
  </si>
  <si>
    <t>レビュー時間</t>
    <rPh sb="4" eb="6">
      <t>ジカン</t>
    </rPh>
    <phoneticPr fontId="2"/>
  </si>
  <si>
    <t>指摘件数</t>
    <rPh sb="0" eb="2">
      <t>シテキ</t>
    </rPh>
    <rPh sb="2" eb="4">
      <t>ケンスウ</t>
    </rPh>
    <phoneticPr fontId="2"/>
  </si>
  <si>
    <t>修正予定完了日</t>
    <rPh sb="0" eb="2">
      <t>シュウセイ</t>
    </rPh>
    <rPh sb="2" eb="4">
      <t>ヨテイ</t>
    </rPh>
    <rPh sb="4" eb="6">
      <t>カンリョウ</t>
    </rPh>
    <rPh sb="6" eb="7">
      <t>ヒ</t>
    </rPh>
    <phoneticPr fontId="2"/>
  </si>
  <si>
    <t>修正完了日</t>
    <rPh sb="0" eb="2">
      <t>シュウセイ</t>
    </rPh>
    <rPh sb="2" eb="4">
      <t>カンリョウ</t>
    </rPh>
    <rPh sb="4" eb="5">
      <t>ヒ</t>
    </rPh>
    <phoneticPr fontId="2"/>
  </si>
  <si>
    <t>修正確認日</t>
    <rPh sb="0" eb="2">
      <t>シュウセイ</t>
    </rPh>
    <rPh sb="2" eb="4">
      <t>カクニン</t>
    </rPh>
    <rPh sb="4" eb="5">
      <t>ヒ</t>
    </rPh>
    <phoneticPr fontId="2"/>
  </si>
  <si>
    <t>レビューア③</t>
    <phoneticPr fontId="2"/>
  </si>
  <si>
    <t>rev.1</t>
    <phoneticPr fontId="2"/>
  </si>
  <si>
    <t>レビューア④</t>
    <phoneticPr fontId="2"/>
  </si>
  <si>
    <t>指摘№</t>
    <rPh sb="0" eb="2">
      <t>シテキ</t>
    </rPh>
    <phoneticPr fontId="2"/>
  </si>
  <si>
    <t>指摘者</t>
    <rPh sb="0" eb="2">
      <t>シテキ</t>
    </rPh>
    <rPh sb="2" eb="3">
      <t>シャ</t>
    </rPh>
    <phoneticPr fontId="2"/>
  </si>
  <si>
    <t>指摘シート・ドキュメント</t>
    <rPh sb="0" eb="2">
      <t>シテキ</t>
    </rPh>
    <phoneticPr fontId="2"/>
  </si>
  <si>
    <t>指摘区分</t>
    <rPh sb="0" eb="2">
      <t>シテキ</t>
    </rPh>
    <rPh sb="2" eb="4">
      <t>クブン</t>
    </rPh>
    <phoneticPr fontId="2"/>
  </si>
  <si>
    <t>指摘内容</t>
    <rPh sb="0" eb="2">
      <t>シテキ</t>
    </rPh>
    <rPh sb="2" eb="4">
      <t>ナイヨウ</t>
    </rPh>
    <phoneticPr fontId="2"/>
  </si>
  <si>
    <t>修正内容</t>
    <rPh sb="0" eb="2">
      <t>シュウセイ</t>
    </rPh>
    <rPh sb="2" eb="4">
      <t>ナイヨウ</t>
    </rPh>
    <phoneticPr fontId="2"/>
  </si>
  <si>
    <t>修正箇所情報</t>
    <rPh sb="0" eb="2">
      <t>シュウセイ</t>
    </rPh>
    <rPh sb="2" eb="4">
      <t>カショ</t>
    </rPh>
    <rPh sb="4" eb="6">
      <t>ジョウホウ</t>
    </rPh>
    <phoneticPr fontId="2"/>
  </si>
  <si>
    <t>原因</t>
    <rPh sb="0" eb="2">
      <t>ゲンイン</t>
    </rPh>
    <phoneticPr fontId="4"/>
  </si>
  <si>
    <t>修正</t>
    <rPh sb="0" eb="2">
      <t>シュウセイ</t>
    </rPh>
    <phoneticPr fontId="4"/>
  </si>
  <si>
    <t>確認</t>
    <rPh sb="0" eb="2">
      <t>カクニン</t>
    </rPh>
    <phoneticPr fontId="4"/>
  </si>
  <si>
    <t>備考</t>
    <rPh sb="0" eb="2">
      <t>ビコウ</t>
    </rPh>
    <phoneticPr fontId="4"/>
  </si>
  <si>
    <t>原因工程</t>
    <rPh sb="0" eb="2">
      <t>ゲンイン</t>
    </rPh>
    <rPh sb="2" eb="4">
      <t>コウテイ</t>
    </rPh>
    <phoneticPr fontId="4"/>
  </si>
  <si>
    <t>原因分類</t>
    <rPh sb="0" eb="2">
      <t>ゲンイン</t>
    </rPh>
    <rPh sb="2" eb="4">
      <t>ブンルイ</t>
    </rPh>
    <phoneticPr fontId="4"/>
  </si>
  <si>
    <t>原因区分</t>
    <rPh sb="0" eb="2">
      <t>ゲンイン</t>
    </rPh>
    <rPh sb="2" eb="4">
      <t>クブン</t>
    </rPh>
    <phoneticPr fontId="4"/>
  </si>
  <si>
    <t>修正担当者</t>
    <rPh sb="0" eb="2">
      <t>シュウセイ</t>
    </rPh>
    <rPh sb="2" eb="5">
      <t>タントウシャ</t>
    </rPh>
    <phoneticPr fontId="4"/>
  </si>
  <si>
    <t>修正予定日</t>
    <rPh sb="0" eb="2">
      <t>シュウセイ</t>
    </rPh>
    <rPh sb="2" eb="5">
      <t>ヨテイビ</t>
    </rPh>
    <phoneticPr fontId="4"/>
  </si>
  <si>
    <t>修正完了日</t>
    <rPh sb="0" eb="2">
      <t>シュウセイ</t>
    </rPh>
    <rPh sb="2" eb="4">
      <t>カンリョウ</t>
    </rPh>
    <rPh sb="4" eb="5">
      <t>ヒ</t>
    </rPh>
    <phoneticPr fontId="4"/>
  </si>
  <si>
    <t>確認担当者</t>
    <rPh sb="0" eb="2">
      <t>カクニン</t>
    </rPh>
    <rPh sb="2" eb="4">
      <t>タントウ</t>
    </rPh>
    <rPh sb="4" eb="5">
      <t>シャ</t>
    </rPh>
    <phoneticPr fontId="4"/>
  </si>
  <si>
    <t>確認日</t>
    <rPh sb="0" eb="2">
      <t>カクニン</t>
    </rPh>
    <rPh sb="2" eb="3">
      <t>ヒ</t>
    </rPh>
    <phoneticPr fontId="4"/>
  </si>
  <si>
    <t>プロセス仕様書</t>
    <rPh sb="4" eb="7">
      <t>シヨウショ</t>
    </rPh>
    <phoneticPr fontId="2"/>
  </si>
  <si>
    <t>5:表現統一</t>
  </si>
  <si>
    <t>入力破棄確認のメッセージ表示を行う条件について
フラグを使用した判断となる認識。他の箇所と記載を統一する。</t>
    <rPh sb="0" eb="6">
      <t>ニュウリョクハキカクニン</t>
    </rPh>
    <rPh sb="12" eb="14">
      <t>ヒョウジ</t>
    </rPh>
    <rPh sb="15" eb="16">
      <t>オコナ</t>
    </rPh>
    <rPh sb="17" eb="19">
      <t>ジョウケン</t>
    </rPh>
    <rPh sb="28" eb="30">
      <t>シヨウ</t>
    </rPh>
    <rPh sb="32" eb="34">
      <t>ハンダン</t>
    </rPh>
    <rPh sb="37" eb="39">
      <t>ニンシキ</t>
    </rPh>
    <rPh sb="40" eb="41">
      <t>ホカ</t>
    </rPh>
    <rPh sb="42" eb="44">
      <t>カショ</t>
    </rPh>
    <rPh sb="45" eb="47">
      <t>キサイ</t>
    </rPh>
    <rPh sb="48" eb="50">
      <t>トウイツ</t>
    </rPh>
    <phoneticPr fontId="2"/>
  </si>
  <si>
    <t>COMB0102001C</t>
    <phoneticPr fontId="2"/>
  </si>
  <si>
    <t>9:設計問合せ</t>
  </si>
  <si>
    <t>利用者権限情報のJSONキーにAPI名を指定しているのは規約に反していないのか？</t>
    <rPh sb="0" eb="7">
      <t>リヨウシャケンゲンジョウホウ</t>
    </rPh>
    <rPh sb="18" eb="19">
      <t>メイ</t>
    </rPh>
    <rPh sb="20" eb="22">
      <t>シテイ</t>
    </rPh>
    <rPh sb="28" eb="30">
      <t>キヤク</t>
    </rPh>
    <rPh sb="31" eb="32">
      <t>ハン</t>
    </rPh>
    <phoneticPr fontId="2"/>
  </si>
  <si>
    <t>COMB0102001S</t>
    <phoneticPr fontId="2"/>
  </si>
  <si>
    <t>6:処理検討不足</t>
  </si>
  <si>
    <t>4)計画期間　範囲チェック
大小チェック用の共通関数はない？エラーメッセージIDが共通で用意されているならチェック処理も共通で用意されないか確認した方が良い。</t>
    <rPh sb="2" eb="6">
      <t>ケイカク</t>
    </rPh>
    <rPh sb="7" eb="9">
      <t>ハンイ</t>
    </rPh>
    <rPh sb="14" eb="16">
      <t>ダイショウ</t>
    </rPh>
    <rPh sb="20" eb="21">
      <t>ヨウ</t>
    </rPh>
    <rPh sb="22" eb="24">
      <t>キョウツウ</t>
    </rPh>
    <rPh sb="24" eb="26">
      <t>カンスウ</t>
    </rPh>
    <rPh sb="41" eb="43">
      <t>キョウツウ</t>
    </rPh>
    <rPh sb="44" eb="46">
      <t>ヨウイ</t>
    </rPh>
    <rPh sb="57" eb="59">
      <t>ショリ</t>
    </rPh>
    <rPh sb="60" eb="62">
      <t>キョウツウ</t>
    </rPh>
    <rPh sb="63" eb="65">
      <t>ヨウイ</t>
    </rPh>
    <rPh sb="70" eb="72">
      <t>カクニン</t>
    </rPh>
    <rPh sb="74" eb="75">
      <t>ホウ</t>
    </rPh>
    <rPh sb="76" eb="77">
      <t>ヨ</t>
    </rPh>
    <phoneticPr fontId="2"/>
  </si>
  <si>
    <t>9:設計問合せ</t>
    <phoneticPr fontId="2"/>
  </si>
  <si>
    <t>4:表現曖昧</t>
    <phoneticPr fontId="2"/>
  </si>
  <si>
    <t>SELECT句の「全ての項目」という文言だと「*」が使用される可能性がある。
テーブル定義書の全項目を羅列するよう注釈が必要。</t>
    <rPh sb="6" eb="7">
      <t>ク</t>
    </rPh>
    <rPh sb="9" eb="10">
      <t>スベ</t>
    </rPh>
    <rPh sb="12" eb="14">
      <t>コウモク</t>
    </rPh>
    <rPh sb="18" eb="20">
      <t>モンゴン</t>
    </rPh>
    <rPh sb="26" eb="28">
      <t>シヨウ</t>
    </rPh>
    <rPh sb="31" eb="34">
      <t>カノウセイ</t>
    </rPh>
    <rPh sb="43" eb="46">
      <t>テイギショ</t>
    </rPh>
    <rPh sb="47" eb="50">
      <t>ゼンコウモク</t>
    </rPh>
    <rPh sb="51" eb="53">
      <t>ラレツ</t>
    </rPh>
    <rPh sb="57" eb="59">
      <t>チュウシャク</t>
    </rPh>
    <rPh sb="60" eb="62">
      <t>ヒツヨウ</t>
    </rPh>
    <phoneticPr fontId="2"/>
  </si>
  <si>
    <t>1:記載ミス</t>
    <phoneticPr fontId="2"/>
  </si>
  <si>
    <t>SELECT文　在庫移動指示情報を取得するサブクエリで生産数を取得している。</t>
    <rPh sb="6" eb="7">
      <t>ブン</t>
    </rPh>
    <rPh sb="8" eb="14">
      <t>ザイコイドウシジ</t>
    </rPh>
    <rPh sb="14" eb="16">
      <t>ジョウホウ</t>
    </rPh>
    <rPh sb="17" eb="19">
      <t>シュトク</t>
    </rPh>
    <rPh sb="27" eb="30">
      <t>セイサンスウ</t>
    </rPh>
    <rPh sb="31" eb="33">
      <t>シュトク</t>
    </rPh>
    <phoneticPr fontId="2"/>
  </si>
  <si>
    <t>3:記載不要</t>
  </si>
  <si>
    <t>検索ボタン押下 4検索件数表示 
システムマスタのテーブル参照は不要。</t>
    <rPh sb="0" eb="2">
      <t>ケンサク</t>
    </rPh>
    <rPh sb="5" eb="7">
      <t>オウカ</t>
    </rPh>
    <rPh sb="9" eb="15">
      <t>ケンサクケンスウヒョウジ</t>
    </rPh>
    <rPh sb="29" eb="31">
      <t>サンショウ</t>
    </rPh>
    <rPh sb="32" eb="34">
      <t>フヨウ</t>
    </rPh>
    <phoneticPr fontId="2"/>
  </si>
  <si>
    <t>2:記載漏れ</t>
    <phoneticPr fontId="2"/>
  </si>
  <si>
    <t>検索ボタン押下 4検索件数表示 
設定ファイル（B01）.最大表示が下記設計書に記載されていない。
【B00_生産計画】詳細設計（設定ファイル）.xlsx</t>
    <rPh sb="34" eb="36">
      <t>カキ</t>
    </rPh>
    <rPh sb="36" eb="39">
      <t>セッケイショ</t>
    </rPh>
    <rPh sb="40" eb="42">
      <t>キサイ</t>
    </rPh>
    <phoneticPr fontId="2"/>
  </si>
  <si>
    <t>4:表現曖昧</t>
  </si>
  <si>
    <t>設定ファイル情報取得時エラーの処理
備考欄に参照先のファイル名を明記する。</t>
    <rPh sb="0" eb="2">
      <t>セッテイ</t>
    </rPh>
    <rPh sb="6" eb="11">
      <t>ジョウホウシュトクジ</t>
    </rPh>
    <rPh sb="15" eb="17">
      <t>ショリ</t>
    </rPh>
    <rPh sb="18" eb="20">
      <t>ビコウ</t>
    </rPh>
    <rPh sb="20" eb="21">
      <t>ラン</t>
    </rPh>
    <rPh sb="22" eb="25">
      <t>サンショウサキ</t>
    </rPh>
    <rPh sb="30" eb="31">
      <t>メイ</t>
    </rPh>
    <rPh sb="32" eb="34">
      <t>メイキ</t>
    </rPh>
    <phoneticPr fontId="2"/>
  </si>
  <si>
    <t>2:記載漏れ</t>
  </si>
  <si>
    <t>処理詳細右側の区分リストにCやKの区分が無い</t>
    <rPh sb="0" eb="6">
      <t>ショリショウサイミギガワ</t>
    </rPh>
    <rPh sb="7" eb="9">
      <t>クブン</t>
    </rPh>
    <rPh sb="17" eb="19">
      <t>クブン</t>
    </rPh>
    <rPh sb="20" eb="21">
      <t>ナ</t>
    </rPh>
    <phoneticPr fontId="2"/>
  </si>
  <si>
    <t>検索ボタン押下 ７一覧表示 10）
先頭行データ制御用の前日データ取得。
先頭行の開始日時予定以前のデータを１件取得するのに対して仕様が複雑に見える。</t>
    <rPh sb="0" eb="2">
      <t>ケンサク</t>
    </rPh>
    <rPh sb="5" eb="7">
      <t>オウカ</t>
    </rPh>
    <rPh sb="9" eb="11">
      <t>イチラン</t>
    </rPh>
    <rPh sb="11" eb="13">
      <t>ヒョウジ</t>
    </rPh>
    <rPh sb="18" eb="21">
      <t>セントウギョウ</t>
    </rPh>
    <rPh sb="24" eb="27">
      <t>セイギョヨウ</t>
    </rPh>
    <rPh sb="28" eb="30">
      <t>ゼンジツ</t>
    </rPh>
    <rPh sb="33" eb="35">
      <t>シュトク</t>
    </rPh>
    <rPh sb="37" eb="40">
      <t>セントウギョウ</t>
    </rPh>
    <rPh sb="41" eb="47">
      <t>カイシニチジヨテイ</t>
    </rPh>
    <rPh sb="47" eb="49">
      <t>イゼン</t>
    </rPh>
    <rPh sb="55" eb="58">
      <t>ケンシュトク</t>
    </rPh>
    <rPh sb="62" eb="63">
      <t>タイ</t>
    </rPh>
    <rPh sb="65" eb="67">
      <t>シヨウ</t>
    </rPh>
    <rPh sb="68" eb="70">
      <t>フクザツ</t>
    </rPh>
    <rPh sb="71" eb="72">
      <t>ミ</t>
    </rPh>
    <phoneticPr fontId="2"/>
  </si>
  <si>
    <t>COMB0102008S</t>
    <phoneticPr fontId="2"/>
  </si>
  <si>
    <t>帳票出力処理はレスポンスの返却と異なるやり方でバイナリを返しているらしいので１APIの呼び出しで帳票出力と計画表出力日の更新ができるか確認必要。</t>
    <rPh sb="0" eb="2">
      <t>チョウヒョウ</t>
    </rPh>
    <rPh sb="2" eb="4">
      <t>シュツリョク</t>
    </rPh>
    <rPh sb="4" eb="6">
      <t>ショリ</t>
    </rPh>
    <rPh sb="13" eb="15">
      <t>ヘンキャク</t>
    </rPh>
    <rPh sb="16" eb="17">
      <t>コト</t>
    </rPh>
    <rPh sb="21" eb="22">
      <t>カタ</t>
    </rPh>
    <rPh sb="28" eb="29">
      <t>カエ</t>
    </rPh>
    <rPh sb="43" eb="44">
      <t>ヨ</t>
    </rPh>
    <rPh sb="45" eb="46">
      <t>ダ</t>
    </rPh>
    <rPh sb="48" eb="50">
      <t>チョウヒョウ</t>
    </rPh>
    <rPh sb="50" eb="52">
      <t>シュツリョク</t>
    </rPh>
    <rPh sb="53" eb="55">
      <t>ケイカク</t>
    </rPh>
    <rPh sb="55" eb="56">
      <t>ヒョウ</t>
    </rPh>
    <rPh sb="56" eb="58">
      <t>シュツリョク</t>
    </rPh>
    <rPh sb="58" eb="59">
      <t>ビ</t>
    </rPh>
    <rPh sb="60" eb="62">
      <t>コウシン</t>
    </rPh>
    <rPh sb="67" eb="71">
      <t>カクニンヒツヨウ</t>
    </rPh>
    <phoneticPr fontId="2"/>
  </si>
  <si>
    <t>更新仕様　サーバサイドからセッション情報は直接参照できるか？</t>
    <rPh sb="0" eb="4">
      <t>コウシンシヨウ</t>
    </rPh>
    <rPh sb="18" eb="20">
      <t>ジョウホウ</t>
    </rPh>
    <rPh sb="21" eb="25">
      <t>チョクセツサンショウ</t>
    </rPh>
    <phoneticPr fontId="2"/>
  </si>
  <si>
    <t>生産指示（原反）ボタン押下
遷移後画面から戻り時の処理はここのイベント内では実装しないので記載不要。初期表示イベントに（記載していなければ）必要な処理を記載する。</t>
    <rPh sb="0" eb="4">
      <t>セイサンシジ</t>
    </rPh>
    <rPh sb="5" eb="7">
      <t>ゲンタン</t>
    </rPh>
    <rPh sb="11" eb="13">
      <t>オウカ</t>
    </rPh>
    <rPh sb="14" eb="17">
      <t>センイゴ</t>
    </rPh>
    <rPh sb="17" eb="19">
      <t>ガメン</t>
    </rPh>
    <rPh sb="21" eb="22">
      <t>モド</t>
    </rPh>
    <rPh sb="23" eb="24">
      <t>ジ</t>
    </rPh>
    <rPh sb="25" eb="27">
      <t>ショリ</t>
    </rPh>
    <rPh sb="35" eb="36">
      <t>ナイ</t>
    </rPh>
    <rPh sb="38" eb="40">
      <t>ジッソウ</t>
    </rPh>
    <rPh sb="45" eb="49">
      <t>キサイフヨウ</t>
    </rPh>
    <rPh sb="50" eb="54">
      <t>ショキヒョウジ</t>
    </rPh>
    <rPh sb="60" eb="62">
      <t>キサイ</t>
    </rPh>
    <rPh sb="70" eb="72">
      <t>ヒツヨウ</t>
    </rPh>
    <rPh sb="73" eb="75">
      <t>ショリ</t>
    </rPh>
    <rPh sb="76" eb="78">
      <t>キサイ</t>
    </rPh>
    <phoneticPr fontId="2"/>
  </si>
  <si>
    <t>End</t>
    <phoneticPr fontId="2"/>
  </si>
  <si>
    <t>ドキュメント</t>
    <phoneticPr fontId="2"/>
  </si>
  <si>
    <t>業務分類名</t>
    <rPh sb="0" eb="2">
      <t>ギョウム</t>
    </rPh>
    <rPh sb="2" eb="4">
      <t>ブンルイ</t>
    </rPh>
    <rPh sb="4" eb="5">
      <t>メイ</t>
    </rPh>
    <phoneticPr fontId="2"/>
  </si>
  <si>
    <t>機能名</t>
    <rPh sb="0" eb="2">
      <t>キノウ</t>
    </rPh>
    <rPh sb="2" eb="3">
      <t>メイ</t>
    </rPh>
    <phoneticPr fontId="2"/>
  </si>
  <si>
    <t>原因工程</t>
    <rPh sb="0" eb="2">
      <t>ゲンイン</t>
    </rPh>
    <rPh sb="2" eb="4">
      <t>コウテイ</t>
    </rPh>
    <phoneticPr fontId="2"/>
  </si>
  <si>
    <t>基本設計</t>
    <rPh sb="0" eb="2">
      <t>キホン</t>
    </rPh>
    <rPh sb="2" eb="4">
      <t>セッケイ</t>
    </rPh>
    <phoneticPr fontId="2"/>
  </si>
  <si>
    <t>A.受注</t>
  </si>
  <si>
    <t>A0101</t>
  </si>
  <si>
    <t>受注登録</t>
  </si>
  <si>
    <t>1:要件定義</t>
    <rPh sb="2" eb="6">
      <t>ヨウケンテイギ</t>
    </rPh>
    <phoneticPr fontId="2"/>
  </si>
  <si>
    <t>詳細設計</t>
    <rPh sb="0" eb="2">
      <t>ショウサイ</t>
    </rPh>
    <rPh sb="2" eb="4">
      <t>セッケイ</t>
    </rPh>
    <phoneticPr fontId="2"/>
  </si>
  <si>
    <t>A1101</t>
  </si>
  <si>
    <t>受注一覧</t>
  </si>
  <si>
    <t>2:基本設計</t>
    <rPh sb="2" eb="4">
      <t>キホン</t>
    </rPh>
    <rPh sb="4" eb="6">
      <t>セッケイ</t>
    </rPh>
    <phoneticPr fontId="2"/>
  </si>
  <si>
    <t>単体試験</t>
    <rPh sb="0" eb="2">
      <t>タンタイ</t>
    </rPh>
    <rPh sb="2" eb="4">
      <t>シケン</t>
    </rPh>
    <phoneticPr fontId="2"/>
  </si>
  <si>
    <t>C.生産実績</t>
  </si>
  <si>
    <t>A3101</t>
  </si>
  <si>
    <t>ラベル発行</t>
  </si>
  <si>
    <t>3:詳細設計</t>
    <rPh sb="2" eb="4">
      <t>ショウサイ</t>
    </rPh>
    <rPh sb="4" eb="6">
      <t>セッケイ</t>
    </rPh>
    <phoneticPr fontId="2"/>
  </si>
  <si>
    <t>単体実施</t>
    <rPh sb="0" eb="2">
      <t>タンタイ</t>
    </rPh>
    <rPh sb="2" eb="4">
      <t>ジッシ</t>
    </rPh>
    <phoneticPr fontId="2"/>
  </si>
  <si>
    <t>D.出荷</t>
  </si>
  <si>
    <t>A3202</t>
  </si>
  <si>
    <t>用紙セット確認</t>
  </si>
  <si>
    <t>4:開発</t>
    <rPh sb="2" eb="4">
      <t>カイハツ</t>
    </rPh>
    <phoneticPr fontId="2"/>
  </si>
  <si>
    <t>コードレビュー</t>
    <phoneticPr fontId="2"/>
  </si>
  <si>
    <t>結合試験</t>
    <rPh sb="0" eb="2">
      <t>ケツゴウ</t>
    </rPh>
    <rPh sb="2" eb="4">
      <t>シケン</t>
    </rPh>
    <phoneticPr fontId="2"/>
  </si>
  <si>
    <t>E.資材</t>
  </si>
  <si>
    <t>B0101</t>
  </si>
  <si>
    <t>生産計画登録（抄紙）</t>
  </si>
  <si>
    <t>5:単体試験</t>
    <rPh sb="2" eb="4">
      <t>タンタイ</t>
    </rPh>
    <rPh sb="4" eb="6">
      <t>シケン</t>
    </rPh>
    <phoneticPr fontId="2"/>
  </si>
  <si>
    <t>結合実施</t>
    <rPh sb="0" eb="2">
      <t>ケツゴウ</t>
    </rPh>
    <rPh sb="2" eb="4">
      <t>ジッシ</t>
    </rPh>
    <phoneticPr fontId="2"/>
  </si>
  <si>
    <t>F.請求・入金</t>
  </si>
  <si>
    <t>B0102</t>
  </si>
  <si>
    <t>生産計画登録（熱加工）</t>
  </si>
  <si>
    <t>6:単体実施</t>
    <rPh sb="2" eb="4">
      <t>タンタイ</t>
    </rPh>
    <rPh sb="4" eb="6">
      <t>ジッシ</t>
    </rPh>
    <phoneticPr fontId="2"/>
  </si>
  <si>
    <t>G.売上</t>
  </si>
  <si>
    <t>B0103</t>
  </si>
  <si>
    <t>生産計画登録（加工CM）</t>
  </si>
  <si>
    <t>7:結合試験</t>
    <rPh sb="2" eb="4">
      <t>ケツゴウ</t>
    </rPh>
    <rPh sb="4" eb="6">
      <t>シケン</t>
    </rPh>
    <phoneticPr fontId="2"/>
  </si>
  <si>
    <t>H.支払</t>
  </si>
  <si>
    <t>B0104</t>
  </si>
  <si>
    <t>生産計画登録（加工SC）</t>
  </si>
  <si>
    <t>8:結合実施</t>
    <rPh sb="2" eb="4">
      <t>ケツゴウ</t>
    </rPh>
    <rPh sb="4" eb="6">
      <t>ジッシ</t>
    </rPh>
    <phoneticPr fontId="2"/>
  </si>
  <si>
    <t>I.原価</t>
  </si>
  <si>
    <t>B0105</t>
  </si>
  <si>
    <t>生産計画登録（コーヒーフィルタ）</t>
  </si>
  <si>
    <t>J.製品棚卸</t>
  </si>
  <si>
    <t>B0106</t>
  </si>
  <si>
    <t>生産計画登録（パッケージ工場）</t>
  </si>
  <si>
    <t>K.マスタ管理</t>
  </si>
  <si>
    <t>B0107</t>
  </si>
  <si>
    <t>生産計画登録（W/D工場）</t>
  </si>
  <si>
    <t>L.共通</t>
  </si>
  <si>
    <t>B0108</t>
  </si>
  <si>
    <t>生産計画登録（外注加工）</t>
  </si>
  <si>
    <t>B1101</t>
  </si>
  <si>
    <t>生産計画一覧</t>
  </si>
  <si>
    <t>B1102</t>
  </si>
  <si>
    <t>月間生産計画（設備別）</t>
  </si>
  <si>
    <t>B1103</t>
  </si>
  <si>
    <t>月間生産計画（工程別）①</t>
  </si>
  <si>
    <t>B1104</t>
  </si>
  <si>
    <t>月間生産計画（工程別）②</t>
  </si>
  <si>
    <t>B1201</t>
  </si>
  <si>
    <t>在庫推移一覧</t>
  </si>
  <si>
    <t>B1301</t>
  </si>
  <si>
    <t>在庫一覧</t>
  </si>
  <si>
    <t>B0201</t>
  </si>
  <si>
    <t>生産指示登録（原材料）</t>
  </si>
  <si>
    <t>B0202</t>
  </si>
  <si>
    <t>生産指示登録（調薬）</t>
  </si>
  <si>
    <t>B0203</t>
  </si>
  <si>
    <t>生産指示登録（原反）</t>
  </si>
  <si>
    <t>B2101</t>
  </si>
  <si>
    <t>生産計画表（抄紙）</t>
  </si>
  <si>
    <t>B2102</t>
  </si>
  <si>
    <t>生産計画表（熱加工）</t>
  </si>
  <si>
    <t>B2103</t>
  </si>
  <si>
    <t>生産計画表（加工CM）</t>
  </si>
  <si>
    <t>B2104</t>
  </si>
  <si>
    <t>生産計画表（加工SC）</t>
  </si>
  <si>
    <t>B2105</t>
  </si>
  <si>
    <t>生産計画表（コーヒーフィルタ）</t>
  </si>
  <si>
    <t>B2106</t>
  </si>
  <si>
    <t>生産計画表（パッケージ工場）</t>
  </si>
  <si>
    <t>B2107</t>
  </si>
  <si>
    <t>生産計画表（W/D工場）</t>
  </si>
  <si>
    <t>B2201</t>
  </si>
  <si>
    <t>工程表</t>
  </si>
  <si>
    <t>C0101</t>
  </si>
  <si>
    <t>使用実績登録（原材料）</t>
  </si>
  <si>
    <t>C0102</t>
  </si>
  <si>
    <t>使用実績登録（薬品）</t>
  </si>
  <si>
    <t>C0103</t>
  </si>
  <si>
    <t>使用実績登録（調薬）</t>
  </si>
  <si>
    <t>C0104</t>
  </si>
  <si>
    <t>使用実績登録（調合顔料）</t>
  </si>
  <si>
    <t>C1101</t>
  </si>
  <si>
    <t>使用実績一覧</t>
  </si>
  <si>
    <t>C0201</t>
  </si>
  <si>
    <t>パルプ・化繊・薬品配合登録</t>
  </si>
  <si>
    <t>C1201</t>
  </si>
  <si>
    <t>パルプ・化繊・薬品配合一覧</t>
  </si>
  <si>
    <t>C0401</t>
  </si>
  <si>
    <t>抄紙実績登録（抄紙）</t>
  </si>
  <si>
    <t>C0402</t>
  </si>
  <si>
    <t>仕上実績登録（抄紙）</t>
  </si>
  <si>
    <t>C0403</t>
  </si>
  <si>
    <t>加工実績登録（熱加工）</t>
  </si>
  <si>
    <t>C0404</t>
  </si>
  <si>
    <t>仕上実績登録（熱加工）</t>
  </si>
  <si>
    <t>C0405</t>
  </si>
  <si>
    <t>加工実績登録（加工CM）</t>
  </si>
  <si>
    <t>C0406</t>
  </si>
  <si>
    <t>仕上実績登録（加工CM）</t>
  </si>
  <si>
    <t>C0407</t>
  </si>
  <si>
    <t>加工実績登録（加工SC）</t>
  </si>
  <si>
    <t>C0408</t>
  </si>
  <si>
    <t>仕上実績登録（加工SC）</t>
  </si>
  <si>
    <t>C0409</t>
  </si>
  <si>
    <t>成型実績登録</t>
  </si>
  <si>
    <t>C0410</t>
  </si>
  <si>
    <t>包装実績登録</t>
  </si>
  <si>
    <t>C0411</t>
  </si>
  <si>
    <t>パッケージ実績登録</t>
  </si>
  <si>
    <t>C0412</t>
  </si>
  <si>
    <t>仕上実績登録（W/D工場）</t>
  </si>
  <si>
    <t>C0413</t>
  </si>
  <si>
    <t>仕上実績登録（外注加工）</t>
  </si>
  <si>
    <t>C1401</t>
  </si>
  <si>
    <t>生産実績一覧（抄紙）</t>
  </si>
  <si>
    <t>C1402</t>
  </si>
  <si>
    <t>生産実績一覧（熱加工）</t>
  </si>
  <si>
    <t>C1403</t>
  </si>
  <si>
    <t>生産実績一覧（加工CM）</t>
  </si>
  <si>
    <t>C1404</t>
  </si>
  <si>
    <t>生産実績一覧（加工SC）</t>
  </si>
  <si>
    <t>C1405</t>
  </si>
  <si>
    <t>生産実績一覧（コーヒーフィルタ）</t>
  </si>
  <si>
    <t>C1406</t>
  </si>
  <si>
    <t>生産実績一覧（パッケージ工場）</t>
  </si>
  <si>
    <t>C1407</t>
  </si>
  <si>
    <t>生産実績一覧（W/D工場）</t>
  </si>
  <si>
    <t>C1408</t>
  </si>
  <si>
    <t>生産実績一覧（外注加工）</t>
  </si>
  <si>
    <t>C3401</t>
  </si>
  <si>
    <t>作業一覧（抄紙）</t>
  </si>
  <si>
    <t>C3402</t>
  </si>
  <si>
    <t>作業一覧（熱加工）</t>
  </si>
  <si>
    <t>C3403</t>
  </si>
  <si>
    <t>作業一覧（加工CM）</t>
  </si>
  <si>
    <t>C3404</t>
  </si>
  <si>
    <t>作業一覧（加工SC）</t>
  </si>
  <si>
    <t>C3405</t>
  </si>
  <si>
    <t>作業一覧（W/D工場）</t>
  </si>
  <si>
    <t>C0501</t>
  </si>
  <si>
    <t>在庫移動指示登録</t>
  </si>
  <si>
    <t>C0502</t>
  </si>
  <si>
    <t>在庫移動指示登録（パッケージ工場）</t>
  </si>
  <si>
    <t>C0503</t>
  </si>
  <si>
    <t>在庫移動指示登録（外注加工）</t>
  </si>
  <si>
    <t>C1501</t>
  </si>
  <si>
    <t>在庫移動指示一覧</t>
  </si>
  <si>
    <t>C2101</t>
  </si>
  <si>
    <t>在庫移動指図書</t>
  </si>
  <si>
    <t>C0601</t>
  </si>
  <si>
    <t>引取指示登録</t>
  </si>
  <si>
    <t>C1601</t>
  </si>
  <si>
    <t>引取指示一覧</t>
  </si>
  <si>
    <t>C2201</t>
  </si>
  <si>
    <t>引取依頼書</t>
  </si>
  <si>
    <t>C0701</t>
  </si>
  <si>
    <t>加工指示登録（W/D工場）</t>
  </si>
  <si>
    <t>C0702</t>
  </si>
  <si>
    <t>加工指示登録（外注加工）</t>
  </si>
  <si>
    <t>C2301</t>
  </si>
  <si>
    <t>加工指示書</t>
  </si>
  <si>
    <t>D0101</t>
  </si>
  <si>
    <t>出荷指示登録</t>
  </si>
  <si>
    <t>D0102</t>
  </si>
  <si>
    <t>出荷指示登録（海外）</t>
  </si>
  <si>
    <t>D1101</t>
  </si>
  <si>
    <t>出荷指示一覧</t>
  </si>
  <si>
    <t>D1102</t>
  </si>
  <si>
    <t>出荷指示一覧（海外）</t>
  </si>
  <si>
    <t>D0201</t>
  </si>
  <si>
    <t>出荷実績登録</t>
  </si>
  <si>
    <t>D0202</t>
  </si>
  <si>
    <t>出荷実績登録（海外）</t>
  </si>
  <si>
    <t>D3201</t>
  </si>
  <si>
    <t>出荷実績登録（バーコード読取）</t>
  </si>
  <si>
    <t>D1201</t>
  </si>
  <si>
    <t>出荷実績一覧</t>
  </si>
  <si>
    <t>D1202</t>
  </si>
  <si>
    <t>出荷実績一覧（海外）</t>
  </si>
  <si>
    <t>E0101</t>
  </si>
  <si>
    <t>発注指示登録</t>
  </si>
  <si>
    <t>E1101</t>
  </si>
  <si>
    <t>発注指示一覧</t>
  </si>
  <si>
    <t>E0201</t>
  </si>
  <si>
    <t>発注登録</t>
  </si>
  <si>
    <t>E1201</t>
  </si>
  <si>
    <t>発注一覧</t>
  </si>
  <si>
    <t>E0301</t>
  </si>
  <si>
    <t>発注指示選択</t>
  </si>
  <si>
    <t>E0401</t>
  </si>
  <si>
    <t>注文書出力</t>
  </si>
  <si>
    <t>E2401</t>
  </si>
  <si>
    <t>注文書</t>
  </si>
  <si>
    <t>資材受入登録</t>
  </si>
  <si>
    <t>E1401</t>
  </si>
  <si>
    <t>資材受入一覧</t>
  </si>
  <si>
    <t>E1501</t>
  </si>
  <si>
    <t>資材在庫一覧</t>
  </si>
  <si>
    <t>F0101</t>
  </si>
  <si>
    <t>請求書出力</t>
  </si>
  <si>
    <t>F0102</t>
  </si>
  <si>
    <t>請求書出力（プレビュー）</t>
  </si>
  <si>
    <t>F3101</t>
  </si>
  <si>
    <t>入金一覧</t>
  </si>
  <si>
    <t>G0101</t>
  </si>
  <si>
    <t>その他売上登録</t>
  </si>
  <si>
    <t>G0102</t>
  </si>
  <si>
    <t>その他売上登録（海外）</t>
  </si>
  <si>
    <t>G1101</t>
  </si>
  <si>
    <t>その他売上一覧</t>
  </si>
  <si>
    <t>G1102</t>
  </si>
  <si>
    <t>その他売上一覧（海外）</t>
  </si>
  <si>
    <t>G3101</t>
  </si>
  <si>
    <t>売上連携</t>
  </si>
  <si>
    <t>H0101</t>
  </si>
  <si>
    <t>支払予定データ登録</t>
  </si>
  <si>
    <t>H1101</t>
  </si>
  <si>
    <t>支払予定データ一覧</t>
  </si>
  <si>
    <t>H3101</t>
  </si>
  <si>
    <t>支払予定データ連携</t>
  </si>
  <si>
    <t>I0101</t>
  </si>
  <si>
    <t>原価データ登録</t>
  </si>
  <si>
    <t>I1101</t>
  </si>
  <si>
    <t>原価一覧</t>
  </si>
  <si>
    <t>J0101</t>
  </si>
  <si>
    <t>実地棚卸データ登録</t>
  </si>
  <si>
    <t>J1101</t>
  </si>
  <si>
    <t>実地棚卸データ一覧</t>
  </si>
  <si>
    <t>K0102</t>
  </si>
  <si>
    <t>メニューマスタメンテナンス</t>
  </si>
  <si>
    <t>K0103</t>
  </si>
  <si>
    <t>権限マスタメンテナンス</t>
  </si>
  <si>
    <t>K0104</t>
  </si>
  <si>
    <t>品種マスタメンテナンス</t>
  </si>
  <si>
    <t>K0105</t>
  </si>
  <si>
    <t>業者マスタメンテナンス</t>
  </si>
  <si>
    <t>K0106</t>
  </si>
  <si>
    <t>工程マスタメンテナンス</t>
  </si>
  <si>
    <t>K0107</t>
  </si>
  <si>
    <t>品種大分類マスタメンテナンス</t>
  </si>
  <si>
    <t>K0108</t>
  </si>
  <si>
    <t>品種中分類メンテナンス</t>
  </si>
  <si>
    <t>K0109</t>
  </si>
  <si>
    <t>単位コードマスタメンテナンス</t>
  </si>
  <si>
    <t>K0110</t>
  </si>
  <si>
    <t>通貨コードメンテナンス</t>
  </si>
  <si>
    <t>K0111</t>
  </si>
  <si>
    <t>管轄コードメンテナンス</t>
  </si>
  <si>
    <t>K0112</t>
  </si>
  <si>
    <t>保管場所コードメンテナンス</t>
  </si>
  <si>
    <t>K0113</t>
  </si>
  <si>
    <t>採番マスタメンテナンス</t>
  </si>
  <si>
    <t>K0114</t>
  </si>
  <si>
    <t>製品分類マスタメンテナンス</t>
  </si>
  <si>
    <t>K0115</t>
  </si>
  <si>
    <t>利用者マスタメンテナンス</t>
  </si>
  <si>
    <t>K0116</t>
  </si>
  <si>
    <t>部署マスタメンテナンス</t>
  </si>
  <si>
    <t>K0117</t>
  </si>
  <si>
    <t>カレンダーマスタメンテナンス</t>
  </si>
  <si>
    <t>K0118</t>
  </si>
  <si>
    <t>コード名称マスタメンテナンス</t>
  </si>
  <si>
    <t>K0119</t>
  </si>
  <si>
    <t>区分名称マスタメンテナンス</t>
  </si>
  <si>
    <t>K0120</t>
  </si>
  <si>
    <t>承認経路マスタメンテナンス</t>
  </si>
  <si>
    <t>K0121</t>
  </si>
  <si>
    <t>業者品種マスタメンテナンス</t>
  </si>
  <si>
    <t>K0122</t>
  </si>
  <si>
    <t>科目マスタメンテナンス</t>
  </si>
  <si>
    <t>K0123</t>
  </si>
  <si>
    <t>経費マスタメンテナンス</t>
  </si>
  <si>
    <t>K0124</t>
  </si>
  <si>
    <t>原価計算経費マスタメンテナンス</t>
  </si>
  <si>
    <t>L0101</t>
  </si>
  <si>
    <t>ログイン画面</t>
  </si>
  <si>
    <t>L0201</t>
  </si>
  <si>
    <t>メニュー画面</t>
  </si>
  <si>
    <t>L1101</t>
  </si>
  <si>
    <t>端末利用状況一覧</t>
  </si>
  <si>
    <t>L1201</t>
  </si>
  <si>
    <t>ロットトレース一覧</t>
  </si>
  <si>
    <t>指摘区分</t>
    <rPh sb="0" eb="2">
      <t>シテキ</t>
    </rPh>
    <rPh sb="2" eb="4">
      <t>クブン</t>
    </rPh>
    <phoneticPr fontId="4"/>
  </si>
  <si>
    <t>※選択したい行をダブルクリックしてください。</t>
    <rPh sb="1" eb="3">
      <t>センタク</t>
    </rPh>
    <rPh sb="6" eb="7">
      <t>ギョウ</t>
    </rPh>
    <phoneticPr fontId="4"/>
  </si>
  <si>
    <t>指摘区分内容説明</t>
    <rPh sb="0" eb="2">
      <t>シテキ</t>
    </rPh>
    <rPh sb="2" eb="4">
      <t>クブン</t>
    </rPh>
    <rPh sb="4" eb="6">
      <t>ナイヨウ</t>
    </rPh>
    <rPh sb="6" eb="8">
      <t>セツメイ</t>
    </rPh>
    <phoneticPr fontId="4"/>
  </si>
  <si>
    <t>1:記載ミス</t>
    <rPh sb="2" eb="4">
      <t>キサイ</t>
    </rPh>
    <phoneticPr fontId="2"/>
  </si>
  <si>
    <t>記載ミス（誤記等）</t>
    <rPh sb="0" eb="2">
      <t>キサイ</t>
    </rPh>
    <rPh sb="5" eb="7">
      <t>ゴキ</t>
    </rPh>
    <rPh sb="7" eb="8">
      <t>トウ</t>
    </rPh>
    <phoneticPr fontId="2"/>
  </si>
  <si>
    <t>2:記載漏れ</t>
    <rPh sb="2" eb="4">
      <t>キサイ</t>
    </rPh>
    <rPh sb="4" eb="5">
      <t>モ</t>
    </rPh>
    <phoneticPr fontId="2"/>
  </si>
  <si>
    <t>記載漏れ（処理漏れ等）</t>
    <rPh sb="0" eb="2">
      <t>キサイ</t>
    </rPh>
    <rPh sb="2" eb="3">
      <t>モ</t>
    </rPh>
    <rPh sb="5" eb="7">
      <t>ショリ</t>
    </rPh>
    <rPh sb="7" eb="8">
      <t>モ</t>
    </rPh>
    <rPh sb="9" eb="10">
      <t>トウ</t>
    </rPh>
    <phoneticPr fontId="2"/>
  </si>
  <si>
    <t>3:記載不要</t>
    <rPh sb="2" eb="4">
      <t>キサイ</t>
    </rPh>
    <rPh sb="4" eb="6">
      <t>フヨウ</t>
    </rPh>
    <phoneticPr fontId="2"/>
  </si>
  <si>
    <t>記載不要</t>
    <rPh sb="0" eb="2">
      <t>キサイ</t>
    </rPh>
    <rPh sb="2" eb="4">
      <t>フヨウ</t>
    </rPh>
    <phoneticPr fontId="2"/>
  </si>
  <si>
    <t>4:表現曖昧</t>
    <rPh sb="2" eb="4">
      <t>ヒョウゲン</t>
    </rPh>
    <rPh sb="4" eb="6">
      <t>アイマイ</t>
    </rPh>
    <phoneticPr fontId="2"/>
  </si>
  <si>
    <t>表現曖昧（処理に対する文面・表現曖昧等）</t>
    <rPh sb="0" eb="2">
      <t>ヒョウゲン</t>
    </rPh>
    <rPh sb="2" eb="4">
      <t>アイマイ</t>
    </rPh>
    <rPh sb="5" eb="7">
      <t>ショリ</t>
    </rPh>
    <rPh sb="8" eb="9">
      <t>タイ</t>
    </rPh>
    <rPh sb="11" eb="13">
      <t>ブンメン</t>
    </rPh>
    <rPh sb="14" eb="16">
      <t>ヒョウゲン</t>
    </rPh>
    <rPh sb="16" eb="18">
      <t>アイマイ</t>
    </rPh>
    <rPh sb="18" eb="19">
      <t>トウ</t>
    </rPh>
    <phoneticPr fontId="2"/>
  </si>
  <si>
    <t>5:表現統一</t>
    <rPh sb="2" eb="4">
      <t>ヒョウゲン</t>
    </rPh>
    <rPh sb="4" eb="6">
      <t>トウイツ</t>
    </rPh>
    <phoneticPr fontId="2"/>
  </si>
  <si>
    <t>表現統一（一覧化等処理記載内容が判るように改善）</t>
    <rPh sb="0" eb="2">
      <t>ヒョウゲン</t>
    </rPh>
    <rPh sb="2" eb="4">
      <t>トウイツ</t>
    </rPh>
    <rPh sb="5" eb="7">
      <t>イチラン</t>
    </rPh>
    <rPh sb="7" eb="8">
      <t>カ</t>
    </rPh>
    <rPh sb="8" eb="9">
      <t>トウ</t>
    </rPh>
    <rPh sb="9" eb="11">
      <t>ショリ</t>
    </rPh>
    <rPh sb="11" eb="13">
      <t>キサイ</t>
    </rPh>
    <rPh sb="13" eb="15">
      <t>ナイヨウ</t>
    </rPh>
    <rPh sb="16" eb="17">
      <t>ワカ</t>
    </rPh>
    <rPh sb="21" eb="23">
      <t>カイゼン</t>
    </rPh>
    <phoneticPr fontId="2"/>
  </si>
  <si>
    <t>6:処理検討不足</t>
    <rPh sb="2" eb="4">
      <t>ショリ</t>
    </rPh>
    <rPh sb="4" eb="6">
      <t>ケントウ</t>
    </rPh>
    <rPh sb="6" eb="8">
      <t>フソク</t>
    </rPh>
    <phoneticPr fontId="2"/>
  </si>
  <si>
    <t>処理検討不足</t>
    <rPh sb="0" eb="2">
      <t>ショリ</t>
    </rPh>
    <rPh sb="2" eb="4">
      <t>ケントウ</t>
    </rPh>
    <rPh sb="4" eb="6">
      <t>フソク</t>
    </rPh>
    <phoneticPr fontId="2"/>
  </si>
  <si>
    <t>7:ユーザ確認要</t>
    <rPh sb="5" eb="7">
      <t>カクニン</t>
    </rPh>
    <rPh sb="7" eb="8">
      <t>ヨウ</t>
    </rPh>
    <phoneticPr fontId="2"/>
  </si>
  <si>
    <t>ユーザ確認要</t>
    <rPh sb="3" eb="5">
      <t>カクニン</t>
    </rPh>
    <rPh sb="5" eb="6">
      <t>ヨウ</t>
    </rPh>
    <phoneticPr fontId="2"/>
  </si>
  <si>
    <t>8:設計規約ミス</t>
    <rPh sb="2" eb="4">
      <t>セッケイ</t>
    </rPh>
    <rPh sb="4" eb="6">
      <t>キヤク</t>
    </rPh>
    <phoneticPr fontId="2"/>
  </si>
  <si>
    <t>設計ルールに従っていない等</t>
    <rPh sb="0" eb="2">
      <t>セッケイ</t>
    </rPh>
    <rPh sb="6" eb="7">
      <t>シタガ</t>
    </rPh>
    <rPh sb="12" eb="13">
      <t>トウ</t>
    </rPh>
    <phoneticPr fontId="2"/>
  </si>
  <si>
    <t>9:設計問合せ</t>
    <rPh sb="2" eb="4">
      <t>セッケイ</t>
    </rPh>
    <rPh sb="4" eb="6">
      <t>トイアワ</t>
    </rPh>
    <phoneticPr fontId="2"/>
  </si>
  <si>
    <t>設計者への処理確認</t>
    <rPh sb="0" eb="3">
      <t>セッケイシャ</t>
    </rPh>
    <rPh sb="5" eb="7">
      <t>ショリ</t>
    </rPh>
    <rPh sb="7" eb="9">
      <t>カクニン</t>
    </rPh>
    <phoneticPr fontId="2"/>
  </si>
  <si>
    <t>※最終行です。削除しないでください。行を挿入する場合は、この行より上で実施してください。</t>
    <phoneticPr fontId="4"/>
  </si>
  <si>
    <t>原因分類/原因区分/原因区分詳細一覧</t>
    <rPh sb="16" eb="18">
      <t>イチラン</t>
    </rPh>
    <phoneticPr fontId="4"/>
  </si>
  <si>
    <t>Lv1</t>
    <phoneticPr fontId="4"/>
  </si>
  <si>
    <t>Lv2</t>
    <phoneticPr fontId="4"/>
  </si>
  <si>
    <t>原因区分内容説明</t>
    <rPh sb="0" eb="2">
      <t>ゲンイン</t>
    </rPh>
    <rPh sb="2" eb="4">
      <t>クブン</t>
    </rPh>
    <rPh sb="4" eb="6">
      <t>ナイヨウ</t>
    </rPh>
    <rPh sb="6" eb="8">
      <t>セツメイ</t>
    </rPh>
    <phoneticPr fontId="4"/>
  </si>
  <si>
    <t>1:設計ﾐｽ</t>
    <phoneticPr fontId="2"/>
  </si>
  <si>
    <t>10:記載ミス</t>
    <rPh sb="3" eb="5">
      <t>キサイ</t>
    </rPh>
    <phoneticPr fontId="2"/>
  </si>
  <si>
    <t>11:記載漏れ（画面・帳票）</t>
    <rPh sb="3" eb="5">
      <t>キサイ</t>
    </rPh>
    <rPh sb="5" eb="6">
      <t>モ</t>
    </rPh>
    <rPh sb="8" eb="10">
      <t>ガメン</t>
    </rPh>
    <rPh sb="11" eb="13">
      <t>チョウヒョウ</t>
    </rPh>
    <phoneticPr fontId="2"/>
  </si>
  <si>
    <t>画面/帳票の項目過不足、レイアウト設計ミス</t>
    <phoneticPr fontId="2"/>
  </si>
  <si>
    <t>12:記載漏れ（処理）</t>
    <rPh sb="3" eb="5">
      <t>キサイ</t>
    </rPh>
    <rPh sb="5" eb="6">
      <t>モ</t>
    </rPh>
    <rPh sb="8" eb="10">
      <t>ショリ</t>
    </rPh>
    <phoneticPr fontId="2"/>
  </si>
  <si>
    <t>処理に対するボタン処理・イベント処理等の記載漏れ</t>
    <rPh sb="0" eb="2">
      <t>ショリ</t>
    </rPh>
    <rPh sb="3" eb="4">
      <t>タイ</t>
    </rPh>
    <rPh sb="9" eb="11">
      <t>ショリ</t>
    </rPh>
    <rPh sb="16" eb="18">
      <t>ショリ</t>
    </rPh>
    <rPh sb="18" eb="19">
      <t>トウ</t>
    </rPh>
    <rPh sb="20" eb="22">
      <t>キサイ</t>
    </rPh>
    <rPh sb="22" eb="23">
      <t>モ</t>
    </rPh>
    <phoneticPr fontId="2"/>
  </si>
  <si>
    <t>13:記載不要</t>
    <rPh sb="3" eb="5">
      <t>キサイ</t>
    </rPh>
    <rPh sb="5" eb="7">
      <t>フヨウ</t>
    </rPh>
    <phoneticPr fontId="2"/>
  </si>
  <si>
    <t>記載不要の処理</t>
    <rPh sb="5" eb="7">
      <t>ショリ</t>
    </rPh>
    <phoneticPr fontId="2"/>
  </si>
  <si>
    <t>14:表現曖昧</t>
    <rPh sb="3" eb="5">
      <t>ヒョウゲン</t>
    </rPh>
    <rPh sb="5" eb="7">
      <t>アイマイ</t>
    </rPh>
    <phoneticPr fontId="2"/>
  </si>
  <si>
    <t>処理に対しての表現が曖昧　※処理内容の記載・方針は正しい</t>
    <rPh sb="0" eb="2">
      <t>ショリ</t>
    </rPh>
    <rPh sb="3" eb="4">
      <t>タイ</t>
    </rPh>
    <rPh sb="7" eb="9">
      <t>ヒョウゲン</t>
    </rPh>
    <rPh sb="10" eb="12">
      <t>アイマイ</t>
    </rPh>
    <rPh sb="14" eb="16">
      <t>ショリ</t>
    </rPh>
    <rPh sb="16" eb="18">
      <t>ナイヨウ</t>
    </rPh>
    <rPh sb="19" eb="21">
      <t>キサイ</t>
    </rPh>
    <rPh sb="22" eb="24">
      <t>ホウシン</t>
    </rPh>
    <rPh sb="25" eb="26">
      <t>タダ</t>
    </rPh>
    <phoneticPr fontId="2"/>
  </si>
  <si>
    <t>15:表現統一</t>
    <rPh sb="3" eb="5">
      <t>ヒョウゲン</t>
    </rPh>
    <rPh sb="5" eb="7">
      <t>トウイツ</t>
    </rPh>
    <phoneticPr fontId="2"/>
  </si>
  <si>
    <t>処理に対しての表現の統一化</t>
    <rPh sb="0" eb="2">
      <t>ショリ</t>
    </rPh>
    <rPh sb="3" eb="4">
      <t>タイ</t>
    </rPh>
    <rPh sb="7" eb="9">
      <t>ヒョウゲン</t>
    </rPh>
    <rPh sb="10" eb="13">
      <t>トウイツカ</t>
    </rPh>
    <phoneticPr fontId="2"/>
  </si>
  <si>
    <t>2:設計検討不足</t>
    <rPh sb="2" eb="4">
      <t>セッケイ</t>
    </rPh>
    <rPh sb="4" eb="8">
      <t>ケントウフソク</t>
    </rPh>
    <phoneticPr fontId="2"/>
  </si>
  <si>
    <t>21:処理検討不足</t>
    <rPh sb="3" eb="5">
      <t>ショリ</t>
    </rPh>
    <rPh sb="5" eb="7">
      <t>ケントウ</t>
    </rPh>
    <rPh sb="7" eb="9">
      <t>フソク</t>
    </rPh>
    <phoneticPr fontId="2"/>
  </si>
  <si>
    <t>イベント（ボタン処理・項目処理等）処理検討不足による設計仕様ミス</t>
    <rPh sb="8" eb="10">
      <t>ショリ</t>
    </rPh>
    <rPh sb="11" eb="13">
      <t>コウモク</t>
    </rPh>
    <rPh sb="13" eb="15">
      <t>ショリ</t>
    </rPh>
    <rPh sb="15" eb="16">
      <t>トウ</t>
    </rPh>
    <rPh sb="17" eb="19">
      <t>ショリ</t>
    </rPh>
    <rPh sb="19" eb="21">
      <t>ケントウ</t>
    </rPh>
    <rPh sb="21" eb="23">
      <t>フソク</t>
    </rPh>
    <phoneticPr fontId="2"/>
  </si>
  <si>
    <t>3:他機能連携不足</t>
    <rPh sb="2" eb="7">
      <t>タキノウレンケイ</t>
    </rPh>
    <rPh sb="7" eb="9">
      <t>フソク</t>
    </rPh>
    <phoneticPr fontId="2"/>
  </si>
  <si>
    <t>31:他機能連携不足</t>
    <rPh sb="3" eb="6">
      <t>タキノウ</t>
    </rPh>
    <rPh sb="6" eb="8">
      <t>レンケイ</t>
    </rPh>
    <rPh sb="8" eb="10">
      <t>フソク</t>
    </rPh>
    <phoneticPr fontId="2"/>
  </si>
  <si>
    <t>他機能との処理連携不足による設計仕様ミス</t>
    <rPh sb="0" eb="3">
      <t>タキノウ</t>
    </rPh>
    <rPh sb="5" eb="7">
      <t>ショリ</t>
    </rPh>
    <rPh sb="7" eb="9">
      <t>レンケイ</t>
    </rPh>
    <rPh sb="9" eb="11">
      <t>フソク</t>
    </rPh>
    <phoneticPr fontId="2"/>
  </si>
  <si>
    <t>4:共通設計ﾐｽ</t>
    <rPh sb="2" eb="4">
      <t>キョウツウ</t>
    </rPh>
    <phoneticPr fontId="4"/>
  </si>
  <si>
    <t>41:共通処理漏れ</t>
    <rPh sb="5" eb="7">
      <t>ショリ</t>
    </rPh>
    <rPh sb="7" eb="8">
      <t>モ</t>
    </rPh>
    <phoneticPr fontId="2"/>
  </si>
  <si>
    <t>共通処理（共通イベント処理・共通制御等の処理）の記載漏れによる設計仕様ミス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キサイ</t>
    </rPh>
    <rPh sb="26" eb="27">
      <t>モ</t>
    </rPh>
    <phoneticPr fontId="2"/>
  </si>
  <si>
    <t>4:共通検討不足</t>
    <rPh sb="2" eb="4">
      <t>キョウツウ</t>
    </rPh>
    <rPh sb="4" eb="6">
      <t>ケントウ</t>
    </rPh>
    <rPh sb="6" eb="8">
      <t>フソク</t>
    </rPh>
    <phoneticPr fontId="4"/>
  </si>
  <si>
    <t>42:共通処理検討不足</t>
    <rPh sb="5" eb="7">
      <t>ショリ</t>
    </rPh>
    <rPh sb="7" eb="9">
      <t>ケントウ</t>
    </rPh>
    <rPh sb="9" eb="11">
      <t>フソク</t>
    </rPh>
    <phoneticPr fontId="2"/>
  </si>
  <si>
    <t>共通処理（共通イベント処理・共通制御等の処理）の共通処理検討不足による設計仕様ミス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キョウツウ</t>
    </rPh>
    <rPh sb="26" eb="28">
      <t>ショリ</t>
    </rPh>
    <rPh sb="28" eb="30">
      <t>ケントウ</t>
    </rPh>
    <rPh sb="30" eb="32">
      <t>フソク</t>
    </rPh>
    <phoneticPr fontId="2"/>
  </si>
  <si>
    <t>5:共通部品設計ﾐｽ</t>
    <phoneticPr fontId="2"/>
  </si>
  <si>
    <t>51:共通部品設計ﾐｽ</t>
    <phoneticPr fontId="2"/>
  </si>
  <si>
    <t>システム共通部品、業務共通部品などに関する設計仕様ミス</t>
    <phoneticPr fontId="2"/>
  </si>
  <si>
    <t>6:ｲﾝﾀｰﾌｪｰｽ設計ﾐｽ</t>
    <phoneticPr fontId="2"/>
  </si>
  <si>
    <t>61:ｲﾝﾀｰﾌｪｰｽ設計ﾐｽ</t>
    <phoneticPr fontId="2"/>
  </si>
  <si>
    <t xml:space="preserve">関連する外部システムもしくはサブシステム内のインターフェースに関する設計ミス </t>
  </si>
  <si>
    <t>7:DB/ﾌｧｲﾙ設計ﾐｽ</t>
    <phoneticPr fontId="2"/>
  </si>
  <si>
    <t>71:DB記載漏れ・不測</t>
    <rPh sb="5" eb="7">
      <t>キサイ</t>
    </rPh>
    <rPh sb="7" eb="8">
      <t>モ</t>
    </rPh>
    <rPh sb="10" eb="12">
      <t>フソク</t>
    </rPh>
    <phoneticPr fontId="2"/>
  </si>
  <si>
    <t xml:space="preserve">DB構造、ファイル構造、インデックス・リンクなどに関する設計仕様ミス </t>
    <phoneticPr fontId="2"/>
  </si>
  <si>
    <t>72:DB他機能連携不足</t>
    <rPh sb="5" eb="8">
      <t>タキノウ</t>
    </rPh>
    <rPh sb="8" eb="10">
      <t>レンケイ</t>
    </rPh>
    <rPh sb="10" eb="12">
      <t>フソク</t>
    </rPh>
    <phoneticPr fontId="2"/>
  </si>
  <si>
    <t xml:space="preserve">他機能連携に対するDB構造、ファイル構造、インデックス・リンクなどに関する設計仕様ミス </t>
    <rPh sb="3" eb="5">
      <t>レンケイ</t>
    </rPh>
    <rPh sb="6" eb="7">
      <t>タイ</t>
    </rPh>
    <phoneticPr fontId="2"/>
  </si>
  <si>
    <t>8:ユーザ確認要</t>
    <rPh sb="5" eb="7">
      <t>カクニン</t>
    </rPh>
    <rPh sb="7" eb="8">
      <t>ヨウ</t>
    </rPh>
    <phoneticPr fontId="2"/>
  </si>
  <si>
    <t>81:ユーザ確認要</t>
    <rPh sb="6" eb="8">
      <t>カクニン</t>
    </rPh>
    <rPh sb="8" eb="9">
      <t>ヨウ</t>
    </rPh>
    <phoneticPr fontId="2"/>
  </si>
  <si>
    <t>ユーザに確認する事項をまとめる</t>
    <rPh sb="4" eb="6">
      <t>カクニン</t>
    </rPh>
    <rPh sb="8" eb="10">
      <t>ジコウ</t>
    </rPh>
    <phoneticPr fontId="2"/>
  </si>
  <si>
    <t>9.設計規約ミス</t>
    <rPh sb="2" eb="4">
      <t>セッケイ</t>
    </rPh>
    <rPh sb="4" eb="6">
      <t>キヤク</t>
    </rPh>
    <phoneticPr fontId="2"/>
  </si>
  <si>
    <t>91.設計規約ミス</t>
    <rPh sb="3" eb="5">
      <t>セッケイ</t>
    </rPh>
    <rPh sb="5" eb="7">
      <t>キヤク</t>
    </rPh>
    <phoneticPr fontId="2"/>
  </si>
  <si>
    <t>A.指摘誤り</t>
    <rPh sb="2" eb="4">
      <t>シテキ</t>
    </rPh>
    <rPh sb="4" eb="5">
      <t>アヤマ</t>
    </rPh>
    <phoneticPr fontId="2"/>
  </si>
  <si>
    <t>A1:指摘誤り</t>
    <rPh sb="3" eb="5">
      <t>シテキ</t>
    </rPh>
    <rPh sb="5" eb="6">
      <t>アヤマ</t>
    </rPh>
    <phoneticPr fontId="2"/>
  </si>
  <si>
    <t>指摘誤り</t>
    <rPh sb="0" eb="3">
      <t>シテキアヤマ</t>
    </rPh>
    <phoneticPr fontId="2"/>
  </si>
  <si>
    <t>吉浦</t>
    <rPh sb="0" eb="2">
      <t>ヨシウラ</t>
    </rPh>
    <phoneticPr fontId="2"/>
  </si>
  <si>
    <t>更新できるかと思います。</t>
    <rPh sb="0" eb="2">
      <t>コウシン</t>
    </rPh>
    <rPh sb="7" eb="8">
      <t>オモ</t>
    </rPh>
    <phoneticPr fontId="2"/>
  </si>
  <si>
    <t>「user_kengen_info」へ変更。※横展済</t>
    <rPh sb="19" eb="21">
      <t>ヘンコウ</t>
    </rPh>
    <rPh sb="23" eb="25">
      <t>ヨコテン</t>
    </rPh>
    <rPh sb="25" eb="26">
      <t>ズ</t>
    </rPh>
    <phoneticPr fontId="2"/>
  </si>
  <si>
    <t>「テーブル定義書の全項目を羅列」と注釈を追加。※横展済</t>
    <rPh sb="17" eb="19">
      <t>チュウシャク</t>
    </rPh>
    <rPh sb="20" eb="22">
      <t>ツイカ</t>
    </rPh>
    <rPh sb="24" eb="26">
      <t>ヨコテン</t>
    </rPh>
    <rPh sb="26" eb="27">
      <t>ズ</t>
    </rPh>
    <phoneticPr fontId="2"/>
  </si>
  <si>
    <t>未使用のため削除しました。※横展済</t>
    <rPh sb="0" eb="3">
      <t>ミシヨウ</t>
    </rPh>
    <rPh sb="6" eb="8">
      <t>サクジョ</t>
    </rPh>
    <rPh sb="14" eb="16">
      <t>ヨコテン</t>
    </rPh>
    <rPh sb="16" eb="17">
      <t>ズ</t>
    </rPh>
    <phoneticPr fontId="2"/>
  </si>
  <si>
    <t>廃止とします。※横展済</t>
    <rPh sb="0" eb="2">
      <t>ハイシ</t>
    </rPh>
    <rPh sb="8" eb="10">
      <t>ヨコテン</t>
    </rPh>
    <rPh sb="10" eb="11">
      <t>ズ</t>
    </rPh>
    <phoneticPr fontId="2"/>
  </si>
  <si>
    <t>追記しました。※横展済</t>
    <rPh sb="0" eb="2">
      <t>ツイキ</t>
    </rPh>
    <rPh sb="8" eb="10">
      <t>ヨコテン</t>
    </rPh>
    <rPh sb="10" eb="11">
      <t>ズ</t>
    </rPh>
    <phoneticPr fontId="2"/>
  </si>
  <si>
    <t>参照先のファイルを明記しました。※横展済</t>
    <rPh sb="0" eb="2">
      <t>サンショウ</t>
    </rPh>
    <rPh sb="2" eb="3">
      <t>サキ</t>
    </rPh>
    <rPh sb="9" eb="11">
      <t>メイキ</t>
    </rPh>
    <rPh sb="17" eb="19">
      <t>ヨコテン</t>
    </rPh>
    <rPh sb="19" eb="20">
      <t>ズ</t>
    </rPh>
    <phoneticPr fontId="2"/>
  </si>
  <si>
    <t>検索ボタン押下時の左記メッセージ表示条件を戻るボタン、ログアウトボタン押下時と同様の表記としました。※横展済</t>
    <rPh sb="0" eb="2">
      <t>ケンサク</t>
    </rPh>
    <rPh sb="5" eb="7">
      <t>オウカ</t>
    </rPh>
    <rPh sb="7" eb="8">
      <t>ジ</t>
    </rPh>
    <rPh sb="9" eb="11">
      <t>サキ</t>
    </rPh>
    <rPh sb="16" eb="18">
      <t>ヒョウジ</t>
    </rPh>
    <rPh sb="18" eb="20">
      <t>ジョウケン</t>
    </rPh>
    <rPh sb="21" eb="22">
      <t>モド</t>
    </rPh>
    <rPh sb="35" eb="37">
      <t>オウカ</t>
    </rPh>
    <rPh sb="37" eb="38">
      <t>ジ</t>
    </rPh>
    <rPh sb="39" eb="41">
      <t>ドウヨウ</t>
    </rPh>
    <rPh sb="42" eb="44">
      <t>ヒョウキ</t>
    </rPh>
    <rPh sb="51" eb="52">
      <t>ヨコ</t>
    </rPh>
    <rPh sb="53" eb="54">
      <t>スミ</t>
    </rPh>
    <phoneticPr fontId="2"/>
  </si>
  <si>
    <t>COMB0102004
HandleSelect004Async</t>
    <phoneticPr fontId="2"/>
  </si>
  <si>
    <t xml:space="preserve">SQLが一部見切れている。
ISNULL（生産計画_熱加工.
</t>
    <rPh sb="4" eb="6">
      <t>イチブ</t>
    </rPh>
    <rPh sb="21" eb="25">
      <t>セイサンケイカク</t>
    </rPh>
    <rPh sb="26" eb="29">
      <t>ネツカコウ</t>
    </rPh>
    <phoneticPr fontId="2"/>
  </si>
  <si>
    <t xml:space="preserve">SELECT文　在庫移動指示情報の結合条件に移動分類は必要ない？
</t>
    <rPh sb="6" eb="7">
      <t>ブン</t>
    </rPh>
    <rPh sb="8" eb="14">
      <t>ザイコイドウシジ</t>
    </rPh>
    <rPh sb="14" eb="16">
      <t>ジョウホウ</t>
    </rPh>
    <rPh sb="17" eb="19">
      <t>ケツゴウ</t>
    </rPh>
    <rPh sb="19" eb="21">
      <t>ジョウケン</t>
    </rPh>
    <rPh sb="22" eb="26">
      <t>イドウブンルイ</t>
    </rPh>
    <rPh sb="27" eb="29">
      <t>ヒツヨウ</t>
    </rPh>
    <phoneticPr fontId="2"/>
  </si>
  <si>
    <t>1:記載ミス</t>
  </si>
  <si>
    <t xml:space="preserve">SQL select句　受注.受注状態の別名が不正。
</t>
    <rPh sb="10" eb="11">
      <t>ク</t>
    </rPh>
    <rPh sb="12" eb="14">
      <t>ジュチュウ</t>
    </rPh>
    <rPh sb="15" eb="17">
      <t>ジュチュウ</t>
    </rPh>
    <rPh sb="17" eb="19">
      <t>ジョウタイ</t>
    </rPh>
    <rPh sb="20" eb="22">
      <t>ベツメイ</t>
    </rPh>
    <rPh sb="23" eb="25">
      <t>フセイ</t>
    </rPh>
    <phoneticPr fontId="2"/>
  </si>
  <si>
    <t>設備コードは抽出条件に必要？</t>
    <rPh sb="0" eb="2">
      <t>セツビ</t>
    </rPh>
    <rPh sb="6" eb="10">
      <t>チュウシュツジョウケン</t>
    </rPh>
    <rPh sb="11" eb="13">
      <t>ヒツヨウ</t>
    </rPh>
    <phoneticPr fontId="2"/>
  </si>
  <si>
    <t>一覧.受注№　入力 4受注情報・生産計画紐づけチェック
COMB0102004の取得内容に受注の顧客情報や品種情報が含まれていない。</t>
    <rPh sb="0" eb="2">
      <t>イチラン</t>
    </rPh>
    <rPh sb="3" eb="5">
      <t>ジュチュウ</t>
    </rPh>
    <rPh sb="7" eb="9">
      <t>ニュウリョク</t>
    </rPh>
    <rPh sb="11" eb="15">
      <t>ジュチュウジョウホウ</t>
    </rPh>
    <rPh sb="16" eb="20">
      <t>セイサンケイカク</t>
    </rPh>
    <rPh sb="20" eb="21">
      <t>ヒモ</t>
    </rPh>
    <rPh sb="40" eb="44">
      <t>シュトクナイヨウ</t>
    </rPh>
    <rPh sb="45" eb="47">
      <t>ジュチュウ</t>
    </rPh>
    <rPh sb="48" eb="52">
      <t>コキャクジョウホウ</t>
    </rPh>
    <rPh sb="53" eb="57">
      <t>ヒンシュジョウホウ</t>
    </rPh>
    <rPh sb="58" eb="59">
      <t>フク</t>
    </rPh>
    <phoneticPr fontId="2"/>
  </si>
  <si>
    <t>一覧.顧客　入力　２受注情報　検索
受注№が入力されている場合のみ受注情報の検索を行う。
※チェック処理有無の分岐に受注№入力有無を使用している。</t>
    <rPh sb="0" eb="2">
      <t>イチラン</t>
    </rPh>
    <rPh sb="3" eb="5">
      <t>コキャク</t>
    </rPh>
    <rPh sb="6" eb="8">
      <t>ニュウリョク</t>
    </rPh>
    <rPh sb="10" eb="12">
      <t>ジュチュウ</t>
    </rPh>
    <rPh sb="12" eb="14">
      <t>ジョウホウ</t>
    </rPh>
    <rPh sb="15" eb="17">
      <t>ケンサク</t>
    </rPh>
    <rPh sb="18" eb="21">
      <t>ジュチュウナンバー</t>
    </rPh>
    <rPh sb="22" eb="24">
      <t>ニュウリョク</t>
    </rPh>
    <rPh sb="29" eb="31">
      <t>バアイ</t>
    </rPh>
    <rPh sb="33" eb="37">
      <t>ジュチュウジョウホウ</t>
    </rPh>
    <rPh sb="38" eb="40">
      <t>ケンサク</t>
    </rPh>
    <rPh sb="41" eb="42">
      <t>オコナ</t>
    </rPh>
    <rPh sb="50" eb="52">
      <t>ショリ</t>
    </rPh>
    <rPh sb="52" eb="54">
      <t>ウム</t>
    </rPh>
    <rPh sb="55" eb="57">
      <t>ブンキ</t>
    </rPh>
    <rPh sb="58" eb="61">
      <t>ジュチュウナンバー</t>
    </rPh>
    <rPh sb="61" eb="65">
      <t>ニュウリョクウム</t>
    </rPh>
    <rPh sb="66" eb="68">
      <t>シヨウ</t>
    </rPh>
    <phoneticPr fontId="2"/>
  </si>
  <si>
    <t>一覧.製品番号　入力　５受注情報・生産計画　紐づけチェック
共通化を検討する余地は無いか。比較項目が設定ファイル基づいている旨が受注№入力のイベントには記載されていない。（イベントによって比較項目異なる？）</t>
    <rPh sb="0" eb="2">
      <t>イチラン</t>
    </rPh>
    <rPh sb="3" eb="7">
      <t>セイヒンバンゴウ</t>
    </rPh>
    <rPh sb="8" eb="10">
      <t>ニュウリョク</t>
    </rPh>
    <rPh sb="12" eb="16">
      <t>ジュチュウジョウホウ</t>
    </rPh>
    <rPh sb="17" eb="21">
      <t>セイサンケイカク</t>
    </rPh>
    <rPh sb="22" eb="23">
      <t>ヒモ</t>
    </rPh>
    <rPh sb="30" eb="33">
      <t>キョウツウカ</t>
    </rPh>
    <rPh sb="34" eb="36">
      <t>ケントウ</t>
    </rPh>
    <rPh sb="38" eb="40">
      <t>ヨチ</t>
    </rPh>
    <rPh sb="41" eb="42">
      <t>ナ</t>
    </rPh>
    <rPh sb="45" eb="47">
      <t>ヒカク</t>
    </rPh>
    <rPh sb="47" eb="49">
      <t>コウモク</t>
    </rPh>
    <rPh sb="50" eb="52">
      <t>セッテイ</t>
    </rPh>
    <rPh sb="56" eb="57">
      <t>モト</t>
    </rPh>
    <rPh sb="62" eb="63">
      <t>ムネ</t>
    </rPh>
    <rPh sb="64" eb="66">
      <t>ジュチュウ</t>
    </rPh>
    <rPh sb="67" eb="69">
      <t>ニュウリョク</t>
    </rPh>
    <rPh sb="76" eb="78">
      <t>キサイ</t>
    </rPh>
    <rPh sb="94" eb="99">
      <t>ヒカクコウモクコト</t>
    </rPh>
    <phoneticPr fontId="2"/>
  </si>
  <si>
    <t>受注№入力以外の入力イベントでは受注情報を取り直さなくて良いと思います。受注№入力時に取得した情報を保持しておき、チェック処理に使う。</t>
    <rPh sb="0" eb="5">
      <t>ジュチュウナンバーニュウリョク</t>
    </rPh>
    <rPh sb="5" eb="7">
      <t>イガイ</t>
    </rPh>
    <rPh sb="8" eb="10">
      <t>ニュウリョク</t>
    </rPh>
    <rPh sb="16" eb="20">
      <t>ジュチュウジョウホウ</t>
    </rPh>
    <rPh sb="21" eb="22">
      <t>ト</t>
    </rPh>
    <rPh sb="23" eb="24">
      <t>ナオ</t>
    </rPh>
    <rPh sb="28" eb="29">
      <t>ヨ</t>
    </rPh>
    <rPh sb="31" eb="32">
      <t>オモ</t>
    </rPh>
    <rPh sb="36" eb="41">
      <t>ジュチュウナンバーニュウリョク</t>
    </rPh>
    <rPh sb="41" eb="42">
      <t>ジ</t>
    </rPh>
    <rPh sb="43" eb="45">
      <t>シュトク</t>
    </rPh>
    <rPh sb="47" eb="49">
      <t>ジョウホウ</t>
    </rPh>
    <rPh sb="50" eb="52">
      <t>ホジ</t>
    </rPh>
    <rPh sb="61" eb="63">
      <t>ショリ</t>
    </rPh>
    <rPh sb="64" eb="65">
      <t>ツカ</t>
    </rPh>
    <phoneticPr fontId="2"/>
  </si>
  <si>
    <t>一覧.坪量　入力　２坪量チェック
チェック内容を詳細に書く必要アリ。
受注情報紐づけチェックと同様に品種情報取得時に値を保持しておきチェックのロジックに記載する。</t>
    <rPh sb="0" eb="2">
      <t>イチラン</t>
    </rPh>
    <rPh sb="3" eb="5">
      <t>ツボリョウ</t>
    </rPh>
    <rPh sb="6" eb="8">
      <t>ニュウリョク</t>
    </rPh>
    <rPh sb="10" eb="12">
      <t>ツボリョウ</t>
    </rPh>
    <rPh sb="21" eb="23">
      <t>ナイヨウ</t>
    </rPh>
    <rPh sb="24" eb="26">
      <t>ショウサイ</t>
    </rPh>
    <rPh sb="27" eb="28">
      <t>カ</t>
    </rPh>
    <rPh sb="29" eb="31">
      <t>ヒツヨウ</t>
    </rPh>
    <rPh sb="35" eb="40">
      <t>ジュチュウジョウホウヒモ</t>
    </rPh>
    <rPh sb="47" eb="49">
      <t>ドウヨウ</t>
    </rPh>
    <rPh sb="50" eb="54">
      <t>ヒンシュジョウホウ</t>
    </rPh>
    <rPh sb="54" eb="56">
      <t>シュトク</t>
    </rPh>
    <rPh sb="56" eb="57">
      <t>ジ</t>
    </rPh>
    <rPh sb="58" eb="59">
      <t>アタイ</t>
    </rPh>
    <rPh sb="60" eb="62">
      <t>ホジ</t>
    </rPh>
    <rPh sb="76" eb="78">
      <t>キサイ</t>
    </rPh>
    <phoneticPr fontId="2"/>
  </si>
  <si>
    <t>一覧.長さ　入力　③直近前回データ表示　１）直近前回データ取得
パラメータを記載しているが引渡す関数もしくはAPIの情報が無い。</t>
    <rPh sb="0" eb="2">
      <t>イチラン</t>
    </rPh>
    <rPh sb="3" eb="4">
      <t>ナガ</t>
    </rPh>
    <rPh sb="6" eb="8">
      <t>ニュウリョク</t>
    </rPh>
    <rPh sb="9" eb="14">
      <t>3チョッキンゼンカイ</t>
    </rPh>
    <rPh sb="17" eb="19">
      <t>ヒョウジ</t>
    </rPh>
    <rPh sb="22" eb="26">
      <t>チョッキンゼンカイ</t>
    </rPh>
    <rPh sb="29" eb="31">
      <t>シュトク</t>
    </rPh>
    <rPh sb="38" eb="40">
      <t>キサイ</t>
    </rPh>
    <rPh sb="45" eb="47">
      <t>ヒキワタ</t>
    </rPh>
    <rPh sb="48" eb="50">
      <t>カンスウ</t>
    </rPh>
    <rPh sb="58" eb="60">
      <t>ジョウホウ</t>
    </rPh>
    <rPh sb="61" eb="62">
      <t>ナ</t>
    </rPh>
    <phoneticPr fontId="2"/>
  </si>
  <si>
    <t>生産実績中データチェック
生産実績中か判断する方法が記載されていない。
画面項目.生産実績 &lt;&gt; 空白の場合？</t>
    <rPh sb="0" eb="5">
      <t>セイサンジッセキチュウ</t>
    </rPh>
    <rPh sb="13" eb="18">
      <t>セイサンジッセキチュウ</t>
    </rPh>
    <rPh sb="19" eb="21">
      <t>ハンダン</t>
    </rPh>
    <rPh sb="23" eb="25">
      <t>ホウホウ</t>
    </rPh>
    <rPh sb="26" eb="28">
      <t>キサイ</t>
    </rPh>
    <rPh sb="36" eb="38">
      <t>ガメン</t>
    </rPh>
    <rPh sb="38" eb="40">
      <t>コウモク</t>
    </rPh>
    <rPh sb="41" eb="45">
      <t>セイサンジッセキ</t>
    </rPh>
    <rPh sb="49" eb="51">
      <t>クウハク</t>
    </rPh>
    <rPh sb="52" eb="54">
      <t>バアイ</t>
    </rPh>
    <phoneticPr fontId="2"/>
  </si>
  <si>
    <t>修正しました。※横展済</t>
    <rPh sb="0" eb="2">
      <t>シュウセイ</t>
    </rPh>
    <rPh sb="8" eb="10">
      <t>ヨコテン</t>
    </rPh>
    <rPh sb="10" eb="11">
      <t>ズ</t>
    </rPh>
    <phoneticPr fontId="2"/>
  </si>
  <si>
    <t>画面表示条件以外としたいので、必要かと思います。</t>
    <rPh sb="0" eb="2">
      <t>ガメン</t>
    </rPh>
    <rPh sb="2" eb="4">
      <t>ヒョウジ</t>
    </rPh>
    <rPh sb="4" eb="6">
      <t>ジョウケン</t>
    </rPh>
    <rPh sb="6" eb="8">
      <t>イガイ</t>
    </rPh>
    <rPh sb="15" eb="17">
      <t>ヒツヨウ</t>
    </rPh>
    <rPh sb="19" eb="20">
      <t>オモ</t>
    </rPh>
    <phoneticPr fontId="2"/>
  </si>
  <si>
    <t>別名を「受注状態」へ変更しました。※横展済
【memo】
設備コード[X]の[X]を削除</t>
    <rPh sb="0" eb="1">
      <t>ベツ</t>
    </rPh>
    <rPh sb="1" eb="2">
      <t>メイ</t>
    </rPh>
    <rPh sb="10" eb="12">
      <t>ヘンコウ</t>
    </rPh>
    <rPh sb="18" eb="19">
      <t>ヨコ</t>
    </rPh>
    <rPh sb="20" eb="21">
      <t>スミ</t>
    </rPh>
    <rPh sb="29" eb="31">
      <t>セツビ</t>
    </rPh>
    <rPh sb="42" eb="44">
      <t>サクジョ</t>
    </rPh>
    <phoneticPr fontId="2"/>
  </si>
  <si>
    <t>基本設計書での記載をそのまま流用しているので、以下に記載しています。</t>
    <rPh sb="0" eb="2">
      <t>キホン</t>
    </rPh>
    <rPh sb="2" eb="5">
      <t>セッケイショ</t>
    </rPh>
    <rPh sb="7" eb="9">
      <t>キサイ</t>
    </rPh>
    <rPh sb="14" eb="16">
      <t>リュウヨウ</t>
    </rPh>
    <rPh sb="23" eb="25">
      <t>イカ</t>
    </rPh>
    <rPh sb="26" eb="28">
      <t>キサイ</t>
    </rPh>
    <phoneticPr fontId="2"/>
  </si>
  <si>
    <t>「COMB0102003」を追記しました。※他確認済</t>
    <rPh sb="14" eb="16">
      <t>ツイキ</t>
    </rPh>
    <rPh sb="22" eb="23">
      <t>ホカ</t>
    </rPh>
    <rPh sb="23" eb="25">
      <t>カクニン</t>
    </rPh>
    <rPh sb="25" eb="26">
      <t>ズ</t>
    </rPh>
    <phoneticPr fontId="2"/>
  </si>
  <si>
    <t>比較項目については設定ファイル（B01）.品名情報チェック項目に指定した項目とするため、受注データ全項目を取得するように変更。※横展済
【memo】
受注引当数を引当受注数に変更</t>
    <rPh sb="44" eb="46">
      <t>ジュチュウ</t>
    </rPh>
    <rPh sb="49" eb="52">
      <t>ゼンコウモク</t>
    </rPh>
    <rPh sb="53" eb="55">
      <t>シュトク</t>
    </rPh>
    <rPh sb="60" eb="62">
      <t>ヘンコウ</t>
    </rPh>
    <rPh sb="64" eb="65">
      <t>ヨコ</t>
    </rPh>
    <rPh sb="66" eb="67">
      <t>スミ</t>
    </rPh>
    <rPh sb="75" eb="77">
      <t>ジュチュウ</t>
    </rPh>
    <rPh sb="77" eb="79">
      <t>ヒキアテ</t>
    </rPh>
    <rPh sb="79" eb="80">
      <t>スウ</t>
    </rPh>
    <rPh sb="81" eb="83">
      <t>ヒキアテ</t>
    </rPh>
    <rPh sb="83" eb="85">
      <t>ジュチュウ</t>
    </rPh>
    <rPh sb="85" eb="86">
      <t>スウ</t>
    </rPh>
    <rPh sb="87" eb="89">
      <t>ヘンコウ</t>
    </rPh>
    <phoneticPr fontId="2"/>
  </si>
  <si>
    <t>COMB0102005S</t>
    <phoneticPr fontId="2"/>
  </si>
  <si>
    <t>６　リクエスト.一覧情報　単位に処理を行う。　３）データ存在チェック　③
「重複チェック用データにリクエスト.一覧情報を保管する。」
重複チェック用データのリストに追加している認識か？</t>
    <rPh sb="8" eb="12">
      <t>イチランジョウホウ</t>
    </rPh>
    <rPh sb="13" eb="15">
      <t>タンイ</t>
    </rPh>
    <rPh sb="16" eb="18">
      <t>ショリ</t>
    </rPh>
    <rPh sb="19" eb="20">
      <t>オコナ</t>
    </rPh>
    <rPh sb="28" eb="30">
      <t>ソンザイ</t>
    </rPh>
    <rPh sb="67" eb="69">
      <t>チョウフク</t>
    </rPh>
    <rPh sb="73" eb="74">
      <t>ヨウ</t>
    </rPh>
    <rPh sb="82" eb="84">
      <t>ツイカ</t>
    </rPh>
    <rPh sb="88" eb="90">
      <t>ニンシキ</t>
    </rPh>
    <phoneticPr fontId="2"/>
  </si>
  <si>
    <t>9 指定した計画期間外の～　
作業日時の重複チェック　重複チェック用データは１件だけ？
「件数分チェック」「Loop～LoopEnd」のような表記が無い。</t>
    <rPh sb="2" eb="4">
      <t>シテイ</t>
    </rPh>
    <rPh sb="6" eb="11">
      <t>ケイカクキカンガイ</t>
    </rPh>
    <rPh sb="15" eb="19">
      <t>サギョウニチジ</t>
    </rPh>
    <rPh sb="20" eb="22">
      <t>チョウフク</t>
    </rPh>
    <rPh sb="27" eb="29">
      <t>チョウフク</t>
    </rPh>
    <rPh sb="33" eb="34">
      <t>ヨウ</t>
    </rPh>
    <rPh sb="39" eb="40">
      <t>ケン</t>
    </rPh>
    <rPh sb="45" eb="48">
      <t>ケンスウブン</t>
    </rPh>
    <rPh sb="71" eb="73">
      <t>ヒョウキ</t>
    </rPh>
    <rPh sb="74" eb="75">
      <t>ナ</t>
    </rPh>
    <phoneticPr fontId="2"/>
  </si>
  <si>
    <t>COMB0102006
HandleInsert006Async</t>
    <phoneticPr fontId="2"/>
  </si>
  <si>
    <t>1 1)生産計画情報取得処理を呼び出す。
※生産計画情報_排他. = 生産計画情報取得処理で取得した生産指示情報.　→生産計画情報</t>
    <rPh sb="4" eb="14">
      <t>セイサンケイカクジョウホウシュトクショリ</t>
    </rPh>
    <rPh sb="15" eb="16">
      <t>ヨ</t>
    </rPh>
    <rPh sb="17" eb="18">
      <t>ダ</t>
    </rPh>
    <rPh sb="59" eb="65">
      <t>セイサンケイカクジョウホウ</t>
    </rPh>
    <phoneticPr fontId="2"/>
  </si>
  <si>
    <t>1 2)リクエスト.一覧情報に取得した計画情報を登録用データとして編集する。
画面の入力データもリクエストに含まれている→重複にならないか？</t>
    <rPh sb="10" eb="14">
      <t>イチランジョウホウ</t>
    </rPh>
    <rPh sb="15" eb="17">
      <t>シュトク</t>
    </rPh>
    <rPh sb="19" eb="23">
      <t>ケイカクジョウホウ</t>
    </rPh>
    <rPh sb="24" eb="27">
      <t>トウロクヨウ</t>
    </rPh>
    <rPh sb="33" eb="35">
      <t>ヘンシュウ</t>
    </rPh>
    <rPh sb="39" eb="41">
      <t>ガメン</t>
    </rPh>
    <rPh sb="42" eb="44">
      <t>ニュウリョク</t>
    </rPh>
    <rPh sb="54" eb="55">
      <t>フク</t>
    </rPh>
    <rPh sb="61" eb="63">
      <t>チョウフク</t>
    </rPh>
    <phoneticPr fontId="2"/>
  </si>
  <si>
    <t>登録確認メッセージ→生産計画表出力メッセージ表示（チェック処理で表示有無を判定）→登録処理API（生産計画表出力API）→登録完了メッセージとしています。
基本、ユーザ（見た目）は変わらない認識です。
上記処理とした件ですが、生産計画表出力の条件に削除分も含まれるためです。削除行は物理削除を行っているため、基本設計書の通り行うと削除データの取得を行うことができません。対応方法について、ご確認お願い致します。</t>
    <rPh sb="0" eb="2">
      <t>トウロク</t>
    </rPh>
    <rPh sb="2" eb="4">
      <t>カクニン</t>
    </rPh>
    <rPh sb="29" eb="31">
      <t>ショリ</t>
    </rPh>
    <rPh sb="32" eb="34">
      <t>ヒョウジ</t>
    </rPh>
    <rPh sb="34" eb="36">
      <t>ウム</t>
    </rPh>
    <rPh sb="37" eb="39">
      <t>ハンテイ</t>
    </rPh>
    <rPh sb="78" eb="80">
      <t>キホン</t>
    </rPh>
    <rPh sb="85" eb="86">
      <t>ミ</t>
    </rPh>
    <rPh sb="87" eb="88">
      <t>メ</t>
    </rPh>
    <rPh sb="90" eb="91">
      <t>カ</t>
    </rPh>
    <rPh sb="95" eb="97">
      <t>ニンシキ</t>
    </rPh>
    <rPh sb="101" eb="103">
      <t>ジョウキ</t>
    </rPh>
    <rPh sb="103" eb="105">
      <t>ショリ</t>
    </rPh>
    <rPh sb="108" eb="109">
      <t>ケン</t>
    </rPh>
    <rPh sb="113" eb="115">
      <t>セイサン</t>
    </rPh>
    <rPh sb="115" eb="117">
      <t>ケイカク</t>
    </rPh>
    <rPh sb="117" eb="118">
      <t>ヒョウ</t>
    </rPh>
    <rPh sb="118" eb="120">
      <t>シュツリョク</t>
    </rPh>
    <rPh sb="121" eb="123">
      <t>ジョウケン</t>
    </rPh>
    <rPh sb="124" eb="126">
      <t>サクジョ</t>
    </rPh>
    <rPh sb="126" eb="127">
      <t>ブン</t>
    </rPh>
    <rPh sb="128" eb="129">
      <t>フク</t>
    </rPh>
    <rPh sb="137" eb="139">
      <t>サクジョ</t>
    </rPh>
    <rPh sb="139" eb="140">
      <t>ギョウ</t>
    </rPh>
    <rPh sb="141" eb="143">
      <t>ブツリ</t>
    </rPh>
    <rPh sb="143" eb="145">
      <t>サクジョ</t>
    </rPh>
    <rPh sb="146" eb="147">
      <t>オコナ</t>
    </rPh>
    <rPh sb="154" eb="156">
      <t>キホン</t>
    </rPh>
    <rPh sb="156" eb="159">
      <t>セッケイショ</t>
    </rPh>
    <rPh sb="160" eb="161">
      <t>トオ</t>
    </rPh>
    <rPh sb="162" eb="163">
      <t>オコナ</t>
    </rPh>
    <rPh sb="195" eb="197">
      <t>カクニン</t>
    </rPh>
    <rPh sb="198" eb="199">
      <t>ネガイ</t>
    </rPh>
    <rPh sb="200" eb="201">
      <t>タ</t>
    </rPh>
    <phoneticPr fontId="2"/>
  </si>
  <si>
    <t>赤背景色
の内容まとめる</t>
    <rPh sb="0" eb="4">
      <t>アカハイケイショク</t>
    </rPh>
    <rPh sb="6" eb="8">
      <t>ナイヨウ</t>
    </rPh>
    <phoneticPr fontId="2"/>
  </si>
  <si>
    <t>「生産計画情報」へ修正しました。※横展済
【memo】
「生産指示情報.」で検索すると二か所対象の箇所があります。～_排他、～期間外</t>
    <rPh sb="9" eb="11">
      <t>シュウセイ</t>
    </rPh>
    <rPh sb="17" eb="19">
      <t>ヨコテン</t>
    </rPh>
    <rPh sb="19" eb="20">
      <t>スミ</t>
    </rPh>
    <rPh sb="38" eb="40">
      <t>ケンサク</t>
    </rPh>
    <rPh sb="43" eb="44">
      <t>ニ</t>
    </rPh>
    <rPh sb="45" eb="46">
      <t>ショ</t>
    </rPh>
    <rPh sb="46" eb="48">
      <t>タイショウ</t>
    </rPh>
    <rPh sb="49" eb="51">
      <t>カショ</t>
    </rPh>
    <rPh sb="59" eb="61">
      <t>ハイタ</t>
    </rPh>
    <rPh sb="63" eb="65">
      <t>キカン</t>
    </rPh>
    <rPh sb="65" eb="66">
      <t>ガイ</t>
    </rPh>
    <phoneticPr fontId="2"/>
  </si>
  <si>
    <t>マージするイメージだったので、左記記載内容を「リクエスト.一覧情報と取得した生産計画情報をマージし、登録用データとして編集する。」へ変更しました。※横展済</t>
    <rPh sb="15" eb="17">
      <t>サキ</t>
    </rPh>
    <rPh sb="17" eb="19">
      <t>キサイ</t>
    </rPh>
    <rPh sb="19" eb="21">
      <t>ナイヨウ</t>
    </rPh>
    <rPh sb="66" eb="68">
      <t>ヘンコウ</t>
    </rPh>
    <rPh sb="74" eb="76">
      <t>ヨコテン</t>
    </rPh>
    <rPh sb="76" eb="77">
      <t>スミ</t>
    </rPh>
    <phoneticPr fontId="2"/>
  </si>
  <si>
    <t>大小チェックを使用するように変更しました。
メッセージIDは異なりますが、共通関数から返却されたエラーメッセージは使用せず、エラーメッセージを再編集するようにします。※横展済
【memo】
API：～001、～005を修正</t>
    <rPh sb="0" eb="2">
      <t>ダイショウ</t>
    </rPh>
    <rPh sb="7" eb="9">
      <t>シヨウ</t>
    </rPh>
    <rPh sb="14" eb="16">
      <t>ヘンコウ</t>
    </rPh>
    <rPh sb="30" eb="31">
      <t>コト</t>
    </rPh>
    <rPh sb="37" eb="39">
      <t>キョウツウ</t>
    </rPh>
    <rPh sb="39" eb="41">
      <t>カンスウ</t>
    </rPh>
    <rPh sb="43" eb="45">
      <t>ヘンキャク</t>
    </rPh>
    <rPh sb="57" eb="59">
      <t>シヨウ</t>
    </rPh>
    <rPh sb="71" eb="74">
      <t>サイヘンシュウ</t>
    </rPh>
    <rPh sb="84" eb="86">
      <t>ヨコテン</t>
    </rPh>
    <rPh sb="86" eb="87">
      <t>ズ</t>
    </rPh>
    <rPh sb="109" eb="111">
      <t>シュウセイ</t>
    </rPh>
    <phoneticPr fontId="2"/>
  </si>
  <si>
    <t>COMB0102006S</t>
    <phoneticPr fontId="2"/>
  </si>
  <si>
    <t>7 生産計画表（熱加工）　作成
1)～4)で編集したデータを計画表出力処理に渡していると思われるが、編集先の領域を明示的に示した方が良い。
１）○○のデータをリスト変数.表出力データに編集する。
２）○○のデータをリスト変数.表出力データに編集する。
３）○○のデータをリスト変数.表出力データに編集する。
４）計画表出力を実行する。
　　引数
　　　出力データ：リスト変数.表出力データ</t>
    <rPh sb="2" eb="7">
      <t>セイサンケイカクヒョウ</t>
    </rPh>
    <rPh sb="8" eb="11">
      <t>ネツカコウ</t>
    </rPh>
    <rPh sb="13" eb="15">
      <t>サクセイ</t>
    </rPh>
    <rPh sb="22" eb="24">
      <t>ヘンシュウ</t>
    </rPh>
    <rPh sb="30" eb="37">
      <t>ケイカクヒョウシュツリョクショリ</t>
    </rPh>
    <rPh sb="38" eb="39">
      <t>ワタ</t>
    </rPh>
    <rPh sb="44" eb="45">
      <t>オモ</t>
    </rPh>
    <rPh sb="50" eb="52">
      <t>ヘンシュウ</t>
    </rPh>
    <rPh sb="52" eb="53">
      <t>サキ</t>
    </rPh>
    <rPh sb="54" eb="56">
      <t>リョウイキ</t>
    </rPh>
    <rPh sb="57" eb="59">
      <t>メイジ</t>
    </rPh>
    <rPh sb="59" eb="60">
      <t>テキ</t>
    </rPh>
    <rPh sb="61" eb="62">
      <t>シメ</t>
    </rPh>
    <rPh sb="64" eb="65">
      <t>ホウ</t>
    </rPh>
    <rPh sb="66" eb="67">
      <t>ヨ</t>
    </rPh>
    <rPh sb="170" eb="172">
      <t>ヒキスウ</t>
    </rPh>
    <rPh sb="176" eb="178">
      <t>シュツリョク</t>
    </rPh>
    <rPh sb="185" eb="187">
      <t>ヘンスウ</t>
    </rPh>
    <rPh sb="188" eb="191">
      <t>ヒョウシュツリョク</t>
    </rPh>
    <phoneticPr fontId="2"/>
  </si>
  <si>
    <t>登録ボタン押下　７登録　完了メッセージ表示
tentok.Dialog.showYesNoDialog　→　tentok.Dialog.showOkDialog</t>
    <rPh sb="0" eb="2">
      <t>トウロク</t>
    </rPh>
    <rPh sb="5" eb="7">
      <t>オウカ</t>
    </rPh>
    <rPh sb="9" eb="11">
      <t>トウロク</t>
    </rPh>
    <rPh sb="12" eb="14">
      <t>カンリョウ</t>
    </rPh>
    <rPh sb="19" eb="21">
      <t>ヒョウジ</t>
    </rPh>
    <phoneticPr fontId="2"/>
  </si>
  <si>
    <t>記載方法を変更しました。初期処理にも処理を追加。※横展済</t>
    <rPh sb="0" eb="2">
      <t>キサイ</t>
    </rPh>
    <rPh sb="2" eb="4">
      <t>ホウホウ</t>
    </rPh>
    <rPh sb="5" eb="7">
      <t>ヘンコウ</t>
    </rPh>
    <rPh sb="12" eb="16">
      <t>ショキショリ</t>
    </rPh>
    <rPh sb="18" eb="20">
      <t>ショリ</t>
    </rPh>
    <rPh sb="21" eb="23">
      <t>ツイカ</t>
    </rPh>
    <rPh sb="25" eb="27">
      <t>ヨコテン</t>
    </rPh>
    <rPh sb="27" eb="28">
      <t>スミ</t>
    </rPh>
    <phoneticPr fontId="2"/>
  </si>
  <si>
    <t>左記のとおり修正しました。※横展済</t>
    <rPh sb="0" eb="2">
      <t>サキ</t>
    </rPh>
    <rPh sb="6" eb="8">
      <t>シュウセイ</t>
    </rPh>
    <rPh sb="14" eb="16">
      <t>ヨコテン</t>
    </rPh>
    <rPh sb="16" eb="17">
      <t>スミ</t>
    </rPh>
    <phoneticPr fontId="2"/>
  </si>
  <si>
    <t>修正しました。※横展済
「変数.表出力データに編集する。」</t>
    <rPh sb="0" eb="2">
      <t>シュウセイ</t>
    </rPh>
    <rPh sb="8" eb="10">
      <t>ヨコテン</t>
    </rPh>
    <rPh sb="10" eb="11">
      <t>スミ</t>
    </rPh>
    <phoneticPr fontId="2"/>
  </si>
  <si>
    <t>A.指摘誤り</t>
  </si>
  <si>
    <t>A1:指摘誤り</t>
  </si>
  <si>
    <t>登録ボタン押下　５登録通信処理　５）生産計画表出力メッセージ表示
基本設計書の内容では以下の流れで処理されるのではないか
登録処理API→生産計画表出力メッセージ表示→生産計画表出力API→登録完了メッセージ
2023/10/23
現在の詳細設計の記載でOK</t>
    <rPh sb="0" eb="2">
      <t>トウロク</t>
    </rPh>
    <rPh sb="5" eb="7">
      <t>オウカ</t>
    </rPh>
    <rPh sb="9" eb="11">
      <t>トウロク</t>
    </rPh>
    <rPh sb="11" eb="13">
      <t>ツウシン</t>
    </rPh>
    <rPh sb="13" eb="15">
      <t>ショリ</t>
    </rPh>
    <rPh sb="18" eb="25">
      <t>セイサンケイカクヒョウシュツリョク</t>
    </rPh>
    <rPh sb="30" eb="32">
      <t>ヒョウジ</t>
    </rPh>
    <rPh sb="33" eb="38">
      <t>キホンセッケイショ</t>
    </rPh>
    <rPh sb="39" eb="41">
      <t>ナイヨウ</t>
    </rPh>
    <rPh sb="43" eb="45">
      <t>イカ</t>
    </rPh>
    <rPh sb="46" eb="47">
      <t>ナガ</t>
    </rPh>
    <rPh sb="49" eb="51">
      <t>ショリ</t>
    </rPh>
    <rPh sb="61" eb="65">
      <t>トウロクショリ</t>
    </rPh>
    <rPh sb="68" eb="76">
      <t>ヤジルシセイサンケイカクヒョウシュツリョク</t>
    </rPh>
    <rPh sb="81" eb="83">
      <t>ヒョウジ</t>
    </rPh>
    <rPh sb="84" eb="91">
      <t>セイサンケイカクヒョウシュツリョク</t>
    </rPh>
    <rPh sb="117" eb="119">
      <t>ゲンザイ</t>
    </rPh>
    <rPh sb="120" eb="124">
      <t>ショウサイセッケイ</t>
    </rPh>
    <rPh sb="125" eb="127">
      <t>キサイ</t>
    </rPh>
    <phoneticPr fontId="2"/>
  </si>
  <si>
    <t>1:設計ﾐｽ</t>
  </si>
  <si>
    <t>14:表現曖昧</t>
  </si>
  <si>
    <t>9.設計規約ミス</t>
  </si>
  <si>
    <t>91.設計規約ミス</t>
  </si>
  <si>
    <t>12:記載漏れ（処理）</t>
  </si>
  <si>
    <t>13:記載不要</t>
  </si>
  <si>
    <t>15:表現統一</t>
  </si>
  <si>
    <t>10:記載ミス</t>
  </si>
  <si>
    <t>引数に処理区分を設け、処理ごとにSQLの分岐を行うように修正しました。※横展済</t>
    <rPh sb="0" eb="2">
      <t>ヒキスウ</t>
    </rPh>
    <rPh sb="3" eb="5">
      <t>ショリ</t>
    </rPh>
    <rPh sb="5" eb="7">
      <t>クブン</t>
    </rPh>
    <rPh sb="8" eb="9">
      <t>モウ</t>
    </rPh>
    <rPh sb="11" eb="13">
      <t>ショリ</t>
    </rPh>
    <rPh sb="20" eb="22">
      <t>ブンキ</t>
    </rPh>
    <rPh sb="23" eb="24">
      <t>オコナ</t>
    </rPh>
    <rPh sb="28" eb="30">
      <t>シュウセイ</t>
    </rPh>
    <phoneticPr fontId="2"/>
  </si>
  <si>
    <t>認証情報を渡すように修正しました。※横展済</t>
    <rPh sb="0" eb="2">
      <t>ニンショウ</t>
    </rPh>
    <rPh sb="2" eb="4">
      <t>ジョウホウ</t>
    </rPh>
    <rPh sb="5" eb="6">
      <t>ワタ</t>
    </rPh>
    <rPh sb="10" eb="12">
      <t>シュウセイ</t>
    </rPh>
    <rPh sb="18" eb="21">
      <t>ヨコテンスミ</t>
    </rPh>
    <phoneticPr fontId="2"/>
  </si>
  <si>
    <t xml:space="preserve">LOOP処理を追記しました。1件だけのため以下記述方法を変更しました。※横展済
</t>
    <rPh sb="4" eb="6">
      <t>ショリ</t>
    </rPh>
    <rPh sb="7" eb="9">
      <t>ツイキ</t>
    </rPh>
    <rPh sb="15" eb="16">
      <t>ケン</t>
    </rPh>
    <rPh sb="21" eb="23">
      <t>イカ</t>
    </rPh>
    <rPh sb="23" eb="25">
      <t>キジュツ</t>
    </rPh>
    <rPh sb="25" eb="27">
      <t>ホウホウ</t>
    </rPh>
    <rPh sb="28" eb="30">
      <t>ヘンコウ</t>
    </rPh>
    <phoneticPr fontId="2"/>
  </si>
  <si>
    <t>1:設計ﾐｽ</t>
    <phoneticPr fontId="2"/>
  </si>
  <si>
    <t>追加となる認識です。No29のように記載方法を変更しました。
また「レスポンス.期間外データフラグに'1'：有を設定する。」判定に誤りがあったため修正しました。※横展済</t>
    <rPh sb="0" eb="2">
      <t>ツイカ</t>
    </rPh>
    <rPh sb="5" eb="7">
      <t>ニンシキ</t>
    </rPh>
    <rPh sb="18" eb="20">
      <t>キサイ</t>
    </rPh>
    <rPh sb="20" eb="22">
      <t>ホウホウ</t>
    </rPh>
    <rPh sb="23" eb="25">
      <t>ヘンコウ</t>
    </rPh>
    <rPh sb="62" eb="64">
      <t>ハンテイ</t>
    </rPh>
    <rPh sb="65" eb="66">
      <t>アヤマ</t>
    </rPh>
    <rPh sb="73" eb="75">
      <t>シュウセイ</t>
    </rPh>
    <rPh sb="81" eb="84">
      <t>ヨコテンスミ</t>
    </rPh>
    <phoneticPr fontId="2"/>
  </si>
  <si>
    <r>
      <t>一覧.幅　入力　２設備.全幅チェック
設備単位の全幅範囲の取得方法が不明。</t>
    </r>
    <r>
      <rPr>
        <sz val="10"/>
        <color rgb="FFFF0000"/>
        <rFont val="Meiryo UI"/>
        <family val="3"/>
        <charset val="128"/>
      </rPr>
      <t>※展開未のため確認後横展開実施</t>
    </r>
    <rPh sb="0" eb="2">
      <t>イチラン</t>
    </rPh>
    <rPh sb="3" eb="4">
      <t>ハバ</t>
    </rPh>
    <rPh sb="5" eb="7">
      <t>ニュウリョク</t>
    </rPh>
    <rPh sb="9" eb="11">
      <t>セツビ</t>
    </rPh>
    <rPh sb="12" eb="14">
      <t>ゼンプク</t>
    </rPh>
    <rPh sb="19" eb="21">
      <t>セツビ</t>
    </rPh>
    <rPh sb="21" eb="23">
      <t>タンイ</t>
    </rPh>
    <rPh sb="24" eb="26">
      <t>ゼンプク</t>
    </rPh>
    <rPh sb="26" eb="28">
      <t>ハンイ</t>
    </rPh>
    <rPh sb="29" eb="33">
      <t>シュトクホウホウ</t>
    </rPh>
    <rPh sb="34" eb="36">
      <t>フメイ</t>
    </rPh>
    <rPh sb="38" eb="40">
      <t>テンカイ</t>
    </rPh>
    <rPh sb="40" eb="41">
      <t>ミ</t>
    </rPh>
    <rPh sb="44" eb="46">
      <t>カクニン</t>
    </rPh>
    <rPh sb="46" eb="47">
      <t>ゴ</t>
    </rPh>
    <rPh sb="47" eb="48">
      <t>ヨコ</t>
    </rPh>
    <rPh sb="48" eb="50">
      <t>テンカイ</t>
    </rPh>
    <rPh sb="50" eb="52">
      <t>ジッシ</t>
    </rPh>
    <phoneticPr fontId="2"/>
  </si>
  <si>
    <t>2:設計検討不足</t>
  </si>
  <si>
    <t>21:処理検討不足</t>
  </si>
  <si>
    <t>全体的にチェック処理を見直しました。共通化する箇所については、「XXX」処理を行うという形に明記しました。
また項目計算処理についても、左記処理で自動計算される項目が変更になり、再計算が必要になる項目についても見直しました。
【共通化となる箇所】
・「行編集の行以降　作業タスク行編集」⇒日付自動計算
・「受注情報・生産計画　紐付けチェック」の1)引取先・顧客チェック、2)品名情報チェック
・品種マスタ取得
・作業日　重複チェック
・前生産計画情報　終了日時チェック
・作業日＋開始時予定・終了日予定＋終了時予定　整合性チェック
【見直し】
一覧.項目計算</t>
    <rPh sb="197" eb="199">
      <t>ヒンシュ</t>
    </rPh>
    <rPh sb="202" eb="204">
      <t>シュトクキョウツウカカショヒヅケジドウケイサン</t>
    </rPh>
    <rPh sb="267" eb="269">
      <t>ミナオ</t>
    </rPh>
    <rPh sb="272" eb="274">
      <t>イチラン</t>
    </rPh>
    <rPh sb="275" eb="277">
      <t>コウモク</t>
    </rPh>
    <rPh sb="277" eb="279">
      <t>ケイサン</t>
    </rPh>
    <phoneticPr fontId="2"/>
  </si>
  <si>
    <t xml:space="preserve">HandleBZZZZ013Asyncなどの処理がサーバ関数一覧に記載がない。
機能内共通であればモジュール名記載のみで良いが、システム共通orサブシステム共通であれば記載必要な認識。
</t>
    <rPh sb="22" eb="24">
      <t>ショリ</t>
    </rPh>
    <rPh sb="28" eb="32">
      <t>カンスウイチラン</t>
    </rPh>
    <rPh sb="33" eb="35">
      <t>キサイ</t>
    </rPh>
    <rPh sb="40" eb="43">
      <t>キノウナイ</t>
    </rPh>
    <rPh sb="43" eb="45">
      <t>キョウツウ</t>
    </rPh>
    <rPh sb="54" eb="57">
      <t>メイキサイ</t>
    </rPh>
    <rPh sb="60" eb="61">
      <t>ヨ</t>
    </rPh>
    <rPh sb="68" eb="70">
      <t>キョウツウ</t>
    </rPh>
    <rPh sb="78" eb="80">
      <t>キョウツウ</t>
    </rPh>
    <rPh sb="84" eb="88">
      <t>キサイヒツヨウ</t>
    </rPh>
    <rPh sb="89" eb="91">
      <t>ニンシキ</t>
    </rPh>
    <phoneticPr fontId="2"/>
  </si>
  <si>
    <t>1:設計ﾐｽ</t>
    <phoneticPr fontId="2"/>
  </si>
  <si>
    <t>10:記載ミス</t>
    <phoneticPr fontId="2"/>
  </si>
  <si>
    <t>レビューイ①</t>
  </si>
  <si>
    <t>レビューイ②</t>
  </si>
  <si>
    <t>レビューイ③</t>
  </si>
  <si>
    <t>レビューイ④</t>
  </si>
  <si>
    <t>一覧.受注№入力　３受注情報　検索　
「２）以下条件に一致しない場合、～」となっているが、条件に一致する場合ではないか？
また、条件が複数示されているがORかANDか記載がない。</t>
    <rPh sb="0" eb="2">
      <t>イチラン</t>
    </rPh>
    <rPh sb="3" eb="5">
      <t>ジュチュウ</t>
    </rPh>
    <rPh sb="6" eb="8">
      <t>ニュウリョク</t>
    </rPh>
    <rPh sb="10" eb="12">
      <t>ジュチュウ</t>
    </rPh>
    <rPh sb="12" eb="14">
      <t>ジョウホウ</t>
    </rPh>
    <rPh sb="15" eb="17">
      <t>ケンサク</t>
    </rPh>
    <rPh sb="22" eb="26">
      <t>イカジョウケン</t>
    </rPh>
    <rPh sb="27" eb="29">
      <t>イッチ</t>
    </rPh>
    <rPh sb="32" eb="34">
      <t>バアイ</t>
    </rPh>
    <rPh sb="45" eb="47">
      <t>ジョウケン</t>
    </rPh>
    <rPh sb="48" eb="50">
      <t>イッチ</t>
    </rPh>
    <rPh sb="52" eb="54">
      <t>バアイ</t>
    </rPh>
    <rPh sb="64" eb="66">
      <t>ジョウケン</t>
    </rPh>
    <rPh sb="67" eb="70">
      <t>フクスウシメ</t>
    </rPh>
    <rPh sb="83" eb="85">
      <t>キサイ</t>
    </rPh>
    <phoneticPr fontId="2"/>
  </si>
  <si>
    <t>7 リクエスト.一覧情報　単位に処理を行う。　3)データ存在チェック
2.受注情報 存在チェック　
「2-2.受注№と紐づく～」とa.~c.の処理内容が重複していると思われる。
2-2.には処理概要もしくは処理を実行する条件を記載すればよい。
もしくは「a.~c.」が2-2.のエラー条件を具体的に記載していることを明記する。</t>
    <rPh sb="8" eb="12">
      <t>イチランジョウホウ</t>
    </rPh>
    <rPh sb="13" eb="15">
      <t>タンイ</t>
    </rPh>
    <rPh sb="16" eb="18">
      <t>ショリ</t>
    </rPh>
    <rPh sb="19" eb="20">
      <t>オコナ</t>
    </rPh>
    <rPh sb="28" eb="30">
      <t>ソンザイ</t>
    </rPh>
    <rPh sb="37" eb="41">
      <t>ジュチュウジョウホウ</t>
    </rPh>
    <rPh sb="42" eb="44">
      <t>ソンザイ</t>
    </rPh>
    <rPh sb="55" eb="57">
      <t>ジュチュウ</t>
    </rPh>
    <rPh sb="59" eb="60">
      <t>ヒモ</t>
    </rPh>
    <rPh sb="71" eb="75">
      <t>ショリナイヨウ</t>
    </rPh>
    <rPh sb="76" eb="78">
      <t>チョウフク</t>
    </rPh>
    <rPh sb="83" eb="84">
      <t>オモ</t>
    </rPh>
    <rPh sb="95" eb="99">
      <t>ショリガイヨウ</t>
    </rPh>
    <rPh sb="103" eb="105">
      <t>ショリ</t>
    </rPh>
    <rPh sb="106" eb="108">
      <t>ジッコウ</t>
    </rPh>
    <rPh sb="110" eb="112">
      <t>ジョウケン</t>
    </rPh>
    <rPh sb="113" eb="115">
      <t>キサイ</t>
    </rPh>
    <rPh sb="142" eb="144">
      <t>ジョウケン</t>
    </rPh>
    <rPh sb="145" eb="148">
      <t>グタイテキ</t>
    </rPh>
    <rPh sb="149" eb="151">
      <t>キサイ</t>
    </rPh>
    <rPh sb="158" eb="160">
      <t>メイキ</t>
    </rPh>
    <phoneticPr fontId="2"/>
  </si>
  <si>
    <t>品種マスタの坪量を検索時、品名マスタ取得時に保管しておき、坪量入力時に以下チェックを行うように修正しました。※横展済
「一覧.品種坪量 * 0.9 &lt;= 一覧.坪量 &lt;= 一覧.品種坪量 * 1.1 以外の場合、エラーメッセージを表示する。」
【memo】
品種坪量で検索
サーバ側チェック処理も変更あり</t>
    <rPh sb="0" eb="2">
      <t>ヒンシュ</t>
    </rPh>
    <rPh sb="6" eb="8">
      <t>ツボリョウ</t>
    </rPh>
    <rPh sb="9" eb="11">
      <t>ケンサク</t>
    </rPh>
    <rPh sb="11" eb="12">
      <t>ジ</t>
    </rPh>
    <rPh sb="13" eb="15">
      <t>ヒンメイ</t>
    </rPh>
    <rPh sb="18" eb="20">
      <t>シュトク</t>
    </rPh>
    <rPh sb="20" eb="21">
      <t>ジ</t>
    </rPh>
    <rPh sb="22" eb="24">
      <t>ホカン</t>
    </rPh>
    <rPh sb="29" eb="31">
      <t>ツボリョウ</t>
    </rPh>
    <rPh sb="31" eb="33">
      <t>ニュウリョク</t>
    </rPh>
    <rPh sb="33" eb="34">
      <t>ジ</t>
    </rPh>
    <rPh sb="35" eb="37">
      <t>イカ</t>
    </rPh>
    <rPh sb="42" eb="43">
      <t>オコナ</t>
    </rPh>
    <rPh sb="47" eb="49">
      <t>シュウセイ</t>
    </rPh>
    <rPh sb="55" eb="56">
      <t>ヨコ</t>
    </rPh>
    <rPh sb="57" eb="58">
      <t>ズ</t>
    </rPh>
    <rPh sb="129" eb="131">
      <t>ヒンシュ</t>
    </rPh>
    <rPh sb="131" eb="133">
      <t>ツボリョウ</t>
    </rPh>
    <rPh sb="134" eb="136">
      <t>ケンサク</t>
    </rPh>
    <rPh sb="140" eb="141">
      <t>ガワ</t>
    </rPh>
    <rPh sb="145" eb="147">
      <t>ショリ</t>
    </rPh>
    <rPh sb="148" eb="150">
      <t>ヘンコウ</t>
    </rPh>
    <phoneticPr fontId="2"/>
  </si>
  <si>
    <r>
      <t>共通化を行い、「受注№入力有無」についても「生産計画情報（顧客・</t>
    </r>
    <r>
      <rPr>
        <sz val="10"/>
        <color rgb="FFFF0000"/>
        <rFont val="Meiryo UI"/>
        <family val="3"/>
        <charset val="128"/>
      </rPr>
      <t>受注№</t>
    </r>
    <r>
      <rPr>
        <sz val="10"/>
        <color theme="1"/>
        <rFont val="Meiryo UI"/>
        <family val="2"/>
        <charset val="128"/>
      </rPr>
      <t>）入力あり」に追記を行いました。※横展済</t>
    </r>
    <rPh sb="0" eb="2">
      <t>キョウツウ</t>
    </rPh>
    <rPh sb="2" eb="3">
      <t>カ</t>
    </rPh>
    <rPh sb="4" eb="5">
      <t>オコナ</t>
    </rPh>
    <rPh sb="8" eb="10">
      <t>ジュチュウ</t>
    </rPh>
    <rPh sb="11" eb="13">
      <t>ニュウリョク</t>
    </rPh>
    <rPh sb="13" eb="15">
      <t>ウム</t>
    </rPh>
    <rPh sb="42" eb="44">
      <t>ツイキ</t>
    </rPh>
    <rPh sb="45" eb="46">
      <t>オコナ</t>
    </rPh>
    <rPh sb="52" eb="54">
      <t>ヨコテン</t>
    </rPh>
    <rPh sb="54" eb="55">
      <t>スミ</t>
    </rPh>
    <phoneticPr fontId="2"/>
  </si>
  <si>
    <t>APIから呼出しで使用する関数について、「【B00_生産計画】詳細設計（サーバ関数一覧）」ファイルに記載しました。
※HandleSelect013Async～HandleSelect019Async</t>
    <rPh sb="5" eb="7">
      <t>ヨビダ</t>
    </rPh>
    <rPh sb="9" eb="11">
      <t>シヨウ</t>
    </rPh>
    <rPh sb="13" eb="15">
      <t>カンスウ</t>
    </rPh>
    <rPh sb="50" eb="52">
      <t>キサイ</t>
    </rPh>
    <phoneticPr fontId="2"/>
  </si>
  <si>
    <t>移動分類の条件を追加しました。※横展済
【memo】
COMB0102001：移動分類の条件追加
COMB0102006：移動分類の引数追加、業務共通クラス名をB_Utilityへ変更</t>
    <rPh sb="0" eb="2">
      <t>イドウ</t>
    </rPh>
    <rPh sb="2" eb="4">
      <t>ブンルイ</t>
    </rPh>
    <rPh sb="5" eb="7">
      <t>ジョウケン</t>
    </rPh>
    <rPh sb="8" eb="10">
      <t>ツイカ</t>
    </rPh>
    <rPh sb="16" eb="17">
      <t>ヨコ</t>
    </rPh>
    <rPh sb="18" eb="19">
      <t>スミ</t>
    </rPh>
    <rPh sb="39" eb="41">
      <t>イドウ</t>
    </rPh>
    <rPh sb="41" eb="43">
      <t>ブンルイ</t>
    </rPh>
    <rPh sb="44" eb="46">
      <t>ジョウケン</t>
    </rPh>
    <rPh sb="46" eb="48">
      <t>ツイカ</t>
    </rPh>
    <rPh sb="61" eb="63">
      <t>イドウ</t>
    </rPh>
    <rPh sb="63" eb="65">
      <t>ブンルイ</t>
    </rPh>
    <rPh sb="66" eb="68">
      <t>ヒキスウ</t>
    </rPh>
    <rPh sb="68" eb="70">
      <t>ツイカ</t>
    </rPh>
    <rPh sb="71" eb="75">
      <t>ギョウムキョウツウ</t>
    </rPh>
    <rPh sb="78" eb="79">
      <t>メイ</t>
    </rPh>
    <rPh sb="90" eb="92">
      <t>ヘンコウ</t>
    </rPh>
    <phoneticPr fontId="2"/>
  </si>
  <si>
    <t xml:space="preserve">受注入力時の記載を以下としており、取り直しを行わない方針です。※横展済
【memo】
記載内容を変更。
</t>
    <rPh sb="0" eb="2">
      <t>ジュチュウ</t>
    </rPh>
    <rPh sb="2" eb="4">
      <t>ニュウリョク</t>
    </rPh>
    <rPh sb="4" eb="5">
      <t>ジ</t>
    </rPh>
    <rPh sb="6" eb="8">
      <t>キサイ</t>
    </rPh>
    <rPh sb="9" eb="11">
      <t>イカ</t>
    </rPh>
    <rPh sb="17" eb="18">
      <t>ト</t>
    </rPh>
    <rPh sb="19" eb="20">
      <t>ナオ</t>
    </rPh>
    <rPh sb="22" eb="23">
      <t>オコナ</t>
    </rPh>
    <rPh sb="26" eb="28">
      <t>ホウシン</t>
    </rPh>
    <rPh sb="32" eb="34">
      <t>ヨコテン</t>
    </rPh>
    <rPh sb="34" eb="35">
      <t>スミ</t>
    </rPh>
    <rPh sb="43" eb="45">
      <t>キサイ</t>
    </rPh>
    <rPh sb="45" eb="47">
      <t>ナイヨウ</t>
    </rPh>
    <rPh sb="48" eb="50">
      <t>ヘンコウ</t>
    </rPh>
    <phoneticPr fontId="2"/>
  </si>
  <si>
    <t>左記のように修正しました。※横展済</t>
    <rPh sb="0" eb="2">
      <t>サキ</t>
    </rPh>
    <rPh sb="6" eb="8">
      <t>シュウセイ</t>
    </rPh>
    <rPh sb="14" eb="15">
      <t>ヨコ</t>
    </rPh>
    <rPh sb="16" eb="17">
      <t>スミ</t>
    </rPh>
    <phoneticPr fontId="2"/>
  </si>
  <si>
    <t>記述内容を変更しました。※横展済</t>
    <rPh sb="0" eb="2">
      <t>キジュツ</t>
    </rPh>
    <rPh sb="2" eb="4">
      <t>ナイヨウ</t>
    </rPh>
    <rPh sb="5" eb="7">
      <t>ヘンコウ</t>
    </rPh>
    <rPh sb="13" eb="16">
      <t>ヨコテンスミ</t>
    </rPh>
    <phoneticPr fontId="2"/>
  </si>
  <si>
    <t>LOOPの記載をしていませんでしたので、追記しました。
以下のように修正しました。※横展済</t>
    <rPh sb="5" eb="7">
      <t>キサイ</t>
    </rPh>
    <rPh sb="20" eb="22">
      <t>ツイキ</t>
    </rPh>
    <rPh sb="28" eb="30">
      <t>イカ</t>
    </rPh>
    <rPh sb="34" eb="36">
      <t>シュウセイ</t>
    </rPh>
    <rPh sb="42" eb="45">
      <t>ヨコテンスミ</t>
    </rPh>
    <phoneticPr fontId="2"/>
  </si>
  <si>
    <t>12023/11/8</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</si>
</sst>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h:mm;@"/>
    <numFmt numFmtId="178" formatCode="&quot;Rev.&quot;\ General"/>
  </numFmts>
  <fonts count="14" x14ac:knownFonts="1">
    <font>
      <sz val="10"/>
      <color theme="1"/>
      <name val="Meiryo UI"/>
      <family val="2"/>
      <charset val="128"/>
    </font>
    <font>
      <sz val="10"/>
      <color theme="0"/>
      <name val="Meiryo UI"/>
      <family val="2"/>
      <charset val="128"/>
    </font>
    <font>
      <sz val="6"/>
      <name val="Meiryo UI"/>
      <family val="2"/>
      <charset val="128"/>
    </font>
    <font>
      <sz val="10"/>
      <color theme="0"/>
      <name val="Meiryo UI"/>
      <family val="3"/>
      <charset val="128"/>
    </font>
    <font>
      <sz val="6"/>
      <name val="ＭＳ Ｐゴシック"/>
      <family val="3"/>
      <charset val="128"/>
    </font>
    <font>
      <sz val="10"/>
      <name val="Meiryo UI"/>
      <family val="3"/>
      <charset val="128"/>
    </font>
    <font>
      <sz val="11"/>
      <name val="ＭＳ Ｐゴシック"/>
      <family val="3"/>
      <charset val="128"/>
    </font>
    <font>
      <b/>
      <sz val="11"/>
      <name val="Meiryo UI"/>
      <family val="3"/>
      <charset val="128"/>
    </font>
    <font>
      <sz val="11"/>
      <name val="Meiryo UI"/>
      <family val="3"/>
      <charset val="128"/>
    </font>
    <font>
      <b/>
      <sz val="11"/>
      <color rgb="FFFF0000"/>
      <name val="Meiryo UI"/>
      <family val="3"/>
      <charset val="128"/>
    </font>
    <font>
      <sz val="10"/>
      <name val="ＭＳ Ｐゴシック"/>
      <family val="3"/>
      <charset val="128"/>
    </font>
    <font>
      <b/>
      <i/>
      <sz val="11"/>
      <name val="Meiryo UI"/>
      <family val="3"/>
      <charset val="128"/>
    </font>
    <font>
      <b/>
      <sz val="12"/>
      <color theme="0"/>
      <name val="Meiryo UI"/>
      <family val="3"/>
      <charset val="128"/>
    </font>
    <font>
      <sz val="10"/>
      <color rgb="FFFF0000"/>
      <name val="Meiryo UI"/>
      <family val="3"/>
      <charset val="128"/>
    </font>
  </fonts>
  <fills count="7">
    <fill>
      <patternFill patternType="none"/>
    </fill>
    <fill>
      <patternFill patternType="gray125"/>
    </fill>
    <fill>
      <patternFill patternType="solid">
        <fgColor rgb="FF0066FF"/>
        <bgColor indexed="64"/>
      </patternFill>
    </fill>
    <fill>
      <patternFill patternType="solid">
        <fgColor rgb="FFCCFFCC"/>
        <bgColor indexed="64"/>
      </patternFill>
    </fill>
    <fill>
      <patternFill patternType="solid">
        <fgColor rgb="FFCCFFE0"/>
        <bgColor indexed="64"/>
      </patternFill>
    </fill>
    <fill>
      <patternFill patternType="solid">
        <fgColor rgb="FFF0FFFF"/>
        <bgColor indexed="64"/>
      </patternFill>
    </fill>
    <fill>
      <patternFill patternType="solid">
        <fgColor rgb="FFFF00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s>
  <cellStyleXfs count="4">
    <xf numFmtId="0" fontId="0" fillId="0" borderId="0">
      <alignment vertical="center"/>
    </xf>
    <xf numFmtId="0" fontId="6" fillId="0" borderId="0"/>
    <xf numFmtId="0" fontId="10" fillId="0" borderId="0">
      <alignment vertical="center"/>
    </xf>
    <xf numFmtId="0" fontId="6" fillId="0" borderId="0">
      <alignment vertical="center"/>
    </xf>
  </cellStyleXfs>
  <cellXfs count="91">
    <xf numFmtId="0" fontId="0" fillId="0" borderId="0" xfId="0">
      <alignment vertical="center"/>
    </xf>
    <xf numFmtId="0" fontId="0" fillId="0" borderId="0" xfId="0" applyAlignment="1">
      <alignment horizontal="center" vertical="center"/>
    </xf>
    <xf numFmtId="177" fontId="0" fillId="0" borderId="0" xfId="0" applyNumberFormat="1" applyAlignment="1">
      <alignment horizontal="center" vertical="center"/>
    </xf>
    <xf numFmtId="0" fontId="0" fillId="0" borderId="0" xfId="0" applyAlignment="1">
      <alignment vertical="top"/>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1" xfId="0" applyBorder="1" applyAlignment="1">
      <alignment vertical="top"/>
    </xf>
    <xf numFmtId="0" fontId="3" fillId="2" borderId="3" xfId="0" applyFont="1" applyFill="1" applyBorder="1">
      <alignment vertical="center"/>
    </xf>
    <xf numFmtId="0" fontId="3" fillId="2" borderId="4" xfId="0" applyFont="1" applyFill="1" applyBorder="1">
      <alignment vertical="center"/>
    </xf>
    <xf numFmtId="0" fontId="3" fillId="2" borderId="2" xfId="0" applyFont="1" applyFill="1" applyBorder="1">
      <alignment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7" fillId="0" borderId="0" xfId="1" applyFont="1" applyAlignment="1">
      <alignment vertical="center"/>
    </xf>
    <xf numFmtId="0" fontId="9" fillId="0" borderId="0" xfId="1" applyFont="1" applyAlignment="1">
      <alignment vertical="center"/>
    </xf>
    <xf numFmtId="0" fontId="8" fillId="0" borderId="0" xfId="1" applyFont="1"/>
    <xf numFmtId="0" fontId="7" fillId="4" borderId="13" xfId="1" applyFont="1" applyFill="1" applyBorder="1" applyAlignment="1">
      <alignment horizontal="center" vertical="center"/>
    </xf>
    <xf numFmtId="49" fontId="7" fillId="4" borderId="12" xfId="3" applyNumberFormat="1" applyFont="1" applyFill="1" applyBorder="1" applyAlignment="1">
      <alignment horizontal="center" vertical="center"/>
    </xf>
    <xf numFmtId="49" fontId="11" fillId="4" borderId="7" xfId="3" applyNumberFormat="1" applyFont="1" applyFill="1" applyBorder="1" applyAlignment="1">
      <alignment horizontal="center" vertical="center"/>
    </xf>
    <xf numFmtId="49" fontId="11" fillId="4" borderId="14" xfId="3" applyNumberFormat="1" applyFont="1" applyFill="1" applyBorder="1" applyAlignment="1">
      <alignment horizontal="center" vertical="center"/>
    </xf>
    <xf numFmtId="49" fontId="8" fillId="5" borderId="13" xfId="3" applyNumberFormat="1" applyFont="1" applyFill="1" applyBorder="1" applyAlignment="1">
      <alignment horizontal="left" vertical="center" wrapText="1"/>
    </xf>
    <xf numFmtId="49" fontId="8" fillId="5" borderId="15" xfId="3" applyNumberFormat="1" applyFont="1" applyFill="1" applyBorder="1" applyAlignment="1">
      <alignment vertical="center" wrapText="1"/>
    </xf>
    <xf numFmtId="49" fontId="8" fillId="5" borderId="16" xfId="3" applyNumberFormat="1" applyFont="1" applyFill="1" applyBorder="1">
      <alignment vertical="center"/>
    </xf>
    <xf numFmtId="49" fontId="8" fillId="5" borderId="17" xfId="3" applyNumberFormat="1" applyFont="1" applyFill="1" applyBorder="1" applyAlignment="1">
      <alignment vertical="center" wrapText="1"/>
    </xf>
    <xf numFmtId="49" fontId="8" fillId="5" borderId="16" xfId="3" applyNumberFormat="1" applyFont="1" applyFill="1" applyBorder="1" applyAlignment="1">
      <alignment vertical="center" wrapText="1"/>
    </xf>
    <xf numFmtId="0" fontId="12" fillId="6" borderId="7" xfId="2" applyFont="1" applyFill="1" applyBorder="1">
      <alignment vertical="center"/>
    </xf>
    <xf numFmtId="0" fontId="9" fillId="6" borderId="8" xfId="2" applyFont="1" applyFill="1" applyBorder="1">
      <alignment vertical="center"/>
    </xf>
    <xf numFmtId="49" fontId="7" fillId="4" borderId="1" xfId="3" applyNumberFormat="1" applyFont="1" applyFill="1" applyBorder="1" applyAlignment="1">
      <alignment horizontal="center" vertical="center"/>
    </xf>
    <xf numFmtId="49" fontId="11" fillId="4" borderId="1" xfId="3" applyNumberFormat="1" applyFont="1" applyFill="1" applyBorder="1" applyAlignment="1">
      <alignment horizontal="center" vertical="center"/>
    </xf>
    <xf numFmtId="49" fontId="8" fillId="5" borderId="16" xfId="3" applyNumberFormat="1" applyFont="1" applyFill="1" applyBorder="1" applyAlignment="1">
      <alignment horizontal="left" vertical="center" wrapText="1"/>
    </xf>
    <xf numFmtId="49" fontId="8" fillId="5" borderId="18" xfId="3" applyNumberFormat="1" applyFont="1" applyFill="1" applyBorder="1" applyAlignment="1">
      <alignment vertical="center" wrapText="1"/>
    </xf>
    <xf numFmtId="0" fontId="12" fillId="6" borderId="8" xfId="2" applyFont="1" applyFill="1" applyBorder="1">
      <alignment vertical="center"/>
    </xf>
    <xf numFmtId="0" fontId="0" fillId="2" borderId="0" xfId="0" applyFill="1" applyAlignment="1">
      <alignment vertical="top"/>
    </xf>
    <xf numFmtId="0" fontId="1" fillId="2" borderId="0" xfId="0" applyFont="1" applyFill="1" applyAlignment="1">
      <alignment vertical="top"/>
    </xf>
    <xf numFmtId="49" fontId="8" fillId="5" borderId="19" xfId="3" applyNumberFormat="1" applyFont="1" applyFill="1" applyBorder="1" applyAlignment="1">
      <alignment vertical="center" wrapText="1"/>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176" fontId="0" fillId="0" borderId="2" xfId="0" applyNumberFormat="1" applyBorder="1" applyAlignment="1">
      <alignment horizontal="center" vertical="top"/>
    </xf>
    <xf numFmtId="176" fontId="0" fillId="0" borderId="3" xfId="0" applyNumberFormat="1" applyBorder="1" applyAlignment="1">
      <alignment horizontal="center" vertical="top"/>
    </xf>
    <xf numFmtId="176" fontId="0" fillId="0" borderId="4" xfId="0" applyNumberFormat="1" applyBorder="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4" xfId="0" applyBorder="1" applyAlignment="1">
      <alignment vertical="top" wrapText="1"/>
    </xf>
    <xf numFmtId="0" fontId="0" fillId="0" borderId="3" xfId="0" applyBorder="1" applyAlignment="1">
      <alignment vertical="top"/>
    </xf>
    <xf numFmtId="0" fontId="0" fillId="0" borderId="4" xfId="0" applyBorder="1" applyAlignment="1">
      <alignment vertical="top"/>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0" borderId="2" xfId="0" applyBorder="1" applyAlignment="1">
      <alignment vertical="top"/>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5" fillId="3" borderId="9"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0" fillId="3" borderId="7" xfId="0" applyFill="1" applyBorder="1" applyAlignment="1">
      <alignment horizontal="center" vertical="center"/>
    </xf>
    <xf numFmtId="0" fontId="0" fillId="3" borderId="11" xfId="0" applyFill="1" applyBorder="1" applyAlignment="1">
      <alignment horizontal="center" vertical="center"/>
    </xf>
    <xf numFmtId="0" fontId="0" fillId="3" borderId="5" xfId="0" applyFill="1" applyBorder="1" applyAlignment="1">
      <alignment horizontal="center" vertical="center"/>
    </xf>
    <xf numFmtId="0" fontId="0" fillId="3" borderId="8" xfId="0" applyFill="1" applyBorder="1" applyAlignment="1">
      <alignment horizontal="center" vertical="center"/>
    </xf>
    <xf numFmtId="0" fontId="0" fillId="3" borderId="6" xfId="0" applyFill="1" applyBorder="1" applyAlignment="1">
      <alignment horizontal="center" vertical="center" wrapText="1"/>
    </xf>
    <xf numFmtId="0" fontId="0" fillId="3" borderId="12" xfId="0"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1" fillId="2" borderId="2"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176" fontId="0" fillId="0" borderId="2" xfId="0" applyNumberFormat="1" applyBorder="1" applyAlignment="1">
      <alignment horizontal="center" vertical="center"/>
    </xf>
    <xf numFmtId="176" fontId="0" fillId="0" borderId="3" xfId="0" applyNumberFormat="1" applyBorder="1" applyAlignment="1">
      <alignment horizontal="center" vertical="center"/>
    </xf>
    <xf numFmtId="176" fontId="0" fillId="0" borderId="4" xfId="0" applyNumberFormat="1" applyBorder="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7" fontId="0" fillId="0" borderId="4" xfId="0" applyNumberFormat="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3" xfId="0" applyBorder="1" applyAlignment="1">
      <alignment horizontal="center" vertical="center"/>
    </xf>
    <xf numFmtId="178" fontId="0" fillId="0" borderId="2" xfId="0" applyNumberFormat="1" applyBorder="1" applyAlignment="1">
      <alignment horizontal="center" vertical="center"/>
    </xf>
    <xf numFmtId="178" fontId="0" fillId="0" borderId="3" xfId="0" applyNumberFormat="1" applyBorder="1" applyAlignment="1">
      <alignment horizontal="center" vertical="center"/>
    </xf>
    <xf numFmtId="178" fontId="0" fillId="0" borderId="4" xfId="0" applyNumberFormat="1" applyBorder="1" applyAlignment="1">
      <alignment horizontal="center" vertical="center"/>
    </xf>
    <xf numFmtId="0" fontId="7" fillId="4" borderId="13" xfId="1" applyFont="1" applyFill="1" applyBorder="1" applyAlignment="1">
      <alignment horizontal="center" vertical="center"/>
    </xf>
  </cellXfs>
  <cellStyles count="4">
    <cellStyle name="標準" xfId="0" builtinId="0"/>
    <cellStyle name="標準 2" xfId="1" xr:uid="{00000000-0005-0000-0000-000001000000}"/>
    <cellStyle name="標準 4" xfId="3" xr:uid="{00000000-0005-0000-0000-000002000000}"/>
    <cellStyle name="標準_質問内容結果" xfId="2" xr:uid="{00000000-0005-0000-0000-000003000000}"/>
  </cellStyles>
  <dxfs count="0"/>
  <tableStyles count="0" defaultTableStyle="TableStyleMedium2" defaultPivotStyle="PivotStyleLight16"/>
  <colors>
    <mruColors>
      <color rgb="FFCCFFFF"/>
      <color rgb="FF0066FF"/>
      <color rgb="FFFFCC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25</xdr:col>
      <xdr:colOff>66675</xdr:colOff>
      <xdr:row>34</xdr:row>
      <xdr:rowOff>828675</xdr:rowOff>
    </xdr:from>
    <xdr:to>
      <xdr:col>38</xdr:col>
      <xdr:colOff>76200</xdr:colOff>
      <xdr:row>34</xdr:row>
      <xdr:rowOff>1352550</xdr:rowOff>
    </xdr:to>
    <xdr:pic>
      <xdr:nvPicPr>
        <xdr:cNvPr id="7" name="図 2">
          <a:extLst>
            <a:ext uri="{FF2B5EF4-FFF2-40B4-BE49-F238E27FC236}">
              <a16:creationId xmlns:a16="http://schemas.microsoft.com/office/drawing/2014/main" id="{9DF18EE6-5184-8A47-BDC9-A44C8F2A6544}"/>
            </a:ext>
          </a:extLst>
        </xdr:cNvPr>
        <xdr:cNvPicPr>
          <a:picLocks noChangeAspect="1"/>
        </xdr:cNvPicPr>
      </xdr:nvPicPr>
      <xdr:blipFill>
        <a:blip xmlns:r="http://schemas.openxmlformats.org/officeDocument/2006/relationships" r:embed="rId1"/>
        <a:stretch>
          <a:fillRect/>
        </a:stretch>
      </xdr:blipFill>
      <xdr:spPr>
        <a:xfrm>
          <a:off x="7048500" y="20364450"/>
          <a:ext cx="3971925" cy="523875"/>
        </a:xfrm>
        <a:prstGeom prst="rect">
          <a:avLst/>
        </a:prstGeom>
      </xdr:spPr>
    </xdr:pic>
    <xdr:clientData/>
  </xdr:twoCellAnchor>
  <xdr:twoCellAnchor editAs="oneCell">
    <xdr:from>
      <xdr:col>29</xdr:col>
      <xdr:colOff>7144</xdr:colOff>
      <xdr:row>30</xdr:row>
      <xdr:rowOff>535782</xdr:rowOff>
    </xdr:from>
    <xdr:to>
      <xdr:col>42</xdr:col>
      <xdr:colOff>17061</xdr:colOff>
      <xdr:row>30</xdr:row>
      <xdr:rowOff>945357</xdr:rowOff>
    </xdr:to>
    <xdr:pic>
      <xdr:nvPicPr>
        <xdr:cNvPr id="11" name="図 3">
          <a:extLst>
            <a:ext uri="{FF2B5EF4-FFF2-40B4-BE49-F238E27FC236}">
              <a16:creationId xmlns:a16="http://schemas.microsoft.com/office/drawing/2014/main" id="{4C2C7101-F758-1AB0-F825-E8D3DBD2ABDD}"/>
            </a:ext>
          </a:extLst>
        </xdr:cNvPr>
        <xdr:cNvPicPr>
          <a:picLocks noChangeAspect="1"/>
        </xdr:cNvPicPr>
      </xdr:nvPicPr>
      <xdr:blipFill>
        <a:blip xmlns:r="http://schemas.openxmlformats.org/officeDocument/2006/relationships" r:embed="rId2"/>
        <a:stretch>
          <a:fillRect/>
        </a:stretch>
      </xdr:blipFill>
      <xdr:spPr>
        <a:xfrm>
          <a:off x="8031957" y="21502688"/>
          <a:ext cx="3569885" cy="409575"/>
        </a:xfrm>
        <a:prstGeom prst="rect">
          <a:avLst/>
        </a:prstGeom>
      </xdr:spPr>
    </xdr:pic>
    <xdr:clientData/>
  </xdr:twoCellAnchor>
  <xdr:twoCellAnchor editAs="oneCell">
    <xdr:from>
      <xdr:col>25</xdr:col>
      <xdr:colOff>28576</xdr:colOff>
      <xdr:row>37</xdr:row>
      <xdr:rowOff>1619249</xdr:rowOff>
    </xdr:from>
    <xdr:to>
      <xdr:col>37</xdr:col>
      <xdr:colOff>200025</xdr:colOff>
      <xdr:row>37</xdr:row>
      <xdr:rowOff>2677900</xdr:rowOff>
    </xdr:to>
    <xdr:pic>
      <xdr:nvPicPr>
        <xdr:cNvPr id="4" name="図 1">
          <a:extLst>
            <a:ext uri="{FF2B5EF4-FFF2-40B4-BE49-F238E27FC236}">
              <a16:creationId xmlns:a16="http://schemas.microsoft.com/office/drawing/2014/main" id="{EF853C66-EB7B-BE00-7E2F-1B6FE60102E3}"/>
            </a:ext>
          </a:extLst>
        </xdr:cNvPr>
        <xdr:cNvPicPr>
          <a:picLocks noChangeAspect="1"/>
        </xdr:cNvPicPr>
      </xdr:nvPicPr>
      <xdr:blipFill>
        <a:blip xmlns:r="http://schemas.openxmlformats.org/officeDocument/2006/relationships" r:embed="rId3"/>
        <a:stretch>
          <a:fillRect/>
        </a:stretch>
      </xdr:blipFill>
      <xdr:spPr>
        <a:xfrm>
          <a:off x="7010401" y="26422349"/>
          <a:ext cx="3829049" cy="1058651"/>
        </a:xfrm>
        <a:prstGeom prst="rect">
          <a:avLst/>
        </a:prstGeom>
      </xdr:spPr>
    </xdr:pic>
    <xdr:clientData/>
  </xdr:twoCellAnchor>
  <xdr:twoCellAnchor editAs="oneCell">
    <xdr:from>
      <xdr:col>25</xdr:col>
      <xdr:colOff>71438</xdr:colOff>
      <xdr:row>36</xdr:row>
      <xdr:rowOff>523876</xdr:rowOff>
    </xdr:from>
    <xdr:to>
      <xdr:col>38</xdr:col>
      <xdr:colOff>136262</xdr:colOff>
      <xdr:row>36</xdr:row>
      <xdr:rowOff>2381251</xdr:rowOff>
    </xdr:to>
    <xdr:pic>
      <xdr:nvPicPr>
        <xdr:cNvPr id="5" name="図 4">
          <a:extLst>
            <a:ext uri="{FF2B5EF4-FFF2-40B4-BE49-F238E27FC236}">
              <a16:creationId xmlns:a16="http://schemas.microsoft.com/office/drawing/2014/main" id="{5FB688E3-0001-8980-1601-919F30436F81}"/>
            </a:ext>
          </a:extLst>
        </xdr:cNvPr>
        <xdr:cNvPicPr>
          <a:picLocks noChangeAspect="1"/>
        </xdr:cNvPicPr>
      </xdr:nvPicPr>
      <xdr:blipFill>
        <a:blip xmlns:r="http://schemas.openxmlformats.org/officeDocument/2006/relationships" r:embed="rId4"/>
        <a:stretch>
          <a:fillRect/>
        </a:stretch>
      </xdr:blipFill>
      <xdr:spPr>
        <a:xfrm>
          <a:off x="7000876" y="25193626"/>
          <a:ext cx="3624792" cy="1857375"/>
        </a:xfrm>
        <a:prstGeom prst="rect">
          <a:avLst/>
        </a:prstGeom>
      </xdr:spPr>
    </xdr:pic>
    <xdr:clientData/>
  </xdr:twoCellAnchor>
  <xdr:twoCellAnchor editAs="oneCell">
    <xdr:from>
      <xdr:col>25</xdr:col>
      <xdr:colOff>56590</xdr:colOff>
      <xdr:row>35</xdr:row>
      <xdr:rowOff>619126</xdr:rowOff>
    </xdr:from>
    <xdr:to>
      <xdr:col>42</xdr:col>
      <xdr:colOff>153300</xdr:colOff>
      <xdr:row>35</xdr:row>
      <xdr:rowOff>2262188</xdr:rowOff>
    </xdr:to>
    <xdr:pic>
      <xdr:nvPicPr>
        <xdr:cNvPr id="8" name="図 7">
          <a:extLst>
            <a:ext uri="{FF2B5EF4-FFF2-40B4-BE49-F238E27FC236}">
              <a16:creationId xmlns:a16="http://schemas.microsoft.com/office/drawing/2014/main" id="{802568EE-ACB3-B49B-E678-896BFACFC753}"/>
            </a:ext>
          </a:extLst>
        </xdr:cNvPr>
        <xdr:cNvPicPr>
          <a:picLocks noChangeAspect="1"/>
        </xdr:cNvPicPr>
      </xdr:nvPicPr>
      <xdr:blipFill>
        <a:blip xmlns:r="http://schemas.openxmlformats.org/officeDocument/2006/relationships" r:embed="rId5"/>
        <a:stretch>
          <a:fillRect/>
        </a:stretch>
      </xdr:blipFill>
      <xdr:spPr>
        <a:xfrm>
          <a:off x="7757272" y="26822961"/>
          <a:ext cx="5278310" cy="1643062"/>
        </a:xfrm>
        <a:prstGeom prst="rect">
          <a:avLst/>
        </a:prstGeom>
      </xdr:spPr>
    </xdr:pic>
    <xdr:clientData/>
  </xdr:twoCellAnchor>
  <xdr:twoCellAnchor editAs="oneCell">
    <xdr:from>
      <xdr:col>73</xdr:col>
      <xdr:colOff>0</xdr:colOff>
      <xdr:row>32</xdr:row>
      <xdr:rowOff>0</xdr:rowOff>
    </xdr:from>
    <xdr:to>
      <xdr:col>115</xdr:col>
      <xdr:colOff>60467</xdr:colOff>
      <xdr:row>36</xdr:row>
      <xdr:rowOff>615897</xdr:rowOff>
    </xdr:to>
    <xdr:pic>
      <xdr:nvPicPr>
        <xdr:cNvPr id="3" name="図 2">
          <a:extLst>
            <a:ext uri="{FF2B5EF4-FFF2-40B4-BE49-F238E27FC236}">
              <a16:creationId xmlns:a16="http://schemas.microsoft.com/office/drawing/2014/main" id="{BC84D224-DD90-5449-05BD-9B14902B3850}"/>
            </a:ext>
          </a:extLst>
        </xdr:cNvPr>
        <xdr:cNvPicPr>
          <a:picLocks noChangeAspect="1"/>
        </xdr:cNvPicPr>
      </xdr:nvPicPr>
      <xdr:blipFill>
        <a:blip xmlns:r="http://schemas.openxmlformats.org/officeDocument/2006/relationships" r:embed="rId6"/>
        <a:stretch>
          <a:fillRect/>
        </a:stretch>
      </xdr:blipFill>
      <xdr:spPr>
        <a:xfrm>
          <a:off x="20300156" y="22479000"/>
          <a:ext cx="11561905" cy="6771428"/>
        </a:xfrm>
        <a:prstGeom prst="rect">
          <a:avLst/>
        </a:prstGeom>
      </xdr:spPr>
    </xdr:pic>
    <xdr:clientData/>
  </xdr:twoCellAnchor>
  <xdr:twoCellAnchor editAs="oneCell">
    <xdr:from>
      <xdr:col>73</xdr:col>
      <xdr:colOff>0</xdr:colOff>
      <xdr:row>36</xdr:row>
      <xdr:rowOff>964400</xdr:rowOff>
    </xdr:from>
    <xdr:to>
      <xdr:col>127</xdr:col>
      <xdr:colOff>41008</xdr:colOff>
      <xdr:row>37</xdr:row>
      <xdr:rowOff>2649781</xdr:rowOff>
    </xdr:to>
    <xdr:pic>
      <xdr:nvPicPr>
        <xdr:cNvPr id="2" name="図 1">
          <a:extLst>
            <a:ext uri="{FF2B5EF4-FFF2-40B4-BE49-F238E27FC236}">
              <a16:creationId xmlns:a16="http://schemas.microsoft.com/office/drawing/2014/main" id="{44A23263-7BEC-BD4E-41E9-F6F811696767}"/>
            </a:ext>
          </a:extLst>
        </xdr:cNvPr>
        <xdr:cNvPicPr>
          <a:picLocks noChangeAspect="1"/>
        </xdr:cNvPicPr>
      </xdr:nvPicPr>
      <xdr:blipFill>
        <a:blip xmlns:r="http://schemas.openxmlformats.org/officeDocument/2006/relationships" r:embed="rId7"/>
        <a:stretch>
          <a:fillRect/>
        </a:stretch>
      </xdr:blipFill>
      <xdr:spPr>
        <a:xfrm>
          <a:off x="20300156" y="29598931"/>
          <a:ext cx="14828571" cy="4352381"/>
        </a:xfrm>
        <a:prstGeom prst="rect">
          <a:avLst/>
        </a:prstGeom>
      </xdr:spPr>
    </xdr:pic>
    <xdr:clientData/>
  </xdr:twoCellAnchor>
  <xdr:twoCellAnchor editAs="oneCell">
    <xdr:from>
      <xdr:col>25</xdr:col>
      <xdr:colOff>130969</xdr:colOff>
      <xdr:row>26</xdr:row>
      <xdr:rowOff>261938</xdr:rowOff>
    </xdr:from>
    <xdr:to>
      <xdr:col>40</xdr:col>
      <xdr:colOff>14597</xdr:colOff>
      <xdr:row>26</xdr:row>
      <xdr:rowOff>976313</xdr:rowOff>
    </xdr:to>
    <xdr:pic>
      <xdr:nvPicPr>
        <xdr:cNvPr id="6" name="図 5">
          <a:extLst>
            <a:ext uri="{FF2B5EF4-FFF2-40B4-BE49-F238E27FC236}">
              <a16:creationId xmlns:a16="http://schemas.microsoft.com/office/drawing/2014/main" id="{51F96A90-958F-8CCB-C1B9-6386476EDAF1}"/>
            </a:ext>
          </a:extLst>
        </xdr:cNvPr>
        <xdr:cNvPicPr>
          <a:picLocks noChangeAspect="1"/>
        </xdr:cNvPicPr>
      </xdr:nvPicPr>
      <xdr:blipFill>
        <a:blip xmlns:r="http://schemas.openxmlformats.org/officeDocument/2006/relationships" r:embed="rId8"/>
        <a:stretch>
          <a:fillRect/>
        </a:stretch>
      </xdr:blipFill>
      <xdr:spPr>
        <a:xfrm>
          <a:off x="7060407" y="15168563"/>
          <a:ext cx="3991284" cy="714375"/>
        </a:xfrm>
        <a:prstGeom prst="rect">
          <a:avLst/>
        </a:prstGeom>
      </xdr:spPr>
    </xdr:pic>
    <xdr:clientData/>
  </xdr:twoCellAnchor>
  <xdr:twoCellAnchor editAs="oneCell">
    <xdr:from>
      <xdr:col>25</xdr:col>
      <xdr:colOff>250031</xdr:colOff>
      <xdr:row>42</xdr:row>
      <xdr:rowOff>488156</xdr:rowOff>
    </xdr:from>
    <xdr:to>
      <xdr:col>41</xdr:col>
      <xdr:colOff>242378</xdr:colOff>
      <xdr:row>44</xdr:row>
      <xdr:rowOff>130969</xdr:rowOff>
    </xdr:to>
    <xdr:pic>
      <xdr:nvPicPr>
        <xdr:cNvPr id="9" name="図 8">
          <a:extLst>
            <a:ext uri="{FF2B5EF4-FFF2-40B4-BE49-F238E27FC236}">
              <a16:creationId xmlns:a16="http://schemas.microsoft.com/office/drawing/2014/main" id="{B883F406-784C-01FB-859E-8989BB5C7DD1}"/>
            </a:ext>
          </a:extLst>
        </xdr:cNvPr>
        <xdr:cNvPicPr>
          <a:picLocks noChangeAspect="1"/>
        </xdr:cNvPicPr>
      </xdr:nvPicPr>
      <xdr:blipFill>
        <a:blip xmlns:r="http://schemas.openxmlformats.org/officeDocument/2006/relationships" r:embed="rId9"/>
        <a:stretch>
          <a:fillRect/>
        </a:stretch>
      </xdr:blipFill>
      <xdr:spPr>
        <a:xfrm>
          <a:off x="7179469" y="39064406"/>
          <a:ext cx="4373847" cy="132159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01._JOBOld\1901436_&#23500;&#22763;&#36890;&#65295;&#12471;&#12473;&#12513;&#12483;&#12463;&#12473;%20SNICS%20I&#65295;F&#12469;&#12540;&#12496;&#12471;&#12473;&#12486;&#12512;\01_&#21336;&#20307;&#20181;&#27096;&#26360;\SNCS&#20966;&#29702;&#19968;&#35239;_PT&#20181;&#27096;&#26360;&#20860;&#25104;&#32318;&#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PT仕様書の使用方法"/>
      <sheetName val="基本_start"/>
      <sheetName val="基本_オン_1"/>
      <sheetName val="優先順更新"/>
      <sheetName val="基本_end"/>
      <sheetName val="業務_start"/>
      <sheetName val="業務_end"/>
      <sheetName val="コード表"/>
      <sheetName val="原因区分"/>
      <sheetName val="設定シート"/>
      <sheetName val="プロセス"/>
      <sheetName val="バージョン情報"/>
      <sheetName val="【変更不可】共通設定"/>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sheetData sheetId="11"/>
      <sheetData sheetId="12" refreshError="1"/>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50"/>
  <sheetViews>
    <sheetView showGridLines="0" tabSelected="1" zoomScale="80" zoomScaleNormal="80" workbookViewId="0">
      <selection sqref="A1:D1"/>
    </sheetView>
  </sheetViews>
  <sheetFormatPr defaultColWidth="3.6328125" defaultRowHeight="15" customHeight="1" x14ac:dyDescent="0.3"/>
  <cols>
    <col min="1" max="1" width="4.6328125" style="3" customWidth="1"/>
    <col min="2" max="16" width="3.6328125" style="3" customWidth="1"/>
    <col min="17" max="17" width="3.6328125" style="3"/>
    <col min="18" max="23" width="3.6328125" style="3" customWidth="1"/>
    <col min="24" max="53" width="3.6328125" style="3"/>
    <col min="54" max="54" width="4.08984375" style="3" customWidth="1"/>
    <col min="55" max="56" width="3.6328125" style="3"/>
    <col min="57" max="57" width="4.26953125" style="3" customWidth="1"/>
    <col min="58" max="64" width="3.6328125" style="3"/>
    <col min="65" max="65" width="5.453125" style="3" customWidth="1"/>
    <col min="66" max="16384" width="3.6328125" style="3"/>
  </cols>
  <sheetData>
    <row r="1" spans="1:71" customFormat="1" ht="15" customHeight="1" x14ac:dyDescent="0.3">
      <c r="A1" s="74" t="s">
        <v>0</v>
      </c>
      <c r="B1" s="77"/>
      <c r="C1" s="77"/>
      <c r="D1" s="75"/>
      <c r="E1" s="76" t="s">
        <v>1</v>
      </c>
      <c r="F1" s="77"/>
      <c r="G1" s="75"/>
      <c r="H1" s="76" t="s">
        <v>2</v>
      </c>
      <c r="I1" s="75"/>
      <c r="J1" s="76" t="s">
        <v>3</v>
      </c>
      <c r="K1" s="77"/>
      <c r="L1" s="77"/>
      <c r="M1" s="77"/>
      <c r="N1" s="77"/>
      <c r="O1" s="75"/>
      <c r="P1" s="76" t="s">
        <v>4</v>
      </c>
      <c r="Q1" s="75"/>
    </row>
    <row r="2" spans="1:71" customFormat="1" ht="15" customHeight="1" x14ac:dyDescent="0.3">
      <c r="A2" s="84" t="s">
        <v>5</v>
      </c>
      <c r="B2" s="86"/>
      <c r="C2" s="86"/>
      <c r="D2" s="85"/>
      <c r="E2" s="84" t="s">
        <v>6</v>
      </c>
      <c r="F2" s="86"/>
      <c r="G2" s="85"/>
      <c r="H2" s="84" t="s">
        <v>7</v>
      </c>
      <c r="I2" s="85"/>
      <c r="J2" s="4" t="str">
        <f>IF(H2="","",VLOOKUP(H2,マスタ!C:D,2,FALSE))</f>
        <v>生産計画登録（熱加工）</v>
      </c>
      <c r="K2" s="5"/>
      <c r="L2" s="5"/>
      <c r="M2" s="5"/>
      <c r="N2" s="5"/>
      <c r="O2" s="6"/>
      <c r="P2" s="84"/>
      <c r="Q2" s="85"/>
      <c r="AE2" s="10" t="s">
        <v>504</v>
      </c>
      <c r="AF2" s="8"/>
      <c r="AG2" s="9"/>
      <c r="AH2" s="53" t="s">
        <v>436</v>
      </c>
      <c r="AI2" s="54"/>
      <c r="AJ2" s="54"/>
      <c r="AK2" s="55"/>
      <c r="AM2" s="10" t="s">
        <v>8</v>
      </c>
      <c r="AN2" s="8"/>
      <c r="AO2" s="9"/>
      <c r="AP2" s="53" t="s">
        <v>9</v>
      </c>
      <c r="AQ2" s="54"/>
      <c r="AR2" s="54"/>
      <c r="AS2" s="55"/>
    </row>
    <row r="3" spans="1:71" customFormat="1" ht="15" customHeight="1" x14ac:dyDescent="0.3">
      <c r="AE3" s="10" t="s">
        <v>505</v>
      </c>
      <c r="AF3" s="8"/>
      <c r="AG3" s="9"/>
      <c r="AH3" s="53"/>
      <c r="AI3" s="54"/>
      <c r="AJ3" s="54"/>
      <c r="AK3" s="55"/>
      <c r="AM3" s="10" t="s">
        <v>10</v>
      </c>
      <c r="AN3" s="8"/>
      <c r="AO3" s="9"/>
      <c r="AP3" s="53"/>
      <c r="AQ3" s="54"/>
      <c r="AR3" s="54"/>
      <c r="AS3" s="55"/>
    </row>
    <row r="4" spans="1:71" customFormat="1" ht="15" customHeight="1" x14ac:dyDescent="0.3">
      <c r="A4" s="74" t="s">
        <v>11</v>
      </c>
      <c r="B4" s="77"/>
      <c r="C4" s="75"/>
      <c r="D4" s="76" t="s">
        <v>12</v>
      </c>
      <c r="E4" s="77"/>
      <c r="F4" s="75"/>
      <c r="G4" s="76" t="s">
        <v>13</v>
      </c>
      <c r="H4" s="77"/>
      <c r="I4" s="75"/>
      <c r="J4" s="76" t="s">
        <v>14</v>
      </c>
      <c r="K4" s="77"/>
      <c r="L4" s="75"/>
      <c r="M4" s="76" t="s">
        <v>15</v>
      </c>
      <c r="N4" s="77"/>
      <c r="O4" s="75"/>
      <c r="P4" s="12"/>
      <c r="Q4" s="74" t="s">
        <v>16</v>
      </c>
      <c r="R4" s="75"/>
      <c r="S4" s="76" t="s">
        <v>17</v>
      </c>
      <c r="T4" s="77"/>
      <c r="U4" s="77"/>
      <c r="V4" s="75"/>
      <c r="W4" s="76" t="s">
        <v>18</v>
      </c>
      <c r="X4" s="77"/>
      <c r="Y4" s="75"/>
      <c r="Z4" s="76" t="s">
        <v>19</v>
      </c>
      <c r="AA4" s="77"/>
      <c r="AB4" s="75"/>
      <c r="AE4" s="10" t="s">
        <v>506</v>
      </c>
      <c r="AF4" s="8"/>
      <c r="AG4" s="9"/>
      <c r="AH4" s="53"/>
      <c r="AI4" s="54"/>
      <c r="AJ4" s="54"/>
      <c r="AK4" s="55"/>
      <c r="AM4" s="10" t="s">
        <v>20</v>
      </c>
      <c r="AN4" s="8"/>
      <c r="AO4" s="9"/>
      <c r="AP4" s="53"/>
      <c r="AQ4" s="54"/>
      <c r="AR4" s="54"/>
      <c r="AS4" s="55"/>
    </row>
    <row r="5" spans="1:71" customFormat="1" ht="15" customHeight="1" x14ac:dyDescent="0.3">
      <c r="A5" s="87" t="s">
        <v>21</v>
      </c>
      <c r="B5" s="88"/>
      <c r="C5" s="89"/>
      <c r="D5" s="78"/>
      <c r="E5" s="79"/>
      <c r="F5" s="80"/>
      <c r="G5" s="81"/>
      <c r="H5" s="82"/>
      <c r="I5" s="83"/>
      <c r="J5" s="81"/>
      <c r="K5" s="82"/>
      <c r="L5" s="83"/>
      <c r="M5" s="81">
        <v>0.10416666666666667</v>
      </c>
      <c r="N5" s="82"/>
      <c r="O5" s="83"/>
      <c r="P5" s="2"/>
      <c r="Q5" s="84">
        <f ca="1">COUNT(INDIRECT("$A9:$A"&amp;ROW(最終行)))</f>
        <v>35</v>
      </c>
      <c r="R5" s="85"/>
      <c r="S5" s="78">
        <f ca="1">IF(MAX(INDIRECT("$BB9:$BB"&amp;ROW(最終行)))=0,"",MAX(INDIRECT("$BB9:$BB"&amp;ROW(最終行))))</f>
        <v>45238</v>
      </c>
      <c r="T5" s="79"/>
      <c r="U5" s="79"/>
      <c r="V5" s="80"/>
      <c r="W5" s="78">
        <f ca="1">IF(MAX(INDIRECT("$BE9:$BE"&amp;ROW(最終行)))=0,"",MAX(INDIRECT("$BE9:$BE"&amp;ROW(最終行))))</f>
        <v>45238</v>
      </c>
      <c r="X5" s="79"/>
      <c r="Y5" s="80"/>
      <c r="Z5" s="78">
        <f ca="1">IF(MAX(INDIRECT("$BK9:$BK"&amp;ROW(最終行)))=0,"",MAX(INDIRECT("$BK9:$BK"&amp;ROW(最終行))))</f>
        <v>45238</v>
      </c>
      <c r="AA5" s="79"/>
      <c r="AB5" s="80"/>
      <c r="AD5" s="11"/>
      <c r="AE5" s="10" t="s">
        <v>507</v>
      </c>
      <c r="AF5" s="8"/>
      <c r="AG5" s="9"/>
      <c r="AH5" s="53"/>
      <c r="AI5" s="54"/>
      <c r="AJ5" s="54"/>
      <c r="AK5" s="55"/>
      <c r="AM5" s="10" t="s">
        <v>22</v>
      </c>
      <c r="AN5" s="8"/>
      <c r="AO5" s="9"/>
      <c r="AP5" s="53"/>
      <c r="AQ5" s="54"/>
      <c r="AR5" s="54"/>
      <c r="AS5" s="55"/>
    </row>
    <row r="6" spans="1:71" customFormat="1" ht="15" customHeight="1" x14ac:dyDescent="0.3"/>
    <row r="7" spans="1:71" s="1" customFormat="1" ht="15" customHeight="1" x14ac:dyDescent="0.3">
      <c r="A7" s="68" t="s">
        <v>23</v>
      </c>
      <c r="B7" s="62" t="s">
        <v>24</v>
      </c>
      <c r="C7" s="63"/>
      <c r="D7" s="62" t="s">
        <v>25</v>
      </c>
      <c r="E7" s="66"/>
      <c r="F7" s="66"/>
      <c r="G7" s="66"/>
      <c r="H7" s="63"/>
      <c r="I7" s="62" t="s">
        <v>26</v>
      </c>
      <c r="J7" s="66"/>
      <c r="K7" s="66"/>
      <c r="L7" s="63"/>
      <c r="M7" s="62" t="s">
        <v>27</v>
      </c>
      <c r="N7" s="66"/>
      <c r="O7" s="66"/>
      <c r="P7" s="66"/>
      <c r="Q7" s="66"/>
      <c r="R7" s="66"/>
      <c r="S7" s="66"/>
      <c r="T7" s="66"/>
      <c r="U7" s="66"/>
      <c r="V7" s="66"/>
      <c r="W7" s="66"/>
      <c r="X7" s="66"/>
      <c r="Y7" s="63"/>
      <c r="Z7" s="62" t="s">
        <v>28</v>
      </c>
      <c r="AA7" s="66"/>
      <c r="AB7" s="66"/>
      <c r="AC7" s="66"/>
      <c r="AD7" s="66"/>
      <c r="AE7" s="66"/>
      <c r="AF7" s="66"/>
      <c r="AG7" s="66"/>
      <c r="AH7" s="66"/>
      <c r="AI7" s="66"/>
      <c r="AJ7" s="66"/>
      <c r="AK7" s="66"/>
      <c r="AL7" s="63"/>
      <c r="AM7" s="62" t="s">
        <v>29</v>
      </c>
      <c r="AN7" s="66"/>
      <c r="AO7" s="63"/>
      <c r="AP7" s="70" t="s">
        <v>30</v>
      </c>
      <c r="AQ7" s="70"/>
      <c r="AR7" s="70"/>
      <c r="AS7" s="70"/>
      <c r="AT7" s="70"/>
      <c r="AU7" s="70"/>
      <c r="AV7" s="70"/>
      <c r="AW7" s="70"/>
      <c r="AX7" s="70"/>
      <c r="AY7" s="56" t="s">
        <v>31</v>
      </c>
      <c r="AZ7" s="57"/>
      <c r="BA7" s="57"/>
      <c r="BB7" s="57"/>
      <c r="BC7" s="57"/>
      <c r="BD7" s="57"/>
      <c r="BE7" s="57"/>
      <c r="BF7" s="57"/>
      <c r="BG7" s="58"/>
      <c r="BH7" s="70" t="s">
        <v>32</v>
      </c>
      <c r="BI7" s="70"/>
      <c r="BJ7" s="70"/>
      <c r="BK7" s="70"/>
      <c r="BL7" s="70"/>
      <c r="BM7" s="70"/>
      <c r="BN7" s="56" t="s">
        <v>33</v>
      </c>
      <c r="BO7" s="57"/>
      <c r="BP7" s="57"/>
      <c r="BQ7" s="57"/>
      <c r="BR7" s="57"/>
      <c r="BS7" s="58"/>
    </row>
    <row r="8" spans="1:71" s="1" customFormat="1" ht="15" customHeight="1" x14ac:dyDescent="0.3">
      <c r="A8" s="69"/>
      <c r="B8" s="64"/>
      <c r="C8" s="65"/>
      <c r="D8" s="64"/>
      <c r="E8" s="67"/>
      <c r="F8" s="67"/>
      <c r="G8" s="67"/>
      <c r="H8" s="65"/>
      <c r="I8" s="64"/>
      <c r="J8" s="67"/>
      <c r="K8" s="67"/>
      <c r="L8" s="65"/>
      <c r="M8" s="64"/>
      <c r="N8" s="67"/>
      <c r="O8" s="67"/>
      <c r="P8" s="67"/>
      <c r="Q8" s="67"/>
      <c r="R8" s="67"/>
      <c r="S8" s="67"/>
      <c r="T8" s="67"/>
      <c r="U8" s="67"/>
      <c r="V8" s="67"/>
      <c r="W8" s="67"/>
      <c r="X8" s="67"/>
      <c r="Y8" s="65"/>
      <c r="Z8" s="64"/>
      <c r="AA8" s="67"/>
      <c r="AB8" s="67"/>
      <c r="AC8" s="67"/>
      <c r="AD8" s="67"/>
      <c r="AE8" s="67"/>
      <c r="AF8" s="67"/>
      <c r="AG8" s="67"/>
      <c r="AH8" s="67"/>
      <c r="AI8" s="67"/>
      <c r="AJ8" s="67"/>
      <c r="AK8" s="67"/>
      <c r="AL8" s="65"/>
      <c r="AM8" s="64"/>
      <c r="AN8" s="67"/>
      <c r="AO8" s="65"/>
      <c r="AP8" s="59" t="s">
        <v>34</v>
      </c>
      <c r="AQ8" s="60"/>
      <c r="AR8" s="61"/>
      <c r="AS8" s="59" t="s">
        <v>35</v>
      </c>
      <c r="AT8" s="60"/>
      <c r="AU8" s="61"/>
      <c r="AV8" s="59" t="s">
        <v>36</v>
      </c>
      <c r="AW8" s="60"/>
      <c r="AX8" s="61"/>
      <c r="AY8" s="71" t="s">
        <v>37</v>
      </c>
      <c r="AZ8" s="72"/>
      <c r="BA8" s="73"/>
      <c r="BB8" s="71" t="s">
        <v>38</v>
      </c>
      <c r="BC8" s="72"/>
      <c r="BD8" s="73"/>
      <c r="BE8" s="71" t="s">
        <v>39</v>
      </c>
      <c r="BF8" s="72"/>
      <c r="BG8" s="73"/>
      <c r="BH8" s="59" t="s">
        <v>40</v>
      </c>
      <c r="BI8" s="60"/>
      <c r="BJ8" s="61"/>
      <c r="BK8" s="71" t="s">
        <v>41</v>
      </c>
      <c r="BL8" s="72"/>
      <c r="BM8" s="73"/>
      <c r="BN8" s="59"/>
      <c r="BO8" s="60"/>
      <c r="BP8" s="60"/>
      <c r="BQ8" s="60"/>
      <c r="BR8" s="60"/>
      <c r="BS8" s="61"/>
    </row>
    <row r="9" spans="1:71" ht="60" customHeight="1" x14ac:dyDescent="0.3">
      <c r="A9" s="7">
        <f>IF(M9="","",COUNTA($M$9:M9))</f>
        <v>1</v>
      </c>
      <c r="B9" s="35" t="s">
        <v>9</v>
      </c>
      <c r="C9" s="37"/>
      <c r="D9" s="52" t="s">
        <v>42</v>
      </c>
      <c r="E9" s="44"/>
      <c r="F9" s="44"/>
      <c r="G9" s="44"/>
      <c r="H9" s="45"/>
      <c r="I9" s="42" t="s">
        <v>43</v>
      </c>
      <c r="J9" s="42"/>
      <c r="K9" s="42"/>
      <c r="L9" s="42"/>
      <c r="M9" s="41" t="s">
        <v>44</v>
      </c>
      <c r="N9" s="42"/>
      <c r="O9" s="42"/>
      <c r="P9" s="42"/>
      <c r="Q9" s="42"/>
      <c r="R9" s="42"/>
      <c r="S9" s="42"/>
      <c r="T9" s="42"/>
      <c r="U9" s="42"/>
      <c r="V9" s="42"/>
      <c r="W9" s="42"/>
      <c r="X9" s="42"/>
      <c r="Y9" s="43"/>
      <c r="Z9" s="41" t="s">
        <v>444</v>
      </c>
      <c r="AA9" s="42"/>
      <c r="AB9" s="42"/>
      <c r="AC9" s="42"/>
      <c r="AD9" s="42"/>
      <c r="AE9" s="42"/>
      <c r="AF9" s="42"/>
      <c r="AG9" s="42"/>
      <c r="AH9" s="42"/>
      <c r="AI9" s="42"/>
      <c r="AJ9" s="42"/>
      <c r="AK9" s="42"/>
      <c r="AL9" s="43"/>
      <c r="AM9" s="41"/>
      <c r="AN9" s="42"/>
      <c r="AO9" s="43"/>
      <c r="AP9" s="49" t="s">
        <v>87</v>
      </c>
      <c r="AQ9" s="50"/>
      <c r="AR9" s="51"/>
      <c r="AS9" s="49" t="s">
        <v>484</v>
      </c>
      <c r="AT9" s="50"/>
      <c r="AU9" s="51"/>
      <c r="AV9" s="49" t="s">
        <v>485</v>
      </c>
      <c r="AW9" s="50"/>
      <c r="AX9" s="51"/>
      <c r="AY9" s="35" t="s">
        <v>436</v>
      </c>
      <c r="AZ9" s="36"/>
      <c r="BA9" s="37"/>
      <c r="BB9" s="38">
        <v>45212</v>
      </c>
      <c r="BC9" s="39"/>
      <c r="BD9" s="40"/>
      <c r="BE9" s="38">
        <v>45212</v>
      </c>
      <c r="BF9" s="39"/>
      <c r="BG9" s="40"/>
      <c r="BH9" s="35" t="s">
        <v>9</v>
      </c>
      <c r="BI9" s="36"/>
      <c r="BJ9" s="37"/>
      <c r="BK9" s="38">
        <v>45217</v>
      </c>
      <c r="BL9" s="39"/>
      <c r="BM9" s="40"/>
      <c r="BN9" s="41"/>
      <c r="BO9" s="42"/>
      <c r="BP9" s="42"/>
      <c r="BQ9" s="42"/>
      <c r="BR9" s="42"/>
      <c r="BS9" s="43"/>
    </row>
    <row r="10" spans="1:71" ht="60" customHeight="1" x14ac:dyDescent="0.3">
      <c r="A10" s="7">
        <f>IF(M10="","",COUNTA($M$9:M10))</f>
        <v>2</v>
      </c>
      <c r="B10" s="35" t="s">
        <v>9</v>
      </c>
      <c r="C10" s="37"/>
      <c r="D10" s="52" t="s">
        <v>45</v>
      </c>
      <c r="E10" s="44"/>
      <c r="F10" s="44"/>
      <c r="G10" s="44"/>
      <c r="H10" s="45"/>
      <c r="I10" s="42" t="s">
        <v>46</v>
      </c>
      <c r="J10" s="42"/>
      <c r="K10" s="42"/>
      <c r="L10" s="42"/>
      <c r="M10" s="46" t="s">
        <v>47</v>
      </c>
      <c r="N10" s="47"/>
      <c r="O10" s="47"/>
      <c r="P10" s="47"/>
      <c r="Q10" s="47"/>
      <c r="R10" s="47"/>
      <c r="S10" s="47"/>
      <c r="T10" s="47"/>
      <c r="U10" s="47"/>
      <c r="V10" s="47"/>
      <c r="W10" s="47"/>
      <c r="X10" s="47"/>
      <c r="Y10" s="48"/>
      <c r="Z10" s="46" t="s">
        <v>438</v>
      </c>
      <c r="AA10" s="47"/>
      <c r="AB10" s="47"/>
      <c r="AC10" s="47"/>
      <c r="AD10" s="47"/>
      <c r="AE10" s="47"/>
      <c r="AF10" s="47"/>
      <c r="AG10" s="47"/>
      <c r="AH10" s="47"/>
      <c r="AI10" s="47"/>
      <c r="AJ10" s="47"/>
      <c r="AK10" s="47"/>
      <c r="AL10" s="48"/>
      <c r="AM10" s="41"/>
      <c r="AN10" s="42"/>
      <c r="AO10" s="43"/>
      <c r="AP10" s="49" t="s">
        <v>87</v>
      </c>
      <c r="AQ10" s="50"/>
      <c r="AR10" s="51"/>
      <c r="AS10" s="49" t="s">
        <v>486</v>
      </c>
      <c r="AT10" s="50"/>
      <c r="AU10" s="51"/>
      <c r="AV10" s="49" t="s">
        <v>487</v>
      </c>
      <c r="AW10" s="50"/>
      <c r="AX10" s="51"/>
      <c r="AY10" s="35" t="s">
        <v>436</v>
      </c>
      <c r="AZ10" s="36"/>
      <c r="BA10" s="37"/>
      <c r="BB10" s="38">
        <v>45211</v>
      </c>
      <c r="BC10" s="39"/>
      <c r="BD10" s="40"/>
      <c r="BE10" s="38">
        <v>45211</v>
      </c>
      <c r="BF10" s="39"/>
      <c r="BG10" s="40"/>
      <c r="BH10" s="35" t="s">
        <v>9</v>
      </c>
      <c r="BI10" s="36"/>
      <c r="BJ10" s="37"/>
      <c r="BK10" s="38">
        <v>45217</v>
      </c>
      <c r="BL10" s="39"/>
      <c r="BM10" s="40"/>
      <c r="BN10" s="41"/>
      <c r="BO10" s="42"/>
      <c r="BP10" s="42"/>
      <c r="BQ10" s="42"/>
      <c r="BR10" s="42"/>
      <c r="BS10" s="43"/>
    </row>
    <row r="11" spans="1:71" ht="78.75" customHeight="1" x14ac:dyDescent="0.3">
      <c r="A11" s="7">
        <f>IF(M11="","",COUNTA($M$9:M11))</f>
        <v>3</v>
      </c>
      <c r="B11" s="35" t="s">
        <v>9</v>
      </c>
      <c r="C11" s="37"/>
      <c r="D11" s="52" t="s">
        <v>48</v>
      </c>
      <c r="E11" s="44"/>
      <c r="F11" s="44"/>
      <c r="G11" s="44"/>
      <c r="H11" s="45"/>
      <c r="I11" s="41" t="s">
        <v>49</v>
      </c>
      <c r="J11" s="42"/>
      <c r="K11" s="42"/>
      <c r="L11" s="43"/>
      <c r="M11" s="41" t="s">
        <v>50</v>
      </c>
      <c r="N11" s="42"/>
      <c r="O11" s="42"/>
      <c r="P11" s="42"/>
      <c r="Q11" s="42"/>
      <c r="R11" s="42"/>
      <c r="S11" s="42"/>
      <c r="T11" s="42"/>
      <c r="U11" s="42"/>
      <c r="V11" s="42"/>
      <c r="W11" s="42"/>
      <c r="X11" s="42"/>
      <c r="Y11" s="43"/>
      <c r="Z11" s="41" t="s">
        <v>474</v>
      </c>
      <c r="AA11" s="42"/>
      <c r="AB11" s="42"/>
      <c r="AC11" s="42"/>
      <c r="AD11" s="42"/>
      <c r="AE11" s="42"/>
      <c r="AF11" s="42"/>
      <c r="AG11" s="42"/>
      <c r="AH11" s="42"/>
      <c r="AI11" s="42"/>
      <c r="AJ11" s="42"/>
      <c r="AK11" s="42"/>
      <c r="AL11" s="43"/>
      <c r="AM11" s="41"/>
      <c r="AN11" s="42"/>
      <c r="AO11" s="43"/>
      <c r="AP11" s="49" t="s">
        <v>87</v>
      </c>
      <c r="AQ11" s="50"/>
      <c r="AR11" s="51"/>
      <c r="AS11" s="49" t="s">
        <v>484</v>
      </c>
      <c r="AT11" s="50"/>
      <c r="AU11" s="51"/>
      <c r="AV11" s="49" t="s">
        <v>488</v>
      </c>
      <c r="AW11" s="50"/>
      <c r="AX11" s="51"/>
      <c r="AY11" s="35" t="s">
        <v>436</v>
      </c>
      <c r="AZ11" s="36"/>
      <c r="BA11" s="37"/>
      <c r="BB11" s="38">
        <v>45218</v>
      </c>
      <c r="BC11" s="39"/>
      <c r="BD11" s="40"/>
      <c r="BE11" s="38">
        <v>45218</v>
      </c>
      <c r="BF11" s="39"/>
      <c r="BG11" s="40"/>
      <c r="BH11" s="35" t="s">
        <v>9</v>
      </c>
      <c r="BI11" s="36"/>
      <c r="BJ11" s="37"/>
      <c r="BK11" s="38">
        <v>45236</v>
      </c>
      <c r="BL11" s="39"/>
      <c r="BM11" s="40"/>
      <c r="BN11" s="41"/>
      <c r="BO11" s="42"/>
      <c r="BP11" s="42"/>
      <c r="BQ11" s="42"/>
      <c r="BR11" s="42"/>
      <c r="BS11" s="43"/>
    </row>
    <row r="12" spans="1:71" ht="60" customHeight="1" x14ac:dyDescent="0.3">
      <c r="A12" s="7">
        <f>IF(M12="","",COUNTA($M$9:M12))</f>
        <v>4</v>
      </c>
      <c r="B12" s="35" t="s">
        <v>9</v>
      </c>
      <c r="C12" s="37"/>
      <c r="D12" s="52" t="s">
        <v>48</v>
      </c>
      <c r="E12" s="44"/>
      <c r="F12" s="44"/>
      <c r="G12" s="44"/>
      <c r="H12" s="45"/>
      <c r="I12" s="41" t="s">
        <v>51</v>
      </c>
      <c r="J12" s="42"/>
      <c r="K12" s="42"/>
      <c r="L12" s="43"/>
      <c r="M12" s="46" t="s">
        <v>501</v>
      </c>
      <c r="N12" s="47"/>
      <c r="O12" s="47"/>
      <c r="P12" s="47"/>
      <c r="Q12" s="47"/>
      <c r="R12" s="47"/>
      <c r="S12" s="47"/>
      <c r="T12" s="47"/>
      <c r="U12" s="47"/>
      <c r="V12" s="47"/>
      <c r="W12" s="47"/>
      <c r="X12" s="47"/>
      <c r="Y12" s="48"/>
      <c r="Z12" s="41" t="s">
        <v>512</v>
      </c>
      <c r="AA12" s="42"/>
      <c r="AB12" s="42"/>
      <c r="AC12" s="42"/>
      <c r="AD12" s="42"/>
      <c r="AE12" s="42"/>
      <c r="AF12" s="42"/>
      <c r="AG12" s="42"/>
      <c r="AH12" s="42"/>
      <c r="AI12" s="42"/>
      <c r="AJ12" s="42"/>
      <c r="AK12" s="42"/>
      <c r="AL12" s="43"/>
      <c r="AM12" s="41"/>
      <c r="AN12" s="42"/>
      <c r="AO12" s="43"/>
      <c r="AP12" s="49" t="s">
        <v>87</v>
      </c>
      <c r="AQ12" s="50"/>
      <c r="AR12" s="51"/>
      <c r="AS12" s="49" t="s">
        <v>502</v>
      </c>
      <c r="AT12" s="50"/>
      <c r="AU12" s="51"/>
      <c r="AV12" s="49" t="s">
        <v>503</v>
      </c>
      <c r="AW12" s="50"/>
      <c r="AX12" s="51"/>
      <c r="AY12" s="35" t="s">
        <v>436</v>
      </c>
      <c r="AZ12" s="36"/>
      <c r="BA12" s="37"/>
      <c r="BB12" s="38">
        <v>45237</v>
      </c>
      <c r="BC12" s="39"/>
      <c r="BD12" s="40"/>
      <c r="BE12" s="38">
        <v>45237</v>
      </c>
      <c r="BF12" s="39"/>
      <c r="BG12" s="40"/>
      <c r="BH12" s="35" t="s">
        <v>9</v>
      </c>
      <c r="BI12" s="36"/>
      <c r="BJ12" s="37"/>
      <c r="BK12" s="38">
        <v>45238</v>
      </c>
      <c r="BL12" s="39"/>
      <c r="BM12" s="40"/>
      <c r="BN12" s="41"/>
      <c r="BO12" s="42"/>
      <c r="BP12" s="42"/>
      <c r="BQ12" s="42"/>
      <c r="BR12" s="42"/>
      <c r="BS12" s="43"/>
    </row>
    <row r="13" spans="1:71" ht="60" customHeight="1" x14ac:dyDescent="0.3">
      <c r="A13" s="7">
        <f>IF(M13="","",COUNTA($M$9:M13))</f>
        <v>5</v>
      </c>
      <c r="B13" s="35" t="s">
        <v>9</v>
      </c>
      <c r="C13" s="37"/>
      <c r="D13" s="52" t="s">
        <v>48</v>
      </c>
      <c r="E13" s="44"/>
      <c r="F13" s="44"/>
      <c r="G13" s="44"/>
      <c r="H13" s="45"/>
      <c r="I13" s="41" t="s">
        <v>52</v>
      </c>
      <c r="J13" s="42"/>
      <c r="K13" s="42"/>
      <c r="L13" s="43"/>
      <c r="M13" s="46" t="s">
        <v>53</v>
      </c>
      <c r="N13" s="47"/>
      <c r="O13" s="47"/>
      <c r="P13" s="47"/>
      <c r="Q13" s="47"/>
      <c r="R13" s="47"/>
      <c r="S13" s="47"/>
      <c r="T13" s="47"/>
      <c r="U13" s="47"/>
      <c r="V13" s="47"/>
      <c r="W13" s="47"/>
      <c r="X13" s="47"/>
      <c r="Y13" s="48"/>
      <c r="Z13" s="41" t="s">
        <v>439</v>
      </c>
      <c r="AA13" s="42"/>
      <c r="AB13" s="42"/>
      <c r="AC13" s="42"/>
      <c r="AD13" s="42"/>
      <c r="AE13" s="42"/>
      <c r="AF13" s="42"/>
      <c r="AG13" s="42"/>
      <c r="AH13" s="42"/>
      <c r="AI13" s="42"/>
      <c r="AJ13" s="42"/>
      <c r="AK13" s="42"/>
      <c r="AL13" s="43"/>
      <c r="AM13" s="41"/>
      <c r="AN13" s="42"/>
      <c r="AO13" s="43"/>
      <c r="AP13" s="49" t="s">
        <v>87</v>
      </c>
      <c r="AQ13" s="50"/>
      <c r="AR13" s="51"/>
      <c r="AS13" s="49" t="s">
        <v>484</v>
      </c>
      <c r="AT13" s="50"/>
      <c r="AU13" s="51"/>
      <c r="AV13" s="49" t="s">
        <v>485</v>
      </c>
      <c r="AW13" s="50"/>
      <c r="AX13" s="51"/>
      <c r="AY13" s="35" t="s">
        <v>436</v>
      </c>
      <c r="AZ13" s="36"/>
      <c r="BA13" s="37"/>
      <c r="BB13" s="38">
        <v>45211</v>
      </c>
      <c r="BC13" s="39"/>
      <c r="BD13" s="40"/>
      <c r="BE13" s="38">
        <v>45211</v>
      </c>
      <c r="BF13" s="39"/>
      <c r="BG13" s="40"/>
      <c r="BH13" s="35" t="s">
        <v>9</v>
      </c>
      <c r="BI13" s="36"/>
      <c r="BJ13" s="37"/>
      <c r="BK13" s="38">
        <v>45217</v>
      </c>
      <c r="BL13" s="39"/>
      <c r="BM13" s="40"/>
      <c r="BN13" s="41"/>
      <c r="BO13" s="42"/>
      <c r="BP13" s="42"/>
      <c r="BQ13" s="42"/>
      <c r="BR13" s="42"/>
      <c r="BS13" s="43"/>
    </row>
    <row r="14" spans="1:71" ht="85.5" customHeight="1" x14ac:dyDescent="0.3">
      <c r="A14" s="7">
        <f>IF(M14="","",COUNTA($M$9:M14))</f>
        <v>6</v>
      </c>
      <c r="B14" s="35" t="s">
        <v>9</v>
      </c>
      <c r="C14" s="37"/>
      <c r="D14" s="52" t="s">
        <v>48</v>
      </c>
      <c r="E14" s="44"/>
      <c r="F14" s="44"/>
      <c r="G14" s="44"/>
      <c r="H14" s="45"/>
      <c r="I14" s="41" t="s">
        <v>46</v>
      </c>
      <c r="J14" s="42"/>
      <c r="K14" s="42"/>
      <c r="L14" s="43"/>
      <c r="M14" s="46" t="s">
        <v>447</v>
      </c>
      <c r="N14" s="47"/>
      <c r="O14" s="47"/>
      <c r="P14" s="47"/>
      <c r="Q14" s="47"/>
      <c r="R14" s="47"/>
      <c r="S14" s="47"/>
      <c r="T14" s="47"/>
      <c r="U14" s="47"/>
      <c r="V14" s="47"/>
      <c r="W14" s="47"/>
      <c r="X14" s="47"/>
      <c r="Y14" s="48"/>
      <c r="Z14" s="46" t="s">
        <v>513</v>
      </c>
      <c r="AA14" s="47"/>
      <c r="AB14" s="47"/>
      <c r="AC14" s="47"/>
      <c r="AD14" s="47"/>
      <c r="AE14" s="47"/>
      <c r="AF14" s="47"/>
      <c r="AG14" s="47"/>
      <c r="AH14" s="47"/>
      <c r="AI14" s="47"/>
      <c r="AJ14" s="47"/>
      <c r="AK14" s="47"/>
      <c r="AL14" s="48"/>
      <c r="AM14" s="41"/>
      <c r="AN14" s="42"/>
      <c r="AO14" s="43"/>
      <c r="AP14" s="49" t="s">
        <v>87</v>
      </c>
      <c r="AQ14" s="50"/>
      <c r="AR14" s="51"/>
      <c r="AS14" s="49" t="s">
        <v>502</v>
      </c>
      <c r="AT14" s="50"/>
      <c r="AU14" s="51"/>
      <c r="AV14" s="49" t="s">
        <v>488</v>
      </c>
      <c r="AW14" s="50"/>
      <c r="AX14" s="51"/>
      <c r="AY14" s="35" t="s">
        <v>436</v>
      </c>
      <c r="AZ14" s="36"/>
      <c r="BA14" s="37"/>
      <c r="BB14" s="38">
        <v>45237</v>
      </c>
      <c r="BC14" s="39"/>
      <c r="BD14" s="40"/>
      <c r="BE14" s="38">
        <v>45237</v>
      </c>
      <c r="BF14" s="39"/>
      <c r="BG14" s="40"/>
      <c r="BH14" s="35" t="s">
        <v>9</v>
      </c>
      <c r="BI14" s="36"/>
      <c r="BJ14" s="37"/>
      <c r="BK14" s="38">
        <v>45237</v>
      </c>
      <c r="BL14" s="39"/>
      <c r="BM14" s="40"/>
      <c r="BN14" s="41"/>
      <c r="BO14" s="42"/>
      <c r="BP14" s="42"/>
      <c r="BQ14" s="42"/>
      <c r="BR14" s="42"/>
      <c r="BS14" s="43"/>
    </row>
    <row r="15" spans="1:71" ht="60" customHeight="1" x14ac:dyDescent="0.3">
      <c r="A15" s="7">
        <f>IF(M15="","",COUNTA($M$9:M15))</f>
        <v>7</v>
      </c>
      <c r="B15" s="35" t="s">
        <v>9</v>
      </c>
      <c r="C15" s="37"/>
      <c r="D15" s="52" t="s">
        <v>48</v>
      </c>
      <c r="E15" s="44"/>
      <c r="F15" s="44"/>
      <c r="G15" s="44"/>
      <c r="H15" s="45"/>
      <c r="I15" s="41" t="s">
        <v>54</v>
      </c>
      <c r="J15" s="42"/>
      <c r="K15" s="42"/>
      <c r="L15" s="43"/>
      <c r="M15" s="46" t="s">
        <v>55</v>
      </c>
      <c r="N15" s="47"/>
      <c r="O15" s="47"/>
      <c r="P15" s="47"/>
      <c r="Q15" s="47"/>
      <c r="R15" s="47"/>
      <c r="S15" s="47"/>
      <c r="T15" s="47"/>
      <c r="U15" s="47"/>
      <c r="V15" s="47"/>
      <c r="W15" s="47"/>
      <c r="X15" s="47"/>
      <c r="Y15" s="48"/>
      <c r="Z15" s="46" t="s">
        <v>440</v>
      </c>
      <c r="AA15" s="47"/>
      <c r="AB15" s="47"/>
      <c r="AC15" s="47"/>
      <c r="AD15" s="47"/>
      <c r="AE15" s="47"/>
      <c r="AF15" s="47"/>
      <c r="AG15" s="47"/>
      <c r="AH15" s="47"/>
      <c r="AI15" s="47"/>
      <c r="AJ15" s="47"/>
      <c r="AK15" s="47"/>
      <c r="AL15" s="48"/>
      <c r="AM15" s="41"/>
      <c r="AN15" s="42"/>
      <c r="AO15" s="43"/>
      <c r="AP15" s="49" t="s">
        <v>87</v>
      </c>
      <c r="AQ15" s="50"/>
      <c r="AR15" s="51"/>
      <c r="AS15" s="49" t="s">
        <v>484</v>
      </c>
      <c r="AT15" s="50"/>
      <c r="AU15" s="51"/>
      <c r="AV15" s="49" t="s">
        <v>489</v>
      </c>
      <c r="AW15" s="50"/>
      <c r="AX15" s="51"/>
      <c r="AY15" s="35" t="s">
        <v>436</v>
      </c>
      <c r="AZ15" s="36"/>
      <c r="BA15" s="37"/>
      <c r="BB15" s="38">
        <v>45211</v>
      </c>
      <c r="BC15" s="39"/>
      <c r="BD15" s="40"/>
      <c r="BE15" s="38">
        <v>45211</v>
      </c>
      <c r="BF15" s="39"/>
      <c r="BG15" s="40"/>
      <c r="BH15" s="35" t="s">
        <v>9</v>
      </c>
      <c r="BI15" s="36"/>
      <c r="BJ15" s="37"/>
      <c r="BK15" s="38">
        <v>45217</v>
      </c>
      <c r="BL15" s="39"/>
      <c r="BM15" s="40"/>
      <c r="BN15" s="41"/>
      <c r="BO15" s="42"/>
      <c r="BP15" s="42"/>
      <c r="BQ15" s="42"/>
      <c r="BR15" s="42"/>
      <c r="BS15" s="43"/>
    </row>
    <row r="16" spans="1:71" ht="52.2" customHeight="1" x14ac:dyDescent="0.3">
      <c r="A16" s="7">
        <f>IF(M16="","",COUNTA($M$9:M16))</f>
        <v>8</v>
      </c>
      <c r="B16" s="35" t="s">
        <v>9</v>
      </c>
      <c r="C16" s="37"/>
      <c r="D16" s="52" t="s">
        <v>42</v>
      </c>
      <c r="E16" s="44"/>
      <c r="F16" s="44"/>
      <c r="G16" s="44"/>
      <c r="H16" s="45"/>
      <c r="I16" s="41" t="s">
        <v>56</v>
      </c>
      <c r="J16" s="42"/>
      <c r="K16" s="42"/>
      <c r="L16" s="43"/>
      <c r="M16" s="46" t="s">
        <v>57</v>
      </c>
      <c r="N16" s="47"/>
      <c r="O16" s="47"/>
      <c r="P16" s="47"/>
      <c r="Q16" s="47"/>
      <c r="R16" s="47"/>
      <c r="S16" s="47"/>
      <c r="T16" s="47"/>
      <c r="U16" s="47"/>
      <c r="V16" s="47"/>
      <c r="W16" s="47"/>
      <c r="X16" s="47"/>
      <c r="Y16" s="48"/>
      <c r="Z16" s="46" t="s">
        <v>441</v>
      </c>
      <c r="AA16" s="47"/>
      <c r="AB16" s="47"/>
      <c r="AC16" s="47"/>
      <c r="AD16" s="47"/>
      <c r="AE16" s="47"/>
      <c r="AF16" s="47"/>
      <c r="AG16" s="47"/>
      <c r="AH16" s="47"/>
      <c r="AI16" s="47"/>
      <c r="AJ16" s="47"/>
      <c r="AK16" s="47"/>
      <c r="AL16" s="48"/>
      <c r="AM16" s="41"/>
      <c r="AN16" s="42"/>
      <c r="AO16" s="43"/>
      <c r="AP16" s="49" t="s">
        <v>87</v>
      </c>
      <c r="AQ16" s="50"/>
      <c r="AR16" s="51"/>
      <c r="AS16" s="49" t="s">
        <v>484</v>
      </c>
      <c r="AT16" s="50"/>
      <c r="AU16" s="51"/>
      <c r="AV16" s="49" t="s">
        <v>489</v>
      </c>
      <c r="AW16" s="50"/>
      <c r="AX16" s="51"/>
      <c r="AY16" s="35" t="s">
        <v>436</v>
      </c>
      <c r="AZ16" s="36"/>
      <c r="BA16" s="37"/>
      <c r="BB16" s="38">
        <v>45211</v>
      </c>
      <c r="BC16" s="39"/>
      <c r="BD16" s="40"/>
      <c r="BE16" s="38">
        <v>45211</v>
      </c>
      <c r="BF16" s="39"/>
      <c r="BG16" s="40"/>
      <c r="BH16" s="35" t="s">
        <v>9</v>
      </c>
      <c r="BI16" s="36"/>
      <c r="BJ16" s="37"/>
      <c r="BK16" s="38">
        <v>45237</v>
      </c>
      <c r="BL16" s="39"/>
      <c r="BM16" s="40"/>
      <c r="BN16" s="41"/>
      <c r="BO16" s="42"/>
      <c r="BP16" s="42"/>
      <c r="BQ16" s="42"/>
      <c r="BR16" s="42"/>
      <c r="BS16" s="43"/>
    </row>
    <row r="17" spans="1:71" ht="60" customHeight="1" x14ac:dyDescent="0.3">
      <c r="A17" s="7">
        <f>IF(M17="","",COUNTA($M$9:M17))</f>
        <v>9</v>
      </c>
      <c r="B17" s="35" t="s">
        <v>9</v>
      </c>
      <c r="C17" s="37"/>
      <c r="D17" s="52" t="s">
        <v>42</v>
      </c>
      <c r="E17" s="44"/>
      <c r="F17" s="44"/>
      <c r="G17" s="44"/>
      <c r="H17" s="45"/>
      <c r="I17" s="41" t="s">
        <v>58</v>
      </c>
      <c r="J17" s="42"/>
      <c r="K17" s="42"/>
      <c r="L17" s="43"/>
      <c r="M17" s="46" t="s">
        <v>59</v>
      </c>
      <c r="N17" s="47"/>
      <c r="O17" s="47"/>
      <c r="P17" s="47"/>
      <c r="Q17" s="47"/>
      <c r="R17" s="47"/>
      <c r="S17" s="47"/>
      <c r="T17" s="47"/>
      <c r="U17" s="47"/>
      <c r="V17" s="47"/>
      <c r="W17" s="47"/>
      <c r="X17" s="47"/>
      <c r="Y17" s="48"/>
      <c r="Z17" s="46" t="s">
        <v>442</v>
      </c>
      <c r="AA17" s="47"/>
      <c r="AB17" s="47"/>
      <c r="AC17" s="47"/>
      <c r="AD17" s="47"/>
      <c r="AE17" s="47"/>
      <c r="AF17" s="47"/>
      <c r="AG17" s="47"/>
      <c r="AH17" s="47"/>
      <c r="AI17" s="47"/>
      <c r="AJ17" s="47"/>
      <c r="AK17" s="47"/>
      <c r="AL17" s="48"/>
      <c r="AM17" s="41"/>
      <c r="AN17" s="42"/>
      <c r="AO17" s="43"/>
      <c r="AP17" s="49" t="s">
        <v>87</v>
      </c>
      <c r="AQ17" s="50"/>
      <c r="AR17" s="51"/>
      <c r="AS17" s="49" t="s">
        <v>484</v>
      </c>
      <c r="AT17" s="50"/>
      <c r="AU17" s="51"/>
      <c r="AV17" s="49" t="s">
        <v>488</v>
      </c>
      <c r="AW17" s="50"/>
      <c r="AX17" s="51"/>
      <c r="AY17" s="35" t="s">
        <v>436</v>
      </c>
      <c r="AZ17" s="36"/>
      <c r="BA17" s="37"/>
      <c r="BB17" s="38">
        <v>45211</v>
      </c>
      <c r="BC17" s="39"/>
      <c r="BD17" s="40"/>
      <c r="BE17" s="38">
        <v>45211</v>
      </c>
      <c r="BF17" s="39"/>
      <c r="BG17" s="40"/>
      <c r="BH17" s="35" t="s">
        <v>9</v>
      </c>
      <c r="BI17" s="36"/>
      <c r="BJ17" s="37"/>
      <c r="BK17" s="38">
        <v>45217</v>
      </c>
      <c r="BL17" s="39"/>
      <c r="BM17" s="40"/>
      <c r="BN17" s="41"/>
      <c r="BO17" s="42"/>
      <c r="BP17" s="42"/>
      <c r="BQ17" s="42"/>
      <c r="BR17" s="42"/>
      <c r="BS17" s="43"/>
    </row>
    <row r="18" spans="1:71" ht="60" customHeight="1" x14ac:dyDescent="0.3">
      <c r="A18" s="7">
        <f>IF(M18="","",COUNTA($M$9:M18))</f>
        <v>10</v>
      </c>
      <c r="B18" s="35" t="s">
        <v>9</v>
      </c>
      <c r="C18" s="37"/>
      <c r="D18" s="52" t="s">
        <v>42</v>
      </c>
      <c r="E18" s="44"/>
      <c r="F18" s="44"/>
      <c r="G18" s="44"/>
      <c r="H18" s="45"/>
      <c r="I18" s="41" t="s">
        <v>60</v>
      </c>
      <c r="J18" s="42"/>
      <c r="K18" s="42"/>
      <c r="L18" s="43"/>
      <c r="M18" s="46" t="s">
        <v>61</v>
      </c>
      <c r="N18" s="47"/>
      <c r="O18" s="47"/>
      <c r="P18" s="47"/>
      <c r="Q18" s="47"/>
      <c r="R18" s="47"/>
      <c r="S18" s="47"/>
      <c r="T18" s="47"/>
      <c r="U18" s="47"/>
      <c r="V18" s="47"/>
      <c r="W18" s="47"/>
      <c r="X18" s="47"/>
      <c r="Y18" s="48"/>
      <c r="Z18" s="46" t="s">
        <v>443</v>
      </c>
      <c r="AA18" s="47"/>
      <c r="AB18" s="47"/>
      <c r="AC18" s="47"/>
      <c r="AD18" s="47"/>
      <c r="AE18" s="47"/>
      <c r="AF18" s="47"/>
      <c r="AG18" s="47"/>
      <c r="AH18" s="47"/>
      <c r="AI18" s="47"/>
      <c r="AJ18" s="47"/>
      <c r="AK18" s="47"/>
      <c r="AL18" s="48"/>
      <c r="AM18" s="41"/>
      <c r="AN18" s="42"/>
      <c r="AO18" s="43"/>
      <c r="AP18" s="49" t="s">
        <v>87</v>
      </c>
      <c r="AQ18" s="50"/>
      <c r="AR18" s="51"/>
      <c r="AS18" s="49" t="s">
        <v>484</v>
      </c>
      <c r="AT18" s="50"/>
      <c r="AU18" s="51"/>
      <c r="AV18" s="49" t="s">
        <v>490</v>
      </c>
      <c r="AW18" s="50"/>
      <c r="AX18" s="51"/>
      <c r="AY18" s="35" t="s">
        <v>436</v>
      </c>
      <c r="AZ18" s="36"/>
      <c r="BA18" s="37"/>
      <c r="BB18" s="38">
        <v>45211</v>
      </c>
      <c r="BC18" s="39"/>
      <c r="BD18" s="40"/>
      <c r="BE18" s="38">
        <v>45211</v>
      </c>
      <c r="BF18" s="39"/>
      <c r="BG18" s="40"/>
      <c r="BH18" s="35" t="s">
        <v>9</v>
      </c>
      <c r="BI18" s="36"/>
      <c r="BJ18" s="37"/>
      <c r="BK18" s="38">
        <v>45217</v>
      </c>
      <c r="BL18" s="39"/>
      <c r="BM18" s="40"/>
      <c r="BN18" s="41"/>
      <c r="BO18" s="42"/>
      <c r="BP18" s="42"/>
      <c r="BQ18" s="42"/>
      <c r="BR18" s="42"/>
      <c r="BS18" s="43"/>
    </row>
    <row r="19" spans="1:71" ht="60" customHeight="1" x14ac:dyDescent="0.3">
      <c r="A19" s="7">
        <f>IF(M19="","",COUNTA($M$9:M19))</f>
        <v>11</v>
      </c>
      <c r="B19" s="35" t="s">
        <v>9</v>
      </c>
      <c r="C19" s="37"/>
      <c r="D19" s="52" t="s">
        <v>42</v>
      </c>
      <c r="E19" s="44"/>
      <c r="F19" s="44"/>
      <c r="G19" s="44"/>
      <c r="H19" s="45"/>
      <c r="I19" s="41" t="s">
        <v>62</v>
      </c>
      <c r="J19" s="42"/>
      <c r="K19" s="42"/>
      <c r="L19" s="43"/>
      <c r="M19" s="46" t="s">
        <v>63</v>
      </c>
      <c r="N19" s="47"/>
      <c r="O19" s="47"/>
      <c r="P19" s="47"/>
      <c r="Q19" s="47"/>
      <c r="R19" s="47"/>
      <c r="S19" s="47"/>
      <c r="T19" s="47"/>
      <c r="U19" s="47"/>
      <c r="V19" s="47"/>
      <c r="W19" s="47"/>
      <c r="X19" s="47"/>
      <c r="Y19" s="48"/>
      <c r="Z19" s="46" t="s">
        <v>442</v>
      </c>
      <c r="AA19" s="47"/>
      <c r="AB19" s="47"/>
      <c r="AC19" s="47"/>
      <c r="AD19" s="47"/>
      <c r="AE19" s="47"/>
      <c r="AF19" s="47"/>
      <c r="AG19" s="47"/>
      <c r="AH19" s="47"/>
      <c r="AI19" s="47"/>
      <c r="AJ19" s="47"/>
      <c r="AK19" s="47"/>
      <c r="AL19" s="48"/>
      <c r="AM19" s="41"/>
      <c r="AN19" s="42"/>
      <c r="AO19" s="43"/>
      <c r="AP19" s="49" t="s">
        <v>87</v>
      </c>
      <c r="AQ19" s="50"/>
      <c r="AR19" s="51"/>
      <c r="AS19" s="49" t="s">
        <v>484</v>
      </c>
      <c r="AT19" s="50"/>
      <c r="AU19" s="51"/>
      <c r="AV19" s="49" t="s">
        <v>490</v>
      </c>
      <c r="AW19" s="50"/>
      <c r="AX19" s="51"/>
      <c r="AY19" s="35" t="s">
        <v>436</v>
      </c>
      <c r="AZ19" s="36"/>
      <c r="BA19" s="37"/>
      <c r="BB19" s="38">
        <v>45211</v>
      </c>
      <c r="BC19" s="39"/>
      <c r="BD19" s="40"/>
      <c r="BE19" s="38">
        <v>45211</v>
      </c>
      <c r="BF19" s="39"/>
      <c r="BG19" s="40"/>
      <c r="BH19" s="35" t="s">
        <v>9</v>
      </c>
      <c r="BI19" s="36"/>
      <c r="BJ19" s="37"/>
      <c r="BK19" s="38">
        <v>45217</v>
      </c>
      <c r="BL19" s="39"/>
      <c r="BM19" s="40"/>
      <c r="BN19" s="41"/>
      <c r="BO19" s="42"/>
      <c r="BP19" s="42"/>
      <c r="BQ19" s="42"/>
      <c r="BR19" s="42"/>
      <c r="BS19" s="43"/>
    </row>
    <row r="20" spans="1:71" ht="70.5" customHeight="1" x14ac:dyDescent="0.3">
      <c r="A20" s="7">
        <f>IF(M20="","",COUNTA($M$9:M20))</f>
        <v>12</v>
      </c>
      <c r="B20" s="35" t="s">
        <v>9</v>
      </c>
      <c r="C20" s="37"/>
      <c r="D20" s="52" t="s">
        <v>42</v>
      </c>
      <c r="E20" s="44"/>
      <c r="F20" s="44"/>
      <c r="G20" s="44"/>
      <c r="H20" s="45"/>
      <c r="I20" s="41" t="s">
        <v>51</v>
      </c>
      <c r="J20" s="42"/>
      <c r="K20" s="42"/>
      <c r="L20" s="43"/>
      <c r="M20" s="46" t="s">
        <v>64</v>
      </c>
      <c r="N20" s="47"/>
      <c r="O20" s="47"/>
      <c r="P20" s="47"/>
      <c r="Q20" s="47"/>
      <c r="R20" s="47"/>
      <c r="S20" s="47"/>
      <c r="T20" s="47"/>
      <c r="U20" s="47"/>
      <c r="V20" s="47"/>
      <c r="W20" s="47"/>
      <c r="X20" s="47"/>
      <c r="Y20" s="48"/>
      <c r="Z20" s="46" t="s">
        <v>492</v>
      </c>
      <c r="AA20" s="47"/>
      <c r="AB20" s="47"/>
      <c r="AC20" s="47"/>
      <c r="AD20" s="47"/>
      <c r="AE20" s="47"/>
      <c r="AF20" s="47"/>
      <c r="AG20" s="47"/>
      <c r="AH20" s="47"/>
      <c r="AI20" s="47"/>
      <c r="AJ20" s="47"/>
      <c r="AK20" s="47"/>
      <c r="AL20" s="48"/>
      <c r="AM20" s="41"/>
      <c r="AN20" s="42"/>
      <c r="AO20" s="43"/>
      <c r="AP20" s="49" t="s">
        <v>87</v>
      </c>
      <c r="AQ20" s="50"/>
      <c r="AR20" s="51"/>
      <c r="AS20" s="49" t="s">
        <v>484</v>
      </c>
      <c r="AT20" s="50"/>
      <c r="AU20" s="51"/>
      <c r="AV20" s="49" t="s">
        <v>488</v>
      </c>
      <c r="AW20" s="50"/>
      <c r="AX20" s="51"/>
      <c r="AY20" s="35" t="s">
        <v>436</v>
      </c>
      <c r="AZ20" s="36"/>
      <c r="BA20" s="37"/>
      <c r="BB20" s="38">
        <v>45219</v>
      </c>
      <c r="BC20" s="39"/>
      <c r="BD20" s="40"/>
      <c r="BE20" s="38">
        <v>45223</v>
      </c>
      <c r="BF20" s="39"/>
      <c r="BG20" s="40"/>
      <c r="BH20" s="35" t="s">
        <v>9</v>
      </c>
      <c r="BI20" s="36"/>
      <c r="BJ20" s="37"/>
      <c r="BK20" s="38">
        <v>45236</v>
      </c>
      <c r="BL20" s="39"/>
      <c r="BM20" s="40"/>
      <c r="BN20" s="41"/>
      <c r="BO20" s="42"/>
      <c r="BP20" s="42"/>
      <c r="BQ20" s="42"/>
      <c r="BR20" s="42"/>
      <c r="BS20" s="43"/>
    </row>
    <row r="21" spans="1:71" ht="45" customHeight="1" x14ac:dyDescent="0.3">
      <c r="A21" s="7">
        <f>IF(M21="","",COUNTA($M$9:M21))</f>
        <v>13</v>
      </c>
      <c r="B21" s="35" t="s">
        <v>9</v>
      </c>
      <c r="C21" s="37"/>
      <c r="D21" s="52" t="s">
        <v>65</v>
      </c>
      <c r="E21" s="44"/>
      <c r="F21" s="44"/>
      <c r="G21" s="44"/>
      <c r="H21" s="45"/>
      <c r="I21" s="41" t="s">
        <v>46</v>
      </c>
      <c r="J21" s="42"/>
      <c r="K21" s="42"/>
      <c r="L21" s="43"/>
      <c r="M21" s="46" t="s">
        <v>66</v>
      </c>
      <c r="N21" s="47"/>
      <c r="O21" s="47"/>
      <c r="P21" s="47"/>
      <c r="Q21" s="47"/>
      <c r="R21" s="47"/>
      <c r="S21" s="47"/>
      <c r="T21" s="47"/>
      <c r="U21" s="47"/>
      <c r="V21" s="47"/>
      <c r="W21" s="47"/>
      <c r="X21" s="47"/>
      <c r="Y21" s="48"/>
      <c r="Z21" s="46" t="s">
        <v>437</v>
      </c>
      <c r="AA21" s="47"/>
      <c r="AB21" s="47"/>
      <c r="AC21" s="47"/>
      <c r="AD21" s="47"/>
      <c r="AE21" s="47"/>
      <c r="AF21" s="47"/>
      <c r="AG21" s="47"/>
      <c r="AH21" s="47"/>
      <c r="AI21" s="47"/>
      <c r="AJ21" s="47"/>
      <c r="AK21" s="47"/>
      <c r="AL21" s="48"/>
      <c r="AM21" s="41"/>
      <c r="AN21" s="42"/>
      <c r="AO21" s="43"/>
      <c r="AP21" s="49" t="s">
        <v>87</v>
      </c>
      <c r="AQ21" s="50"/>
      <c r="AR21" s="51"/>
      <c r="AS21" s="49" t="s">
        <v>481</v>
      </c>
      <c r="AT21" s="50"/>
      <c r="AU21" s="51"/>
      <c r="AV21" s="49" t="s">
        <v>482</v>
      </c>
      <c r="AW21" s="50"/>
      <c r="AX21" s="51"/>
      <c r="AY21" s="35" t="s">
        <v>436</v>
      </c>
      <c r="AZ21" s="36"/>
      <c r="BA21" s="37"/>
      <c r="BB21" s="38">
        <v>45236</v>
      </c>
      <c r="BC21" s="39"/>
      <c r="BD21" s="40"/>
      <c r="BE21" s="38">
        <v>45236</v>
      </c>
      <c r="BF21" s="39"/>
      <c r="BG21" s="40"/>
      <c r="BH21" s="35" t="s">
        <v>9</v>
      </c>
      <c r="BI21" s="36"/>
      <c r="BJ21" s="37"/>
      <c r="BK21" s="38">
        <v>45236</v>
      </c>
      <c r="BL21" s="39"/>
      <c r="BM21" s="40"/>
      <c r="BN21" s="41"/>
      <c r="BO21" s="42"/>
      <c r="BP21" s="42"/>
      <c r="BQ21" s="42"/>
      <c r="BR21" s="42"/>
      <c r="BS21" s="43"/>
    </row>
    <row r="22" spans="1:71" ht="45" customHeight="1" x14ac:dyDescent="0.3">
      <c r="A22" s="7">
        <f>IF(M22="","",COUNTA($M$9:M22))</f>
        <v>14</v>
      </c>
      <c r="B22" s="35" t="s">
        <v>9</v>
      </c>
      <c r="C22" s="37"/>
      <c r="D22" s="52" t="s">
        <v>65</v>
      </c>
      <c r="E22" s="44"/>
      <c r="F22" s="44"/>
      <c r="G22" s="44"/>
      <c r="H22" s="45"/>
      <c r="I22" s="41" t="s">
        <v>46</v>
      </c>
      <c r="J22" s="42"/>
      <c r="K22" s="42"/>
      <c r="L22" s="43"/>
      <c r="M22" s="46" t="s">
        <v>67</v>
      </c>
      <c r="N22" s="47"/>
      <c r="O22" s="47"/>
      <c r="P22" s="47"/>
      <c r="Q22" s="47"/>
      <c r="R22" s="47"/>
      <c r="S22" s="47"/>
      <c r="T22" s="47"/>
      <c r="U22" s="47"/>
      <c r="V22" s="47"/>
      <c r="W22" s="47"/>
      <c r="X22" s="47"/>
      <c r="Y22" s="48"/>
      <c r="Z22" s="46" t="s">
        <v>493</v>
      </c>
      <c r="AA22" s="47"/>
      <c r="AB22" s="47"/>
      <c r="AC22" s="47"/>
      <c r="AD22" s="47"/>
      <c r="AE22" s="47"/>
      <c r="AF22" s="47"/>
      <c r="AG22" s="47"/>
      <c r="AH22" s="47"/>
      <c r="AI22" s="47"/>
      <c r="AJ22" s="47"/>
      <c r="AK22" s="47"/>
      <c r="AL22" s="48"/>
      <c r="AM22" s="41"/>
      <c r="AN22" s="42"/>
      <c r="AO22" s="43"/>
      <c r="AP22" s="49" t="s">
        <v>87</v>
      </c>
      <c r="AQ22" s="50"/>
      <c r="AR22" s="51"/>
      <c r="AS22" s="49" t="s">
        <v>484</v>
      </c>
      <c r="AT22" s="50"/>
      <c r="AU22" s="51"/>
      <c r="AV22" s="49" t="s">
        <v>488</v>
      </c>
      <c r="AW22" s="50"/>
      <c r="AX22" s="51"/>
      <c r="AY22" s="35" t="s">
        <v>436</v>
      </c>
      <c r="AZ22" s="36"/>
      <c r="BA22" s="37"/>
      <c r="BB22" s="38">
        <v>45223</v>
      </c>
      <c r="BC22" s="39"/>
      <c r="BD22" s="40"/>
      <c r="BE22" s="38">
        <v>45223</v>
      </c>
      <c r="BF22" s="39"/>
      <c r="BG22" s="40"/>
      <c r="BH22" s="35" t="s">
        <v>9</v>
      </c>
      <c r="BI22" s="36"/>
      <c r="BJ22" s="37"/>
      <c r="BK22" s="38">
        <v>45236</v>
      </c>
      <c r="BL22" s="39"/>
      <c r="BM22" s="40"/>
      <c r="BN22" s="41"/>
      <c r="BO22" s="42"/>
      <c r="BP22" s="42"/>
      <c r="BQ22" s="42"/>
      <c r="BR22" s="42"/>
      <c r="BS22" s="43"/>
    </row>
    <row r="23" spans="1:71" ht="63" customHeight="1" x14ac:dyDescent="0.3">
      <c r="A23" s="7">
        <f>IF(M23="","",COUNTA($M$9:M23))</f>
        <v>15</v>
      </c>
      <c r="B23" s="35" t="s">
        <v>9</v>
      </c>
      <c r="C23" s="37"/>
      <c r="D23" s="52" t="s">
        <v>42</v>
      </c>
      <c r="E23" s="44"/>
      <c r="F23" s="44"/>
      <c r="G23" s="44"/>
      <c r="H23" s="45"/>
      <c r="I23" s="41" t="s">
        <v>56</v>
      </c>
      <c r="J23" s="42"/>
      <c r="K23" s="42"/>
      <c r="L23" s="43"/>
      <c r="M23" s="46" t="s">
        <v>68</v>
      </c>
      <c r="N23" s="47"/>
      <c r="O23" s="47"/>
      <c r="P23" s="47"/>
      <c r="Q23" s="47"/>
      <c r="R23" s="47"/>
      <c r="S23" s="47"/>
      <c r="T23" s="47"/>
      <c r="U23" s="47"/>
      <c r="V23" s="47"/>
      <c r="W23" s="47"/>
      <c r="X23" s="47"/>
      <c r="Y23" s="48"/>
      <c r="Z23" s="46" t="s">
        <v>478</v>
      </c>
      <c r="AA23" s="47"/>
      <c r="AB23" s="47"/>
      <c r="AC23" s="47"/>
      <c r="AD23" s="47"/>
      <c r="AE23" s="47"/>
      <c r="AF23" s="47"/>
      <c r="AG23" s="47"/>
      <c r="AH23" s="47"/>
      <c r="AI23" s="47"/>
      <c r="AJ23" s="47"/>
      <c r="AK23" s="47"/>
      <c r="AL23" s="48"/>
      <c r="AM23" s="41"/>
      <c r="AN23" s="42"/>
      <c r="AO23" s="43"/>
      <c r="AP23" s="49" t="s">
        <v>87</v>
      </c>
      <c r="AQ23" s="50"/>
      <c r="AR23" s="51"/>
      <c r="AS23" s="49" t="s">
        <v>484</v>
      </c>
      <c r="AT23" s="50"/>
      <c r="AU23" s="51"/>
      <c r="AV23" s="49" t="s">
        <v>488</v>
      </c>
      <c r="AW23" s="50"/>
      <c r="AX23" s="51"/>
      <c r="AY23" s="35" t="s">
        <v>436</v>
      </c>
      <c r="AZ23" s="36"/>
      <c r="BA23" s="37"/>
      <c r="BB23" s="38">
        <v>45222</v>
      </c>
      <c r="BC23" s="39"/>
      <c r="BD23" s="40"/>
      <c r="BE23" s="38">
        <v>45222</v>
      </c>
      <c r="BF23" s="39"/>
      <c r="BG23" s="40"/>
      <c r="BH23" s="35" t="s">
        <v>9</v>
      </c>
      <c r="BI23" s="36"/>
      <c r="BJ23" s="37"/>
      <c r="BK23" s="38">
        <v>45222</v>
      </c>
      <c r="BL23" s="39"/>
      <c r="BM23" s="40"/>
      <c r="BN23" s="41"/>
      <c r="BO23" s="42"/>
      <c r="BP23" s="42"/>
      <c r="BQ23" s="42"/>
      <c r="BR23" s="42"/>
      <c r="BS23" s="43"/>
    </row>
    <row r="24" spans="1:71" ht="45" customHeight="1" x14ac:dyDescent="0.3">
      <c r="A24" s="7">
        <f>IF(M24="","",COUNTA($M$9:M24))</f>
        <v>16</v>
      </c>
      <c r="B24" s="35" t="s">
        <v>9</v>
      </c>
      <c r="C24" s="37"/>
      <c r="D24" s="41" t="s">
        <v>445</v>
      </c>
      <c r="E24" s="44"/>
      <c r="F24" s="44"/>
      <c r="G24" s="44"/>
      <c r="H24" s="45"/>
      <c r="I24" s="41" t="s">
        <v>54</v>
      </c>
      <c r="J24" s="42"/>
      <c r="K24" s="42"/>
      <c r="L24" s="43"/>
      <c r="M24" s="46" t="s">
        <v>446</v>
      </c>
      <c r="N24" s="47"/>
      <c r="O24" s="47"/>
      <c r="P24" s="47"/>
      <c r="Q24" s="47"/>
      <c r="R24" s="47"/>
      <c r="S24" s="47"/>
      <c r="T24" s="47"/>
      <c r="U24" s="47"/>
      <c r="V24" s="47"/>
      <c r="W24" s="47"/>
      <c r="X24" s="47"/>
      <c r="Y24" s="48"/>
      <c r="Z24" s="46" t="s">
        <v>458</v>
      </c>
      <c r="AA24" s="47"/>
      <c r="AB24" s="47"/>
      <c r="AC24" s="47"/>
      <c r="AD24" s="47"/>
      <c r="AE24" s="47"/>
      <c r="AF24" s="47"/>
      <c r="AG24" s="47"/>
      <c r="AH24" s="47"/>
      <c r="AI24" s="47"/>
      <c r="AJ24" s="47"/>
      <c r="AK24" s="47"/>
      <c r="AL24" s="48"/>
      <c r="AM24" s="41"/>
      <c r="AN24" s="42"/>
      <c r="AO24" s="43"/>
      <c r="AP24" s="49" t="s">
        <v>87</v>
      </c>
      <c r="AQ24" s="50"/>
      <c r="AR24" s="51"/>
      <c r="AS24" s="49" t="s">
        <v>484</v>
      </c>
      <c r="AT24" s="50"/>
      <c r="AU24" s="51"/>
      <c r="AV24" s="49" t="s">
        <v>491</v>
      </c>
      <c r="AW24" s="50"/>
      <c r="AX24" s="51"/>
      <c r="AY24" s="35" t="s">
        <v>436</v>
      </c>
      <c r="AZ24" s="36"/>
      <c r="BA24" s="37"/>
      <c r="BB24" s="38">
        <v>45218</v>
      </c>
      <c r="BC24" s="39"/>
      <c r="BD24" s="40"/>
      <c r="BE24" s="38">
        <v>45218</v>
      </c>
      <c r="BF24" s="39"/>
      <c r="BG24" s="40"/>
      <c r="BH24" s="35" t="s">
        <v>9</v>
      </c>
      <c r="BI24" s="36"/>
      <c r="BJ24" s="37"/>
      <c r="BK24" s="38">
        <v>45222</v>
      </c>
      <c r="BL24" s="39"/>
      <c r="BM24" s="40"/>
      <c r="BN24" s="41"/>
      <c r="BO24" s="42"/>
      <c r="BP24" s="42"/>
      <c r="BQ24" s="42"/>
      <c r="BR24" s="42"/>
      <c r="BS24" s="43"/>
    </row>
    <row r="25" spans="1:71" ht="45" customHeight="1" x14ac:dyDescent="0.3">
      <c r="A25" s="7">
        <f>IF(M25="","",COUNTA($M$9:M25))</f>
        <v>17</v>
      </c>
      <c r="B25" s="35" t="s">
        <v>9</v>
      </c>
      <c r="C25" s="37"/>
      <c r="D25" s="41" t="s">
        <v>445</v>
      </c>
      <c r="E25" s="44"/>
      <c r="F25" s="44"/>
      <c r="G25" s="44"/>
      <c r="H25" s="45"/>
      <c r="I25" s="41" t="s">
        <v>448</v>
      </c>
      <c r="J25" s="42"/>
      <c r="K25" s="42"/>
      <c r="L25" s="43"/>
      <c r="M25" s="46" t="s">
        <v>449</v>
      </c>
      <c r="N25" s="47"/>
      <c r="O25" s="47"/>
      <c r="P25" s="47"/>
      <c r="Q25" s="47"/>
      <c r="R25" s="47"/>
      <c r="S25" s="47"/>
      <c r="T25" s="47"/>
      <c r="U25" s="47"/>
      <c r="V25" s="47"/>
      <c r="W25" s="47"/>
      <c r="X25" s="47"/>
      <c r="Y25" s="48"/>
      <c r="Z25" s="46" t="s">
        <v>460</v>
      </c>
      <c r="AA25" s="47"/>
      <c r="AB25" s="47"/>
      <c r="AC25" s="47"/>
      <c r="AD25" s="47"/>
      <c r="AE25" s="47"/>
      <c r="AF25" s="47"/>
      <c r="AG25" s="47"/>
      <c r="AH25" s="47"/>
      <c r="AI25" s="47"/>
      <c r="AJ25" s="47"/>
      <c r="AK25" s="47"/>
      <c r="AL25" s="48"/>
      <c r="AM25" s="41"/>
      <c r="AN25" s="42"/>
      <c r="AO25" s="43"/>
      <c r="AP25" s="49" t="s">
        <v>87</v>
      </c>
      <c r="AQ25" s="50"/>
      <c r="AR25" s="51"/>
      <c r="AS25" s="49" t="s">
        <v>484</v>
      </c>
      <c r="AT25" s="50"/>
      <c r="AU25" s="51"/>
      <c r="AV25" s="49" t="s">
        <v>491</v>
      </c>
      <c r="AW25" s="50"/>
      <c r="AX25" s="51"/>
      <c r="AY25" s="35" t="s">
        <v>436</v>
      </c>
      <c r="AZ25" s="36"/>
      <c r="BA25" s="37"/>
      <c r="BB25" s="38">
        <v>45218</v>
      </c>
      <c r="BC25" s="39"/>
      <c r="BD25" s="40"/>
      <c r="BE25" s="38">
        <v>45218</v>
      </c>
      <c r="BF25" s="39"/>
      <c r="BG25" s="40"/>
      <c r="BH25" s="35" t="s">
        <v>9</v>
      </c>
      <c r="BI25" s="36"/>
      <c r="BJ25" s="37"/>
      <c r="BK25" s="38">
        <v>45222</v>
      </c>
      <c r="BL25" s="39"/>
      <c r="BM25" s="40"/>
      <c r="BN25" s="41"/>
      <c r="BO25" s="42"/>
      <c r="BP25" s="42"/>
      <c r="BQ25" s="42"/>
      <c r="BR25" s="42"/>
      <c r="BS25" s="43"/>
    </row>
    <row r="26" spans="1:71" ht="45" customHeight="1" x14ac:dyDescent="0.3">
      <c r="A26" s="7">
        <f>IF(M26="","",COUNTA($M$9:M26))</f>
        <v>18</v>
      </c>
      <c r="B26" s="35" t="s">
        <v>9</v>
      </c>
      <c r="C26" s="37"/>
      <c r="D26" s="41" t="s">
        <v>445</v>
      </c>
      <c r="E26" s="44"/>
      <c r="F26" s="44"/>
      <c r="G26" s="44"/>
      <c r="H26" s="45"/>
      <c r="I26" s="41" t="s">
        <v>51</v>
      </c>
      <c r="J26" s="42"/>
      <c r="K26" s="42"/>
      <c r="L26" s="43"/>
      <c r="M26" s="46" t="s">
        <v>450</v>
      </c>
      <c r="N26" s="47"/>
      <c r="O26" s="47"/>
      <c r="P26" s="47"/>
      <c r="Q26" s="47"/>
      <c r="R26" s="47"/>
      <c r="S26" s="47"/>
      <c r="T26" s="47"/>
      <c r="U26" s="47"/>
      <c r="V26" s="47"/>
      <c r="W26" s="47"/>
      <c r="X26" s="47"/>
      <c r="Y26" s="48"/>
      <c r="Z26" s="46" t="s">
        <v>459</v>
      </c>
      <c r="AA26" s="47"/>
      <c r="AB26" s="47"/>
      <c r="AC26" s="47"/>
      <c r="AD26" s="47"/>
      <c r="AE26" s="47"/>
      <c r="AF26" s="47"/>
      <c r="AG26" s="47"/>
      <c r="AH26" s="47"/>
      <c r="AI26" s="47"/>
      <c r="AJ26" s="47"/>
      <c r="AK26" s="47"/>
      <c r="AL26" s="48"/>
      <c r="AM26" s="41"/>
      <c r="AN26" s="42"/>
      <c r="AO26" s="43"/>
      <c r="AP26" s="49" t="s">
        <v>87</v>
      </c>
      <c r="AQ26" s="50"/>
      <c r="AR26" s="51"/>
      <c r="AS26" s="49" t="s">
        <v>481</v>
      </c>
      <c r="AT26" s="50"/>
      <c r="AU26" s="51"/>
      <c r="AV26" s="49" t="s">
        <v>482</v>
      </c>
      <c r="AW26" s="50"/>
      <c r="AX26" s="51"/>
      <c r="AY26" s="35" t="s">
        <v>436</v>
      </c>
      <c r="AZ26" s="36"/>
      <c r="BA26" s="37"/>
      <c r="BB26" s="38">
        <v>45236</v>
      </c>
      <c r="BC26" s="39"/>
      <c r="BD26" s="40"/>
      <c r="BE26" s="38">
        <v>45236</v>
      </c>
      <c r="BF26" s="39"/>
      <c r="BG26" s="40"/>
      <c r="BH26" s="35" t="s">
        <v>9</v>
      </c>
      <c r="BI26" s="36"/>
      <c r="BJ26" s="37"/>
      <c r="BK26" s="38">
        <v>45236</v>
      </c>
      <c r="BL26" s="39"/>
      <c r="BM26" s="40"/>
      <c r="BN26" s="41"/>
      <c r="BO26" s="42"/>
      <c r="BP26" s="42"/>
      <c r="BQ26" s="42"/>
      <c r="BR26" s="42"/>
      <c r="BS26" s="43"/>
    </row>
    <row r="27" spans="1:71" ht="86.4" customHeight="1" x14ac:dyDescent="0.3">
      <c r="A27" s="7">
        <f>IF(M27="","",COUNTA($M$9:M27))</f>
        <v>19</v>
      </c>
      <c r="B27" s="35" t="s">
        <v>9</v>
      </c>
      <c r="C27" s="37"/>
      <c r="D27" s="52" t="s">
        <v>42</v>
      </c>
      <c r="E27" s="44"/>
      <c r="F27" s="44"/>
      <c r="G27" s="44"/>
      <c r="H27" s="45"/>
      <c r="I27" s="41" t="s">
        <v>49</v>
      </c>
      <c r="J27" s="42"/>
      <c r="K27" s="42"/>
      <c r="L27" s="43"/>
      <c r="M27" s="46" t="s">
        <v>508</v>
      </c>
      <c r="N27" s="47"/>
      <c r="O27" s="47"/>
      <c r="P27" s="47"/>
      <c r="Q27" s="47"/>
      <c r="R27" s="47"/>
      <c r="S27" s="47"/>
      <c r="T27" s="47"/>
      <c r="U27" s="47"/>
      <c r="V27" s="47"/>
      <c r="W27" s="47"/>
      <c r="X27" s="47"/>
      <c r="Y27" s="48"/>
      <c r="Z27" s="46" t="s">
        <v>516</v>
      </c>
      <c r="AA27" s="47"/>
      <c r="AB27" s="47"/>
      <c r="AC27" s="47"/>
      <c r="AD27" s="47"/>
      <c r="AE27" s="47"/>
      <c r="AF27" s="47"/>
      <c r="AG27" s="47"/>
      <c r="AH27" s="47"/>
      <c r="AI27" s="47"/>
      <c r="AJ27" s="47"/>
      <c r="AK27" s="47"/>
      <c r="AL27" s="48"/>
      <c r="AM27" s="41"/>
      <c r="AN27" s="42"/>
      <c r="AO27" s="43"/>
      <c r="AP27" s="49" t="s">
        <v>87</v>
      </c>
      <c r="AQ27" s="50"/>
      <c r="AR27" s="51"/>
      <c r="AS27" s="49" t="s">
        <v>484</v>
      </c>
      <c r="AT27" s="50"/>
      <c r="AU27" s="51"/>
      <c r="AV27" s="49" t="s">
        <v>491</v>
      </c>
      <c r="AW27" s="50"/>
      <c r="AX27" s="51"/>
      <c r="AY27" s="35" t="s">
        <v>436</v>
      </c>
      <c r="AZ27" s="36"/>
      <c r="BA27" s="37"/>
      <c r="BB27" s="38">
        <v>45238</v>
      </c>
      <c r="BC27" s="39"/>
      <c r="BD27" s="40"/>
      <c r="BE27" s="38">
        <v>45238</v>
      </c>
      <c r="BF27" s="39"/>
      <c r="BG27" s="40"/>
      <c r="BH27" s="35" t="s">
        <v>9</v>
      </c>
      <c r="BI27" s="36"/>
      <c r="BJ27" s="37"/>
      <c r="BK27" s="38">
        <v>45238</v>
      </c>
      <c r="BL27" s="39"/>
      <c r="BM27" s="40"/>
      <c r="BN27" s="41"/>
      <c r="BO27" s="42"/>
      <c r="BP27" s="42"/>
      <c r="BQ27" s="42"/>
      <c r="BR27" s="42"/>
      <c r="BS27" s="43"/>
    </row>
    <row r="28" spans="1:71" ht="82.5" customHeight="1" x14ac:dyDescent="0.3">
      <c r="A28" s="7">
        <f>IF(M28="","",COUNTA($M$9:M28))</f>
        <v>20</v>
      </c>
      <c r="B28" s="35" t="s">
        <v>9</v>
      </c>
      <c r="C28" s="37"/>
      <c r="D28" s="52" t="s">
        <v>42</v>
      </c>
      <c r="E28" s="44"/>
      <c r="F28" s="44"/>
      <c r="G28" s="44"/>
      <c r="H28" s="45"/>
      <c r="I28" s="41" t="s">
        <v>49</v>
      </c>
      <c r="J28" s="42"/>
      <c r="K28" s="42"/>
      <c r="L28" s="43"/>
      <c r="M28" s="46" t="s">
        <v>451</v>
      </c>
      <c r="N28" s="47"/>
      <c r="O28" s="47"/>
      <c r="P28" s="47"/>
      <c r="Q28" s="47"/>
      <c r="R28" s="47"/>
      <c r="S28" s="47"/>
      <c r="T28" s="47"/>
      <c r="U28" s="47"/>
      <c r="V28" s="47"/>
      <c r="W28" s="47"/>
      <c r="X28" s="47"/>
      <c r="Y28" s="48"/>
      <c r="Z28" s="46" t="s">
        <v>463</v>
      </c>
      <c r="AA28" s="47"/>
      <c r="AB28" s="47"/>
      <c r="AC28" s="47"/>
      <c r="AD28" s="47"/>
      <c r="AE28" s="47"/>
      <c r="AF28" s="47"/>
      <c r="AG28" s="47"/>
      <c r="AH28" s="47"/>
      <c r="AI28" s="47"/>
      <c r="AJ28" s="47"/>
      <c r="AK28" s="47"/>
      <c r="AL28" s="48"/>
      <c r="AM28" s="41"/>
      <c r="AN28" s="42"/>
      <c r="AO28" s="43"/>
      <c r="AP28" s="49" t="s">
        <v>87</v>
      </c>
      <c r="AQ28" s="50"/>
      <c r="AR28" s="51"/>
      <c r="AS28" s="49" t="s">
        <v>484</v>
      </c>
      <c r="AT28" s="50"/>
      <c r="AU28" s="51"/>
      <c r="AV28" s="49" t="s">
        <v>488</v>
      </c>
      <c r="AW28" s="50"/>
      <c r="AX28" s="51"/>
      <c r="AY28" s="35" t="s">
        <v>436</v>
      </c>
      <c r="AZ28" s="36"/>
      <c r="BA28" s="37"/>
      <c r="BB28" s="38">
        <v>45218</v>
      </c>
      <c r="BC28" s="39"/>
      <c r="BD28" s="40"/>
      <c r="BE28" s="38">
        <v>45218</v>
      </c>
      <c r="BF28" s="39"/>
      <c r="BG28" s="40"/>
      <c r="BH28" s="35" t="s">
        <v>9</v>
      </c>
      <c r="BI28" s="36"/>
      <c r="BJ28" s="37"/>
      <c r="BK28" s="38">
        <v>45222</v>
      </c>
      <c r="BL28" s="39"/>
      <c r="BM28" s="40"/>
      <c r="BN28" s="41"/>
      <c r="BO28" s="42"/>
      <c r="BP28" s="42"/>
      <c r="BQ28" s="42"/>
      <c r="BR28" s="42"/>
      <c r="BS28" s="43"/>
    </row>
    <row r="29" spans="1:71" ht="78.75" customHeight="1" x14ac:dyDescent="0.3">
      <c r="A29" s="7">
        <f>IF(M29="","",COUNTA($M$9:M29))</f>
        <v>21</v>
      </c>
      <c r="B29" s="35" t="s">
        <v>9</v>
      </c>
      <c r="C29" s="37"/>
      <c r="D29" s="52" t="s">
        <v>42</v>
      </c>
      <c r="E29" s="44"/>
      <c r="F29" s="44"/>
      <c r="G29" s="44"/>
      <c r="H29" s="45"/>
      <c r="I29" s="41" t="s">
        <v>49</v>
      </c>
      <c r="J29" s="42"/>
      <c r="K29" s="42"/>
      <c r="L29" s="43"/>
      <c r="M29" s="46" t="s">
        <v>452</v>
      </c>
      <c r="N29" s="47"/>
      <c r="O29" s="47"/>
      <c r="P29" s="47"/>
      <c r="Q29" s="47"/>
      <c r="R29" s="47"/>
      <c r="S29" s="47"/>
      <c r="T29" s="47"/>
      <c r="U29" s="47"/>
      <c r="V29" s="47"/>
      <c r="W29" s="47"/>
      <c r="X29" s="47"/>
      <c r="Y29" s="48"/>
      <c r="Z29" s="46" t="s">
        <v>511</v>
      </c>
      <c r="AA29" s="47"/>
      <c r="AB29" s="47"/>
      <c r="AC29" s="47"/>
      <c r="AD29" s="47"/>
      <c r="AE29" s="47"/>
      <c r="AF29" s="47"/>
      <c r="AG29" s="47"/>
      <c r="AH29" s="47"/>
      <c r="AI29" s="47"/>
      <c r="AJ29" s="47"/>
      <c r="AK29" s="47"/>
      <c r="AL29" s="48"/>
      <c r="AM29" s="41"/>
      <c r="AN29" s="42"/>
      <c r="AO29" s="43"/>
      <c r="AP29" s="49" t="s">
        <v>87</v>
      </c>
      <c r="AQ29" s="50"/>
      <c r="AR29" s="51"/>
      <c r="AS29" s="49" t="s">
        <v>498</v>
      </c>
      <c r="AT29" s="50"/>
      <c r="AU29" s="51"/>
      <c r="AV29" s="49" t="s">
        <v>499</v>
      </c>
      <c r="AW29" s="50"/>
      <c r="AX29" s="51"/>
      <c r="AY29" s="35" t="s">
        <v>436</v>
      </c>
      <c r="AZ29" s="36"/>
      <c r="BA29" s="37"/>
      <c r="BB29" s="38">
        <v>45225</v>
      </c>
      <c r="BC29" s="39"/>
      <c r="BD29" s="40"/>
      <c r="BE29" s="38">
        <v>45225</v>
      </c>
      <c r="BF29" s="39"/>
      <c r="BG29" s="40"/>
      <c r="BH29" s="35" t="s">
        <v>9</v>
      </c>
      <c r="BI29" s="36"/>
      <c r="BJ29" s="37"/>
      <c r="BK29" s="38">
        <v>45236</v>
      </c>
      <c r="BL29" s="39"/>
      <c r="BM29" s="40"/>
      <c r="BN29" s="41"/>
      <c r="BO29" s="42"/>
      <c r="BP29" s="42"/>
      <c r="BQ29" s="42"/>
      <c r="BR29" s="42"/>
      <c r="BS29" s="43"/>
    </row>
    <row r="30" spans="1:71" ht="229.5" customHeight="1" x14ac:dyDescent="0.3">
      <c r="A30" s="7">
        <f>IF(M30="","",COUNTA($M$9:M30))</f>
        <v>22</v>
      </c>
      <c r="B30" s="35" t="s">
        <v>9</v>
      </c>
      <c r="C30" s="37"/>
      <c r="D30" s="52" t="s">
        <v>42</v>
      </c>
      <c r="E30" s="44"/>
      <c r="F30" s="44"/>
      <c r="G30" s="44"/>
      <c r="H30" s="45"/>
      <c r="I30" s="41" t="s">
        <v>46</v>
      </c>
      <c r="J30" s="42"/>
      <c r="K30" s="42"/>
      <c r="L30" s="43"/>
      <c r="M30" s="46" t="s">
        <v>453</v>
      </c>
      <c r="N30" s="47"/>
      <c r="O30" s="47"/>
      <c r="P30" s="47"/>
      <c r="Q30" s="47"/>
      <c r="R30" s="47"/>
      <c r="S30" s="47"/>
      <c r="T30" s="47"/>
      <c r="U30" s="47"/>
      <c r="V30" s="47"/>
      <c r="W30" s="47"/>
      <c r="X30" s="47"/>
      <c r="Y30" s="48"/>
      <c r="Z30" s="46" t="s">
        <v>500</v>
      </c>
      <c r="AA30" s="47"/>
      <c r="AB30" s="47"/>
      <c r="AC30" s="47"/>
      <c r="AD30" s="47"/>
      <c r="AE30" s="47"/>
      <c r="AF30" s="47"/>
      <c r="AG30" s="47"/>
      <c r="AH30" s="47"/>
      <c r="AI30" s="47"/>
      <c r="AJ30" s="47"/>
      <c r="AK30" s="47"/>
      <c r="AL30" s="48"/>
      <c r="AM30" s="41"/>
      <c r="AN30" s="42"/>
      <c r="AO30" s="43"/>
      <c r="AP30" s="49" t="s">
        <v>87</v>
      </c>
      <c r="AQ30" s="50"/>
      <c r="AR30" s="51"/>
      <c r="AS30" s="49" t="s">
        <v>498</v>
      </c>
      <c r="AT30" s="50"/>
      <c r="AU30" s="51"/>
      <c r="AV30" s="49" t="s">
        <v>499</v>
      </c>
      <c r="AW30" s="50"/>
      <c r="AX30" s="51"/>
      <c r="AY30" s="35" t="s">
        <v>436</v>
      </c>
      <c r="AZ30" s="36"/>
      <c r="BA30" s="37"/>
      <c r="BB30" s="38">
        <v>45225</v>
      </c>
      <c r="BC30" s="39"/>
      <c r="BD30" s="40"/>
      <c r="BE30" s="38">
        <v>45225</v>
      </c>
      <c r="BF30" s="39"/>
      <c r="BG30" s="40"/>
      <c r="BH30" s="35" t="s">
        <v>9</v>
      </c>
      <c r="BI30" s="36"/>
      <c r="BJ30" s="37"/>
      <c r="BK30" s="38">
        <v>45237</v>
      </c>
      <c r="BL30" s="39"/>
      <c r="BM30" s="40"/>
      <c r="BN30" s="41"/>
      <c r="BO30" s="42"/>
      <c r="BP30" s="42"/>
      <c r="BQ30" s="42"/>
      <c r="BR30" s="42"/>
      <c r="BS30" s="43"/>
    </row>
    <row r="31" spans="1:71" ht="85.5" customHeight="1" x14ac:dyDescent="0.3">
      <c r="A31" s="7">
        <f>IF(M31="","",COUNTA($M$9:M31))</f>
        <v>23</v>
      </c>
      <c r="B31" s="35" t="s">
        <v>9</v>
      </c>
      <c r="C31" s="37"/>
      <c r="D31" s="52" t="s">
        <v>42</v>
      </c>
      <c r="E31" s="44"/>
      <c r="F31" s="44"/>
      <c r="G31" s="44"/>
      <c r="H31" s="45"/>
      <c r="I31" s="41" t="s">
        <v>46</v>
      </c>
      <c r="J31" s="42"/>
      <c r="K31" s="42"/>
      <c r="L31" s="43"/>
      <c r="M31" s="46" t="s">
        <v>454</v>
      </c>
      <c r="N31" s="47"/>
      <c r="O31" s="47"/>
      <c r="P31" s="47"/>
      <c r="Q31" s="47"/>
      <c r="R31" s="47"/>
      <c r="S31" s="47"/>
      <c r="T31" s="47"/>
      <c r="U31" s="47"/>
      <c r="V31" s="47"/>
      <c r="W31" s="47"/>
      <c r="X31" s="47"/>
      <c r="Y31" s="48"/>
      <c r="Z31" s="46" t="s">
        <v>514</v>
      </c>
      <c r="AA31" s="47"/>
      <c r="AB31" s="47"/>
      <c r="AC31" s="47"/>
      <c r="AD31" s="47"/>
      <c r="AE31" s="47"/>
      <c r="AF31" s="47"/>
      <c r="AG31" s="47"/>
      <c r="AH31" s="47"/>
      <c r="AI31" s="47"/>
      <c r="AJ31" s="47"/>
      <c r="AK31" s="47"/>
      <c r="AL31" s="48"/>
      <c r="AM31" s="41"/>
      <c r="AN31" s="42"/>
      <c r="AO31" s="43"/>
      <c r="AP31" s="49" t="s">
        <v>87</v>
      </c>
      <c r="AQ31" s="50"/>
      <c r="AR31" s="51"/>
      <c r="AS31" s="49" t="s">
        <v>481</v>
      </c>
      <c r="AT31" s="50"/>
      <c r="AU31" s="51"/>
      <c r="AV31" s="49" t="s">
        <v>482</v>
      </c>
      <c r="AW31" s="50"/>
      <c r="AX31" s="51"/>
      <c r="AY31" s="35" t="s">
        <v>436</v>
      </c>
      <c r="AZ31" s="36"/>
      <c r="BA31" s="37"/>
      <c r="BB31" s="38">
        <v>45218</v>
      </c>
      <c r="BC31" s="39"/>
      <c r="BD31" s="40"/>
      <c r="BE31" s="38">
        <v>45218</v>
      </c>
      <c r="BF31" s="39"/>
      <c r="BG31" s="40"/>
      <c r="BH31" s="35" t="s">
        <v>9</v>
      </c>
      <c r="BI31" s="36"/>
      <c r="BJ31" s="37"/>
      <c r="BK31" s="38">
        <v>45222</v>
      </c>
      <c r="BL31" s="39"/>
      <c r="BM31" s="40"/>
      <c r="BN31" s="41"/>
      <c r="BO31" s="42"/>
      <c r="BP31" s="42"/>
      <c r="BQ31" s="42"/>
      <c r="BR31" s="42"/>
      <c r="BS31" s="43"/>
    </row>
    <row r="32" spans="1:71" ht="100.5" customHeight="1" x14ac:dyDescent="0.3">
      <c r="A32" s="7">
        <f>IF(M32="","",COUNTA($M$9:M32))</f>
        <v>24</v>
      </c>
      <c r="B32" s="35" t="s">
        <v>9</v>
      </c>
      <c r="C32" s="37"/>
      <c r="D32" s="52" t="s">
        <v>42</v>
      </c>
      <c r="E32" s="44"/>
      <c r="F32" s="44"/>
      <c r="G32" s="44"/>
      <c r="H32" s="45"/>
      <c r="I32" s="41" t="s">
        <v>49</v>
      </c>
      <c r="J32" s="42"/>
      <c r="K32" s="42"/>
      <c r="L32" s="43"/>
      <c r="M32" s="46" t="s">
        <v>455</v>
      </c>
      <c r="N32" s="47"/>
      <c r="O32" s="47"/>
      <c r="P32" s="47"/>
      <c r="Q32" s="47"/>
      <c r="R32" s="47"/>
      <c r="S32" s="47"/>
      <c r="T32" s="47"/>
      <c r="U32" s="47"/>
      <c r="V32" s="47"/>
      <c r="W32" s="47"/>
      <c r="X32" s="47"/>
      <c r="Y32" s="48"/>
      <c r="Z32" s="46" t="s">
        <v>510</v>
      </c>
      <c r="AA32" s="47"/>
      <c r="AB32" s="47"/>
      <c r="AC32" s="47"/>
      <c r="AD32" s="47"/>
      <c r="AE32" s="47"/>
      <c r="AF32" s="47"/>
      <c r="AG32" s="47"/>
      <c r="AH32" s="47"/>
      <c r="AI32" s="47"/>
      <c r="AJ32" s="47"/>
      <c r="AK32" s="47"/>
      <c r="AL32" s="48"/>
      <c r="AM32" s="41"/>
      <c r="AN32" s="42"/>
      <c r="AO32" s="43"/>
      <c r="AP32" s="49" t="s">
        <v>87</v>
      </c>
      <c r="AQ32" s="50"/>
      <c r="AR32" s="51"/>
      <c r="AS32" s="49" t="s">
        <v>498</v>
      </c>
      <c r="AT32" s="50"/>
      <c r="AU32" s="51"/>
      <c r="AV32" s="49" t="s">
        <v>499</v>
      </c>
      <c r="AW32" s="50"/>
      <c r="AX32" s="51"/>
      <c r="AY32" s="35" t="s">
        <v>436</v>
      </c>
      <c r="AZ32" s="36"/>
      <c r="BA32" s="37"/>
      <c r="BB32" s="38">
        <v>45225</v>
      </c>
      <c r="BC32" s="39"/>
      <c r="BD32" s="40"/>
      <c r="BE32" s="38">
        <v>45225</v>
      </c>
      <c r="BF32" s="39"/>
      <c r="BG32" s="40"/>
      <c r="BH32" s="35" t="s">
        <v>9</v>
      </c>
      <c r="BI32" s="36"/>
      <c r="BJ32" s="37"/>
      <c r="BK32" s="38">
        <v>45236</v>
      </c>
      <c r="BL32" s="39"/>
      <c r="BM32" s="40"/>
      <c r="BN32" s="41"/>
      <c r="BO32" s="42"/>
      <c r="BP32" s="42"/>
      <c r="BQ32" s="42"/>
      <c r="BR32" s="42"/>
      <c r="BS32" s="43"/>
    </row>
    <row r="33" spans="1:71" ht="132" customHeight="1" x14ac:dyDescent="0.3">
      <c r="A33" s="7">
        <f>IF(M33="","",COUNTA($M$9:M33))</f>
        <v>25</v>
      </c>
      <c r="B33" s="35" t="s">
        <v>9</v>
      </c>
      <c r="C33" s="37"/>
      <c r="D33" s="52" t="s">
        <v>42</v>
      </c>
      <c r="E33" s="44"/>
      <c r="F33" s="44"/>
      <c r="G33" s="44"/>
      <c r="H33" s="45"/>
      <c r="I33" s="41" t="s">
        <v>49</v>
      </c>
      <c r="J33" s="42"/>
      <c r="K33" s="42"/>
      <c r="L33" s="43"/>
      <c r="M33" s="46" t="s">
        <v>497</v>
      </c>
      <c r="N33" s="47"/>
      <c r="O33" s="47"/>
      <c r="P33" s="47"/>
      <c r="Q33" s="47"/>
      <c r="R33" s="47"/>
      <c r="S33" s="47"/>
      <c r="T33" s="47"/>
      <c r="U33" s="47"/>
      <c r="V33" s="47"/>
      <c r="W33" s="47"/>
      <c r="X33" s="47"/>
      <c r="Y33" s="48"/>
      <c r="Z33" s="46" t="s">
        <v>515</v>
      </c>
      <c r="AA33" s="47"/>
      <c r="AB33" s="47"/>
      <c r="AC33" s="47"/>
      <c r="AD33" s="47"/>
      <c r="AE33" s="47"/>
      <c r="AF33" s="47"/>
      <c r="AG33" s="47"/>
      <c r="AH33" s="47"/>
      <c r="AI33" s="47"/>
      <c r="AJ33" s="47"/>
      <c r="AK33" s="47"/>
      <c r="AL33" s="48"/>
      <c r="AM33" s="41"/>
      <c r="AN33" s="42"/>
      <c r="AO33" s="43"/>
      <c r="AP33" s="49" t="s">
        <v>87</v>
      </c>
      <c r="AQ33" s="50"/>
      <c r="AR33" s="51"/>
      <c r="AS33" s="49" t="s">
        <v>484</v>
      </c>
      <c r="AT33" s="50"/>
      <c r="AU33" s="51"/>
      <c r="AV33" s="49" t="s">
        <v>488</v>
      </c>
      <c r="AW33" s="50"/>
      <c r="AX33" s="51"/>
      <c r="AY33" s="35" t="s">
        <v>436</v>
      </c>
      <c r="AZ33" s="36"/>
      <c r="BA33" s="37"/>
      <c r="BB33" s="38">
        <v>45223</v>
      </c>
      <c r="BC33" s="39"/>
      <c r="BD33" s="40"/>
      <c r="BE33" s="38">
        <v>45223</v>
      </c>
      <c r="BF33" s="39"/>
      <c r="BG33" s="40"/>
      <c r="BH33" s="35" t="s">
        <v>9</v>
      </c>
      <c r="BI33" s="36"/>
      <c r="BJ33" s="37"/>
      <c r="BK33" s="38">
        <v>45237</v>
      </c>
      <c r="BL33" s="39"/>
      <c r="BM33" s="40"/>
      <c r="BN33" s="41"/>
      <c r="BO33" s="42"/>
      <c r="BP33" s="42"/>
      <c r="BQ33" s="42"/>
      <c r="BR33" s="42"/>
      <c r="BS33" s="43"/>
    </row>
    <row r="34" spans="1:71" ht="45" customHeight="1" x14ac:dyDescent="0.3">
      <c r="A34" s="7">
        <f>IF(M34="","",COUNTA($M$9:M34))</f>
        <v>26</v>
      </c>
      <c r="B34" s="35" t="s">
        <v>9</v>
      </c>
      <c r="C34" s="37"/>
      <c r="D34" s="52" t="s">
        <v>42</v>
      </c>
      <c r="E34" s="44"/>
      <c r="F34" s="44"/>
      <c r="G34" s="44"/>
      <c r="H34" s="45"/>
      <c r="I34" s="41" t="s">
        <v>49</v>
      </c>
      <c r="J34" s="42"/>
      <c r="K34" s="42"/>
      <c r="L34" s="43"/>
      <c r="M34" s="46" t="s">
        <v>456</v>
      </c>
      <c r="N34" s="47"/>
      <c r="O34" s="47"/>
      <c r="P34" s="47"/>
      <c r="Q34" s="47"/>
      <c r="R34" s="47"/>
      <c r="S34" s="47"/>
      <c r="T34" s="47"/>
      <c r="U34" s="47"/>
      <c r="V34" s="47"/>
      <c r="W34" s="47"/>
      <c r="X34" s="47"/>
      <c r="Y34" s="48"/>
      <c r="Z34" s="46" t="s">
        <v>462</v>
      </c>
      <c r="AA34" s="47"/>
      <c r="AB34" s="47"/>
      <c r="AC34" s="47"/>
      <c r="AD34" s="47"/>
      <c r="AE34" s="47"/>
      <c r="AF34" s="47"/>
      <c r="AG34" s="47"/>
      <c r="AH34" s="47"/>
      <c r="AI34" s="47"/>
      <c r="AJ34" s="47"/>
      <c r="AK34" s="47"/>
      <c r="AL34" s="48"/>
      <c r="AM34" s="41"/>
      <c r="AN34" s="42"/>
      <c r="AO34" s="43"/>
      <c r="AP34" s="49" t="s">
        <v>87</v>
      </c>
      <c r="AQ34" s="50"/>
      <c r="AR34" s="51"/>
      <c r="AS34" s="49" t="s">
        <v>484</v>
      </c>
      <c r="AT34" s="50"/>
      <c r="AU34" s="51"/>
      <c r="AV34" s="49" t="s">
        <v>491</v>
      </c>
      <c r="AW34" s="50"/>
      <c r="AX34" s="51"/>
      <c r="AY34" s="35" t="s">
        <v>436</v>
      </c>
      <c r="AZ34" s="36"/>
      <c r="BA34" s="37"/>
      <c r="BB34" s="38">
        <v>45218</v>
      </c>
      <c r="BC34" s="39"/>
      <c r="BD34" s="40"/>
      <c r="BE34" s="38">
        <v>45218</v>
      </c>
      <c r="BF34" s="39"/>
      <c r="BG34" s="40"/>
      <c r="BH34" s="35" t="s">
        <v>9</v>
      </c>
      <c r="BI34" s="36"/>
      <c r="BJ34" s="37"/>
      <c r="BK34" s="38">
        <v>45222</v>
      </c>
      <c r="BL34" s="39"/>
      <c r="BM34" s="40"/>
      <c r="BN34" s="41"/>
      <c r="BO34" s="42"/>
      <c r="BP34" s="42"/>
      <c r="BQ34" s="42"/>
      <c r="BR34" s="42"/>
      <c r="BS34" s="43"/>
    </row>
    <row r="35" spans="1:71" ht="117.75" customHeight="1" x14ac:dyDescent="0.3">
      <c r="A35" s="7">
        <f>IF(M35="","",COUNTA($M$9:M35))</f>
        <v>27</v>
      </c>
      <c r="B35" s="35" t="s">
        <v>9</v>
      </c>
      <c r="C35" s="37"/>
      <c r="D35" s="52" t="s">
        <v>42</v>
      </c>
      <c r="E35" s="44"/>
      <c r="F35" s="44"/>
      <c r="G35" s="44"/>
      <c r="H35" s="45"/>
      <c r="I35" s="41" t="s">
        <v>49</v>
      </c>
      <c r="J35" s="42"/>
      <c r="K35" s="42"/>
      <c r="L35" s="43"/>
      <c r="M35" s="46" t="s">
        <v>457</v>
      </c>
      <c r="N35" s="47"/>
      <c r="O35" s="47"/>
      <c r="P35" s="47"/>
      <c r="Q35" s="47"/>
      <c r="R35" s="47"/>
      <c r="S35" s="47"/>
      <c r="T35" s="47"/>
      <c r="U35" s="47"/>
      <c r="V35" s="47"/>
      <c r="W35" s="47"/>
      <c r="X35" s="47"/>
      <c r="Y35" s="48"/>
      <c r="Z35" s="46" t="s">
        <v>461</v>
      </c>
      <c r="AA35" s="47"/>
      <c r="AB35" s="47"/>
      <c r="AC35" s="47"/>
      <c r="AD35" s="47"/>
      <c r="AE35" s="47"/>
      <c r="AF35" s="47"/>
      <c r="AG35" s="47"/>
      <c r="AH35" s="47"/>
      <c r="AI35" s="47"/>
      <c r="AJ35" s="47"/>
      <c r="AK35" s="47"/>
      <c r="AL35" s="48"/>
      <c r="AM35" s="41"/>
      <c r="AN35" s="42"/>
      <c r="AO35" s="43"/>
      <c r="AP35" s="49" t="s">
        <v>87</v>
      </c>
      <c r="AQ35" s="50"/>
      <c r="AR35" s="51"/>
      <c r="AS35" s="49" t="s">
        <v>481</v>
      </c>
      <c r="AT35" s="50"/>
      <c r="AU35" s="51"/>
      <c r="AV35" s="49" t="s">
        <v>482</v>
      </c>
      <c r="AW35" s="50"/>
      <c r="AX35" s="51"/>
      <c r="AY35" s="35" t="s">
        <v>436</v>
      </c>
      <c r="AZ35" s="36"/>
      <c r="BA35" s="37"/>
      <c r="BB35" s="38">
        <v>45218</v>
      </c>
      <c r="BC35" s="39"/>
      <c r="BD35" s="40"/>
      <c r="BE35" s="38">
        <v>45218</v>
      </c>
      <c r="BF35" s="39"/>
      <c r="BG35" s="40"/>
      <c r="BH35" s="35" t="s">
        <v>9</v>
      </c>
      <c r="BI35" s="36"/>
      <c r="BJ35" s="37"/>
      <c r="BK35" s="38">
        <v>45222</v>
      </c>
      <c r="BL35" s="39"/>
      <c r="BM35" s="40"/>
      <c r="BN35" s="41"/>
      <c r="BO35" s="42"/>
      <c r="BP35" s="42"/>
      <c r="BQ35" s="42"/>
      <c r="BR35" s="42"/>
      <c r="BS35" s="43"/>
    </row>
    <row r="36" spans="1:71" ht="189" customHeight="1" x14ac:dyDescent="0.3">
      <c r="A36" s="7">
        <f>IF(M36="","",COUNTA($M$9:M36))</f>
        <v>28</v>
      </c>
      <c r="B36" s="35" t="s">
        <v>9</v>
      </c>
      <c r="C36" s="37"/>
      <c r="D36" s="52" t="s">
        <v>464</v>
      </c>
      <c r="E36" s="44"/>
      <c r="F36" s="44"/>
      <c r="G36" s="44"/>
      <c r="H36" s="45"/>
      <c r="I36" s="41" t="s">
        <v>46</v>
      </c>
      <c r="J36" s="42"/>
      <c r="K36" s="42"/>
      <c r="L36" s="43"/>
      <c r="M36" s="46" t="s">
        <v>465</v>
      </c>
      <c r="N36" s="47"/>
      <c r="O36" s="47"/>
      <c r="P36" s="47"/>
      <c r="Q36" s="47"/>
      <c r="R36" s="47"/>
      <c r="S36" s="47"/>
      <c r="T36" s="47"/>
      <c r="U36" s="47"/>
      <c r="V36" s="47"/>
      <c r="W36" s="47"/>
      <c r="X36" s="47"/>
      <c r="Y36" s="48"/>
      <c r="Z36" s="46" t="s">
        <v>496</v>
      </c>
      <c r="AA36" s="47"/>
      <c r="AB36" s="47"/>
      <c r="AC36" s="47"/>
      <c r="AD36" s="47"/>
      <c r="AE36" s="47"/>
      <c r="AF36" s="47"/>
      <c r="AG36" s="47"/>
      <c r="AH36" s="47"/>
      <c r="AI36" s="47"/>
      <c r="AJ36" s="47"/>
      <c r="AK36" s="47"/>
      <c r="AL36" s="48"/>
      <c r="AM36" s="41"/>
      <c r="AN36" s="42"/>
      <c r="AO36" s="43"/>
      <c r="AP36" s="49" t="s">
        <v>87</v>
      </c>
      <c r="AQ36" s="50"/>
      <c r="AR36" s="51"/>
      <c r="AS36" s="49" t="s">
        <v>495</v>
      </c>
      <c r="AT36" s="50"/>
      <c r="AU36" s="51"/>
      <c r="AV36" s="49" t="s">
        <v>488</v>
      </c>
      <c r="AW36" s="50"/>
      <c r="AX36" s="51"/>
      <c r="AY36" s="35" t="s">
        <v>436</v>
      </c>
      <c r="AZ36" s="36"/>
      <c r="BA36" s="37"/>
      <c r="BB36" s="38">
        <v>45219</v>
      </c>
      <c r="BC36" s="39"/>
      <c r="BD36" s="40"/>
      <c r="BE36" s="38">
        <v>45219</v>
      </c>
      <c r="BF36" s="39"/>
      <c r="BG36" s="40"/>
      <c r="BH36" s="35" t="s">
        <v>9</v>
      </c>
      <c r="BI36" s="36"/>
      <c r="BJ36" s="37"/>
      <c r="BK36" s="38">
        <v>45237</v>
      </c>
      <c r="BL36" s="39"/>
      <c r="BM36" s="40"/>
      <c r="BN36" s="41"/>
      <c r="BO36" s="42"/>
      <c r="BP36" s="42"/>
      <c r="BQ36" s="42"/>
      <c r="BR36" s="42"/>
      <c r="BS36" s="43"/>
    </row>
    <row r="37" spans="1:71" ht="210" customHeight="1" x14ac:dyDescent="0.3">
      <c r="A37" s="7">
        <f>IF(M37="","",COUNTA($M$9:M37))</f>
        <v>29</v>
      </c>
      <c r="B37" s="35" t="s">
        <v>9</v>
      </c>
      <c r="C37" s="37"/>
      <c r="D37" s="52" t="s">
        <v>464</v>
      </c>
      <c r="E37" s="44"/>
      <c r="F37" s="44"/>
      <c r="G37" s="44"/>
      <c r="H37" s="45"/>
      <c r="I37" s="41" t="s">
        <v>46</v>
      </c>
      <c r="J37" s="42"/>
      <c r="K37" s="42"/>
      <c r="L37" s="43"/>
      <c r="M37" s="46" t="s">
        <v>466</v>
      </c>
      <c r="N37" s="47"/>
      <c r="O37" s="47"/>
      <c r="P37" s="47"/>
      <c r="Q37" s="47"/>
      <c r="R37" s="47"/>
      <c r="S37" s="47"/>
      <c r="T37" s="47"/>
      <c r="U37" s="47"/>
      <c r="V37" s="47"/>
      <c r="W37" s="47"/>
      <c r="X37" s="47"/>
      <c r="Y37" s="48"/>
      <c r="Z37" s="46" t="s">
        <v>494</v>
      </c>
      <c r="AA37" s="47"/>
      <c r="AB37" s="47"/>
      <c r="AC37" s="47"/>
      <c r="AD37" s="47"/>
      <c r="AE37" s="47"/>
      <c r="AF37" s="47"/>
      <c r="AG37" s="47"/>
      <c r="AH37" s="47"/>
      <c r="AI37" s="47"/>
      <c r="AJ37" s="47"/>
      <c r="AK37" s="47"/>
      <c r="AL37" s="48"/>
      <c r="AM37" s="41"/>
      <c r="AN37" s="42"/>
      <c r="AO37" s="43"/>
      <c r="AP37" s="49" t="s">
        <v>87</v>
      </c>
      <c r="AQ37" s="50"/>
      <c r="AR37" s="51"/>
      <c r="AS37" s="49" t="s">
        <v>484</v>
      </c>
      <c r="AT37" s="50"/>
      <c r="AU37" s="51"/>
      <c r="AV37" s="49" t="s">
        <v>491</v>
      </c>
      <c r="AW37" s="50"/>
      <c r="AX37" s="51"/>
      <c r="AY37" s="35" t="s">
        <v>436</v>
      </c>
      <c r="AZ37" s="36"/>
      <c r="BA37" s="37"/>
      <c r="BB37" s="38">
        <v>45219</v>
      </c>
      <c r="BC37" s="39"/>
      <c r="BD37" s="40"/>
      <c r="BE37" s="38">
        <v>45219</v>
      </c>
      <c r="BF37" s="39"/>
      <c r="BG37" s="40"/>
      <c r="BH37" s="35" t="s">
        <v>9</v>
      </c>
      <c r="BI37" s="36"/>
      <c r="BJ37" s="37"/>
      <c r="BK37" s="38">
        <v>45237</v>
      </c>
      <c r="BL37" s="39"/>
      <c r="BM37" s="40"/>
      <c r="BN37" s="41"/>
      <c r="BO37" s="42"/>
      <c r="BP37" s="42"/>
      <c r="BQ37" s="42"/>
      <c r="BR37" s="42"/>
      <c r="BS37" s="43"/>
    </row>
    <row r="38" spans="1:71" ht="216.75" customHeight="1" x14ac:dyDescent="0.3">
      <c r="A38" s="7">
        <f>IF(M38="","",COUNTA($M$9:M38))</f>
        <v>30</v>
      </c>
      <c r="B38" s="35" t="s">
        <v>9</v>
      </c>
      <c r="C38" s="37"/>
      <c r="D38" s="52" t="s">
        <v>42</v>
      </c>
      <c r="E38" s="44"/>
      <c r="F38" s="44"/>
      <c r="G38" s="44"/>
      <c r="H38" s="45"/>
      <c r="I38" s="41" t="s">
        <v>51</v>
      </c>
      <c r="J38" s="42"/>
      <c r="K38" s="42"/>
      <c r="L38" s="43"/>
      <c r="M38" s="46" t="s">
        <v>483</v>
      </c>
      <c r="N38" s="47"/>
      <c r="O38" s="47"/>
      <c r="P38" s="47"/>
      <c r="Q38" s="47"/>
      <c r="R38" s="47"/>
      <c r="S38" s="47"/>
      <c r="T38" s="47"/>
      <c r="U38" s="47"/>
      <c r="V38" s="47"/>
      <c r="W38" s="47"/>
      <c r="X38" s="47"/>
      <c r="Y38" s="48"/>
      <c r="Z38" s="46" t="s">
        <v>470</v>
      </c>
      <c r="AA38" s="47"/>
      <c r="AB38" s="47"/>
      <c r="AC38" s="47"/>
      <c r="AD38" s="47"/>
      <c r="AE38" s="47"/>
      <c r="AF38" s="47"/>
      <c r="AG38" s="47"/>
      <c r="AH38" s="47"/>
      <c r="AI38" s="47"/>
      <c r="AJ38" s="47"/>
      <c r="AK38" s="47"/>
      <c r="AL38" s="48"/>
      <c r="AM38" s="41"/>
      <c r="AN38" s="42"/>
      <c r="AO38" s="43"/>
      <c r="AP38" s="49" t="s">
        <v>87</v>
      </c>
      <c r="AQ38" s="50"/>
      <c r="AR38" s="51"/>
      <c r="AS38" s="49" t="s">
        <v>481</v>
      </c>
      <c r="AT38" s="50"/>
      <c r="AU38" s="51"/>
      <c r="AV38" s="49" t="s">
        <v>482</v>
      </c>
      <c r="AW38" s="50"/>
      <c r="AX38" s="51"/>
      <c r="AY38" s="35" t="s">
        <v>436</v>
      </c>
      <c r="AZ38" s="36"/>
      <c r="BA38" s="37"/>
      <c r="BB38" s="38">
        <v>45219</v>
      </c>
      <c r="BC38" s="39"/>
      <c r="BD38" s="40"/>
      <c r="BE38" s="38">
        <v>45219</v>
      </c>
      <c r="BF38" s="39"/>
      <c r="BG38" s="40"/>
      <c r="BH38" s="35" t="s">
        <v>9</v>
      </c>
      <c r="BI38" s="36"/>
      <c r="BJ38" s="37"/>
      <c r="BK38" s="38">
        <v>45222</v>
      </c>
      <c r="BL38" s="39"/>
      <c r="BM38" s="40"/>
      <c r="BN38" s="41"/>
      <c r="BO38" s="42"/>
      <c r="BP38" s="42"/>
      <c r="BQ38" s="42"/>
      <c r="BR38" s="42"/>
      <c r="BS38" s="43"/>
    </row>
    <row r="39" spans="1:71" ht="66.75" customHeight="1" x14ac:dyDescent="0.3">
      <c r="A39" s="7">
        <f>IF(M39="","",COUNTA($M$9:M39))</f>
        <v>31</v>
      </c>
      <c r="B39" s="35" t="s">
        <v>9</v>
      </c>
      <c r="C39" s="37"/>
      <c r="D39" s="41" t="s">
        <v>467</v>
      </c>
      <c r="E39" s="44"/>
      <c r="F39" s="44"/>
      <c r="G39" s="44"/>
      <c r="H39" s="45"/>
      <c r="I39" s="41" t="s">
        <v>448</v>
      </c>
      <c r="J39" s="42"/>
      <c r="K39" s="42"/>
      <c r="L39" s="43"/>
      <c r="M39" s="46" t="s">
        <v>468</v>
      </c>
      <c r="N39" s="47"/>
      <c r="O39" s="47"/>
      <c r="P39" s="47"/>
      <c r="Q39" s="47"/>
      <c r="R39" s="47"/>
      <c r="S39" s="47"/>
      <c r="T39" s="47"/>
      <c r="U39" s="47"/>
      <c r="V39" s="47"/>
      <c r="W39" s="47"/>
      <c r="X39" s="47"/>
      <c r="Y39" s="48"/>
      <c r="Z39" s="46" t="s">
        <v>472</v>
      </c>
      <c r="AA39" s="47"/>
      <c r="AB39" s="47"/>
      <c r="AC39" s="47"/>
      <c r="AD39" s="47"/>
      <c r="AE39" s="47"/>
      <c r="AF39" s="47"/>
      <c r="AG39" s="47"/>
      <c r="AH39" s="47"/>
      <c r="AI39" s="47"/>
      <c r="AJ39" s="47"/>
      <c r="AK39" s="47"/>
      <c r="AL39" s="48"/>
      <c r="AM39" s="41"/>
      <c r="AN39" s="42"/>
      <c r="AO39" s="43"/>
      <c r="AP39" s="49" t="s">
        <v>87</v>
      </c>
      <c r="AQ39" s="50"/>
      <c r="AR39" s="51"/>
      <c r="AS39" s="49">
        <v>1</v>
      </c>
      <c r="AT39" s="50"/>
      <c r="AU39" s="51"/>
      <c r="AV39" s="49">
        <v>10</v>
      </c>
      <c r="AW39" s="50"/>
      <c r="AX39" s="51"/>
      <c r="AY39" s="35" t="s">
        <v>436</v>
      </c>
      <c r="AZ39" s="36"/>
      <c r="BA39" s="37"/>
      <c r="BB39" s="38">
        <v>45219</v>
      </c>
      <c r="BC39" s="39"/>
      <c r="BD39" s="40"/>
      <c r="BE39" s="38">
        <v>45219</v>
      </c>
      <c r="BF39" s="39"/>
      <c r="BG39" s="40"/>
      <c r="BH39" s="35" t="s">
        <v>9</v>
      </c>
      <c r="BI39" s="36"/>
      <c r="BJ39" s="37"/>
      <c r="BK39" s="38">
        <v>45222</v>
      </c>
      <c r="BL39" s="39"/>
      <c r="BM39" s="40"/>
      <c r="BN39" s="41"/>
      <c r="BO39" s="42"/>
      <c r="BP39" s="42"/>
      <c r="BQ39" s="42"/>
      <c r="BR39" s="42"/>
      <c r="BS39" s="43"/>
    </row>
    <row r="40" spans="1:71" ht="45" customHeight="1" x14ac:dyDescent="0.3">
      <c r="A40" s="7">
        <f>IF(M40="","",COUNTA($M$9:M40))</f>
        <v>32</v>
      </c>
      <c r="B40" s="35" t="s">
        <v>9</v>
      </c>
      <c r="C40" s="37"/>
      <c r="D40" s="41" t="s">
        <v>467</v>
      </c>
      <c r="E40" s="44"/>
      <c r="F40" s="44"/>
      <c r="G40" s="44"/>
      <c r="H40" s="45"/>
      <c r="I40" s="41" t="s">
        <v>46</v>
      </c>
      <c r="J40" s="42"/>
      <c r="K40" s="42"/>
      <c r="L40" s="43"/>
      <c r="M40" s="46" t="s">
        <v>469</v>
      </c>
      <c r="N40" s="47"/>
      <c r="O40" s="47"/>
      <c r="P40" s="47"/>
      <c r="Q40" s="47"/>
      <c r="R40" s="47"/>
      <c r="S40" s="47"/>
      <c r="T40" s="47"/>
      <c r="U40" s="47"/>
      <c r="V40" s="47"/>
      <c r="W40" s="47"/>
      <c r="X40" s="47"/>
      <c r="Y40" s="48"/>
      <c r="Z40" s="46" t="s">
        <v>473</v>
      </c>
      <c r="AA40" s="47"/>
      <c r="AB40" s="47"/>
      <c r="AC40" s="47"/>
      <c r="AD40" s="47"/>
      <c r="AE40" s="47"/>
      <c r="AF40" s="47"/>
      <c r="AG40" s="47"/>
      <c r="AH40" s="47"/>
      <c r="AI40" s="47"/>
      <c r="AJ40" s="47"/>
      <c r="AK40" s="47"/>
      <c r="AL40" s="48"/>
      <c r="AM40" s="41"/>
      <c r="AN40" s="42"/>
      <c r="AO40" s="43"/>
      <c r="AP40" s="49" t="s">
        <v>87</v>
      </c>
      <c r="AQ40" s="50"/>
      <c r="AR40" s="51"/>
      <c r="AS40" s="49">
        <v>1</v>
      </c>
      <c r="AT40" s="50"/>
      <c r="AU40" s="51"/>
      <c r="AV40" s="49">
        <v>14</v>
      </c>
      <c r="AW40" s="50"/>
      <c r="AX40" s="51"/>
      <c r="AY40" s="35" t="s">
        <v>436</v>
      </c>
      <c r="AZ40" s="36"/>
      <c r="BA40" s="37"/>
      <c r="BB40" s="38">
        <v>45219</v>
      </c>
      <c r="BC40" s="39"/>
      <c r="BD40" s="40"/>
      <c r="BE40" s="38">
        <v>45219</v>
      </c>
      <c r="BF40" s="39"/>
      <c r="BG40" s="40"/>
      <c r="BH40" s="35" t="s">
        <v>9</v>
      </c>
      <c r="BI40" s="36"/>
      <c r="BJ40" s="37"/>
      <c r="BK40" s="38">
        <v>45222</v>
      </c>
      <c r="BL40" s="39"/>
      <c r="BM40" s="40"/>
      <c r="BN40" s="41"/>
      <c r="BO40" s="42"/>
      <c r="BP40" s="42"/>
      <c r="BQ40" s="42"/>
      <c r="BR40" s="42"/>
      <c r="BS40" s="43"/>
    </row>
    <row r="41" spans="1:71" ht="133.19999999999999" customHeight="1" x14ac:dyDescent="0.3">
      <c r="A41" s="7">
        <f>IF(M41="","",COUNTA($M$9:M41))</f>
        <v>33</v>
      </c>
      <c r="B41" s="35" t="s">
        <v>9</v>
      </c>
      <c r="C41" s="37"/>
      <c r="D41" s="52" t="s">
        <v>475</v>
      </c>
      <c r="E41" s="44"/>
      <c r="F41" s="44"/>
      <c r="G41" s="44"/>
      <c r="H41" s="45"/>
      <c r="I41" s="41" t="s">
        <v>43</v>
      </c>
      <c r="J41" s="42"/>
      <c r="K41" s="42"/>
      <c r="L41" s="43"/>
      <c r="M41" s="46" t="s">
        <v>476</v>
      </c>
      <c r="N41" s="47"/>
      <c r="O41" s="47"/>
      <c r="P41" s="47"/>
      <c r="Q41" s="47"/>
      <c r="R41" s="47"/>
      <c r="S41" s="47"/>
      <c r="T41" s="47"/>
      <c r="U41" s="47"/>
      <c r="V41" s="47"/>
      <c r="W41" s="47"/>
      <c r="X41" s="47"/>
      <c r="Y41" s="48"/>
      <c r="Z41" s="46" t="s">
        <v>480</v>
      </c>
      <c r="AA41" s="47"/>
      <c r="AB41" s="47"/>
      <c r="AC41" s="47"/>
      <c r="AD41" s="47"/>
      <c r="AE41" s="47"/>
      <c r="AF41" s="47"/>
      <c r="AG41" s="47"/>
      <c r="AH41" s="47"/>
      <c r="AI41" s="47"/>
      <c r="AJ41" s="47"/>
      <c r="AK41" s="47"/>
      <c r="AL41" s="48"/>
      <c r="AM41" s="41"/>
      <c r="AN41" s="42"/>
      <c r="AO41" s="43"/>
      <c r="AP41" s="49" t="s">
        <v>87</v>
      </c>
      <c r="AQ41" s="50"/>
      <c r="AR41" s="51"/>
      <c r="AS41" s="49">
        <v>1</v>
      </c>
      <c r="AT41" s="50"/>
      <c r="AU41" s="51"/>
      <c r="AV41" s="49">
        <v>14</v>
      </c>
      <c r="AW41" s="50"/>
      <c r="AX41" s="51"/>
      <c r="AY41" s="35" t="s">
        <v>436</v>
      </c>
      <c r="AZ41" s="36"/>
      <c r="BA41" s="37"/>
      <c r="BB41" s="38">
        <v>45222</v>
      </c>
      <c r="BC41" s="39"/>
      <c r="BD41" s="40"/>
      <c r="BE41" s="38">
        <v>45222</v>
      </c>
      <c r="BF41" s="39"/>
      <c r="BG41" s="40"/>
      <c r="BH41" s="35" t="s">
        <v>9</v>
      </c>
      <c r="BI41" s="36"/>
      <c r="BJ41" s="37"/>
      <c r="BK41" s="38">
        <v>45222</v>
      </c>
      <c r="BL41" s="39"/>
      <c r="BM41" s="40"/>
      <c r="BN41" s="41"/>
      <c r="BO41" s="42"/>
      <c r="BP41" s="42"/>
      <c r="BQ41" s="42"/>
      <c r="BR41" s="42"/>
      <c r="BS41" s="43"/>
    </row>
    <row r="42" spans="1:71" ht="45" customHeight="1" x14ac:dyDescent="0.3">
      <c r="A42" s="7">
        <f>IF(M42="","",COUNTA($M$9:M42))</f>
        <v>34</v>
      </c>
      <c r="B42" s="35" t="s">
        <v>9</v>
      </c>
      <c r="C42" s="37"/>
      <c r="D42" s="52" t="s">
        <v>42</v>
      </c>
      <c r="E42" s="44"/>
      <c r="F42" s="44"/>
      <c r="G42" s="44"/>
      <c r="H42" s="45"/>
      <c r="I42" s="41" t="s">
        <v>448</v>
      </c>
      <c r="J42" s="42"/>
      <c r="K42" s="42"/>
      <c r="L42" s="43"/>
      <c r="M42" s="46" t="s">
        <v>477</v>
      </c>
      <c r="N42" s="47"/>
      <c r="O42" s="47"/>
      <c r="P42" s="47"/>
      <c r="Q42" s="47"/>
      <c r="R42" s="47"/>
      <c r="S42" s="47"/>
      <c r="T42" s="47"/>
      <c r="U42" s="47"/>
      <c r="V42" s="47"/>
      <c r="W42" s="47"/>
      <c r="X42" s="47"/>
      <c r="Y42" s="48"/>
      <c r="Z42" s="46" t="s">
        <v>479</v>
      </c>
      <c r="AA42" s="47"/>
      <c r="AB42" s="47"/>
      <c r="AC42" s="47"/>
      <c r="AD42" s="47"/>
      <c r="AE42" s="47"/>
      <c r="AF42" s="47"/>
      <c r="AG42" s="47"/>
      <c r="AH42" s="47"/>
      <c r="AI42" s="47"/>
      <c r="AJ42" s="47"/>
      <c r="AK42" s="47"/>
      <c r="AL42" s="48"/>
      <c r="AM42" s="41"/>
      <c r="AN42" s="42"/>
      <c r="AO42" s="43"/>
      <c r="AP42" s="49" t="s">
        <v>87</v>
      </c>
      <c r="AQ42" s="50"/>
      <c r="AR42" s="51"/>
      <c r="AS42" s="49">
        <v>1</v>
      </c>
      <c r="AT42" s="50"/>
      <c r="AU42" s="51"/>
      <c r="AV42" s="49">
        <v>10</v>
      </c>
      <c r="AW42" s="50"/>
      <c r="AX42" s="51"/>
      <c r="AY42" s="35" t="s">
        <v>436</v>
      </c>
      <c r="AZ42" s="36"/>
      <c r="BA42" s="37"/>
      <c r="BB42" s="38">
        <v>45222</v>
      </c>
      <c r="BC42" s="39"/>
      <c r="BD42" s="40"/>
      <c r="BE42" s="38">
        <v>45222</v>
      </c>
      <c r="BF42" s="39"/>
      <c r="BG42" s="40"/>
      <c r="BH42" s="35" t="s">
        <v>9</v>
      </c>
      <c r="BI42" s="36"/>
      <c r="BJ42" s="37"/>
      <c r="BK42" s="38">
        <v>45222</v>
      </c>
      <c r="BL42" s="39"/>
      <c r="BM42" s="40"/>
      <c r="BN42" s="41"/>
      <c r="BO42" s="42"/>
      <c r="BP42" s="42"/>
      <c r="BQ42" s="42"/>
      <c r="BR42" s="42"/>
      <c r="BS42" s="43"/>
    </row>
    <row r="43" spans="1:71" ht="87" customHeight="1" x14ac:dyDescent="0.3">
      <c r="A43" s="7">
        <f>IF(M43="","",COUNTA($M$9:M43))</f>
        <v>35</v>
      </c>
      <c r="B43" s="35" t="s">
        <v>9</v>
      </c>
      <c r="C43" s="37"/>
      <c r="D43" s="52" t="s">
        <v>464</v>
      </c>
      <c r="E43" s="44"/>
      <c r="F43" s="44"/>
      <c r="G43" s="44"/>
      <c r="H43" s="45"/>
      <c r="I43" s="41" t="s">
        <v>52</v>
      </c>
      <c r="J43" s="42"/>
      <c r="K43" s="42"/>
      <c r="L43" s="43"/>
      <c r="M43" s="46" t="s">
        <v>509</v>
      </c>
      <c r="N43" s="47"/>
      <c r="O43" s="47"/>
      <c r="P43" s="47"/>
      <c r="Q43" s="47"/>
      <c r="R43" s="47"/>
      <c r="S43" s="47"/>
      <c r="T43" s="47"/>
      <c r="U43" s="47"/>
      <c r="V43" s="47"/>
      <c r="W43" s="47"/>
      <c r="X43" s="47"/>
      <c r="Y43" s="48"/>
      <c r="Z43" s="46" t="s">
        <v>517</v>
      </c>
      <c r="AA43" s="47"/>
      <c r="AB43" s="47"/>
      <c r="AC43" s="47"/>
      <c r="AD43" s="47"/>
      <c r="AE43" s="47"/>
      <c r="AF43" s="47"/>
      <c r="AG43" s="47"/>
      <c r="AH43" s="47"/>
      <c r="AI43" s="47"/>
      <c r="AJ43" s="47"/>
      <c r="AK43" s="47"/>
      <c r="AL43" s="48"/>
      <c r="AM43" s="41"/>
      <c r="AN43" s="42"/>
      <c r="AO43" s="43"/>
      <c r="AP43" s="49" t="s">
        <v>87</v>
      </c>
      <c r="AQ43" s="50"/>
      <c r="AR43" s="51"/>
      <c r="AS43" s="49" t="s">
        <v>484</v>
      </c>
      <c r="AT43" s="50"/>
      <c r="AU43" s="51"/>
      <c r="AV43" s="49" t="s">
        <v>485</v>
      </c>
      <c r="AW43" s="50"/>
      <c r="AX43" s="51"/>
      <c r="AY43" s="35" t="s">
        <v>436</v>
      </c>
      <c r="AZ43" s="36"/>
      <c r="BA43" s="37"/>
      <c r="BB43" s="38">
        <v>45238</v>
      </c>
      <c r="BC43" s="39"/>
      <c r="BD43" s="40"/>
      <c r="BE43" s="38" t="s">
        <v>518</v>
      </c>
      <c r="BF43" s="39"/>
      <c r="BG43" s="40"/>
      <c r="BH43" s="35" t="s">
        <v>9</v>
      </c>
      <c r="BI43" s="36"/>
      <c r="BJ43" s="37"/>
      <c r="BK43" s="38">
        <v>45238</v>
      </c>
      <c r="BL43" s="39"/>
      <c r="BM43" s="40"/>
      <c r="BN43" s="41"/>
      <c r="BO43" s="42"/>
      <c r="BP43" s="42"/>
      <c r="BQ43" s="42"/>
      <c r="BR43" s="42"/>
      <c r="BS43" s="43"/>
    </row>
    <row r="44" spans="1:71" ht="45" customHeight="1" x14ac:dyDescent="0.3">
      <c r="A44" s="7" t="str">
        <f>IF(M44="","",COUNTA($M$9:M44))</f>
        <v/>
      </c>
      <c r="B44" s="35"/>
      <c r="C44" s="37"/>
      <c r="D44" s="52"/>
      <c r="E44" s="44"/>
      <c r="F44" s="44"/>
      <c r="G44" s="44"/>
      <c r="H44" s="45"/>
      <c r="I44" s="41"/>
      <c r="J44" s="42"/>
      <c r="K44" s="42"/>
      <c r="L44" s="43"/>
      <c r="M44" s="46"/>
      <c r="N44" s="47"/>
      <c r="O44" s="47"/>
      <c r="P44" s="47"/>
      <c r="Q44" s="47"/>
      <c r="R44" s="47"/>
      <c r="S44" s="47"/>
      <c r="T44" s="47"/>
      <c r="U44" s="47"/>
      <c r="V44" s="47"/>
      <c r="W44" s="47"/>
      <c r="X44" s="47"/>
      <c r="Y44" s="48"/>
      <c r="Z44" s="46"/>
      <c r="AA44" s="47"/>
      <c r="AB44" s="47"/>
      <c r="AC44" s="47"/>
      <c r="AD44" s="47"/>
      <c r="AE44" s="47"/>
      <c r="AF44" s="47"/>
      <c r="AG44" s="47"/>
      <c r="AH44" s="47"/>
      <c r="AI44" s="47"/>
      <c r="AJ44" s="47"/>
      <c r="AK44" s="47"/>
      <c r="AL44" s="48"/>
      <c r="AM44" s="41"/>
      <c r="AN44" s="42"/>
      <c r="AO44" s="43"/>
      <c r="AP44" s="49"/>
      <c r="AQ44" s="50"/>
      <c r="AR44" s="51"/>
      <c r="AS44" s="49"/>
      <c r="AT44" s="50"/>
      <c r="AU44" s="51"/>
      <c r="AV44" s="49"/>
      <c r="AW44" s="50"/>
      <c r="AX44" s="51"/>
      <c r="AY44" s="35"/>
      <c r="AZ44" s="36"/>
      <c r="BA44" s="37"/>
      <c r="BB44" s="38"/>
      <c r="BC44" s="39"/>
      <c r="BD44" s="40"/>
      <c r="BE44" s="38"/>
      <c r="BF44" s="39"/>
      <c r="BG44" s="40"/>
      <c r="BH44" s="35"/>
      <c r="BI44" s="36"/>
      <c r="BJ44" s="37"/>
      <c r="BK44" s="38"/>
      <c r="BL44" s="39"/>
      <c r="BM44" s="40"/>
      <c r="BN44" s="41"/>
      <c r="BO44" s="42"/>
      <c r="BP44" s="42"/>
      <c r="BQ44" s="42"/>
      <c r="BR44" s="42"/>
      <c r="BS44" s="43"/>
    </row>
    <row r="45" spans="1:71" ht="45" customHeight="1" x14ac:dyDescent="0.3">
      <c r="A45" s="7" t="str">
        <f>IF(M45="","",COUNTA($M$9:M45))</f>
        <v/>
      </c>
      <c r="B45" s="35"/>
      <c r="C45" s="37"/>
      <c r="D45" s="52"/>
      <c r="E45" s="44"/>
      <c r="F45" s="44"/>
      <c r="G45" s="44"/>
      <c r="H45" s="45"/>
      <c r="I45" s="41"/>
      <c r="J45" s="42"/>
      <c r="K45" s="42"/>
      <c r="L45" s="43"/>
      <c r="M45" s="46"/>
      <c r="N45" s="47"/>
      <c r="O45" s="47"/>
      <c r="P45" s="47"/>
      <c r="Q45" s="47"/>
      <c r="R45" s="47"/>
      <c r="S45" s="47"/>
      <c r="T45" s="47"/>
      <c r="U45" s="47"/>
      <c r="V45" s="47"/>
      <c r="W45" s="47"/>
      <c r="X45" s="47"/>
      <c r="Y45" s="48"/>
      <c r="Z45" s="46"/>
      <c r="AA45" s="47"/>
      <c r="AB45" s="47"/>
      <c r="AC45" s="47"/>
      <c r="AD45" s="47"/>
      <c r="AE45" s="47"/>
      <c r="AF45" s="47"/>
      <c r="AG45" s="47"/>
      <c r="AH45" s="47"/>
      <c r="AI45" s="47"/>
      <c r="AJ45" s="47"/>
      <c r="AK45" s="47"/>
      <c r="AL45" s="48"/>
      <c r="AM45" s="41"/>
      <c r="AN45" s="42"/>
      <c r="AO45" s="43"/>
      <c r="AP45" s="49"/>
      <c r="AQ45" s="50"/>
      <c r="AR45" s="51"/>
      <c r="AS45" s="49"/>
      <c r="AT45" s="50"/>
      <c r="AU45" s="51"/>
      <c r="AV45" s="49"/>
      <c r="AW45" s="50"/>
      <c r="AX45" s="51"/>
      <c r="AY45" s="35"/>
      <c r="AZ45" s="36"/>
      <c r="BA45" s="37"/>
      <c r="BB45" s="38"/>
      <c r="BC45" s="39"/>
      <c r="BD45" s="40"/>
      <c r="BE45" s="38"/>
      <c r="BF45" s="39"/>
      <c r="BG45" s="40"/>
      <c r="BH45" s="35"/>
      <c r="BI45" s="36"/>
      <c r="BJ45" s="37"/>
      <c r="BK45" s="38"/>
      <c r="BL45" s="39"/>
      <c r="BM45" s="40"/>
      <c r="BN45" s="41"/>
      <c r="BO45" s="42"/>
      <c r="BP45" s="42"/>
      <c r="BQ45" s="42"/>
      <c r="BR45" s="42"/>
      <c r="BS45" s="43"/>
    </row>
    <row r="46" spans="1:71" ht="45" customHeight="1" x14ac:dyDescent="0.3">
      <c r="A46" s="7" t="str">
        <f>IF(M46="","",COUNTA($M$9:M46))</f>
        <v/>
      </c>
      <c r="B46" s="35"/>
      <c r="C46" s="37"/>
      <c r="D46" s="52"/>
      <c r="E46" s="44"/>
      <c r="F46" s="44"/>
      <c r="G46" s="44"/>
      <c r="H46" s="45"/>
      <c r="I46" s="41"/>
      <c r="J46" s="42"/>
      <c r="K46" s="42"/>
      <c r="L46" s="43"/>
      <c r="M46" s="46"/>
      <c r="N46" s="47"/>
      <c r="O46" s="47"/>
      <c r="P46" s="47"/>
      <c r="Q46" s="47"/>
      <c r="R46" s="47"/>
      <c r="S46" s="47"/>
      <c r="T46" s="47"/>
      <c r="U46" s="47"/>
      <c r="V46" s="47"/>
      <c r="W46" s="47"/>
      <c r="X46" s="47"/>
      <c r="Y46" s="48"/>
      <c r="Z46" s="46"/>
      <c r="AA46" s="47"/>
      <c r="AB46" s="47"/>
      <c r="AC46" s="47"/>
      <c r="AD46" s="47"/>
      <c r="AE46" s="47"/>
      <c r="AF46" s="47"/>
      <c r="AG46" s="47"/>
      <c r="AH46" s="47"/>
      <c r="AI46" s="47"/>
      <c r="AJ46" s="47"/>
      <c r="AK46" s="47"/>
      <c r="AL46" s="48"/>
      <c r="AM46" s="41"/>
      <c r="AN46" s="42"/>
      <c r="AO46" s="43"/>
      <c r="AP46" s="49"/>
      <c r="AQ46" s="50"/>
      <c r="AR46" s="51"/>
      <c r="AS46" s="49"/>
      <c r="AT46" s="50"/>
      <c r="AU46" s="51"/>
      <c r="AV46" s="49"/>
      <c r="AW46" s="50"/>
      <c r="AX46" s="51"/>
      <c r="AY46" s="35"/>
      <c r="AZ46" s="36"/>
      <c r="BA46" s="37"/>
      <c r="BB46" s="38"/>
      <c r="BC46" s="39"/>
      <c r="BD46" s="40"/>
      <c r="BE46" s="38"/>
      <c r="BF46" s="39"/>
      <c r="BG46" s="40"/>
      <c r="BH46" s="35"/>
      <c r="BI46" s="36"/>
      <c r="BJ46" s="37"/>
      <c r="BK46" s="38"/>
      <c r="BL46" s="39"/>
      <c r="BM46" s="40"/>
      <c r="BN46" s="41"/>
      <c r="BO46" s="42"/>
      <c r="BP46" s="42"/>
      <c r="BQ46" s="42"/>
      <c r="BR46" s="42"/>
      <c r="BS46" s="43"/>
    </row>
    <row r="47" spans="1:71" ht="45" customHeight="1" x14ac:dyDescent="0.3">
      <c r="A47" s="7" t="str">
        <f>IF(M47="","",COUNTA($M$9:M47))</f>
        <v/>
      </c>
      <c r="B47" s="35"/>
      <c r="C47" s="37"/>
      <c r="D47" s="52"/>
      <c r="E47" s="44"/>
      <c r="F47" s="44"/>
      <c r="G47" s="44"/>
      <c r="H47" s="45"/>
      <c r="I47" s="41"/>
      <c r="J47" s="42"/>
      <c r="K47" s="42"/>
      <c r="L47" s="43"/>
      <c r="M47" s="46"/>
      <c r="N47" s="47"/>
      <c r="O47" s="47"/>
      <c r="P47" s="47"/>
      <c r="Q47" s="47"/>
      <c r="R47" s="47"/>
      <c r="S47" s="47"/>
      <c r="T47" s="47"/>
      <c r="U47" s="47"/>
      <c r="V47" s="47"/>
      <c r="W47" s="47"/>
      <c r="X47" s="47"/>
      <c r="Y47" s="48"/>
      <c r="Z47" s="46"/>
      <c r="AA47" s="47"/>
      <c r="AB47" s="47"/>
      <c r="AC47" s="47"/>
      <c r="AD47" s="47"/>
      <c r="AE47" s="47"/>
      <c r="AF47" s="47"/>
      <c r="AG47" s="47"/>
      <c r="AH47" s="47"/>
      <c r="AI47" s="47"/>
      <c r="AJ47" s="47"/>
      <c r="AK47" s="47"/>
      <c r="AL47" s="48"/>
      <c r="AM47" s="41"/>
      <c r="AN47" s="42"/>
      <c r="AO47" s="43"/>
      <c r="AP47" s="49"/>
      <c r="AQ47" s="50"/>
      <c r="AR47" s="51"/>
      <c r="AS47" s="49"/>
      <c r="AT47" s="50"/>
      <c r="AU47" s="51"/>
      <c r="AV47" s="49"/>
      <c r="AW47" s="50"/>
      <c r="AX47" s="51"/>
      <c r="AY47" s="35"/>
      <c r="AZ47" s="36"/>
      <c r="BA47" s="37"/>
      <c r="BB47" s="38"/>
      <c r="BC47" s="39"/>
      <c r="BD47" s="40"/>
      <c r="BE47" s="38"/>
      <c r="BF47" s="39"/>
      <c r="BG47" s="40"/>
      <c r="BH47" s="35"/>
      <c r="BI47" s="36"/>
      <c r="BJ47" s="37"/>
      <c r="BK47" s="38"/>
      <c r="BL47" s="39"/>
      <c r="BM47" s="40"/>
      <c r="BN47" s="41"/>
      <c r="BO47" s="42"/>
      <c r="BP47" s="42"/>
      <c r="BQ47" s="42"/>
      <c r="BR47" s="42"/>
      <c r="BS47" s="43"/>
    </row>
    <row r="48" spans="1:71" ht="45" customHeight="1" x14ac:dyDescent="0.3">
      <c r="A48" s="7" t="str">
        <f>IF(M48="","",COUNTA($M$9:M48))</f>
        <v/>
      </c>
      <c r="B48" s="35"/>
      <c r="C48" s="37"/>
      <c r="D48" s="52"/>
      <c r="E48" s="44"/>
      <c r="F48" s="44"/>
      <c r="G48" s="44"/>
      <c r="H48" s="45"/>
      <c r="I48" s="41"/>
      <c r="J48" s="42"/>
      <c r="K48" s="42"/>
      <c r="L48" s="43"/>
      <c r="M48" s="46"/>
      <c r="N48" s="47"/>
      <c r="O48" s="47"/>
      <c r="P48" s="47"/>
      <c r="Q48" s="47"/>
      <c r="R48" s="47"/>
      <c r="S48" s="47"/>
      <c r="T48" s="47"/>
      <c r="U48" s="47"/>
      <c r="V48" s="47"/>
      <c r="W48" s="47"/>
      <c r="X48" s="47"/>
      <c r="Y48" s="48"/>
      <c r="Z48" s="46"/>
      <c r="AA48" s="47"/>
      <c r="AB48" s="47"/>
      <c r="AC48" s="47"/>
      <c r="AD48" s="47"/>
      <c r="AE48" s="47"/>
      <c r="AF48" s="47"/>
      <c r="AG48" s="47"/>
      <c r="AH48" s="47"/>
      <c r="AI48" s="47"/>
      <c r="AJ48" s="47"/>
      <c r="AK48" s="47"/>
      <c r="AL48" s="48"/>
      <c r="AM48" s="41"/>
      <c r="AN48" s="42"/>
      <c r="AO48" s="43"/>
      <c r="AP48" s="49"/>
      <c r="AQ48" s="50"/>
      <c r="AR48" s="51"/>
      <c r="AS48" s="49"/>
      <c r="AT48" s="50"/>
      <c r="AU48" s="51"/>
      <c r="AV48" s="49"/>
      <c r="AW48" s="50"/>
      <c r="AX48" s="51"/>
      <c r="AY48" s="35"/>
      <c r="AZ48" s="36"/>
      <c r="BA48" s="37"/>
      <c r="BB48" s="38"/>
      <c r="BC48" s="39"/>
      <c r="BD48" s="40"/>
      <c r="BE48" s="38"/>
      <c r="BF48" s="39"/>
      <c r="BG48" s="40"/>
      <c r="BH48" s="35"/>
      <c r="BI48" s="36"/>
      <c r="BJ48" s="37"/>
      <c r="BK48" s="38"/>
      <c r="BL48" s="39"/>
      <c r="BM48" s="40"/>
      <c r="BN48" s="41"/>
      <c r="BO48" s="42"/>
      <c r="BP48" s="42"/>
      <c r="BQ48" s="42"/>
      <c r="BR48" s="42"/>
      <c r="BS48" s="43"/>
    </row>
    <row r="49" spans="1:71" ht="45" customHeight="1" x14ac:dyDescent="0.3">
      <c r="A49" s="7" t="str">
        <f>IF(M49="","",COUNTA($M$9:M49))</f>
        <v/>
      </c>
      <c r="B49" s="35"/>
      <c r="C49" s="37"/>
      <c r="D49" s="41" t="s">
        <v>471</v>
      </c>
      <c r="E49" s="44"/>
      <c r="F49" s="44"/>
      <c r="G49" s="44"/>
      <c r="H49" s="45"/>
      <c r="I49" s="41"/>
      <c r="J49" s="42"/>
      <c r="K49" s="42"/>
      <c r="L49" s="43"/>
      <c r="M49" s="46"/>
      <c r="N49" s="47"/>
      <c r="O49" s="47"/>
      <c r="P49" s="47"/>
      <c r="Q49" s="47"/>
      <c r="R49" s="47"/>
      <c r="S49" s="47"/>
      <c r="T49" s="47"/>
      <c r="U49" s="47"/>
      <c r="V49" s="47"/>
      <c r="W49" s="47"/>
      <c r="X49" s="47"/>
      <c r="Y49" s="48"/>
      <c r="Z49" s="46"/>
      <c r="AA49" s="47"/>
      <c r="AB49" s="47"/>
      <c r="AC49" s="47"/>
      <c r="AD49" s="47"/>
      <c r="AE49" s="47"/>
      <c r="AF49" s="47"/>
      <c r="AG49" s="47"/>
      <c r="AH49" s="47"/>
      <c r="AI49" s="47"/>
      <c r="AJ49" s="47"/>
      <c r="AK49" s="47"/>
      <c r="AL49" s="48"/>
      <c r="AM49" s="41"/>
      <c r="AN49" s="42"/>
      <c r="AO49" s="43"/>
      <c r="AP49" s="49"/>
      <c r="AQ49" s="50"/>
      <c r="AR49" s="51"/>
      <c r="AS49" s="49"/>
      <c r="AT49" s="50"/>
      <c r="AU49" s="51"/>
      <c r="AV49" s="49"/>
      <c r="AW49" s="50"/>
      <c r="AX49" s="51"/>
      <c r="AY49" s="35"/>
      <c r="AZ49" s="36"/>
      <c r="BA49" s="37"/>
      <c r="BB49" s="38"/>
      <c r="BC49" s="39"/>
      <c r="BD49" s="40"/>
      <c r="BE49" s="38"/>
      <c r="BF49" s="39"/>
      <c r="BG49" s="40"/>
      <c r="BH49" s="35"/>
      <c r="BI49" s="36"/>
      <c r="BJ49" s="37"/>
      <c r="BK49" s="38"/>
      <c r="BL49" s="39"/>
      <c r="BM49" s="40"/>
      <c r="BN49" s="41"/>
      <c r="BO49" s="42"/>
      <c r="BP49" s="42"/>
      <c r="BQ49" s="42"/>
      <c r="BR49" s="42"/>
      <c r="BS49" s="43"/>
    </row>
    <row r="50" spans="1:71" ht="15" customHeight="1" x14ac:dyDescent="0.3">
      <c r="A50" s="33" t="s">
        <v>69</v>
      </c>
      <c r="B50" s="32"/>
      <c r="C50" s="32"/>
      <c r="D50" s="32"/>
      <c r="E50" s="32"/>
      <c r="F50" s="32"/>
      <c r="G50" s="32"/>
      <c r="H50" s="32"/>
      <c r="I50" s="32"/>
      <c r="J50" s="32"/>
      <c r="K50" s="32"/>
      <c r="L50" s="32"/>
      <c r="M50" s="32"/>
      <c r="N50" s="32"/>
      <c r="O50" s="32"/>
      <c r="P50" s="32"/>
      <c r="Q50" s="32"/>
      <c r="R50" s="32"/>
      <c r="S50" s="32"/>
      <c r="T50" s="32"/>
      <c r="U50" s="32"/>
      <c r="V50" s="32"/>
      <c r="W50" s="32"/>
      <c r="X50" s="32"/>
      <c r="Y50" s="32"/>
      <c r="Z50" s="32"/>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c r="BC50" s="32"/>
      <c r="BD50" s="32"/>
      <c r="BE50" s="32"/>
      <c r="BF50" s="32"/>
      <c r="BG50" s="32"/>
      <c r="BH50" s="32"/>
      <c r="BI50" s="32"/>
      <c r="BJ50" s="32"/>
      <c r="BK50" s="32"/>
      <c r="BL50" s="32"/>
      <c r="BM50" s="32"/>
      <c r="BN50" s="32"/>
      <c r="BO50" s="32"/>
      <c r="BP50" s="32"/>
      <c r="BQ50" s="32"/>
      <c r="BR50" s="32"/>
      <c r="BS50" s="32"/>
    </row>
  </sheetData>
  <mergeCells count="669">
    <mergeCell ref="AY49:BA49"/>
    <mergeCell ref="BB49:BD49"/>
    <mergeCell ref="BE49:BG49"/>
    <mergeCell ref="BH49:BJ49"/>
    <mergeCell ref="BK49:BM49"/>
    <mergeCell ref="BN49:BS49"/>
    <mergeCell ref="B49:C49"/>
    <mergeCell ref="D49:H49"/>
    <mergeCell ref="I49:L49"/>
    <mergeCell ref="M49:Y49"/>
    <mergeCell ref="Z49:AL49"/>
    <mergeCell ref="AM49:AO49"/>
    <mergeCell ref="AP49:AR49"/>
    <mergeCell ref="AS49:AU49"/>
    <mergeCell ref="AV49:AX49"/>
    <mergeCell ref="BH47:BJ47"/>
    <mergeCell ref="BK47:BM47"/>
    <mergeCell ref="BN47:BS47"/>
    <mergeCell ref="B48:C48"/>
    <mergeCell ref="D48:H48"/>
    <mergeCell ref="I48:L48"/>
    <mergeCell ref="M48:Y48"/>
    <mergeCell ref="Z48:AL48"/>
    <mergeCell ref="AM48:AO48"/>
    <mergeCell ref="AP48:AR48"/>
    <mergeCell ref="AS48:AU48"/>
    <mergeCell ref="AV48:AX48"/>
    <mergeCell ref="AY48:BA48"/>
    <mergeCell ref="BB48:BD48"/>
    <mergeCell ref="BE48:BG48"/>
    <mergeCell ref="BH48:BJ48"/>
    <mergeCell ref="BK48:BM48"/>
    <mergeCell ref="BN48:BS48"/>
    <mergeCell ref="B47:C47"/>
    <mergeCell ref="D47:H47"/>
    <mergeCell ref="I47:L47"/>
    <mergeCell ref="M47:Y47"/>
    <mergeCell ref="Z47:AL47"/>
    <mergeCell ref="AM47:AO47"/>
    <mergeCell ref="AP47:AR47"/>
    <mergeCell ref="AS47:AU47"/>
    <mergeCell ref="AV47:AX47"/>
    <mergeCell ref="AY45:BA45"/>
    <mergeCell ref="BB45:BD45"/>
    <mergeCell ref="BE45:BG45"/>
    <mergeCell ref="AP45:AR45"/>
    <mergeCell ref="AS45:AU45"/>
    <mergeCell ref="AV45:AX45"/>
    <mergeCell ref="AY47:BA47"/>
    <mergeCell ref="BB47:BD47"/>
    <mergeCell ref="BE47:BG47"/>
    <mergeCell ref="BH45:BJ45"/>
    <mergeCell ref="BK45:BM45"/>
    <mergeCell ref="BN45:BS45"/>
    <mergeCell ref="B46:C46"/>
    <mergeCell ref="D46:H46"/>
    <mergeCell ref="I46:L46"/>
    <mergeCell ref="M46:Y46"/>
    <mergeCell ref="Z46:AL46"/>
    <mergeCell ref="AM46:AO46"/>
    <mergeCell ref="AP46:AR46"/>
    <mergeCell ref="AS46:AU46"/>
    <mergeCell ref="AV46:AX46"/>
    <mergeCell ref="AY46:BA46"/>
    <mergeCell ref="BB46:BD46"/>
    <mergeCell ref="BE46:BG46"/>
    <mergeCell ref="BH46:BJ46"/>
    <mergeCell ref="BK46:BM46"/>
    <mergeCell ref="BN46:BS46"/>
    <mergeCell ref="B45:C45"/>
    <mergeCell ref="D45:H45"/>
    <mergeCell ref="I45:L45"/>
    <mergeCell ref="M45:Y45"/>
    <mergeCell ref="Z45:AL45"/>
    <mergeCell ref="AM45:AO45"/>
    <mergeCell ref="BH43:BJ43"/>
    <mergeCell ref="BK43:BM43"/>
    <mergeCell ref="BN43:BS43"/>
    <mergeCell ref="B44:C44"/>
    <mergeCell ref="D44:H44"/>
    <mergeCell ref="I44:L44"/>
    <mergeCell ref="M44:Y44"/>
    <mergeCell ref="Z44:AL44"/>
    <mergeCell ref="AM44:AO44"/>
    <mergeCell ref="AP44:AR44"/>
    <mergeCell ref="AS44:AU44"/>
    <mergeCell ref="AV44:AX44"/>
    <mergeCell ref="AY44:BA44"/>
    <mergeCell ref="BB44:BD44"/>
    <mergeCell ref="BE44:BG44"/>
    <mergeCell ref="BH44:BJ44"/>
    <mergeCell ref="BK44:BM44"/>
    <mergeCell ref="BN44:BS44"/>
    <mergeCell ref="B43:C43"/>
    <mergeCell ref="D43:H43"/>
    <mergeCell ref="I43:L43"/>
    <mergeCell ref="M43:Y43"/>
    <mergeCell ref="Z43:AL43"/>
    <mergeCell ref="AM43:AO43"/>
    <mergeCell ref="AP43:AR43"/>
    <mergeCell ref="AS43:AU43"/>
    <mergeCell ref="AV43:AX43"/>
    <mergeCell ref="AY41:BA41"/>
    <mergeCell ref="BB41:BD41"/>
    <mergeCell ref="BE41:BG41"/>
    <mergeCell ref="AP41:AR41"/>
    <mergeCell ref="AS41:AU41"/>
    <mergeCell ref="AV41:AX41"/>
    <mergeCell ref="AY43:BA43"/>
    <mergeCell ref="BB43:BD43"/>
    <mergeCell ref="BE43:BG43"/>
    <mergeCell ref="BH41:BJ41"/>
    <mergeCell ref="BK41:BM41"/>
    <mergeCell ref="BN41:BS41"/>
    <mergeCell ref="B42:C42"/>
    <mergeCell ref="D42:H42"/>
    <mergeCell ref="I42:L42"/>
    <mergeCell ref="M42:Y42"/>
    <mergeCell ref="Z42:AL42"/>
    <mergeCell ref="AM42:AO42"/>
    <mergeCell ref="AP42:AR42"/>
    <mergeCell ref="AS42:AU42"/>
    <mergeCell ref="AV42:AX42"/>
    <mergeCell ref="AY42:BA42"/>
    <mergeCell ref="BB42:BD42"/>
    <mergeCell ref="BE42:BG42"/>
    <mergeCell ref="BH42:BJ42"/>
    <mergeCell ref="BK42:BM42"/>
    <mergeCell ref="BN42:BS42"/>
    <mergeCell ref="B41:C41"/>
    <mergeCell ref="D41:H41"/>
    <mergeCell ref="I41:L41"/>
    <mergeCell ref="M41:Y41"/>
    <mergeCell ref="Z41:AL41"/>
    <mergeCell ref="AM41:AO41"/>
    <mergeCell ref="A1:D1"/>
    <mergeCell ref="E1:G1"/>
    <mergeCell ref="H1:I1"/>
    <mergeCell ref="J1:O1"/>
    <mergeCell ref="A4:C4"/>
    <mergeCell ref="D4:F4"/>
    <mergeCell ref="M4:O4"/>
    <mergeCell ref="D5:F5"/>
    <mergeCell ref="Q5:R5"/>
    <mergeCell ref="J5:L5"/>
    <mergeCell ref="M5:O5"/>
    <mergeCell ref="A2:D2"/>
    <mergeCell ref="H2:I2"/>
    <mergeCell ref="E2:G2"/>
    <mergeCell ref="A5:C5"/>
    <mergeCell ref="P1:Q1"/>
    <mergeCell ref="P2:Q2"/>
    <mergeCell ref="A7:A8"/>
    <mergeCell ref="AP7:AX7"/>
    <mergeCell ref="AY7:BG7"/>
    <mergeCell ref="BH7:BM7"/>
    <mergeCell ref="AP8:AR8"/>
    <mergeCell ref="AS8:AU8"/>
    <mergeCell ref="AV8:AX8"/>
    <mergeCell ref="AY8:BA8"/>
    <mergeCell ref="Q4:R4"/>
    <mergeCell ref="S4:V4"/>
    <mergeCell ref="W4:Y4"/>
    <mergeCell ref="Z5:AB5"/>
    <mergeCell ref="Z4:AB4"/>
    <mergeCell ref="G4:I4"/>
    <mergeCell ref="G5:I5"/>
    <mergeCell ref="J4:L4"/>
    <mergeCell ref="S5:V5"/>
    <mergeCell ref="W5:Y5"/>
    <mergeCell ref="BB8:BD8"/>
    <mergeCell ref="BE8:BG8"/>
    <mergeCell ref="BH8:BJ8"/>
    <mergeCell ref="BK8:BM8"/>
    <mergeCell ref="AM7:AO8"/>
    <mergeCell ref="AH5:AK5"/>
    <mergeCell ref="D11:H11"/>
    <mergeCell ref="B11:C11"/>
    <mergeCell ref="I9:L9"/>
    <mergeCell ref="I11:L11"/>
    <mergeCell ref="B10:C10"/>
    <mergeCell ref="D10:H10"/>
    <mergeCell ref="I10:L10"/>
    <mergeCell ref="BN7:BS8"/>
    <mergeCell ref="B7:C8"/>
    <mergeCell ref="D7:H8"/>
    <mergeCell ref="I7:L8"/>
    <mergeCell ref="M7:Y8"/>
    <mergeCell ref="Z7:AL8"/>
    <mergeCell ref="BN9:BS9"/>
    <mergeCell ref="AP11:AR11"/>
    <mergeCell ref="AS11:AU11"/>
    <mergeCell ref="AV11:AX11"/>
    <mergeCell ref="AY11:BA11"/>
    <mergeCell ref="BB11:BD11"/>
    <mergeCell ref="BE11:BG11"/>
    <mergeCell ref="BH11:BJ11"/>
    <mergeCell ref="BK11:BM11"/>
    <mergeCell ref="BN11:BS11"/>
    <mergeCell ref="AV9:AX9"/>
    <mergeCell ref="AV10:AX10"/>
    <mergeCell ref="AY10:BA10"/>
    <mergeCell ref="BB10:BD10"/>
    <mergeCell ref="BE10:BG10"/>
    <mergeCell ref="BH10:BJ10"/>
    <mergeCell ref="BK10:BM10"/>
    <mergeCell ref="BN10:BS10"/>
    <mergeCell ref="B9:C9"/>
    <mergeCell ref="D9:H9"/>
    <mergeCell ref="AY9:BA9"/>
    <mergeCell ref="BB9:BD9"/>
    <mergeCell ref="BE9:BG9"/>
    <mergeCell ref="BH9:BJ9"/>
    <mergeCell ref="BK9:BM9"/>
    <mergeCell ref="AP9:AR9"/>
    <mergeCell ref="AS9:AU9"/>
    <mergeCell ref="B12:C12"/>
    <mergeCell ref="D12:H12"/>
    <mergeCell ref="I12:L12"/>
    <mergeCell ref="M12:Y12"/>
    <mergeCell ref="Z12:AL12"/>
    <mergeCell ref="AM12:AO12"/>
    <mergeCell ref="AP12:AR12"/>
    <mergeCell ref="BK12:BM12"/>
    <mergeCell ref="BN12:BS12"/>
    <mergeCell ref="AV12:AX12"/>
    <mergeCell ref="AY12:BA12"/>
    <mergeCell ref="BB12:BD12"/>
    <mergeCell ref="BE12:BG12"/>
    <mergeCell ref="BH12:BJ12"/>
    <mergeCell ref="BN13:BS13"/>
    <mergeCell ref="B15:C15"/>
    <mergeCell ref="D15:H15"/>
    <mergeCell ref="I15:L15"/>
    <mergeCell ref="M15:Y15"/>
    <mergeCell ref="Z15:AL15"/>
    <mergeCell ref="AM15:AO15"/>
    <mergeCell ref="AP15:AR15"/>
    <mergeCell ref="AS15:AU15"/>
    <mergeCell ref="AV15:AX15"/>
    <mergeCell ref="AV13:AX13"/>
    <mergeCell ref="AY13:BA13"/>
    <mergeCell ref="BB13:BD13"/>
    <mergeCell ref="BE13:BG13"/>
    <mergeCell ref="BH13:BJ13"/>
    <mergeCell ref="BK13:BM13"/>
    <mergeCell ref="B13:C13"/>
    <mergeCell ref="D13:H13"/>
    <mergeCell ref="I13:L13"/>
    <mergeCell ref="M13:Y13"/>
    <mergeCell ref="Z13:AL13"/>
    <mergeCell ref="AM13:AO13"/>
    <mergeCell ref="AP13:AR13"/>
    <mergeCell ref="AS13:AU13"/>
    <mergeCell ref="AY15:BA15"/>
    <mergeCell ref="BB15:BD15"/>
    <mergeCell ref="BE15:BG15"/>
    <mergeCell ref="BH15:BJ15"/>
    <mergeCell ref="BK15:BM15"/>
    <mergeCell ref="BN15:BS15"/>
    <mergeCell ref="AV14:AX14"/>
    <mergeCell ref="AY14:BA14"/>
    <mergeCell ref="BB14:BD14"/>
    <mergeCell ref="BE14:BG14"/>
    <mergeCell ref="BH14:BJ14"/>
    <mergeCell ref="B14:C14"/>
    <mergeCell ref="D14:H14"/>
    <mergeCell ref="I14:L14"/>
    <mergeCell ref="M14:Y14"/>
    <mergeCell ref="Z14:AL14"/>
    <mergeCell ref="AM14:AO14"/>
    <mergeCell ref="AP14:AR14"/>
    <mergeCell ref="BK14:BM14"/>
    <mergeCell ref="BN14:BS14"/>
    <mergeCell ref="BK17:BM17"/>
    <mergeCell ref="BN17:BS17"/>
    <mergeCell ref="BN16:BS16"/>
    <mergeCell ref="B17:C17"/>
    <mergeCell ref="D17:H17"/>
    <mergeCell ref="I17:L17"/>
    <mergeCell ref="M17:Y17"/>
    <mergeCell ref="Z17:AL17"/>
    <mergeCell ref="AM17:AO17"/>
    <mergeCell ref="AP17:AR17"/>
    <mergeCell ref="AS17:AU17"/>
    <mergeCell ref="AV17:AX17"/>
    <mergeCell ref="AV16:AX16"/>
    <mergeCell ref="AY16:BA16"/>
    <mergeCell ref="BB16:BD16"/>
    <mergeCell ref="BE16:BG16"/>
    <mergeCell ref="BH16:BJ16"/>
    <mergeCell ref="BK16:BM16"/>
    <mergeCell ref="B16:C16"/>
    <mergeCell ref="AM16:AO16"/>
    <mergeCell ref="AP16:AR16"/>
    <mergeCell ref="AS16:AU16"/>
    <mergeCell ref="D16:H16"/>
    <mergeCell ref="I16:L16"/>
    <mergeCell ref="BK18:BM18"/>
    <mergeCell ref="BN18:BS18"/>
    <mergeCell ref="AP18:AR18"/>
    <mergeCell ref="AS18:AU18"/>
    <mergeCell ref="AV18:AX18"/>
    <mergeCell ref="AY18:BA18"/>
    <mergeCell ref="BB18:BD18"/>
    <mergeCell ref="BE18:BG18"/>
    <mergeCell ref="B18:C18"/>
    <mergeCell ref="D18:H18"/>
    <mergeCell ref="I18:L18"/>
    <mergeCell ref="AY17:BA17"/>
    <mergeCell ref="BB17:BD17"/>
    <mergeCell ref="BE17:BG17"/>
    <mergeCell ref="BH17:BJ17"/>
    <mergeCell ref="B40:C40"/>
    <mergeCell ref="D40:H40"/>
    <mergeCell ref="I40:L40"/>
    <mergeCell ref="M40:Y40"/>
    <mergeCell ref="Z40:AL40"/>
    <mergeCell ref="AM40:AO40"/>
    <mergeCell ref="AP40:AR40"/>
    <mergeCell ref="AS40:AU40"/>
    <mergeCell ref="AV40:AX40"/>
    <mergeCell ref="B19:C19"/>
    <mergeCell ref="D19:H19"/>
    <mergeCell ref="I19:L19"/>
    <mergeCell ref="M19:Y19"/>
    <mergeCell ref="M18:Y18"/>
    <mergeCell ref="Z18:AL18"/>
    <mergeCell ref="AM18:AO18"/>
    <mergeCell ref="BH18:BJ18"/>
    <mergeCell ref="AY40:BA40"/>
    <mergeCell ref="M20:Y20"/>
    <mergeCell ref="BH20:BJ20"/>
    <mergeCell ref="BN40:BS40"/>
    <mergeCell ref="Z19:AL19"/>
    <mergeCell ref="AM19:AO19"/>
    <mergeCell ref="AP19:AR19"/>
    <mergeCell ref="AS19:AU19"/>
    <mergeCell ref="BB40:BD40"/>
    <mergeCell ref="BE40:BG40"/>
    <mergeCell ref="BH40:BJ40"/>
    <mergeCell ref="BK40:BM40"/>
    <mergeCell ref="BN19:BS19"/>
    <mergeCell ref="AV19:AX19"/>
    <mergeCell ref="AY19:BA19"/>
    <mergeCell ref="BB19:BD19"/>
    <mergeCell ref="BE19:BG19"/>
    <mergeCell ref="BH19:BJ19"/>
    <mergeCell ref="BK19:BM19"/>
    <mergeCell ref="Z20:AL20"/>
    <mergeCell ref="AM20:AO20"/>
    <mergeCell ref="AP20:AR20"/>
    <mergeCell ref="AS20:AU20"/>
    <mergeCell ref="AV20:AX20"/>
    <mergeCell ref="AY20:BA20"/>
    <mergeCell ref="BB20:BD20"/>
    <mergeCell ref="BE20:BG20"/>
    <mergeCell ref="AH2:AK2"/>
    <mergeCell ref="AH3:AK3"/>
    <mergeCell ref="AH4:AK4"/>
    <mergeCell ref="Z16:AL16"/>
    <mergeCell ref="M16:Y16"/>
    <mergeCell ref="AS14:AU14"/>
    <mergeCell ref="AS12:AU12"/>
    <mergeCell ref="AM9:AO9"/>
    <mergeCell ref="AM11:AO11"/>
    <mergeCell ref="M9:Y9"/>
    <mergeCell ref="M11:Y11"/>
    <mergeCell ref="Z9:AL9"/>
    <mergeCell ref="Z11:AL11"/>
    <mergeCell ref="M10:Y10"/>
    <mergeCell ref="Z10:AL10"/>
    <mergeCell ref="AM10:AO10"/>
    <mergeCell ref="AP10:AR10"/>
    <mergeCell ref="AS10:AU10"/>
    <mergeCell ref="AP2:AS2"/>
    <mergeCell ref="AP3:AS3"/>
    <mergeCell ref="AP4:AS4"/>
    <mergeCell ref="AP5:AS5"/>
    <mergeCell ref="BK20:BM20"/>
    <mergeCell ref="BN20:BS20"/>
    <mergeCell ref="B21:C21"/>
    <mergeCell ref="D21:H21"/>
    <mergeCell ref="I21:L21"/>
    <mergeCell ref="M21:Y21"/>
    <mergeCell ref="Z21:AL21"/>
    <mergeCell ref="AM21:AO21"/>
    <mergeCell ref="AP21:AR21"/>
    <mergeCell ref="AS21:AU21"/>
    <mergeCell ref="AV21:AX21"/>
    <mergeCell ref="AY21:BA21"/>
    <mergeCell ref="BB21:BD21"/>
    <mergeCell ref="BE21:BG21"/>
    <mergeCell ref="BH21:BJ21"/>
    <mergeCell ref="BK21:BM21"/>
    <mergeCell ref="BN21:BS21"/>
    <mergeCell ref="B20:C20"/>
    <mergeCell ref="D20:H20"/>
    <mergeCell ref="I20:L20"/>
    <mergeCell ref="BH22:BJ22"/>
    <mergeCell ref="BK22:BM22"/>
    <mergeCell ref="BN22:BS22"/>
    <mergeCell ref="B23:C23"/>
    <mergeCell ref="D23:H23"/>
    <mergeCell ref="I23:L23"/>
    <mergeCell ref="M23:Y23"/>
    <mergeCell ref="Z23:AL23"/>
    <mergeCell ref="AM23:AO23"/>
    <mergeCell ref="AP23:AR23"/>
    <mergeCell ref="AS23:AU23"/>
    <mergeCell ref="AV23:AX23"/>
    <mergeCell ref="AY23:BA23"/>
    <mergeCell ref="BB23:BD23"/>
    <mergeCell ref="BE23:BG23"/>
    <mergeCell ref="BH23:BJ23"/>
    <mergeCell ref="BK23:BM23"/>
    <mergeCell ref="BN23:BS23"/>
    <mergeCell ref="B22:C22"/>
    <mergeCell ref="D22:H22"/>
    <mergeCell ref="I22:L22"/>
    <mergeCell ref="M22:Y22"/>
    <mergeCell ref="Z22:AL22"/>
    <mergeCell ref="AM22:AO22"/>
    <mergeCell ref="AY22:BA22"/>
    <mergeCell ref="BB22:BD22"/>
    <mergeCell ref="BE22:BG22"/>
    <mergeCell ref="AP22:AR22"/>
    <mergeCell ref="AS22:AU22"/>
    <mergeCell ref="AV22:AX22"/>
    <mergeCell ref="AY24:BA24"/>
    <mergeCell ref="BB24:BD24"/>
    <mergeCell ref="BE24:BG24"/>
    <mergeCell ref="B24:C24"/>
    <mergeCell ref="D24:H24"/>
    <mergeCell ref="I24:L24"/>
    <mergeCell ref="M24:Y24"/>
    <mergeCell ref="Z24:AL24"/>
    <mergeCell ref="AM24:AO24"/>
    <mergeCell ref="AP24:AR24"/>
    <mergeCell ref="AS24:AU24"/>
    <mergeCell ref="AV24:AX24"/>
    <mergeCell ref="B25:C25"/>
    <mergeCell ref="D25:H25"/>
    <mergeCell ref="I25:L25"/>
    <mergeCell ref="M25:Y25"/>
    <mergeCell ref="Z25:AL25"/>
    <mergeCell ref="AM25:AO25"/>
    <mergeCell ref="AP25:AR25"/>
    <mergeCell ref="AS25:AU25"/>
    <mergeCell ref="AV25:AX25"/>
    <mergeCell ref="BH27:BJ27"/>
    <mergeCell ref="BK27:BM27"/>
    <mergeCell ref="BN27:BS27"/>
    <mergeCell ref="AY26:BA26"/>
    <mergeCell ref="BB26:BD26"/>
    <mergeCell ref="BE26:BG26"/>
    <mergeCell ref="BH26:BJ26"/>
    <mergeCell ref="BK26:BM26"/>
    <mergeCell ref="BN26:BS26"/>
    <mergeCell ref="BH24:BJ24"/>
    <mergeCell ref="BK24:BM24"/>
    <mergeCell ref="BN24:BS24"/>
    <mergeCell ref="AY25:BA25"/>
    <mergeCell ref="BB25:BD25"/>
    <mergeCell ref="BE25:BG25"/>
    <mergeCell ref="BH25:BJ25"/>
    <mergeCell ref="BK25:BM25"/>
    <mergeCell ref="BN25:BS25"/>
    <mergeCell ref="B27:C27"/>
    <mergeCell ref="D27:H27"/>
    <mergeCell ref="I27:L27"/>
    <mergeCell ref="BH28:BJ28"/>
    <mergeCell ref="BK28:BM28"/>
    <mergeCell ref="BN28:BS28"/>
    <mergeCell ref="B26:C26"/>
    <mergeCell ref="D26:H26"/>
    <mergeCell ref="I26:L26"/>
    <mergeCell ref="M26:Y26"/>
    <mergeCell ref="Z26:AL26"/>
    <mergeCell ref="AM26:AO26"/>
    <mergeCell ref="AP26:AR26"/>
    <mergeCell ref="AS26:AU26"/>
    <mergeCell ref="AV26:AX26"/>
    <mergeCell ref="M27:Y27"/>
    <mergeCell ref="Z27:AL27"/>
    <mergeCell ref="AM27:AO27"/>
    <mergeCell ref="AP27:AR27"/>
    <mergeCell ref="AS27:AU27"/>
    <mergeCell ref="AV27:AX27"/>
    <mergeCell ref="AY27:BA27"/>
    <mergeCell ref="BB27:BD27"/>
    <mergeCell ref="BE27:BG27"/>
    <mergeCell ref="BH29:BJ29"/>
    <mergeCell ref="BK29:BM29"/>
    <mergeCell ref="BN29:BS29"/>
    <mergeCell ref="B28:C28"/>
    <mergeCell ref="D28:H28"/>
    <mergeCell ref="I28:L28"/>
    <mergeCell ref="M28:Y28"/>
    <mergeCell ref="Z28:AL28"/>
    <mergeCell ref="AM28:AO28"/>
    <mergeCell ref="B29:C29"/>
    <mergeCell ref="D29:H29"/>
    <mergeCell ref="I29:L29"/>
    <mergeCell ref="M29:Y29"/>
    <mergeCell ref="Z29:AL29"/>
    <mergeCell ref="AM29:AO29"/>
    <mergeCell ref="AP29:AR29"/>
    <mergeCell ref="AS29:AU29"/>
    <mergeCell ref="AV29:AX29"/>
    <mergeCell ref="AP30:AR30"/>
    <mergeCell ref="AS30:AU30"/>
    <mergeCell ref="AV30:AX30"/>
    <mergeCell ref="AY28:BA28"/>
    <mergeCell ref="BB28:BD28"/>
    <mergeCell ref="BE28:BG28"/>
    <mergeCell ref="AP28:AR28"/>
    <mergeCell ref="AS28:AU28"/>
    <mergeCell ref="AV28:AX28"/>
    <mergeCell ref="AY30:BA30"/>
    <mergeCell ref="BB30:BD30"/>
    <mergeCell ref="BE30:BG30"/>
    <mergeCell ref="AY29:BA29"/>
    <mergeCell ref="BB29:BD29"/>
    <mergeCell ref="BE29:BG29"/>
    <mergeCell ref="BH30:BJ30"/>
    <mergeCell ref="BK30:BM30"/>
    <mergeCell ref="BN30:BS30"/>
    <mergeCell ref="B31:C31"/>
    <mergeCell ref="D31:H31"/>
    <mergeCell ref="I31:L31"/>
    <mergeCell ref="M31:Y31"/>
    <mergeCell ref="Z31:AL31"/>
    <mergeCell ref="AM31:AO31"/>
    <mergeCell ref="AP31:AR31"/>
    <mergeCell ref="AS31:AU31"/>
    <mergeCell ref="AV31:AX31"/>
    <mergeCell ref="AY31:BA31"/>
    <mergeCell ref="BB31:BD31"/>
    <mergeCell ref="BE31:BG31"/>
    <mergeCell ref="BH31:BJ31"/>
    <mergeCell ref="BK31:BM31"/>
    <mergeCell ref="BN31:BS31"/>
    <mergeCell ref="B30:C30"/>
    <mergeCell ref="D30:H30"/>
    <mergeCell ref="I30:L30"/>
    <mergeCell ref="M30:Y30"/>
    <mergeCell ref="Z30:AL30"/>
    <mergeCell ref="AM30:AO30"/>
    <mergeCell ref="BH32:BJ32"/>
    <mergeCell ref="BK32:BM32"/>
    <mergeCell ref="BN32:BS32"/>
    <mergeCell ref="B33:C33"/>
    <mergeCell ref="D33:H33"/>
    <mergeCell ref="I33:L33"/>
    <mergeCell ref="M33:Y33"/>
    <mergeCell ref="Z33:AL33"/>
    <mergeCell ref="AM33:AO33"/>
    <mergeCell ref="AP33:AR33"/>
    <mergeCell ref="AS33:AU33"/>
    <mergeCell ref="AV33:AX33"/>
    <mergeCell ref="AY33:BA33"/>
    <mergeCell ref="BB33:BD33"/>
    <mergeCell ref="BE33:BG33"/>
    <mergeCell ref="BH33:BJ33"/>
    <mergeCell ref="BK33:BM33"/>
    <mergeCell ref="BN33:BS33"/>
    <mergeCell ref="B32:C32"/>
    <mergeCell ref="D32:H32"/>
    <mergeCell ref="I32:L32"/>
    <mergeCell ref="M32:Y32"/>
    <mergeCell ref="Z32:AL32"/>
    <mergeCell ref="AM32:AO32"/>
    <mergeCell ref="AP34:AR34"/>
    <mergeCell ref="AS34:AU34"/>
    <mergeCell ref="AV34:AX34"/>
    <mergeCell ref="AY32:BA32"/>
    <mergeCell ref="BB32:BD32"/>
    <mergeCell ref="BE32:BG32"/>
    <mergeCell ref="AP32:AR32"/>
    <mergeCell ref="AS32:AU32"/>
    <mergeCell ref="AV32:AX32"/>
    <mergeCell ref="AY34:BA34"/>
    <mergeCell ref="BB34:BD34"/>
    <mergeCell ref="BE34:BG34"/>
    <mergeCell ref="BH34:BJ34"/>
    <mergeCell ref="BK34:BM34"/>
    <mergeCell ref="BN34:BS34"/>
    <mergeCell ref="B35:C35"/>
    <mergeCell ref="D35:H35"/>
    <mergeCell ref="I35:L35"/>
    <mergeCell ref="M35:Y35"/>
    <mergeCell ref="Z35:AL35"/>
    <mergeCell ref="AM35:AO35"/>
    <mergeCell ref="AP35:AR35"/>
    <mergeCell ref="AS35:AU35"/>
    <mergeCell ref="AV35:AX35"/>
    <mergeCell ref="AY35:BA35"/>
    <mergeCell ref="BB35:BD35"/>
    <mergeCell ref="BE35:BG35"/>
    <mergeCell ref="BH35:BJ35"/>
    <mergeCell ref="BK35:BM35"/>
    <mergeCell ref="BN35:BS35"/>
    <mergeCell ref="B34:C34"/>
    <mergeCell ref="D34:H34"/>
    <mergeCell ref="I34:L34"/>
    <mergeCell ref="M34:Y34"/>
    <mergeCell ref="Z34:AL34"/>
    <mergeCell ref="AM34:AO34"/>
    <mergeCell ref="BH36:BJ36"/>
    <mergeCell ref="BK36:BM36"/>
    <mergeCell ref="BN36:BS36"/>
    <mergeCell ref="B37:C37"/>
    <mergeCell ref="D37:H37"/>
    <mergeCell ref="I37:L37"/>
    <mergeCell ref="M37:Y37"/>
    <mergeCell ref="Z37:AL37"/>
    <mergeCell ref="AM37:AO37"/>
    <mergeCell ref="AP37:AR37"/>
    <mergeCell ref="AS37:AU37"/>
    <mergeCell ref="AV37:AX37"/>
    <mergeCell ref="AY37:BA37"/>
    <mergeCell ref="BB37:BD37"/>
    <mergeCell ref="BE37:BG37"/>
    <mergeCell ref="BH37:BJ37"/>
    <mergeCell ref="BK37:BM37"/>
    <mergeCell ref="BN37:BS37"/>
    <mergeCell ref="B36:C36"/>
    <mergeCell ref="D36:H36"/>
    <mergeCell ref="I36:L36"/>
    <mergeCell ref="M36:Y36"/>
    <mergeCell ref="Z36:AL36"/>
    <mergeCell ref="AM36:AO36"/>
    <mergeCell ref="AP38:AR38"/>
    <mergeCell ref="AS38:AU38"/>
    <mergeCell ref="AV38:AX38"/>
    <mergeCell ref="AY36:BA36"/>
    <mergeCell ref="BB36:BD36"/>
    <mergeCell ref="BE36:BG36"/>
    <mergeCell ref="AP36:AR36"/>
    <mergeCell ref="AS36:AU36"/>
    <mergeCell ref="AV36:AX36"/>
    <mergeCell ref="AY38:BA38"/>
    <mergeCell ref="BB38:BD38"/>
    <mergeCell ref="BE38:BG38"/>
    <mergeCell ref="BH38:BJ38"/>
    <mergeCell ref="BK38:BM38"/>
    <mergeCell ref="BN38:BS38"/>
    <mergeCell ref="B39:C39"/>
    <mergeCell ref="D39:H39"/>
    <mergeCell ref="I39:L39"/>
    <mergeCell ref="M39:Y39"/>
    <mergeCell ref="Z39:AL39"/>
    <mergeCell ref="AM39:AO39"/>
    <mergeCell ref="AP39:AR39"/>
    <mergeCell ref="AS39:AU39"/>
    <mergeCell ref="AV39:AX39"/>
    <mergeCell ref="AY39:BA39"/>
    <mergeCell ref="BB39:BD39"/>
    <mergeCell ref="BE39:BG39"/>
    <mergeCell ref="BH39:BJ39"/>
    <mergeCell ref="BK39:BM39"/>
    <mergeCell ref="BN39:BS39"/>
    <mergeCell ref="B38:C38"/>
    <mergeCell ref="D38:H38"/>
    <mergeCell ref="I38:L38"/>
    <mergeCell ref="M38:Y38"/>
    <mergeCell ref="Z38:AL38"/>
    <mergeCell ref="AM38:AO38"/>
  </mergeCells>
  <phoneticPr fontId="2"/>
  <pageMargins left="0.19685039370078741" right="0.19685039370078741" top="0.39370078740157483" bottom="0.39370078740157483" header="0.39370078740157483" footer="0.19685039370078741"/>
  <pageSetup paperSize="9" scale="28" fitToHeight="0" orientation="landscape" r:id="rId1"/>
  <headerFooter>
    <oddFooter>&amp;R&amp;11&amp;A - &amp;P&amp;L詳細設計 - 生産計画登録（熱加工）</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0000000}">
          <x14:formula1>
            <xm:f>マスタ!$B$2:$B$13</xm:f>
          </x14:formula1>
          <xm:sqref>E2</xm:sqref>
        </x14:dataValidation>
        <x14:dataValidation type="list" allowBlank="1" showInputMessage="1" showErrorMessage="1" xr:uid="{00000000-0002-0000-0000-000001000000}">
          <x14:formula1>
            <xm:f>マスタ!$A$2:$A$7</xm:f>
          </x14:formula1>
          <xm:sqref>A2:D2</xm:sqref>
        </x14:dataValidation>
        <x14:dataValidation type="list" allowBlank="1" showInputMessage="1" showErrorMessage="1" xr:uid="{00000000-0002-0000-0000-000002000000}">
          <x14:formula1>
            <xm:f>マスタ!$E$2:$E$9</xm:f>
          </x14:formula1>
          <xm:sqref>AP9:AR43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5"/>
  <sheetViews>
    <sheetView workbookViewId="0"/>
  </sheetViews>
  <sheetFormatPr defaultRowHeight="14.4" x14ac:dyDescent="0.3"/>
  <cols>
    <col min="4" max="4" width="30.6328125" customWidth="1"/>
  </cols>
  <sheetData>
    <row r="1" spans="1:6" x14ac:dyDescent="0.3">
      <c r="A1" t="s">
        <v>70</v>
      </c>
      <c r="B1" t="s">
        <v>71</v>
      </c>
      <c r="C1" t="s">
        <v>2</v>
      </c>
      <c r="D1" t="s">
        <v>72</v>
      </c>
      <c r="E1" t="s">
        <v>73</v>
      </c>
    </row>
    <row r="2" spans="1:6" x14ac:dyDescent="0.3">
      <c r="A2" t="s">
        <v>74</v>
      </c>
      <c r="B2" t="s">
        <v>75</v>
      </c>
      <c r="C2" t="s">
        <v>76</v>
      </c>
      <c r="D2" t="s">
        <v>77</v>
      </c>
      <c r="E2" t="s">
        <v>78</v>
      </c>
    </row>
    <row r="3" spans="1:6" x14ac:dyDescent="0.3">
      <c r="A3" t="s">
        <v>79</v>
      </c>
      <c r="B3" t="s">
        <v>6</v>
      </c>
      <c r="C3" t="s">
        <v>80</v>
      </c>
      <c r="D3" t="s">
        <v>81</v>
      </c>
      <c r="E3" t="s">
        <v>82</v>
      </c>
    </row>
    <row r="4" spans="1:6" x14ac:dyDescent="0.3">
      <c r="A4" t="s">
        <v>83</v>
      </c>
      <c r="B4" t="s">
        <v>84</v>
      </c>
      <c r="C4" t="s">
        <v>85</v>
      </c>
      <c r="D4" t="s">
        <v>86</v>
      </c>
      <c r="E4" t="s">
        <v>87</v>
      </c>
    </row>
    <row r="5" spans="1:6" x14ac:dyDescent="0.3">
      <c r="A5" t="s">
        <v>88</v>
      </c>
      <c r="B5" t="s">
        <v>89</v>
      </c>
      <c r="C5" t="s">
        <v>90</v>
      </c>
      <c r="D5" t="s">
        <v>91</v>
      </c>
      <c r="E5" t="s">
        <v>92</v>
      </c>
      <c r="F5" t="s">
        <v>93</v>
      </c>
    </row>
    <row r="6" spans="1:6" x14ac:dyDescent="0.3">
      <c r="A6" t="s">
        <v>94</v>
      </c>
      <c r="B6" t="s">
        <v>95</v>
      </c>
      <c r="C6" t="s">
        <v>96</v>
      </c>
      <c r="D6" t="s">
        <v>97</v>
      </c>
      <c r="E6" t="s">
        <v>98</v>
      </c>
    </row>
    <row r="7" spans="1:6" x14ac:dyDescent="0.3">
      <c r="A7" t="s">
        <v>99</v>
      </c>
      <c r="B7" t="s">
        <v>100</v>
      </c>
      <c r="C7" t="s">
        <v>101</v>
      </c>
      <c r="D7" t="s">
        <v>102</v>
      </c>
      <c r="E7" t="s">
        <v>103</v>
      </c>
    </row>
    <row r="8" spans="1:6" x14ac:dyDescent="0.3">
      <c r="B8" t="s">
        <v>104</v>
      </c>
      <c r="C8" t="s">
        <v>105</v>
      </c>
      <c r="D8" t="s">
        <v>106</v>
      </c>
      <c r="E8" t="s">
        <v>107</v>
      </c>
    </row>
    <row r="9" spans="1:6" x14ac:dyDescent="0.3">
      <c r="B9" t="s">
        <v>108</v>
      </c>
      <c r="C9" t="s">
        <v>109</v>
      </c>
      <c r="D9" t="s">
        <v>110</v>
      </c>
      <c r="E9" t="s">
        <v>111</v>
      </c>
    </row>
    <row r="10" spans="1:6" x14ac:dyDescent="0.3">
      <c r="B10" t="s">
        <v>112</v>
      </c>
      <c r="C10" t="s">
        <v>113</v>
      </c>
      <c r="D10" t="s">
        <v>114</v>
      </c>
    </row>
    <row r="11" spans="1:6" x14ac:dyDescent="0.3">
      <c r="B11" t="s">
        <v>115</v>
      </c>
      <c r="C11" t="s">
        <v>116</v>
      </c>
      <c r="D11" t="s">
        <v>117</v>
      </c>
    </row>
    <row r="12" spans="1:6" x14ac:dyDescent="0.3">
      <c r="B12" t="s">
        <v>118</v>
      </c>
      <c r="C12" t="s">
        <v>119</v>
      </c>
      <c r="D12" t="s">
        <v>120</v>
      </c>
    </row>
    <row r="13" spans="1:6" x14ac:dyDescent="0.3">
      <c r="B13" t="s">
        <v>121</v>
      </c>
      <c r="C13" t="s">
        <v>122</v>
      </c>
      <c r="D13" t="s">
        <v>123</v>
      </c>
    </row>
    <row r="14" spans="1:6" x14ac:dyDescent="0.3">
      <c r="C14" t="s">
        <v>124</v>
      </c>
      <c r="D14" t="s">
        <v>125</v>
      </c>
    </row>
    <row r="15" spans="1:6" x14ac:dyDescent="0.3">
      <c r="C15" t="s">
        <v>126</v>
      </c>
      <c r="D15" t="s">
        <v>127</v>
      </c>
    </row>
    <row r="16" spans="1:6" x14ac:dyDescent="0.3">
      <c r="C16" t="s">
        <v>128</v>
      </c>
      <c r="D16" t="s">
        <v>129</v>
      </c>
    </row>
    <row r="17" spans="3:4" x14ac:dyDescent="0.3">
      <c r="C17" t="s">
        <v>130</v>
      </c>
      <c r="D17" t="s">
        <v>131</v>
      </c>
    </row>
    <row r="18" spans="3:4" x14ac:dyDescent="0.3">
      <c r="C18" t="s">
        <v>132</v>
      </c>
      <c r="D18" t="s">
        <v>133</v>
      </c>
    </row>
    <row r="19" spans="3:4" x14ac:dyDescent="0.3">
      <c r="C19" t="s">
        <v>134</v>
      </c>
      <c r="D19" t="s">
        <v>135</v>
      </c>
    </row>
    <row r="20" spans="3:4" x14ac:dyDescent="0.3">
      <c r="C20" t="s">
        <v>136</v>
      </c>
      <c r="D20" t="s">
        <v>137</v>
      </c>
    </row>
    <row r="21" spans="3:4" x14ac:dyDescent="0.3">
      <c r="C21" t="s">
        <v>138</v>
      </c>
      <c r="D21" t="s">
        <v>139</v>
      </c>
    </row>
    <row r="22" spans="3:4" x14ac:dyDescent="0.3">
      <c r="C22" t="s">
        <v>140</v>
      </c>
      <c r="D22" t="s">
        <v>141</v>
      </c>
    </row>
    <row r="23" spans="3:4" x14ac:dyDescent="0.3">
      <c r="C23" t="s">
        <v>142</v>
      </c>
      <c r="D23" t="s">
        <v>143</v>
      </c>
    </row>
    <row r="24" spans="3:4" x14ac:dyDescent="0.3">
      <c r="C24" t="s">
        <v>144</v>
      </c>
      <c r="D24" t="s">
        <v>145</v>
      </c>
    </row>
    <row r="25" spans="3:4" x14ac:dyDescent="0.3">
      <c r="C25" t="s">
        <v>146</v>
      </c>
      <c r="D25" t="s">
        <v>147</v>
      </c>
    </row>
    <row r="26" spans="3:4" x14ac:dyDescent="0.3">
      <c r="C26" t="s">
        <v>148</v>
      </c>
      <c r="D26" t="s">
        <v>149</v>
      </c>
    </row>
    <row r="27" spans="3:4" x14ac:dyDescent="0.3">
      <c r="C27" t="s">
        <v>150</v>
      </c>
      <c r="D27" t="s">
        <v>151</v>
      </c>
    </row>
    <row r="28" spans="3:4" x14ac:dyDescent="0.3">
      <c r="C28" t="s">
        <v>152</v>
      </c>
      <c r="D28" t="s">
        <v>153</v>
      </c>
    </row>
    <row r="29" spans="3:4" x14ac:dyDescent="0.3">
      <c r="C29" t="s">
        <v>154</v>
      </c>
      <c r="D29" t="s">
        <v>155</v>
      </c>
    </row>
    <row r="30" spans="3:4" x14ac:dyDescent="0.3">
      <c r="C30" t="s">
        <v>156</v>
      </c>
      <c r="D30" t="s">
        <v>157</v>
      </c>
    </row>
    <row r="31" spans="3:4" x14ac:dyDescent="0.3">
      <c r="C31" t="s">
        <v>158</v>
      </c>
      <c r="D31" t="s">
        <v>159</v>
      </c>
    </row>
    <row r="32" spans="3:4" x14ac:dyDescent="0.3">
      <c r="C32" t="s">
        <v>160</v>
      </c>
      <c r="D32" t="s">
        <v>161</v>
      </c>
    </row>
    <row r="33" spans="3:4" x14ac:dyDescent="0.3">
      <c r="C33" t="s">
        <v>162</v>
      </c>
      <c r="D33" t="s">
        <v>163</v>
      </c>
    </row>
    <row r="34" spans="3:4" x14ac:dyDescent="0.3">
      <c r="C34" t="s">
        <v>164</v>
      </c>
      <c r="D34" t="s">
        <v>165</v>
      </c>
    </row>
    <row r="35" spans="3:4" x14ac:dyDescent="0.3">
      <c r="C35" t="s">
        <v>166</v>
      </c>
      <c r="D35" t="s">
        <v>167</v>
      </c>
    </row>
    <row r="36" spans="3:4" x14ac:dyDescent="0.3">
      <c r="C36" t="s">
        <v>168</v>
      </c>
      <c r="D36" t="s">
        <v>169</v>
      </c>
    </row>
    <row r="37" spans="3:4" x14ac:dyDescent="0.3">
      <c r="C37" t="s">
        <v>170</v>
      </c>
      <c r="D37" t="s">
        <v>171</v>
      </c>
    </row>
    <row r="38" spans="3:4" x14ac:dyDescent="0.3">
      <c r="C38" t="s">
        <v>172</v>
      </c>
      <c r="D38" t="s">
        <v>173</v>
      </c>
    </row>
    <row r="39" spans="3:4" x14ac:dyDescent="0.3">
      <c r="C39" t="s">
        <v>174</v>
      </c>
      <c r="D39" t="s">
        <v>175</v>
      </c>
    </row>
    <row r="40" spans="3:4" x14ac:dyDescent="0.3">
      <c r="C40" t="s">
        <v>176</v>
      </c>
      <c r="D40" t="s">
        <v>177</v>
      </c>
    </row>
    <row r="41" spans="3:4" x14ac:dyDescent="0.3">
      <c r="C41" t="s">
        <v>178</v>
      </c>
      <c r="D41" t="s">
        <v>179</v>
      </c>
    </row>
    <row r="42" spans="3:4" x14ac:dyDescent="0.3">
      <c r="C42" t="s">
        <v>180</v>
      </c>
      <c r="D42" t="s">
        <v>181</v>
      </c>
    </row>
    <row r="43" spans="3:4" x14ac:dyDescent="0.3">
      <c r="C43" t="s">
        <v>182</v>
      </c>
      <c r="D43" t="s">
        <v>183</v>
      </c>
    </row>
    <row r="44" spans="3:4" x14ac:dyDescent="0.3">
      <c r="C44" t="s">
        <v>184</v>
      </c>
      <c r="D44" t="s">
        <v>185</v>
      </c>
    </row>
    <row r="45" spans="3:4" x14ac:dyDescent="0.3">
      <c r="C45" t="s">
        <v>186</v>
      </c>
      <c r="D45" t="s">
        <v>187</v>
      </c>
    </row>
    <row r="46" spans="3:4" x14ac:dyDescent="0.3">
      <c r="C46" t="s">
        <v>188</v>
      </c>
      <c r="D46" t="s">
        <v>189</v>
      </c>
    </row>
    <row r="47" spans="3:4" x14ac:dyDescent="0.3">
      <c r="C47" t="s">
        <v>190</v>
      </c>
      <c r="D47" t="s">
        <v>191</v>
      </c>
    </row>
    <row r="48" spans="3:4" x14ac:dyDescent="0.3">
      <c r="C48" t="s">
        <v>192</v>
      </c>
      <c r="D48" t="s">
        <v>193</v>
      </c>
    </row>
    <row r="49" spans="3:4" x14ac:dyDescent="0.3">
      <c r="C49" t="s">
        <v>194</v>
      </c>
      <c r="D49" t="s">
        <v>195</v>
      </c>
    </row>
    <row r="50" spans="3:4" x14ac:dyDescent="0.3">
      <c r="C50" t="s">
        <v>196</v>
      </c>
      <c r="D50" t="s">
        <v>197</v>
      </c>
    </row>
    <row r="51" spans="3:4" x14ac:dyDescent="0.3">
      <c r="C51" t="s">
        <v>198</v>
      </c>
      <c r="D51" t="s">
        <v>199</v>
      </c>
    </row>
    <row r="52" spans="3:4" x14ac:dyDescent="0.3">
      <c r="C52" t="s">
        <v>200</v>
      </c>
      <c r="D52" t="s">
        <v>201</v>
      </c>
    </row>
    <row r="53" spans="3:4" x14ac:dyDescent="0.3">
      <c r="C53" t="s">
        <v>202</v>
      </c>
      <c r="D53" t="s">
        <v>203</v>
      </c>
    </row>
    <row r="54" spans="3:4" x14ac:dyDescent="0.3">
      <c r="C54" t="s">
        <v>204</v>
      </c>
      <c r="D54" t="s">
        <v>205</v>
      </c>
    </row>
    <row r="55" spans="3:4" x14ac:dyDescent="0.3">
      <c r="C55" t="s">
        <v>206</v>
      </c>
      <c r="D55" t="s">
        <v>207</v>
      </c>
    </row>
    <row r="56" spans="3:4" x14ac:dyDescent="0.3">
      <c r="C56" t="s">
        <v>208</v>
      </c>
      <c r="D56" t="s">
        <v>209</v>
      </c>
    </row>
    <row r="57" spans="3:4" x14ac:dyDescent="0.3">
      <c r="C57" t="s">
        <v>210</v>
      </c>
      <c r="D57" t="s">
        <v>211</v>
      </c>
    </row>
    <row r="58" spans="3:4" x14ac:dyDescent="0.3">
      <c r="C58" t="s">
        <v>212</v>
      </c>
      <c r="D58" t="s">
        <v>213</v>
      </c>
    </row>
    <row r="59" spans="3:4" x14ac:dyDescent="0.3">
      <c r="C59" t="s">
        <v>214</v>
      </c>
      <c r="D59" t="s">
        <v>215</v>
      </c>
    </row>
    <row r="60" spans="3:4" x14ac:dyDescent="0.3">
      <c r="C60" t="s">
        <v>216</v>
      </c>
      <c r="D60" t="s">
        <v>217</v>
      </c>
    </row>
    <row r="61" spans="3:4" x14ac:dyDescent="0.3">
      <c r="C61" t="s">
        <v>218</v>
      </c>
      <c r="D61" t="s">
        <v>219</v>
      </c>
    </row>
    <row r="62" spans="3:4" x14ac:dyDescent="0.3">
      <c r="C62" t="s">
        <v>220</v>
      </c>
      <c r="D62" t="s">
        <v>221</v>
      </c>
    </row>
    <row r="63" spans="3:4" x14ac:dyDescent="0.3">
      <c r="C63" t="s">
        <v>222</v>
      </c>
      <c r="D63" t="s">
        <v>223</v>
      </c>
    </row>
    <row r="64" spans="3:4" x14ac:dyDescent="0.3">
      <c r="C64" t="s">
        <v>224</v>
      </c>
      <c r="D64" t="s">
        <v>225</v>
      </c>
    </row>
    <row r="65" spans="3:4" x14ac:dyDescent="0.3">
      <c r="C65" t="s">
        <v>226</v>
      </c>
      <c r="D65" t="s">
        <v>227</v>
      </c>
    </row>
    <row r="66" spans="3:4" x14ac:dyDescent="0.3">
      <c r="C66" t="s">
        <v>228</v>
      </c>
      <c r="D66" t="s">
        <v>229</v>
      </c>
    </row>
    <row r="67" spans="3:4" x14ac:dyDescent="0.3">
      <c r="C67" t="s">
        <v>230</v>
      </c>
      <c r="D67" t="s">
        <v>231</v>
      </c>
    </row>
    <row r="68" spans="3:4" x14ac:dyDescent="0.3">
      <c r="C68" t="s">
        <v>232</v>
      </c>
      <c r="D68" t="s">
        <v>233</v>
      </c>
    </row>
    <row r="69" spans="3:4" x14ac:dyDescent="0.3">
      <c r="C69" t="s">
        <v>234</v>
      </c>
      <c r="D69" t="s">
        <v>235</v>
      </c>
    </row>
    <row r="70" spans="3:4" x14ac:dyDescent="0.3">
      <c r="C70" t="s">
        <v>236</v>
      </c>
      <c r="D70" t="s">
        <v>237</v>
      </c>
    </row>
    <row r="71" spans="3:4" x14ac:dyDescent="0.3">
      <c r="C71" t="s">
        <v>238</v>
      </c>
      <c r="D71" t="s">
        <v>239</v>
      </c>
    </row>
    <row r="72" spans="3:4" x14ac:dyDescent="0.3">
      <c r="C72" t="s">
        <v>240</v>
      </c>
      <c r="D72" t="s">
        <v>241</v>
      </c>
    </row>
    <row r="73" spans="3:4" x14ac:dyDescent="0.3">
      <c r="C73" t="s">
        <v>242</v>
      </c>
      <c r="D73" t="s">
        <v>243</v>
      </c>
    </row>
    <row r="74" spans="3:4" x14ac:dyDescent="0.3">
      <c r="C74" t="s">
        <v>244</v>
      </c>
      <c r="D74" t="s">
        <v>245</v>
      </c>
    </row>
    <row r="75" spans="3:4" x14ac:dyDescent="0.3">
      <c r="C75" t="s">
        <v>246</v>
      </c>
      <c r="D75" t="s">
        <v>247</v>
      </c>
    </row>
    <row r="76" spans="3:4" x14ac:dyDescent="0.3">
      <c r="C76" t="s">
        <v>248</v>
      </c>
      <c r="D76" t="s">
        <v>249</v>
      </c>
    </row>
    <row r="77" spans="3:4" x14ac:dyDescent="0.3">
      <c r="C77" t="s">
        <v>250</v>
      </c>
      <c r="D77" t="s">
        <v>251</v>
      </c>
    </row>
    <row r="78" spans="3:4" x14ac:dyDescent="0.3">
      <c r="C78" t="s">
        <v>252</v>
      </c>
      <c r="D78" t="s">
        <v>253</v>
      </c>
    </row>
    <row r="79" spans="3:4" x14ac:dyDescent="0.3">
      <c r="C79" t="s">
        <v>254</v>
      </c>
      <c r="D79" t="s">
        <v>255</v>
      </c>
    </row>
    <row r="80" spans="3:4" x14ac:dyDescent="0.3">
      <c r="C80" t="s">
        <v>256</v>
      </c>
      <c r="D80" t="s">
        <v>257</v>
      </c>
    </row>
    <row r="81" spans="3:4" x14ac:dyDescent="0.3">
      <c r="C81" t="s">
        <v>258</v>
      </c>
      <c r="D81" t="s">
        <v>259</v>
      </c>
    </row>
    <row r="82" spans="3:4" x14ac:dyDescent="0.3">
      <c r="C82" t="s">
        <v>260</v>
      </c>
      <c r="D82" t="s">
        <v>261</v>
      </c>
    </row>
    <row r="83" spans="3:4" x14ac:dyDescent="0.3">
      <c r="C83" t="s">
        <v>262</v>
      </c>
      <c r="D83" t="s">
        <v>263</v>
      </c>
    </row>
    <row r="84" spans="3:4" x14ac:dyDescent="0.3">
      <c r="C84" t="s">
        <v>264</v>
      </c>
      <c r="D84" t="s">
        <v>265</v>
      </c>
    </row>
    <row r="85" spans="3:4" x14ac:dyDescent="0.3">
      <c r="C85" t="s">
        <v>266</v>
      </c>
      <c r="D85" t="s">
        <v>267</v>
      </c>
    </row>
    <row r="86" spans="3:4" x14ac:dyDescent="0.3">
      <c r="C86" t="s">
        <v>268</v>
      </c>
      <c r="D86" t="s">
        <v>269</v>
      </c>
    </row>
    <row r="87" spans="3:4" x14ac:dyDescent="0.3">
      <c r="C87" t="s">
        <v>270</v>
      </c>
      <c r="D87" t="s">
        <v>271</v>
      </c>
    </row>
    <row r="88" spans="3:4" x14ac:dyDescent="0.3">
      <c r="C88" t="s">
        <v>272</v>
      </c>
      <c r="D88" t="s">
        <v>273</v>
      </c>
    </row>
    <row r="89" spans="3:4" x14ac:dyDescent="0.3">
      <c r="C89" t="s">
        <v>274</v>
      </c>
      <c r="D89" t="s">
        <v>275</v>
      </c>
    </row>
    <row r="90" spans="3:4" x14ac:dyDescent="0.3">
      <c r="C90" t="s">
        <v>276</v>
      </c>
      <c r="D90" t="s">
        <v>277</v>
      </c>
    </row>
    <row r="91" spans="3:4" x14ac:dyDescent="0.3">
      <c r="C91" t="s">
        <v>274</v>
      </c>
      <c r="D91" t="s">
        <v>278</v>
      </c>
    </row>
    <row r="92" spans="3:4" x14ac:dyDescent="0.3">
      <c r="C92" t="s">
        <v>279</v>
      </c>
      <c r="D92" t="s">
        <v>280</v>
      </c>
    </row>
    <row r="93" spans="3:4" x14ac:dyDescent="0.3">
      <c r="C93" t="s">
        <v>281</v>
      </c>
      <c r="D93" t="s">
        <v>282</v>
      </c>
    </row>
    <row r="94" spans="3:4" x14ac:dyDescent="0.3">
      <c r="C94" t="s">
        <v>283</v>
      </c>
      <c r="D94" t="s">
        <v>284</v>
      </c>
    </row>
    <row r="95" spans="3:4" x14ac:dyDescent="0.3">
      <c r="C95" t="s">
        <v>285</v>
      </c>
      <c r="D95" t="s">
        <v>286</v>
      </c>
    </row>
    <row r="96" spans="3:4" x14ac:dyDescent="0.3">
      <c r="C96" t="s">
        <v>287</v>
      </c>
      <c r="D96" t="s">
        <v>288</v>
      </c>
    </row>
    <row r="97" spans="3:4" x14ac:dyDescent="0.3">
      <c r="C97" t="s">
        <v>289</v>
      </c>
      <c r="D97" t="s">
        <v>290</v>
      </c>
    </row>
    <row r="98" spans="3:4" x14ac:dyDescent="0.3">
      <c r="C98" t="s">
        <v>291</v>
      </c>
      <c r="D98" t="s">
        <v>292</v>
      </c>
    </row>
    <row r="99" spans="3:4" x14ac:dyDescent="0.3">
      <c r="C99" t="s">
        <v>293</v>
      </c>
      <c r="D99" t="s">
        <v>294</v>
      </c>
    </row>
    <row r="100" spans="3:4" x14ac:dyDescent="0.3">
      <c r="C100" t="s">
        <v>295</v>
      </c>
      <c r="D100" t="s">
        <v>296</v>
      </c>
    </row>
    <row r="101" spans="3:4" x14ac:dyDescent="0.3">
      <c r="C101" t="s">
        <v>297</v>
      </c>
      <c r="D101" t="s">
        <v>298</v>
      </c>
    </row>
    <row r="102" spans="3:4" x14ac:dyDescent="0.3">
      <c r="C102" t="s">
        <v>299</v>
      </c>
      <c r="D102" t="s">
        <v>300</v>
      </c>
    </row>
    <row r="103" spans="3:4" x14ac:dyDescent="0.3">
      <c r="C103" t="s">
        <v>301</v>
      </c>
      <c r="D103" t="s">
        <v>302</v>
      </c>
    </row>
    <row r="104" spans="3:4" x14ac:dyDescent="0.3">
      <c r="C104" t="s">
        <v>303</v>
      </c>
      <c r="D104" t="s">
        <v>304</v>
      </c>
    </row>
    <row r="105" spans="3:4" x14ac:dyDescent="0.3">
      <c r="C105" t="s">
        <v>305</v>
      </c>
      <c r="D105" t="s">
        <v>306</v>
      </c>
    </row>
    <row r="106" spans="3:4" x14ac:dyDescent="0.3">
      <c r="C106" t="s">
        <v>307</v>
      </c>
      <c r="D106" t="s">
        <v>308</v>
      </c>
    </row>
    <row r="107" spans="3:4" x14ac:dyDescent="0.3">
      <c r="C107" t="s">
        <v>309</v>
      </c>
      <c r="D107" t="s">
        <v>310</v>
      </c>
    </row>
    <row r="108" spans="3:4" x14ac:dyDescent="0.3">
      <c r="C108" t="s">
        <v>311</v>
      </c>
      <c r="D108" t="s">
        <v>312</v>
      </c>
    </row>
    <row r="109" spans="3:4" x14ac:dyDescent="0.3">
      <c r="C109" t="s">
        <v>313</v>
      </c>
      <c r="D109" t="s">
        <v>314</v>
      </c>
    </row>
    <row r="110" spans="3:4" x14ac:dyDescent="0.3">
      <c r="C110" t="s">
        <v>315</v>
      </c>
      <c r="D110" t="s">
        <v>316</v>
      </c>
    </row>
    <row r="111" spans="3:4" x14ac:dyDescent="0.3">
      <c r="C111" t="s">
        <v>317</v>
      </c>
      <c r="D111" t="s">
        <v>318</v>
      </c>
    </row>
    <row r="112" spans="3:4" x14ac:dyDescent="0.3">
      <c r="C112" t="s">
        <v>319</v>
      </c>
      <c r="D112" t="s">
        <v>320</v>
      </c>
    </row>
    <row r="113" spans="3:4" x14ac:dyDescent="0.3">
      <c r="C113" t="s">
        <v>321</v>
      </c>
      <c r="D113" t="s">
        <v>322</v>
      </c>
    </row>
    <row r="114" spans="3:4" x14ac:dyDescent="0.3">
      <c r="C114" t="s">
        <v>323</v>
      </c>
      <c r="D114" t="s">
        <v>324</v>
      </c>
    </row>
    <row r="115" spans="3:4" x14ac:dyDescent="0.3">
      <c r="C115" t="s">
        <v>325</v>
      </c>
      <c r="D115" t="s">
        <v>326</v>
      </c>
    </row>
    <row r="116" spans="3:4" x14ac:dyDescent="0.3">
      <c r="C116" t="s">
        <v>327</v>
      </c>
      <c r="D116" t="s">
        <v>328</v>
      </c>
    </row>
    <row r="117" spans="3:4" x14ac:dyDescent="0.3">
      <c r="C117" t="s">
        <v>329</v>
      </c>
      <c r="D117" t="s">
        <v>330</v>
      </c>
    </row>
    <row r="118" spans="3:4" x14ac:dyDescent="0.3">
      <c r="C118" t="s">
        <v>331</v>
      </c>
      <c r="D118" t="s">
        <v>332</v>
      </c>
    </row>
    <row r="119" spans="3:4" x14ac:dyDescent="0.3">
      <c r="C119" t="s">
        <v>333</v>
      </c>
      <c r="D119" t="s">
        <v>334</v>
      </c>
    </row>
    <row r="120" spans="3:4" x14ac:dyDescent="0.3">
      <c r="C120" t="s">
        <v>335</v>
      </c>
      <c r="D120" t="s">
        <v>336</v>
      </c>
    </row>
    <row r="121" spans="3:4" x14ac:dyDescent="0.3">
      <c r="C121" t="s">
        <v>337</v>
      </c>
      <c r="D121" t="s">
        <v>338</v>
      </c>
    </row>
    <row r="122" spans="3:4" x14ac:dyDescent="0.3">
      <c r="C122" t="s">
        <v>339</v>
      </c>
      <c r="D122" t="s">
        <v>340</v>
      </c>
    </row>
    <row r="123" spans="3:4" x14ac:dyDescent="0.3">
      <c r="C123" t="s">
        <v>341</v>
      </c>
      <c r="D123" t="s">
        <v>342</v>
      </c>
    </row>
    <row r="124" spans="3:4" x14ac:dyDescent="0.3">
      <c r="C124" t="s">
        <v>343</v>
      </c>
      <c r="D124" t="s">
        <v>344</v>
      </c>
    </row>
    <row r="125" spans="3:4" x14ac:dyDescent="0.3">
      <c r="C125" t="s">
        <v>345</v>
      </c>
      <c r="D125" t="s">
        <v>346</v>
      </c>
    </row>
    <row r="126" spans="3:4" x14ac:dyDescent="0.3">
      <c r="C126" t="s">
        <v>347</v>
      </c>
      <c r="D126" t="s">
        <v>348</v>
      </c>
    </row>
    <row r="127" spans="3:4" x14ac:dyDescent="0.3">
      <c r="C127" t="s">
        <v>349</v>
      </c>
      <c r="D127" t="s">
        <v>350</v>
      </c>
    </row>
    <row r="128" spans="3:4" x14ac:dyDescent="0.3">
      <c r="C128" t="s">
        <v>351</v>
      </c>
      <c r="D128" t="s">
        <v>352</v>
      </c>
    </row>
    <row r="129" spans="3:4" x14ac:dyDescent="0.3">
      <c r="C129" t="s">
        <v>353</v>
      </c>
      <c r="D129" t="s">
        <v>354</v>
      </c>
    </row>
    <row r="130" spans="3:4" x14ac:dyDescent="0.3">
      <c r="C130" t="s">
        <v>355</v>
      </c>
      <c r="D130" t="s">
        <v>356</v>
      </c>
    </row>
    <row r="131" spans="3:4" x14ac:dyDescent="0.3">
      <c r="C131" t="s">
        <v>357</v>
      </c>
      <c r="D131" t="s">
        <v>358</v>
      </c>
    </row>
    <row r="132" spans="3:4" x14ac:dyDescent="0.3">
      <c r="C132" t="s">
        <v>359</v>
      </c>
      <c r="D132" t="s">
        <v>360</v>
      </c>
    </row>
    <row r="133" spans="3:4" x14ac:dyDescent="0.3">
      <c r="C133" t="s">
        <v>361</v>
      </c>
      <c r="D133" t="s">
        <v>362</v>
      </c>
    </row>
    <row r="134" spans="3:4" x14ac:dyDescent="0.3">
      <c r="C134" t="s">
        <v>363</v>
      </c>
      <c r="D134" t="s">
        <v>364</v>
      </c>
    </row>
    <row r="135" spans="3:4" x14ac:dyDescent="0.3">
      <c r="C135" t="s">
        <v>365</v>
      </c>
      <c r="D135" t="s">
        <v>366</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C25"/>
  <sheetViews>
    <sheetView showGridLines="0" zoomScaleNormal="100" zoomScaleSheetLayoutView="80" zoomScalePageLayoutView="80" workbookViewId="0">
      <selection activeCell="B7" sqref="B7"/>
    </sheetView>
  </sheetViews>
  <sheetFormatPr defaultColWidth="7.36328125" defaultRowHeight="15" x14ac:dyDescent="0.3"/>
  <cols>
    <col min="1" max="1" width="2.08984375" style="15" customWidth="1"/>
    <col min="2" max="2" width="24" style="15" customWidth="1"/>
    <col min="3" max="3" width="80.6328125" style="15" customWidth="1"/>
    <col min="4" max="16384" width="7.36328125" style="15"/>
  </cols>
  <sheetData>
    <row r="2" spans="2:3" x14ac:dyDescent="0.3">
      <c r="B2" s="13" t="s">
        <v>367</v>
      </c>
      <c r="C2" s="14" t="s">
        <v>368</v>
      </c>
    </row>
    <row r="3" spans="2:3" x14ac:dyDescent="0.3">
      <c r="B3" s="27" t="s">
        <v>367</v>
      </c>
      <c r="C3" s="28" t="s">
        <v>369</v>
      </c>
    </row>
    <row r="4" spans="2:3" ht="30" customHeight="1" x14ac:dyDescent="0.3">
      <c r="B4" s="34" t="s">
        <v>370</v>
      </c>
      <c r="C4" s="20" t="s">
        <v>371</v>
      </c>
    </row>
    <row r="5" spans="2:3" ht="30" customHeight="1" x14ac:dyDescent="0.3">
      <c r="B5" s="23" t="s">
        <v>372</v>
      </c>
      <c r="C5" s="29" t="s">
        <v>373</v>
      </c>
    </row>
    <row r="6" spans="2:3" ht="30" customHeight="1" x14ac:dyDescent="0.3">
      <c r="B6" s="23" t="s">
        <v>374</v>
      </c>
      <c r="C6" s="29" t="s">
        <v>375</v>
      </c>
    </row>
    <row r="7" spans="2:3" ht="30" customHeight="1" x14ac:dyDescent="0.3">
      <c r="B7" s="22" t="s">
        <v>376</v>
      </c>
      <c r="C7" s="22" t="s">
        <v>377</v>
      </c>
    </row>
    <row r="8" spans="2:3" ht="30" customHeight="1" x14ac:dyDescent="0.3">
      <c r="B8" s="22" t="s">
        <v>378</v>
      </c>
      <c r="C8" s="22" t="s">
        <v>379</v>
      </c>
    </row>
    <row r="9" spans="2:3" ht="30" customHeight="1" x14ac:dyDescent="0.3">
      <c r="B9" s="23" t="s">
        <v>380</v>
      </c>
      <c r="C9" s="29" t="s">
        <v>381</v>
      </c>
    </row>
    <row r="10" spans="2:3" ht="30" customHeight="1" x14ac:dyDescent="0.3">
      <c r="B10" s="24" t="s">
        <v>382</v>
      </c>
      <c r="C10" s="24" t="s">
        <v>383</v>
      </c>
    </row>
    <row r="11" spans="2:3" ht="30" customHeight="1" x14ac:dyDescent="0.3">
      <c r="B11" s="23" t="s">
        <v>384</v>
      </c>
      <c r="C11" s="24" t="s">
        <v>385</v>
      </c>
    </row>
    <row r="12" spans="2:3" ht="30" customHeight="1" x14ac:dyDescent="0.3">
      <c r="B12" s="21" t="s">
        <v>386</v>
      </c>
      <c r="C12" s="24" t="s">
        <v>387</v>
      </c>
    </row>
    <row r="13" spans="2:3" ht="30" customHeight="1" x14ac:dyDescent="0.3">
      <c r="B13" s="23"/>
      <c r="C13" s="24"/>
    </row>
    <row r="14" spans="2:3" ht="30" customHeight="1" x14ac:dyDescent="0.3">
      <c r="B14" s="23"/>
      <c r="C14" s="24"/>
    </row>
    <row r="15" spans="2:3" ht="30" customHeight="1" x14ac:dyDescent="0.3">
      <c r="B15" s="23"/>
      <c r="C15" s="22"/>
    </row>
    <row r="16" spans="2:3" ht="30" customHeight="1" x14ac:dyDescent="0.3">
      <c r="B16" s="23"/>
      <c r="C16" s="24"/>
    </row>
    <row r="17" spans="2:3" ht="30" customHeight="1" x14ac:dyDescent="0.3">
      <c r="B17" s="24"/>
      <c r="C17" s="24"/>
    </row>
    <row r="18" spans="2:3" ht="30" customHeight="1" x14ac:dyDescent="0.3">
      <c r="B18" s="22"/>
      <c r="C18" s="24"/>
    </row>
    <row r="19" spans="2:3" ht="30" customHeight="1" x14ac:dyDescent="0.3">
      <c r="B19" s="24"/>
      <c r="C19" s="24"/>
    </row>
    <row r="20" spans="2:3" ht="30" customHeight="1" x14ac:dyDescent="0.3">
      <c r="B20" s="24"/>
      <c r="C20" s="24"/>
    </row>
    <row r="21" spans="2:3" ht="30" customHeight="1" x14ac:dyDescent="0.3">
      <c r="B21" s="24"/>
      <c r="C21" s="24"/>
    </row>
    <row r="22" spans="2:3" ht="30" customHeight="1" x14ac:dyDescent="0.3">
      <c r="B22" s="22"/>
      <c r="C22" s="24"/>
    </row>
    <row r="23" spans="2:3" ht="30" customHeight="1" x14ac:dyDescent="0.3">
      <c r="B23" s="24"/>
      <c r="C23" s="24"/>
    </row>
    <row r="24" spans="2:3" ht="30" customHeight="1" x14ac:dyDescent="0.3">
      <c r="B24" s="30"/>
      <c r="C24" s="30"/>
    </row>
    <row r="25" spans="2:3" ht="16.2" x14ac:dyDescent="0.3">
      <c r="B25" s="25" t="s">
        <v>388</v>
      </c>
      <c r="C25" s="26"/>
    </row>
  </sheetData>
  <phoneticPr fontId="2"/>
  <dataValidations count="1">
    <dataValidation type="textLength" operator="lessThanOrEqual" allowBlank="1" showInputMessage="1" showErrorMessage="1" sqref="B18:B24 B4:C17" xr:uid="{00000000-0002-0000-02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D26"/>
  <sheetViews>
    <sheetView showGridLines="0" zoomScaleNormal="100" zoomScaleSheetLayoutView="80" zoomScalePageLayoutView="80" workbookViewId="0">
      <selection activeCell="C9" sqref="C9"/>
    </sheetView>
  </sheetViews>
  <sheetFormatPr defaultColWidth="7.36328125" defaultRowHeight="15" x14ac:dyDescent="0.3"/>
  <cols>
    <col min="1" max="1" width="2.08984375" style="15" customWidth="1"/>
    <col min="2" max="3" width="24" style="15" customWidth="1"/>
    <col min="4" max="4" width="80.6328125" style="15" customWidth="1"/>
    <col min="5" max="16384" width="7.36328125" style="15"/>
  </cols>
  <sheetData>
    <row r="2" spans="2:4" x14ac:dyDescent="0.3">
      <c r="B2" s="13" t="s">
        <v>389</v>
      </c>
      <c r="C2" s="13"/>
      <c r="D2" s="14" t="s">
        <v>368</v>
      </c>
    </row>
    <row r="3" spans="2:4" x14ac:dyDescent="0.3">
      <c r="B3" s="16" t="s">
        <v>390</v>
      </c>
      <c r="C3" s="90" t="s">
        <v>391</v>
      </c>
      <c r="D3" s="90"/>
    </row>
    <row r="4" spans="2:4" x14ac:dyDescent="0.3">
      <c r="B4" s="17" t="s">
        <v>35</v>
      </c>
      <c r="C4" s="18" t="s">
        <v>36</v>
      </c>
      <c r="D4" s="19" t="s">
        <v>392</v>
      </c>
    </row>
    <row r="5" spans="2:4" ht="30" customHeight="1" x14ac:dyDescent="0.3">
      <c r="B5" s="34" t="s">
        <v>393</v>
      </c>
      <c r="C5" s="20" t="s">
        <v>394</v>
      </c>
      <c r="D5" s="20" t="s">
        <v>371</v>
      </c>
    </row>
    <row r="6" spans="2:4" ht="30" customHeight="1" x14ac:dyDescent="0.3">
      <c r="B6" s="23" t="s">
        <v>393</v>
      </c>
      <c r="C6" s="29" t="s">
        <v>395</v>
      </c>
      <c r="D6" s="24" t="s">
        <v>396</v>
      </c>
    </row>
    <row r="7" spans="2:4" ht="30" customHeight="1" x14ac:dyDescent="0.3">
      <c r="B7" s="23" t="s">
        <v>393</v>
      </c>
      <c r="C7" s="29" t="s">
        <v>397</v>
      </c>
      <c r="D7" s="24" t="s">
        <v>398</v>
      </c>
    </row>
    <row r="8" spans="2:4" ht="30" customHeight="1" x14ac:dyDescent="0.3">
      <c r="B8" s="23" t="s">
        <v>393</v>
      </c>
      <c r="C8" s="29" t="s">
        <v>399</v>
      </c>
      <c r="D8" s="24" t="s">
        <v>400</v>
      </c>
    </row>
    <row r="9" spans="2:4" ht="30" customHeight="1" x14ac:dyDescent="0.3">
      <c r="B9" s="23" t="s">
        <v>393</v>
      </c>
      <c r="C9" s="22" t="s">
        <v>401</v>
      </c>
      <c r="D9" s="24" t="s">
        <v>402</v>
      </c>
    </row>
    <row r="10" spans="2:4" ht="30" customHeight="1" x14ac:dyDescent="0.3">
      <c r="B10" s="23" t="s">
        <v>393</v>
      </c>
      <c r="C10" s="22" t="s">
        <v>403</v>
      </c>
      <c r="D10" s="24" t="s">
        <v>404</v>
      </c>
    </row>
    <row r="11" spans="2:4" ht="30" customHeight="1" x14ac:dyDescent="0.3">
      <c r="B11" s="23" t="s">
        <v>405</v>
      </c>
      <c r="C11" s="29" t="s">
        <v>406</v>
      </c>
      <c r="D11" s="24" t="s">
        <v>407</v>
      </c>
    </row>
    <row r="12" spans="2:4" ht="30" customHeight="1" x14ac:dyDescent="0.3">
      <c r="B12" s="23" t="s">
        <v>408</v>
      </c>
      <c r="C12" s="22" t="s">
        <v>409</v>
      </c>
      <c r="D12" s="24" t="s">
        <v>410</v>
      </c>
    </row>
    <row r="13" spans="2:4" ht="30" customHeight="1" x14ac:dyDescent="0.3">
      <c r="B13" s="23" t="s">
        <v>411</v>
      </c>
      <c r="C13" s="24" t="s">
        <v>412</v>
      </c>
      <c r="D13" s="24" t="s">
        <v>413</v>
      </c>
    </row>
    <row r="14" spans="2:4" ht="30" customHeight="1" x14ac:dyDescent="0.3">
      <c r="B14" s="23" t="s">
        <v>414</v>
      </c>
      <c r="C14" s="24" t="s">
        <v>415</v>
      </c>
      <c r="D14" s="24" t="s">
        <v>416</v>
      </c>
    </row>
    <row r="15" spans="2:4" ht="30" customHeight="1" x14ac:dyDescent="0.3">
      <c r="B15" s="23" t="s">
        <v>417</v>
      </c>
      <c r="C15" s="24" t="s">
        <v>418</v>
      </c>
      <c r="D15" s="24" t="s">
        <v>419</v>
      </c>
    </row>
    <row r="16" spans="2:4" ht="30" customHeight="1" x14ac:dyDescent="0.3">
      <c r="B16" s="23" t="s">
        <v>420</v>
      </c>
      <c r="C16" s="24" t="s">
        <v>421</v>
      </c>
      <c r="D16" s="24" t="s">
        <v>422</v>
      </c>
    </row>
    <row r="17" spans="2:4" ht="30" customHeight="1" x14ac:dyDescent="0.3">
      <c r="B17" s="23" t="s">
        <v>423</v>
      </c>
      <c r="C17" s="22" t="s">
        <v>424</v>
      </c>
      <c r="D17" s="24" t="s">
        <v>425</v>
      </c>
    </row>
    <row r="18" spans="2:4" ht="30" customHeight="1" x14ac:dyDescent="0.3">
      <c r="B18" s="23" t="s">
        <v>423</v>
      </c>
      <c r="C18" s="24" t="s">
        <v>426</v>
      </c>
      <c r="D18" s="24" t="s">
        <v>427</v>
      </c>
    </row>
    <row r="19" spans="2:4" ht="30" customHeight="1" x14ac:dyDescent="0.3">
      <c r="B19" s="24" t="s">
        <v>428</v>
      </c>
      <c r="C19" s="24" t="s">
        <v>429</v>
      </c>
      <c r="D19" s="24" t="s">
        <v>430</v>
      </c>
    </row>
    <row r="20" spans="2:4" ht="30" customHeight="1" x14ac:dyDescent="0.3">
      <c r="B20" s="22" t="s">
        <v>431</v>
      </c>
      <c r="C20" s="22" t="s">
        <v>432</v>
      </c>
      <c r="D20" s="24" t="s">
        <v>385</v>
      </c>
    </row>
    <row r="21" spans="2:4" ht="30" customHeight="1" x14ac:dyDescent="0.3">
      <c r="B21" s="22" t="s">
        <v>433</v>
      </c>
      <c r="C21" s="22" t="s">
        <v>434</v>
      </c>
      <c r="D21" s="24" t="s">
        <v>435</v>
      </c>
    </row>
    <row r="22" spans="2:4" ht="30" customHeight="1" x14ac:dyDescent="0.3">
      <c r="B22" s="24"/>
      <c r="C22" s="24"/>
      <c r="D22" s="24"/>
    </row>
    <row r="23" spans="2:4" ht="30" customHeight="1" x14ac:dyDescent="0.3">
      <c r="B23" s="22"/>
      <c r="C23" s="22"/>
      <c r="D23" s="24"/>
    </row>
    <row r="24" spans="2:4" ht="30" customHeight="1" x14ac:dyDescent="0.3">
      <c r="B24" s="24"/>
      <c r="C24" s="24"/>
      <c r="D24" s="24"/>
    </row>
    <row r="25" spans="2:4" ht="30" customHeight="1" x14ac:dyDescent="0.3">
      <c r="B25" s="30"/>
      <c r="C25" s="30"/>
      <c r="D25" s="30"/>
    </row>
    <row r="26" spans="2:4" ht="16.2" x14ac:dyDescent="0.3">
      <c r="B26" s="25" t="s">
        <v>388</v>
      </c>
      <c r="C26" s="31"/>
      <c r="D26" s="26"/>
    </row>
  </sheetData>
  <mergeCells count="1">
    <mergeCell ref="C3:D3"/>
  </mergeCells>
  <phoneticPr fontId="2"/>
  <dataValidations count="1">
    <dataValidation type="textLength" operator="lessThanOrEqual" allowBlank="1" showInputMessage="1" showErrorMessage="1" sqref="D20 B5:C25 D5" xr:uid="{00000000-0002-0000-0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Props1.xml><?xml version="1.0" encoding="utf-8"?>
<ds:datastoreItem xmlns:ds="http://schemas.openxmlformats.org/officeDocument/2006/customXml" ds:itemID="{4D0AE937-1DE3-4F87-8AE2-D48BB21234B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fe4817-1a8c-4f6d-9a7a-15a2f9c2ceea"/>
    <ds:schemaRef ds:uri="2ad01a7e-b0cc-482e-be0b-d1161c9cb6d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417E360-9BDB-4D98-A36D-0E33E6E4AD81}">
  <ds:schemaRefs>
    <ds:schemaRef ds:uri="http://schemas.microsoft.com/sharepoint/v3/contenttype/forms"/>
  </ds:schemaRefs>
</ds:datastoreItem>
</file>

<file path=customXml/itemProps3.xml><?xml version="1.0" encoding="utf-8"?>
<ds:datastoreItem xmlns:ds="http://schemas.openxmlformats.org/officeDocument/2006/customXml" ds:itemID="{42BFFD2E-9D0D-46DF-9BFC-3133369B5367}">
  <ds:schemaRefs>
    <ds:schemaRef ds:uri="http://purl.org/dc/terms/"/>
    <ds:schemaRef ds:uri="http://schemas.openxmlformats.org/package/2006/metadata/core-properties"/>
    <ds:schemaRef ds:uri="2ad01a7e-b0cc-482e-be0b-d1161c9cb6dd"/>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44fe4817-1a8c-4f6d-9a7a-15a2f9c2ceea"/>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6</vt:i4>
      </vt:variant>
    </vt:vector>
  </HeadingPairs>
  <TitlesOfParts>
    <vt:vector size="10" baseType="lpstr">
      <vt:lpstr>レビュー表</vt:lpstr>
      <vt:lpstr>マスタ</vt:lpstr>
      <vt:lpstr>指摘区分</vt:lpstr>
      <vt:lpstr>原因区分</vt:lpstr>
      <vt:lpstr>原因区分!Print_Area</vt:lpstr>
      <vt:lpstr>指摘区分!Print_Area</vt:lpstr>
      <vt:lpstr>レビュー表!Print_Titles</vt:lpstr>
      <vt:lpstr>原因区分!原因一覧_終了</vt:lpstr>
      <vt:lpstr>指摘区分!原因一覧_終了</vt:lpstr>
      <vt:lpstr>最終行</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末永 健治</dc:creator>
  <cp:keywords/>
  <dc:description/>
  <cp:lastModifiedBy>下井蓮生</cp:lastModifiedBy>
  <cp:revision/>
  <dcterms:created xsi:type="dcterms:W3CDTF">2022-11-02T07:26:10Z</dcterms:created>
  <dcterms:modified xsi:type="dcterms:W3CDTF">2023-11-08T09:58:49Z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0x01010008FF3A34676D824697E700815E8AA6A8</vt:lpwstr>
  </property>
  <property fmtid="{D5CDD505-2E9C-101B-9397-08002B2CF9AE}" pid="3" name="MediaServiceImageTags">
    <vt:lpwstr/>
  </property>
</Properties>
</file>