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codeName="{E757BCB4-07E6-AE0B-56E0-F0EEF7A6E26C}"/>
  <workbookPr codeName="ThisWorkbook"/>
  <mc:AlternateContent xmlns:mc="http://schemas.openxmlformats.org/markup-compatibility/2006">
    <mc:Choice Requires="x15">
      <x15ac:absPath xmlns:x15ac="http://schemas.microsoft.com/office/spreadsheetml/2010/11/ac" url="C:\Users\U0387\Downloads\"/>
    </mc:Choice>
  </mc:AlternateContent>
  <xr:revisionPtr revIDLastSave="0" documentId="13_ncr:1_{D1029332-C9D8-4317-B0A8-694483B49EDD}" xr6:coauthVersionLast="47" xr6:coauthVersionMax="47" xr10:uidLastSave="{00000000-0000-0000-0000-000000000000}"/>
  <bookViews>
    <workbookView xWindow="-108" yWindow="-108" windowWidth="23256" windowHeight="12576" xr2:uid="{00000000-000D-0000-FFFF-FFFF00000000}"/>
  </bookViews>
  <sheets>
    <sheet name="レビュー表" sheetId="1" r:id="rId1"/>
    <sheet name="マスタ" sheetId="2" r:id="rId2"/>
    <sheet name="指摘区分" sheetId="4" r:id="rId3"/>
    <sheet name="原因区分" sheetId="5" r:id="rId4"/>
  </sheets>
  <externalReferences>
    <externalReference r:id="rId5"/>
  </externalReferences>
  <definedNames>
    <definedName name="ＰＧ指摘件数">[1]表紙!$B$28</definedName>
    <definedName name="_xlnm.Print_Area" localSheetId="3">原因区分!$A$1:$D$26</definedName>
    <definedName name="_xlnm.Print_Area" localSheetId="2">指摘区分!$A$1:$C$25</definedName>
    <definedName name="_xlnm.Print_Titles" localSheetId="0">レビュー表!$7:$8</definedName>
    <definedName name="ＰＳ指摘件数">[1]表紙!$B$16</definedName>
    <definedName name="ＰＴ仕様書">[1]表紙!$B$3</definedName>
    <definedName name="ＰＴ仕様書指摘件数">[1]表紙!$B$22</definedName>
    <definedName name="サブシステム名">[1]表紙!$I$6</definedName>
    <definedName name="サブシステム名リスト">[1]プロセス!$D$2</definedName>
    <definedName name="プロセス範囲">[1]プロセス!$J$3:$L$21</definedName>
    <definedName name="会社名リスト範囲">[1]コード表!$G$2</definedName>
    <definedName name="開発規模">[1]表紙!$I$12</definedName>
    <definedName name="管理単位_管理単位１">[1]設定シート!$E$2</definedName>
    <definedName name="管理単位_管理単位２">[1]設定シート!$F$2</definedName>
    <definedName name="基本テスト項目数">[1]表紙!$AA$16</definedName>
    <definedName name="基本原因区分１">[1]表紙!$O$62</definedName>
    <definedName name="基本原因区分１０">[1]表紙!$O$71</definedName>
    <definedName name="基本原因区分１１">[1]表紙!$O$72</definedName>
    <definedName name="基本原因区分１２">[1]表紙!$O$73</definedName>
    <definedName name="基本原因区分１３">[1]表紙!$O$74</definedName>
    <definedName name="基本原因区分１４">[1]表紙!$O$75</definedName>
    <definedName name="基本原因区分１５">[1]表紙!$O$76</definedName>
    <definedName name="基本原因区分１６">[1]表紙!$O$77</definedName>
    <definedName name="基本原因区分１７">[1]表紙!$O$78</definedName>
    <definedName name="基本原因区分１８">[1]表紙!$O$79</definedName>
    <definedName name="基本原因区分１９">[1]表紙!$O$80</definedName>
    <definedName name="基本原因区分２">[1]表紙!$O$63</definedName>
    <definedName name="基本原因区分２０">[1]表紙!$O$81</definedName>
    <definedName name="基本原因区分２１">[1]表紙!$O$82</definedName>
    <definedName name="基本原因区分２２">[1]表紙!$O$83</definedName>
    <definedName name="基本原因区分２３">[1]表紙!$O$84</definedName>
    <definedName name="基本原因区分２４">[1]表紙!$O$85</definedName>
    <definedName name="基本原因区分２５">[1]表紙!$O$86</definedName>
    <definedName name="基本原因区分２６">[1]表紙!$O$87</definedName>
    <definedName name="基本原因区分２７">[1]表紙!$O$88</definedName>
    <definedName name="基本原因区分２８">[1]表紙!$O$89</definedName>
    <definedName name="基本原因区分２９">[1]表紙!$O$90</definedName>
    <definedName name="基本原因区分３">[1]表紙!$O$64</definedName>
    <definedName name="基本原因区分３０">[1]表紙!$O$91</definedName>
    <definedName name="基本原因区分３１">[1]表紙!$O$92</definedName>
    <definedName name="基本原因区分３２">[1]表紙!$O$93</definedName>
    <definedName name="基本原因区分３３">[1]表紙!$O$94</definedName>
    <definedName name="基本原因区分３４">[1]表紙!$O$95</definedName>
    <definedName name="基本原因区分３５">[1]表紙!$O$96</definedName>
    <definedName name="基本原因区分３６">[1]表紙!$O$97</definedName>
    <definedName name="基本原因区分３７">[1]表紙!$O$98</definedName>
    <definedName name="基本原因区分３８">[1]表紙!$O$99</definedName>
    <definedName name="基本原因区分３９">[1]表紙!$O$100</definedName>
    <definedName name="基本原因区分４">[1]表紙!$O$65</definedName>
    <definedName name="基本原因区分４０">[1]表紙!$O$101</definedName>
    <definedName name="基本原因区分５">[1]表紙!$O$66</definedName>
    <definedName name="基本原因区分６">[1]表紙!$O$67</definedName>
    <definedName name="基本原因区分７">[1]表紙!$O$68</definedName>
    <definedName name="基本原因区分８">[1]表紙!$O$69</definedName>
    <definedName name="基本原因区分９">[1]表紙!$O$70</definedName>
    <definedName name="基本原因工程１">[1]表紙!$AA$22</definedName>
    <definedName name="基本原因工程１０">[1]表紙!$AA$31</definedName>
    <definedName name="基本原因工程２">[1]表紙!$AA$23</definedName>
    <definedName name="基本原因工程３">[1]表紙!$AA$24</definedName>
    <definedName name="基本原因工程４">[1]表紙!$AA$25</definedName>
    <definedName name="基本原因工程５">[1]表紙!$AA$26</definedName>
    <definedName name="基本原因工程６">[1]表紙!$AA$27</definedName>
    <definedName name="基本原因工程７">[1]表紙!$AA$28</definedName>
    <definedName name="基本原因工程８">[1]表紙!$AA$29</definedName>
    <definedName name="基本原因工程９">[1]表紙!$AA$30</definedName>
    <definedName name="基本障害件数">[1]表紙!$AA$19</definedName>
    <definedName name="共通設定_規模">[1]【変更不可】共通設定!$B$1</definedName>
    <definedName name="業務テスト項目数">[1]表紙!$AG$16</definedName>
    <definedName name="業務プロセス範囲">[1]プロセス!$F$3:$H$9</definedName>
    <definedName name="業務プロセス名">[1]表紙!$I$7</definedName>
    <definedName name="業務原因区分１">[1]表紙!$U$62</definedName>
    <definedName name="業務原因区分１０">[1]表紙!$U$71</definedName>
    <definedName name="業務原因区分１１">[1]表紙!$U$72</definedName>
    <definedName name="業務原因区分１２">[1]表紙!$U$73</definedName>
    <definedName name="業務原因区分１３">[1]表紙!$U$74</definedName>
    <definedName name="業務原因区分１４">[1]表紙!$U$75</definedName>
    <definedName name="業務原因区分１５">[1]表紙!$U$76</definedName>
    <definedName name="業務原因区分１６">[1]表紙!$U$77</definedName>
    <definedName name="業務原因区分１７">[1]表紙!$U$78</definedName>
    <definedName name="業務原因区分１８">[1]表紙!$U$79</definedName>
    <definedName name="業務原因区分１９">[1]表紙!$U$80</definedName>
    <definedName name="業務原因区分２">[1]表紙!$U$63</definedName>
    <definedName name="業務原因区分２０">[1]表紙!$U$81</definedName>
    <definedName name="業務原因区分２１">[1]表紙!$U$82</definedName>
    <definedName name="業務原因区分２２">[1]表紙!$U$83</definedName>
    <definedName name="業務原因区分２３">[1]表紙!$U$84</definedName>
    <definedName name="業務原因区分２４">[1]表紙!$U$85</definedName>
    <definedName name="業務原因区分２５">[1]表紙!$U$86</definedName>
    <definedName name="業務原因区分２６">[1]表紙!$U$87</definedName>
    <definedName name="業務原因区分２７">[1]表紙!$U$88</definedName>
    <definedName name="業務原因区分２８">[1]表紙!$U$89</definedName>
    <definedName name="業務原因区分２９">[1]表紙!$U$90</definedName>
    <definedName name="業務原因区分３">[1]表紙!$U$64</definedName>
    <definedName name="業務原因区分３０">[1]表紙!$U$91</definedName>
    <definedName name="業務原因区分３１">[1]表紙!$U$92</definedName>
    <definedName name="業務原因区分３２">[1]表紙!$U$93</definedName>
    <definedName name="業務原因区分３３">[1]表紙!$U$94</definedName>
    <definedName name="業務原因区分３４">[1]表紙!$U$95</definedName>
    <definedName name="業務原因区分３５">[1]表紙!$U$96</definedName>
    <definedName name="業務原因区分３６">[1]表紙!$U$97</definedName>
    <definedName name="業務原因区分３７">[1]表紙!$U$98</definedName>
    <definedName name="業務原因区分３８">[1]表紙!$U$99</definedName>
    <definedName name="業務原因区分３９">[1]表紙!$U$100</definedName>
    <definedName name="業務原因区分４">[1]表紙!$U$65</definedName>
    <definedName name="業務原因区分４０">[1]表紙!$U$101</definedName>
    <definedName name="業務原因区分５">[1]表紙!$U$66</definedName>
    <definedName name="業務原因区分６">[1]表紙!$U$67</definedName>
    <definedName name="業務原因区分７">[1]表紙!$U$68</definedName>
    <definedName name="業務原因区分８">[1]表紙!$U$69</definedName>
    <definedName name="業務原因区分９">[1]表紙!$U$70</definedName>
    <definedName name="業務原因工程１">[1]表紙!$AG$22</definedName>
    <definedName name="業務原因工程１０">[1]表紙!$AG$31</definedName>
    <definedName name="業務原因工程２">[1]表紙!$AG$23</definedName>
    <definedName name="業務原因工程３">[1]表紙!$AG$24</definedName>
    <definedName name="業務原因工程４">[1]表紙!$AG$25</definedName>
    <definedName name="業務原因工程５">[1]表紙!$AG$26</definedName>
    <definedName name="業務原因工程６">[1]表紙!$AG$27</definedName>
    <definedName name="業務原因工程７">[1]表紙!$AG$28</definedName>
    <definedName name="業務原因工程８">[1]表紙!$AG$29</definedName>
    <definedName name="業務原因工程９">[1]表紙!$AG$30</definedName>
    <definedName name="業務障害件数">[1]表紙!$AG$19</definedName>
    <definedName name="原因一覧_開始" localSheetId="3">原因区分!#REF!</definedName>
    <definedName name="原因一覧_開始" localSheetId="2">指摘区分!#REF!</definedName>
    <definedName name="原因一覧_開始">#REF!</definedName>
    <definedName name="原因一覧_終了" localSheetId="3">原因区分!$B$26</definedName>
    <definedName name="原因一覧_終了" localSheetId="2">指摘区分!$B$25</definedName>
    <definedName name="原因一覧_終了">#REF!</definedName>
    <definedName name="原因区分名１">[1]表紙!$C$62</definedName>
    <definedName name="原因区分名１０">[1]表紙!$C$71</definedName>
    <definedName name="原因区分名１１">[1]表紙!$C$72</definedName>
    <definedName name="原因区分名１２">[1]表紙!$C$73</definedName>
    <definedName name="原因区分名１３">[1]表紙!$C$74</definedName>
    <definedName name="原因区分名１４">[1]表紙!$C$75</definedName>
    <definedName name="原因区分名１５">[1]表紙!$C$76</definedName>
    <definedName name="原因区分名１６">[1]表紙!$C$77</definedName>
    <definedName name="原因区分名１７">[1]表紙!$C$78</definedName>
    <definedName name="原因区分名１８">[1]表紙!$C$79</definedName>
    <definedName name="原因区分名１９">[1]表紙!$C$80</definedName>
    <definedName name="原因区分名２">[1]表紙!$C$63</definedName>
    <definedName name="原因区分名２０">[1]表紙!$C$81</definedName>
    <definedName name="原因区分名２１">[1]表紙!$C$82</definedName>
    <definedName name="原因区分名２２">[1]表紙!$C$83</definedName>
    <definedName name="原因区分名２３">[1]表紙!$C$84</definedName>
    <definedName name="原因区分名２４">[1]表紙!$C$85</definedName>
    <definedName name="原因区分名２５">[1]表紙!$C$86</definedName>
    <definedName name="原因区分名２６">[1]表紙!$C$87</definedName>
    <definedName name="原因区分名２７">[1]表紙!$C$88</definedName>
    <definedName name="原因区分名２８">[1]表紙!$C$89</definedName>
    <definedName name="原因区分名２９">[1]表紙!$C$90</definedName>
    <definedName name="原因区分名３">[1]表紙!$C$64</definedName>
    <definedName name="原因区分名３０">[1]表紙!$C$91</definedName>
    <definedName name="原因区分名３１">[1]表紙!$C$92</definedName>
    <definedName name="原因区分名３２">[1]表紙!$C$93</definedName>
    <definedName name="原因区分名３３">[1]表紙!$C$94</definedName>
    <definedName name="原因区分名３４">[1]表紙!$C$95</definedName>
    <definedName name="原因区分名３５">[1]表紙!$C$96</definedName>
    <definedName name="原因区分名３６">[1]表紙!$C$97</definedName>
    <definedName name="原因区分名３７">[1]表紙!$C$98</definedName>
    <definedName name="原因区分名３８">[1]表紙!$C$99</definedName>
    <definedName name="原因区分名３９">[1]表紙!$C$100</definedName>
    <definedName name="原因区分名４">[1]表紙!$C$65</definedName>
    <definedName name="原因区分名４０">[1]表紙!$C$101</definedName>
    <definedName name="原因区分名５">[1]表紙!$C$66</definedName>
    <definedName name="原因区分名６">[1]表紙!$C$67</definedName>
    <definedName name="原因区分名７">[1]表紙!$C$68</definedName>
    <definedName name="原因区分名８">[1]表紙!$C$69</definedName>
    <definedName name="原因区分名９">[1]表紙!$C$70</definedName>
    <definedName name="原因工程名１">[1]表紙!$U$22</definedName>
    <definedName name="原因工程名１０">[1]表紙!$U$31</definedName>
    <definedName name="原因工程名２">[1]表紙!$U$23</definedName>
    <definedName name="原因工程名３">[1]表紙!$U$24</definedName>
    <definedName name="原因工程名４">[1]表紙!$U$25</definedName>
    <definedName name="原因工程名５">[1]表紙!$U$26</definedName>
    <definedName name="原因工程名６">[1]表紙!$U$27</definedName>
    <definedName name="原因工程名７">[1]表紙!$U$28</definedName>
    <definedName name="原因工程名８">[1]表紙!$U$29</definedName>
    <definedName name="原因工程名９">[1]表紙!$U$30</definedName>
    <definedName name="工程リスト範囲">[1]コード表!$C$2</definedName>
    <definedName name="合計テスト項目数">[1]表紙!$AM$16</definedName>
    <definedName name="合計障害件数">[1]表紙!$AM$19</definedName>
    <definedName name="最終行">レビュー表!$A$30</definedName>
    <definedName name="担当者名リスト範囲">[1]コード表!$I$2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8" i="1" l="1"/>
  <c r="A27" i="1"/>
  <c r="A26" i="1"/>
  <c r="A25" i="1"/>
  <c r="A24" i="1"/>
  <c r="A22" i="1" l="1"/>
  <c r="A23" i="1"/>
  <c r="A10" i="1" l="1"/>
  <c r="A29" i="1" l="1"/>
  <c r="A21" i="1"/>
  <c r="A20" i="1"/>
  <c r="A19" i="1"/>
  <c r="A18" i="1"/>
  <c r="A16" i="1"/>
  <c r="A15" i="1"/>
  <c r="A17" i="1"/>
  <c r="A14" i="1"/>
  <c r="A13" i="1"/>
  <c r="A12" i="1"/>
  <c r="A11" i="1"/>
  <c r="A9" i="1"/>
  <c r="Z5" i="1"/>
  <c r="W5" i="1"/>
  <c r="Q5" i="1"/>
  <c r="S5" i="1"/>
  <c r="J2" i="1" l="1"/>
</calcChain>
</file>

<file path=xl/sharedStrings.xml><?xml version="1.0" encoding="utf-8"?>
<sst xmlns="http://schemas.openxmlformats.org/spreadsheetml/2006/main" count="652" uniqueCount="494">
  <si>
    <t>レビュードキュメント</t>
  </si>
  <si>
    <t>業務分類</t>
    <rPh sb="0" eb="2">
      <t>ギョウム</t>
    </rPh>
    <rPh sb="2" eb="4">
      <t>ブンルイ</t>
    </rPh>
    <phoneticPr fontId="2"/>
  </si>
  <si>
    <t>機能ID</t>
    <rPh sb="0" eb="2">
      <t>キノウ</t>
    </rPh>
    <phoneticPr fontId="2"/>
  </si>
  <si>
    <t>機能名</t>
    <rPh sb="0" eb="3">
      <t>キノウメイ</t>
    </rPh>
    <phoneticPr fontId="2"/>
  </si>
  <si>
    <t>頁数</t>
  </si>
  <si>
    <t>詳細設計</t>
  </si>
  <si>
    <t>C.生産実績</t>
  </si>
  <si>
    <t>C1408</t>
    <phoneticPr fontId="2"/>
  </si>
  <si>
    <t>レビューイ①</t>
  </si>
  <si>
    <t>ハイ</t>
  </si>
  <si>
    <t>レビューア①</t>
    <phoneticPr fontId="2"/>
  </si>
  <si>
    <t>下井</t>
    <rPh sb="0" eb="2">
      <t>シモイ</t>
    </rPh>
    <phoneticPr fontId="2"/>
  </si>
  <si>
    <t>レビューイ②</t>
  </si>
  <si>
    <t>レビューア②</t>
    <phoneticPr fontId="2"/>
  </si>
  <si>
    <t>吉本</t>
    <rPh sb="0" eb="2">
      <t>ヨシモト</t>
    </rPh>
    <phoneticPr fontId="2"/>
  </si>
  <si>
    <t>レビュー回数</t>
    <rPh sb="4" eb="6">
      <t>カイスウ</t>
    </rPh>
    <phoneticPr fontId="2"/>
  </si>
  <si>
    <t>レビュー開催日</t>
    <rPh sb="4" eb="6">
      <t>カイサイ</t>
    </rPh>
    <rPh sb="6" eb="7">
      <t>ヒ</t>
    </rPh>
    <phoneticPr fontId="2"/>
  </si>
  <si>
    <t>開始時間</t>
    <rPh sb="0" eb="2">
      <t>カイシ</t>
    </rPh>
    <rPh sb="2" eb="4">
      <t>ジカン</t>
    </rPh>
    <phoneticPr fontId="2"/>
  </si>
  <si>
    <t>終了時間</t>
    <rPh sb="0" eb="2">
      <t>シュウリョウ</t>
    </rPh>
    <rPh sb="2" eb="4">
      <t>ジカン</t>
    </rPh>
    <phoneticPr fontId="2"/>
  </si>
  <si>
    <t>レビュー時間</t>
    <rPh sb="4" eb="6">
      <t>ジカン</t>
    </rPh>
    <phoneticPr fontId="2"/>
  </si>
  <si>
    <t>指摘件数</t>
    <rPh sb="0" eb="2">
      <t>シテキ</t>
    </rPh>
    <rPh sb="2" eb="4">
      <t>ケンスウ</t>
    </rPh>
    <phoneticPr fontId="2"/>
  </si>
  <si>
    <t>修正予定完了日</t>
    <rPh sb="0" eb="2">
      <t>シュウセイ</t>
    </rPh>
    <rPh sb="2" eb="4">
      <t>ヨテイ</t>
    </rPh>
    <rPh sb="4" eb="6">
      <t>カンリョウ</t>
    </rPh>
    <rPh sb="6" eb="7">
      <t>ヒ</t>
    </rPh>
    <phoneticPr fontId="2"/>
  </si>
  <si>
    <t>修正完了日</t>
    <rPh sb="0" eb="2">
      <t>シュウセイ</t>
    </rPh>
    <rPh sb="2" eb="4">
      <t>カンリョウ</t>
    </rPh>
    <rPh sb="4" eb="5">
      <t>ヒ</t>
    </rPh>
    <phoneticPr fontId="2"/>
  </si>
  <si>
    <t>修正確認日</t>
    <rPh sb="0" eb="2">
      <t>シュウセイ</t>
    </rPh>
    <rPh sb="2" eb="4">
      <t>カクニン</t>
    </rPh>
    <rPh sb="4" eb="5">
      <t>ヒ</t>
    </rPh>
    <phoneticPr fontId="2"/>
  </si>
  <si>
    <t>レビューイ③</t>
  </si>
  <si>
    <t>レビューア③</t>
    <phoneticPr fontId="2"/>
  </si>
  <si>
    <t>rev.1</t>
  </si>
  <si>
    <t>レビューイ④</t>
  </si>
  <si>
    <t>レビューア④</t>
    <phoneticPr fontId="2"/>
  </si>
  <si>
    <t>指摘№</t>
    <rPh sb="0" eb="2">
      <t>シテキ</t>
    </rPh>
    <phoneticPr fontId="2"/>
  </si>
  <si>
    <t>指摘者</t>
    <rPh sb="0" eb="2">
      <t>シテキ</t>
    </rPh>
    <rPh sb="2" eb="3">
      <t>シャ</t>
    </rPh>
    <phoneticPr fontId="2"/>
  </si>
  <si>
    <t>指摘シート・ドキュメント</t>
    <rPh sb="0" eb="2">
      <t>シテキ</t>
    </rPh>
    <phoneticPr fontId="2"/>
  </si>
  <si>
    <t>指摘区分</t>
    <rPh sb="0" eb="2">
      <t>シテキ</t>
    </rPh>
    <rPh sb="2" eb="4">
      <t>クブン</t>
    </rPh>
    <phoneticPr fontId="2"/>
  </si>
  <si>
    <t>指摘内容</t>
    <rPh sb="0" eb="2">
      <t>シテキ</t>
    </rPh>
    <rPh sb="2" eb="4">
      <t>ナイヨウ</t>
    </rPh>
    <phoneticPr fontId="2"/>
  </si>
  <si>
    <t>修正内容</t>
    <rPh sb="0" eb="2">
      <t>シュウセイ</t>
    </rPh>
    <rPh sb="2" eb="4">
      <t>ナイヨウ</t>
    </rPh>
    <phoneticPr fontId="2"/>
  </si>
  <si>
    <t>修正箇所情報</t>
    <rPh sb="0" eb="2">
      <t>シュウセイ</t>
    </rPh>
    <rPh sb="2" eb="4">
      <t>カショ</t>
    </rPh>
    <rPh sb="4" eb="6">
      <t>ジョウホウ</t>
    </rPh>
    <phoneticPr fontId="2"/>
  </si>
  <si>
    <t>原因</t>
    <rPh sb="0" eb="2">
      <t>ゲンイン</t>
    </rPh>
    <phoneticPr fontId="4"/>
  </si>
  <si>
    <t>修正</t>
    <rPh sb="0" eb="2">
      <t>シュウセイ</t>
    </rPh>
    <phoneticPr fontId="4"/>
  </si>
  <si>
    <t>確認</t>
    <rPh sb="0" eb="2">
      <t>カクニン</t>
    </rPh>
    <phoneticPr fontId="4"/>
  </si>
  <si>
    <t>備考</t>
    <rPh sb="0" eb="2">
      <t>ビコウ</t>
    </rPh>
    <phoneticPr fontId="4"/>
  </si>
  <si>
    <t>原因工程</t>
    <rPh sb="0" eb="2">
      <t>ゲンイン</t>
    </rPh>
    <rPh sb="2" eb="4">
      <t>コウテイ</t>
    </rPh>
    <phoneticPr fontId="4"/>
  </si>
  <si>
    <t>原因分類</t>
    <rPh sb="0" eb="2">
      <t>ゲンイン</t>
    </rPh>
    <rPh sb="2" eb="4">
      <t>ブンルイ</t>
    </rPh>
    <phoneticPr fontId="4"/>
  </si>
  <si>
    <t>原因区分</t>
    <rPh sb="0" eb="2">
      <t>ゲンイン</t>
    </rPh>
    <rPh sb="2" eb="4">
      <t>クブン</t>
    </rPh>
    <phoneticPr fontId="4"/>
  </si>
  <si>
    <t>修正担当者</t>
    <rPh sb="0" eb="2">
      <t>シュウセイ</t>
    </rPh>
    <rPh sb="2" eb="5">
      <t>タントウシャ</t>
    </rPh>
    <phoneticPr fontId="4"/>
  </si>
  <si>
    <t>修正予定日</t>
    <rPh sb="0" eb="2">
      <t>シュウセイ</t>
    </rPh>
    <rPh sb="2" eb="5">
      <t>ヨテイビ</t>
    </rPh>
    <phoneticPr fontId="4"/>
  </si>
  <si>
    <t>修正完了日</t>
    <rPh sb="0" eb="2">
      <t>シュウセイ</t>
    </rPh>
    <rPh sb="2" eb="4">
      <t>カンリョウ</t>
    </rPh>
    <rPh sb="4" eb="5">
      <t>ヒ</t>
    </rPh>
    <phoneticPr fontId="4"/>
  </si>
  <si>
    <t>確認担当者</t>
    <rPh sb="0" eb="2">
      <t>カクニン</t>
    </rPh>
    <rPh sb="2" eb="4">
      <t>タントウ</t>
    </rPh>
    <rPh sb="4" eb="5">
      <t>シャ</t>
    </rPh>
    <phoneticPr fontId="4"/>
  </si>
  <si>
    <t>確認日</t>
    <rPh sb="0" eb="2">
      <t>カクニン</t>
    </rPh>
    <rPh sb="2" eb="3">
      <t>ヒ</t>
    </rPh>
    <phoneticPr fontId="4"/>
  </si>
  <si>
    <t>プロセス仕様書</t>
    <rPh sb="4" eb="7">
      <t>シヨウショ</t>
    </rPh>
    <phoneticPr fontId="2"/>
  </si>
  <si>
    <t>5:表現統一</t>
  </si>
  <si>
    <t>「当日」「システム日付」の記載が統一されていない。
システム日付に統一し、サーバ日付取得関数もセットで記載</t>
    <phoneticPr fontId="2"/>
  </si>
  <si>
    <t>サーバ日付取得関数を記載に追加しました。
「システム日付」に記載を修正しました。</t>
  </si>
  <si>
    <t>1 - 初期表示
1 - 検索条件初期表示 - 1)</t>
    <phoneticPr fontId="2"/>
  </si>
  <si>
    <t>3:詳細設計</t>
    <rPh sb="2" eb="4">
      <t>ショウサイ</t>
    </rPh>
    <rPh sb="4" eb="6">
      <t>セッケイ</t>
    </rPh>
    <phoneticPr fontId="2"/>
  </si>
  <si>
    <t>1:設計ﾐｽ</t>
    <phoneticPr fontId="2"/>
  </si>
  <si>
    <t>15:表現統一</t>
    <phoneticPr fontId="2"/>
  </si>
  <si>
    <t>ハイ</t>
    <phoneticPr fontId="2"/>
  </si>
  <si>
    <t>COMC1408001S</t>
    <phoneticPr fontId="2"/>
  </si>
  <si>
    <t>6:処理検討不足</t>
  </si>
  <si>
    <t>SQLのWhere句　リクエスト.期間（ToとFrom）に加える日時は７時固定ではなくカレンダーマスタの開始時刻・終了時刻を使う。</t>
    <rPh sb="9" eb="10">
      <t>ク</t>
    </rPh>
    <rPh sb="17" eb="19">
      <t>キカン</t>
    </rPh>
    <rPh sb="29" eb="30">
      <t>クワ</t>
    </rPh>
    <rPh sb="32" eb="34">
      <t>ニチジ</t>
    </rPh>
    <rPh sb="36" eb="37">
      <t>ジ</t>
    </rPh>
    <rPh sb="37" eb="39">
      <t>コテイ</t>
    </rPh>
    <rPh sb="52" eb="54">
      <t>カイシ</t>
    </rPh>
    <rPh sb="54" eb="56">
      <t>ジコク</t>
    </rPh>
    <rPh sb="57" eb="59">
      <t>シュウリョウ</t>
    </rPh>
    <rPh sb="59" eb="61">
      <t>ジコク</t>
    </rPh>
    <rPh sb="62" eb="63">
      <t>ツカ</t>
    </rPh>
    <phoneticPr fontId="2"/>
  </si>
  <si>
    <t>カレンダーマスタの開始時刻・終了時刻に修正しました。
2023/10/23
そのメモが不要となったので、削除しました。</t>
    <rPh sb="19" eb="21">
      <t>シュウセイ</t>
    </rPh>
    <phoneticPr fontId="2"/>
  </si>
  <si>
    <t>1.Select001
2-1)ヘッダデータ情報取得</t>
    <phoneticPr fontId="2"/>
  </si>
  <si>
    <t>2:設計検討不足</t>
    <phoneticPr fontId="2"/>
  </si>
  <si>
    <t>21:処理検討不足</t>
    <phoneticPr fontId="2"/>
  </si>
  <si>
    <t>10/27　設備がないためどうするか協議中</t>
    <rPh sb="6" eb="8">
      <t>セツビ</t>
    </rPh>
    <rPh sb="18" eb="21">
      <t>キョウギチュウ</t>
    </rPh>
    <phoneticPr fontId="2"/>
  </si>
  <si>
    <t>SQLのWhere句　品名の抽出条件　トランとマスタの品名をorで抽出ではなく品種コードの設定（Nullかどうか）で分岐させる</t>
    <rPh sb="9" eb="10">
      <t>ク</t>
    </rPh>
    <rPh sb="11" eb="13">
      <t>ヒンメイ</t>
    </rPh>
    <rPh sb="14" eb="18">
      <t>チュウシュツジョウケン</t>
    </rPh>
    <rPh sb="27" eb="29">
      <t>ヒンメイ</t>
    </rPh>
    <rPh sb="33" eb="35">
      <t>チュウシュツ</t>
    </rPh>
    <rPh sb="39" eb="41">
      <t>ヒンシュ</t>
    </rPh>
    <rPh sb="45" eb="47">
      <t>セッテイ</t>
    </rPh>
    <rPh sb="58" eb="60">
      <t>ブンキ</t>
    </rPh>
    <phoneticPr fontId="2"/>
  </si>
  <si>
    <t>品名の検索条件に修正しました。</t>
  </si>
  <si>
    <t>1:記載ミス</t>
  </si>
  <si>
    <t>ヘッダデータ情報取得のSQL
with句_対象データ取得のサブクエリ。SELECT句　の一部見切れている。
生産計画情報_外注加工.生産計画№
MAX（生産計画情報_外注加工.製品№）
MAX（生産計画情報_外注加工.製品№）
※他箇所も要確認</t>
    <rPh sb="6" eb="10">
      <t>ジョウホウシュトク</t>
    </rPh>
    <rPh sb="19" eb="20">
      <t>ク</t>
    </rPh>
    <rPh sb="21" eb="23">
      <t>タイショウ</t>
    </rPh>
    <rPh sb="26" eb="28">
      <t>シュトク</t>
    </rPh>
    <rPh sb="41" eb="42">
      <t>ク</t>
    </rPh>
    <rPh sb="44" eb="46">
      <t>イチブ</t>
    </rPh>
    <rPh sb="46" eb="48">
      <t>ミキ</t>
    </rPh>
    <rPh sb="66" eb="70">
      <t>セイサンケイカク</t>
    </rPh>
    <rPh sb="76" eb="82">
      <t>セイサンケイカクジョウホウ</t>
    </rPh>
    <rPh sb="83" eb="87">
      <t>ガイチュウカコウ</t>
    </rPh>
    <rPh sb="88" eb="91">
      <t>セイヒンナンバー</t>
    </rPh>
    <rPh sb="116" eb="119">
      <t>ホカカショ</t>
    </rPh>
    <rPh sb="120" eb="123">
      <t>ヨウカクニン</t>
    </rPh>
    <phoneticPr fontId="2"/>
  </si>
  <si>
    <t>SQL分を広くして修正しました。</t>
    <rPh sb="3" eb="4">
      <t>ブン</t>
    </rPh>
    <rPh sb="5" eb="6">
      <t>ヒロ</t>
    </rPh>
    <rPh sb="9" eb="11">
      <t>シュウセイ</t>
    </rPh>
    <phoneticPr fontId="2"/>
  </si>
  <si>
    <t>10:記載ミス</t>
    <phoneticPr fontId="2"/>
  </si>
  <si>
    <t>3:記載不要</t>
    <phoneticPr fontId="2"/>
  </si>
  <si>
    <t xml:space="preserve">ヘッダデータ情報取得のSQL
with句_集計データ取得のサブクエリ
外注加工実績情報をテーブル結合しているが、select句や結合条件などで使用していない。
</t>
    <rPh sb="6" eb="8">
      <t>ジョウホウ</t>
    </rPh>
    <rPh sb="8" eb="10">
      <t>シュトク</t>
    </rPh>
    <rPh sb="35" eb="43">
      <t>ガイチュウカコウジッセキジョウホウ</t>
    </rPh>
    <rPh sb="48" eb="50">
      <t>ケツゴウ</t>
    </rPh>
    <rPh sb="62" eb="63">
      <t>ク</t>
    </rPh>
    <rPh sb="64" eb="68">
      <t>ケツゴウジョウケン</t>
    </rPh>
    <rPh sb="71" eb="73">
      <t>シヨウ</t>
    </rPh>
    <phoneticPr fontId="2"/>
  </si>
  <si>
    <t>外注加工実績情報の結合条件を削除しました。</t>
    <rPh sb="9" eb="13">
      <t>ケツゴウジョウケン</t>
    </rPh>
    <rPh sb="14" eb="16">
      <t>サクジョ</t>
    </rPh>
    <phoneticPr fontId="2"/>
  </si>
  <si>
    <t>1:記載ミス</t>
    <phoneticPr fontId="2"/>
  </si>
  <si>
    <t>ヘッダデータ情報取得のSQL
メインクエリのselect句　移動日の取得元テーブル誤り。
誤：引取指示情報
正：引取実績情報</t>
    <rPh sb="6" eb="10">
      <t>ジョウホウシュトク</t>
    </rPh>
    <rPh sb="28" eb="29">
      <t>ク</t>
    </rPh>
    <rPh sb="30" eb="33">
      <t>イドウビ</t>
    </rPh>
    <rPh sb="34" eb="37">
      <t>シュトクモト</t>
    </rPh>
    <rPh sb="41" eb="42">
      <t>アヤマ</t>
    </rPh>
    <rPh sb="45" eb="46">
      <t>ゴ</t>
    </rPh>
    <rPh sb="47" eb="53">
      <t>ヒキトリシジジョウホウ</t>
    </rPh>
    <rPh sb="54" eb="55">
      <t>セイ</t>
    </rPh>
    <rPh sb="56" eb="62">
      <t>ヒキトリジッセキジョウホウ</t>
    </rPh>
    <phoneticPr fontId="2"/>
  </si>
  <si>
    <t>「引取実績情報」に記載を修正しました。</t>
    <rPh sb="12" eb="14">
      <t>シュウセイ</t>
    </rPh>
    <phoneticPr fontId="2"/>
  </si>
  <si>
    <t>9:設計問合せ</t>
  </si>
  <si>
    <t xml:space="preserve">ヘッダデータ情報取得のSQL
メインクエリの引取指示情報と引取実績情報の結合
inner joinする必要あるか？（引取実績が無いと取得できない？）
</t>
    <rPh sb="22" eb="24">
      <t>ヒキトリ</t>
    </rPh>
    <rPh sb="24" eb="26">
      <t>シジ</t>
    </rPh>
    <rPh sb="26" eb="28">
      <t>ジョウホウ</t>
    </rPh>
    <rPh sb="29" eb="31">
      <t>ヒキトリ</t>
    </rPh>
    <rPh sb="31" eb="33">
      <t>ジッセキ</t>
    </rPh>
    <rPh sb="33" eb="35">
      <t>ジョウホウ</t>
    </rPh>
    <rPh sb="36" eb="38">
      <t>ケツゴウ</t>
    </rPh>
    <rPh sb="51" eb="53">
      <t>ヒツヨウ</t>
    </rPh>
    <rPh sb="58" eb="62">
      <t>ヒキトリジッセキ</t>
    </rPh>
    <rPh sb="63" eb="64">
      <t>ナ</t>
    </rPh>
    <rPh sb="66" eb="68">
      <t>シュトク</t>
    </rPh>
    <phoneticPr fontId="2"/>
  </si>
  <si>
    <t>引取実績が無いと取得できると思いますので、
inner joinではなくてleft outer joinに修正しました。
また、引取実績情報テーブルには主キーが引取指示№だけではないので、取得する移動日をwith句_対象データ取得に移動しました。</t>
    <rPh sb="14" eb="15">
      <t>オモ</t>
    </rPh>
    <rPh sb="53" eb="55">
      <t>シュウセイ</t>
    </rPh>
    <rPh sb="76" eb="77">
      <t>オモ</t>
    </rPh>
    <rPh sb="94" eb="96">
      <t>シュトク</t>
    </rPh>
    <rPh sb="98" eb="101">
      <t>イドウビ</t>
    </rPh>
    <rPh sb="116" eb="118">
      <t>イドウ</t>
    </rPh>
    <phoneticPr fontId="2"/>
  </si>
  <si>
    <t>原反情報取得のSQL
from句、where句、order by句のテーブル名が不正
誤：仕上実績情報（外注加工）
正：使用原反情報（外注加工）</t>
    <rPh sb="0" eb="6">
      <t>ゲンタンジョウホウシュトク</t>
    </rPh>
    <rPh sb="15" eb="16">
      <t>ク</t>
    </rPh>
    <rPh sb="22" eb="23">
      <t>ク</t>
    </rPh>
    <rPh sb="32" eb="33">
      <t>ク</t>
    </rPh>
    <rPh sb="38" eb="39">
      <t>メイ</t>
    </rPh>
    <rPh sb="40" eb="42">
      <t>フセイ</t>
    </rPh>
    <rPh sb="43" eb="44">
      <t>ゴ</t>
    </rPh>
    <rPh sb="45" eb="51">
      <t>シアゲジッセキジョウホウ</t>
    </rPh>
    <rPh sb="52" eb="56">
      <t>ガイチュウカコウ</t>
    </rPh>
    <rPh sb="58" eb="59">
      <t>セイ</t>
    </rPh>
    <rPh sb="60" eb="66">
      <t>シヨウゲンタンジョウホウ</t>
    </rPh>
    <rPh sb="67" eb="71">
      <t>ガイチュウカコウ</t>
    </rPh>
    <phoneticPr fontId="2"/>
  </si>
  <si>
    <t>「使用原反情報（外注加工）」に記載を修正しました。</t>
    <phoneticPr fontId="2"/>
  </si>
  <si>
    <t>1.Select001
3-2)原反情報報取得</t>
    <phoneticPr fontId="2"/>
  </si>
  <si>
    <t>仕上実績情報取得のSQL
コード名称マスタの取得ファンクションおよびテーブル別名が不正
ファンクション：fun_getname_m_code→fun_get_m_code
テーブル別名：区分マスタ→コード名称マスタ</t>
    <rPh sb="0" eb="8">
      <t>シアゲジッセキジョウホウシュトク</t>
    </rPh>
    <rPh sb="16" eb="18">
      <t>メイショウ</t>
    </rPh>
    <rPh sb="22" eb="24">
      <t>シュトク</t>
    </rPh>
    <rPh sb="38" eb="40">
      <t>ベツメイ</t>
    </rPh>
    <rPh sb="41" eb="43">
      <t>フセイ</t>
    </rPh>
    <rPh sb="90" eb="92">
      <t>ベツメイ</t>
    </rPh>
    <rPh sb="93" eb="95">
      <t>クブン</t>
    </rPh>
    <rPh sb="102" eb="104">
      <t>メイショウ</t>
    </rPh>
    <phoneticPr fontId="2"/>
  </si>
  <si>
    <t xml:space="preserve">左の通り、修正しました。
</t>
    <rPh sb="0" eb="1">
      <t>ヒダリ</t>
    </rPh>
    <rPh sb="2" eb="3">
      <t>トオ</t>
    </rPh>
    <rPh sb="5" eb="7">
      <t>シュウセイ</t>
    </rPh>
    <phoneticPr fontId="2"/>
  </si>
  <si>
    <t>1.Select001
4-2)仕上実績情報取得</t>
    <phoneticPr fontId="2"/>
  </si>
  <si>
    <t>2:記載漏れ</t>
  </si>
  <si>
    <t>仕上実績情報取得のSQL
select句に包装№がない</t>
    <rPh sb="19" eb="20">
      <t>ク</t>
    </rPh>
    <rPh sb="21" eb="23">
      <t>ホウソウ</t>
    </rPh>
    <phoneticPr fontId="2"/>
  </si>
  <si>
    <t>select句に包装№を追加しました。</t>
    <rPh sb="12" eb="14">
      <t>ツイカ</t>
    </rPh>
    <phoneticPr fontId="2"/>
  </si>
  <si>
    <t>12:記載漏れ（処理）</t>
    <phoneticPr fontId="2"/>
  </si>
  <si>
    <t>検索ボタン押下　３一覧表示 3)各データへのソートを行う
SQLのソートでは対応できない？</t>
    <rPh sb="0" eb="2">
      <t>ケンサク</t>
    </rPh>
    <rPh sb="5" eb="7">
      <t>オウカ</t>
    </rPh>
    <rPh sb="9" eb="11">
      <t>イチラン</t>
    </rPh>
    <rPh sb="11" eb="13">
      <t>ヒョウジ</t>
    </rPh>
    <rPh sb="16" eb="17">
      <t>カク</t>
    </rPh>
    <rPh sb="26" eb="27">
      <t>オコナ</t>
    </rPh>
    <rPh sb="38" eb="40">
      <t>タイオウ</t>
    </rPh>
    <phoneticPr fontId="2"/>
  </si>
  <si>
    <t xml:space="preserve">返却値を編集する時、各データへのソートが必要だと思います。
 「C1401Controller」参考
2023/10/26
COMC1408001Sに各データへのソートの記載を追加しました。
</t>
    <rPh sb="8" eb="9">
      <t>トキ</t>
    </rPh>
    <rPh sb="20" eb="22">
      <t>ヒツヨウ</t>
    </rPh>
    <rPh sb="24" eb="25">
      <t>オモ</t>
    </rPh>
    <rPh sb="48" eb="50">
      <t>サンコウ</t>
    </rPh>
    <rPh sb="89" eb="91">
      <t>ツイカ</t>
    </rPh>
    <phoneticPr fontId="2"/>
  </si>
  <si>
    <t>検索ボタン押下　３一覧表示 3)各データへのソートを行う</t>
    <phoneticPr fontId="2"/>
  </si>
  <si>
    <t>検索ボタン押下　３一覧表示 　４）設定ファイル～
DISPLAY_LINE_COUNT_C1408_JISSEKIが
【C00_生産実績】詳細設計（設定ファイル）.xlsxに記載されていない。</t>
    <rPh sb="17" eb="19">
      <t>セッテイ</t>
    </rPh>
    <rPh sb="87" eb="89">
      <t>キサイ</t>
    </rPh>
    <phoneticPr fontId="2"/>
  </si>
  <si>
    <t>【C00_生産実績】詳細設計（設定ファイル）.xlsxに記載しました。</t>
    <rPh sb="28" eb="30">
      <t>キサイ</t>
    </rPh>
    <phoneticPr fontId="2"/>
  </si>
  <si>
    <t>【C00_生産実績】詳細設計（設定ファイル）.xlsx</t>
    <phoneticPr fontId="2"/>
  </si>
  <si>
    <t>検索ボタン押下　３一覧表示 ５)スクロール制御
設定ファイルの明細行数を元にスクロールバー表示する実装をしないといけない？
サブビュー作成時に設定ファイルの明細行数で定義するような記載が必要なのではないか。</t>
    <rPh sb="21" eb="23">
      <t>セイギョ</t>
    </rPh>
    <rPh sb="24" eb="26">
      <t>セッテイ</t>
    </rPh>
    <rPh sb="31" eb="35">
      <t>メイサイギョウスウ</t>
    </rPh>
    <rPh sb="36" eb="37">
      <t>モト</t>
    </rPh>
    <rPh sb="45" eb="47">
      <t>ヒョウジ</t>
    </rPh>
    <rPh sb="49" eb="51">
      <t>ジッソウ</t>
    </rPh>
    <rPh sb="67" eb="70">
      <t>サクセイジ</t>
    </rPh>
    <rPh sb="71" eb="73">
      <t>セッテイ</t>
    </rPh>
    <rPh sb="78" eb="82">
      <t>メイサイギョウスウ</t>
    </rPh>
    <rPh sb="83" eb="85">
      <t>テイギ</t>
    </rPh>
    <rPh sb="90" eb="92">
      <t>キサイ</t>
    </rPh>
    <rPh sb="93" eb="95">
      <t>ヒツヨウ</t>
    </rPh>
    <phoneticPr fontId="2"/>
  </si>
  <si>
    <t>その処理が不要となったので、削除しました。</t>
    <rPh sb="2" eb="4">
      <t>ショリ</t>
    </rPh>
    <phoneticPr fontId="2"/>
  </si>
  <si>
    <t>検索ボタン押下　３一覧表示 ５)スクロール制御</t>
    <phoneticPr fontId="2"/>
  </si>
  <si>
    <t>1:設計ﾐｽ</t>
  </si>
  <si>
    <t>14:表現曖昧</t>
  </si>
  <si>
    <t>COMC1408002S</t>
    <phoneticPr fontId="2"/>
  </si>
  <si>
    <t>２リクエストパラメータより、出力データを取得する
「※COM1408001S　ヘッダデータ取得SQLのwith句「with句_対象データ取得」 from句～where句　と同じ」
※同じ実装を使うなら共通モジュール名を定義し記載する</t>
    <rPh sb="14" eb="16">
      <t>シュツリョク</t>
    </rPh>
    <rPh sb="20" eb="22">
      <t>シュトク</t>
    </rPh>
    <rPh sb="91" eb="92">
      <t>オナ</t>
    </rPh>
    <rPh sb="93" eb="95">
      <t>ジッソウ</t>
    </rPh>
    <rPh sb="96" eb="97">
      <t>ツカ</t>
    </rPh>
    <rPh sb="100" eb="102">
      <t>キョウツウ</t>
    </rPh>
    <rPh sb="107" eb="108">
      <t>メイ</t>
    </rPh>
    <rPh sb="109" eb="111">
      <t>テイギ</t>
    </rPh>
    <rPh sb="112" eb="114">
      <t>キサイ</t>
    </rPh>
    <phoneticPr fontId="2"/>
  </si>
  <si>
    <t>共通モジュール名を定義し記載しました。</t>
    <phoneticPr fontId="2"/>
  </si>
  <si>
    <t>1.Download002
3-1)ダウンロードデータ取得</t>
    <phoneticPr fontId="2"/>
  </si>
  <si>
    <t>COMC1408002S
COMC1408003S</t>
    <phoneticPr fontId="2"/>
  </si>
  <si>
    <t>２リクエストパラメータより、出力データを取得する
with句_対象の生産計画データ取得 のselect句　と
メインクエリのselect句
仕上実績日の取得元テーブルが生産計画情報（外注加工）になっている。
外注加工実績情報から取得するはず
※COMC1408003Sも同様。要チェック</t>
    <rPh sb="29" eb="30">
      <t>ク</t>
    </rPh>
    <rPh sb="31" eb="33">
      <t>タイショウ</t>
    </rPh>
    <rPh sb="34" eb="38">
      <t>セイサンケイカク</t>
    </rPh>
    <rPh sb="41" eb="43">
      <t>シュトク</t>
    </rPh>
    <rPh sb="51" eb="52">
      <t>ク</t>
    </rPh>
    <rPh sb="68" eb="69">
      <t>ク</t>
    </rPh>
    <rPh sb="70" eb="75">
      <t>シアゲジッセキビ</t>
    </rPh>
    <rPh sb="76" eb="79">
      <t>シュトクモト</t>
    </rPh>
    <rPh sb="84" eb="90">
      <t>セイサンケイカクジョウホウ</t>
    </rPh>
    <rPh sb="91" eb="95">
      <t>ガイチュウカコウ</t>
    </rPh>
    <rPh sb="104" eb="112">
      <t>ガイチュウカコウジッセキジョウホウ</t>
    </rPh>
    <rPh sb="114" eb="116">
      <t>シュトク</t>
    </rPh>
    <rPh sb="135" eb="137">
      <t>ドウヨウ</t>
    </rPh>
    <rPh sb="138" eb="139">
      <t>ヨウ</t>
    </rPh>
    <phoneticPr fontId="2"/>
  </si>
  <si>
    <t>左の通り、修正しました。</t>
    <rPh sb="0" eb="1">
      <t>ヒダリ</t>
    </rPh>
    <rPh sb="2" eb="3">
      <t>トオ</t>
    </rPh>
    <rPh sb="5" eb="7">
      <t>シュウセイ</t>
    </rPh>
    <phoneticPr fontId="2"/>
  </si>
  <si>
    <t>1.Download002
3-1)ダウンロードデータ取得
1.Download003
3-1)ダウンロードデータ取得</t>
    <phoneticPr fontId="2"/>
  </si>
  <si>
    <t>プロセス仕様書
COMC1408002S
COMC1408003S</t>
    <rPh sb="4" eb="7">
      <t>シヨウショ</t>
    </rPh>
    <phoneticPr fontId="2"/>
  </si>
  <si>
    <t xml:space="preserve">帳票出力およびダウンロードの一連の記載はサンプルの注文書出力を基に記載する。
</t>
    <rPh sb="0" eb="4">
      <t>チョウヒョウシュツリョク</t>
    </rPh>
    <rPh sb="14" eb="16">
      <t>イチレン</t>
    </rPh>
    <rPh sb="17" eb="19">
      <t>キサイ</t>
    </rPh>
    <rPh sb="25" eb="30">
      <t>チュウモンショシュツリョク</t>
    </rPh>
    <rPh sb="31" eb="32">
      <t>モト</t>
    </rPh>
    <rPh sb="33" eb="35">
      <t>キサイ</t>
    </rPh>
    <phoneticPr fontId="2"/>
  </si>
  <si>
    <t>サンプルの注文書出力を基に記載しました。
2023/10/26
以下の順序で修正しました。
①新規Excelファイルにデータを出力する。
②Excelファイルの出力ファイルパス生成
③ファイルを保存する。
④Excelを 返却</t>
    <rPh sb="13" eb="15">
      <t>キサイ</t>
    </rPh>
    <rPh sb="48" eb="50">
      <t>シンキ</t>
    </rPh>
    <phoneticPr fontId="2"/>
  </si>
  <si>
    <t>5-原反情報ダウンロード - 4ファイル出力を行う。
6-仕上実績ダウンロード - 4ファイル出力を行う。</t>
    <phoneticPr fontId="2"/>
  </si>
  <si>
    <t>10/27　新規出力ではなくテンプレート作成にしてよいか確認中</t>
    <rPh sb="6" eb="10">
      <t>シンキシュツリョク</t>
    </rPh>
    <rPh sb="20" eb="22">
      <t>サクセイ</t>
    </rPh>
    <rPh sb="28" eb="31">
      <t>カクニンチュウ</t>
    </rPh>
    <phoneticPr fontId="2"/>
  </si>
  <si>
    <t>COMCZZZZ005のパラメータ.機能コード
設定ファイルに定義ではなくGetKinoInfo関数を使用して取得する</t>
    <rPh sb="18" eb="20">
      <t>キノウ</t>
    </rPh>
    <rPh sb="24" eb="26">
      <t>セッテイ</t>
    </rPh>
    <rPh sb="31" eb="33">
      <t>テイギ</t>
    </rPh>
    <rPh sb="48" eb="50">
      <t>カンスウ</t>
    </rPh>
    <phoneticPr fontId="2"/>
  </si>
  <si>
    <t>左の通り、修正しました。</t>
  </si>
  <si>
    <t>8-計画終了ボタン押下 - 3 -1)
9-計画終了ボタン押下 - 2 -1)</t>
    <phoneticPr fontId="2"/>
  </si>
  <si>
    <t>COMCZZZZ005C</t>
    <phoneticPr fontId="2"/>
  </si>
  <si>
    <t>リクエスト.計画終了日の内容が項目と一致しない。
内容：「選択されたデータの外注加工_更新CD を設定」</t>
    <rPh sb="6" eb="11">
      <t>ケイカクシュウリョウビ</t>
    </rPh>
    <rPh sb="12" eb="14">
      <t>ナイヨウ</t>
    </rPh>
    <rPh sb="15" eb="17">
      <t>コウモク</t>
    </rPh>
    <rPh sb="18" eb="20">
      <t>イッチ</t>
    </rPh>
    <rPh sb="25" eb="27">
      <t>ナイヨウ</t>
    </rPh>
    <rPh sb="29" eb="31">
      <t>センタク</t>
    </rPh>
    <rPh sb="38" eb="42">
      <t>ガイチュウカコウ</t>
    </rPh>
    <rPh sb="43" eb="45">
      <t>コウシン</t>
    </rPh>
    <rPh sb="49" eb="51">
      <t>セッテイ</t>
    </rPh>
    <phoneticPr fontId="2"/>
  </si>
  <si>
    <t>選択されたデータの計画終了日に修正しました。</t>
    <rPh sb="15" eb="17">
      <t>シュウセイ</t>
    </rPh>
    <phoneticPr fontId="2"/>
  </si>
  <si>
    <t>リクエストの内容や更新方法が他工程の計画終了解除と統一されているか？</t>
    <rPh sb="6" eb="8">
      <t>ナイヨウ</t>
    </rPh>
    <rPh sb="9" eb="13">
      <t>コウシンホウホウ</t>
    </rPh>
    <rPh sb="14" eb="17">
      <t>ホカコウテイ</t>
    </rPh>
    <rPh sb="18" eb="24">
      <t>ケイカクシュウリョウカイジョ</t>
    </rPh>
    <rPh sb="25" eb="27">
      <t>トウイツ</t>
    </rPh>
    <phoneticPr fontId="2"/>
  </si>
  <si>
    <t>統一されているために、COMCZZZZ001を参考して、リクエストの内容や更新方法を修正しました。</t>
    <rPh sb="23" eb="25">
      <t>サンコウ</t>
    </rPh>
    <rPh sb="42" eb="44">
      <t>シュウセイ</t>
    </rPh>
    <phoneticPr fontId="2"/>
  </si>
  <si>
    <t>COMCZZZZ005S
1.Update5 - 3
1.Update5 - 4 -1)</t>
    <phoneticPr fontId="2"/>
  </si>
  <si>
    <t>検索ボタン押下　３一覧表示 4)「計画終了」、「計画終了解除」ボタン制御
設備権限の判断で「設備権限有→変数.編集権限フラグ＝1（あり）」とあるが、変数.編集権限フラグの編集箇所が見つからない。</t>
    <rPh sb="0" eb="2">
      <t>ケンサク</t>
    </rPh>
    <rPh sb="5" eb="7">
      <t>オウカ</t>
    </rPh>
    <rPh sb="9" eb="11">
      <t>イチラン</t>
    </rPh>
    <rPh sb="11" eb="13">
      <t>ヒョウジ</t>
    </rPh>
    <rPh sb="17" eb="19">
      <t>ケイカク</t>
    </rPh>
    <rPh sb="19" eb="21">
      <t>シュウリョウ</t>
    </rPh>
    <rPh sb="24" eb="26">
      <t>ケイカク</t>
    </rPh>
    <rPh sb="26" eb="28">
      <t>シュウリョウ</t>
    </rPh>
    <rPh sb="28" eb="30">
      <t>カイジョ</t>
    </rPh>
    <rPh sb="34" eb="36">
      <t>セイギョ</t>
    </rPh>
    <rPh sb="37" eb="41">
      <t>セツビケンゲン</t>
    </rPh>
    <rPh sb="42" eb="44">
      <t>ハンダン</t>
    </rPh>
    <rPh sb="52" eb="54">
      <t>ヘンスウ</t>
    </rPh>
    <rPh sb="55" eb="59">
      <t>ヘンシュウケンゲン</t>
    </rPh>
    <rPh sb="85" eb="87">
      <t>ヘンシュウ</t>
    </rPh>
    <rPh sb="87" eb="89">
      <t>カショ</t>
    </rPh>
    <rPh sb="90" eb="91">
      <t>ミ</t>
    </rPh>
    <phoneticPr fontId="2"/>
  </si>
  <si>
    <t>変数.編集権限フラグの宣言の記載に追加しました。</t>
    <rPh sb="11" eb="13">
      <t>センゲン</t>
    </rPh>
    <rPh sb="14" eb="16">
      <t>キサイ</t>
    </rPh>
    <rPh sb="17" eb="19">
      <t>ツイカ</t>
    </rPh>
    <phoneticPr fontId="2"/>
  </si>
  <si>
    <t>2 - 検索ボタン押下
3 - 一覧表示 - 4)</t>
    <rPh sb="4" eb="6">
      <t>ケンサク</t>
    </rPh>
    <rPh sb="9" eb="11">
      <t>オウカ</t>
    </rPh>
    <rPh sb="16" eb="20">
      <t>イチランヒョウジ</t>
    </rPh>
    <phoneticPr fontId="2"/>
  </si>
  <si>
    <t>2:設計検討不足</t>
  </si>
  <si>
    <t>21:処理検討不足</t>
  </si>
  <si>
    <t>End</t>
    <phoneticPr fontId="2"/>
  </si>
  <si>
    <t>ドキュメント</t>
    <phoneticPr fontId="2"/>
  </si>
  <si>
    <t>業務分類名</t>
    <rPh sb="0" eb="2">
      <t>ギョウム</t>
    </rPh>
    <rPh sb="2" eb="4">
      <t>ブンルイ</t>
    </rPh>
    <rPh sb="4" eb="5">
      <t>メイ</t>
    </rPh>
    <phoneticPr fontId="2"/>
  </si>
  <si>
    <t>機能名</t>
    <rPh sb="0" eb="2">
      <t>キノウ</t>
    </rPh>
    <rPh sb="2" eb="3">
      <t>メイ</t>
    </rPh>
    <phoneticPr fontId="2"/>
  </si>
  <si>
    <t>原因工程</t>
    <rPh sb="0" eb="2">
      <t>ゲンイン</t>
    </rPh>
    <rPh sb="2" eb="4">
      <t>コウテイ</t>
    </rPh>
    <phoneticPr fontId="2"/>
  </si>
  <si>
    <t>基本設計</t>
    <rPh sb="0" eb="2">
      <t>キホン</t>
    </rPh>
    <rPh sb="2" eb="4">
      <t>セッケイ</t>
    </rPh>
    <phoneticPr fontId="2"/>
  </si>
  <si>
    <t>A.受注</t>
  </si>
  <si>
    <t>A0101</t>
  </si>
  <si>
    <t>受注登録</t>
  </si>
  <si>
    <t>1:要件定義</t>
    <rPh sb="2" eb="6">
      <t>ヨウケンテイギ</t>
    </rPh>
    <phoneticPr fontId="2"/>
  </si>
  <si>
    <t>詳細設計</t>
    <rPh sb="0" eb="2">
      <t>ショウサイ</t>
    </rPh>
    <rPh sb="2" eb="4">
      <t>セッケイ</t>
    </rPh>
    <phoneticPr fontId="2"/>
  </si>
  <si>
    <t>B.生産計画</t>
  </si>
  <si>
    <t>A1101</t>
  </si>
  <si>
    <t>受注一覧</t>
  </si>
  <si>
    <t>2:基本設計</t>
    <rPh sb="2" eb="4">
      <t>キホン</t>
    </rPh>
    <rPh sb="4" eb="6">
      <t>セッケイ</t>
    </rPh>
    <phoneticPr fontId="2"/>
  </si>
  <si>
    <t>単体試験</t>
    <rPh sb="0" eb="2">
      <t>タンタイ</t>
    </rPh>
    <rPh sb="2" eb="4">
      <t>シケン</t>
    </rPh>
    <phoneticPr fontId="2"/>
  </si>
  <si>
    <t>A3101</t>
  </si>
  <si>
    <t>ラベル発行</t>
  </si>
  <si>
    <t>単体実施</t>
    <rPh sb="0" eb="2">
      <t>タンタイ</t>
    </rPh>
    <rPh sb="2" eb="4">
      <t>ジッシ</t>
    </rPh>
    <phoneticPr fontId="2"/>
  </si>
  <si>
    <t>D.出荷</t>
  </si>
  <si>
    <t>A3202</t>
  </si>
  <si>
    <t>用紙セット確認</t>
  </si>
  <si>
    <t>4:開発</t>
    <rPh sb="2" eb="4">
      <t>カイハツ</t>
    </rPh>
    <phoneticPr fontId="2"/>
  </si>
  <si>
    <t>コードレビュー</t>
    <phoneticPr fontId="2"/>
  </si>
  <si>
    <t>結合試験</t>
    <rPh sb="0" eb="2">
      <t>ケツゴウ</t>
    </rPh>
    <rPh sb="2" eb="4">
      <t>シケン</t>
    </rPh>
    <phoneticPr fontId="2"/>
  </si>
  <si>
    <t>E.資材</t>
  </si>
  <si>
    <t>B0101</t>
  </si>
  <si>
    <t>生産計画登録（抄紙）</t>
  </si>
  <si>
    <t>5:単体試験</t>
    <rPh sb="2" eb="4">
      <t>タンタイ</t>
    </rPh>
    <rPh sb="4" eb="6">
      <t>シケン</t>
    </rPh>
    <phoneticPr fontId="2"/>
  </si>
  <si>
    <t>結合実施</t>
    <rPh sb="0" eb="2">
      <t>ケツゴウ</t>
    </rPh>
    <rPh sb="2" eb="4">
      <t>ジッシ</t>
    </rPh>
    <phoneticPr fontId="2"/>
  </si>
  <si>
    <t>F.請求・入金</t>
  </si>
  <si>
    <t>B0102</t>
  </si>
  <si>
    <t>生産計画登録（熱加工）</t>
  </si>
  <si>
    <t>6:単体実施</t>
    <rPh sb="2" eb="4">
      <t>タンタイ</t>
    </rPh>
    <rPh sb="4" eb="6">
      <t>ジッシ</t>
    </rPh>
    <phoneticPr fontId="2"/>
  </si>
  <si>
    <t>G.売上</t>
  </si>
  <si>
    <t>B0103</t>
  </si>
  <si>
    <t>生産計画登録（加工CM）</t>
  </si>
  <si>
    <t>7:結合試験</t>
    <rPh sb="2" eb="4">
      <t>ケツゴウ</t>
    </rPh>
    <rPh sb="4" eb="6">
      <t>シケン</t>
    </rPh>
    <phoneticPr fontId="2"/>
  </si>
  <si>
    <t>H.支払</t>
  </si>
  <si>
    <t>B0104</t>
  </si>
  <si>
    <t>生産計画登録（加工SC）</t>
  </si>
  <si>
    <t>8:結合実施</t>
    <rPh sb="2" eb="4">
      <t>ケツゴウ</t>
    </rPh>
    <rPh sb="4" eb="6">
      <t>ジッシ</t>
    </rPh>
    <phoneticPr fontId="2"/>
  </si>
  <si>
    <t>I.原価</t>
  </si>
  <si>
    <t>B0105</t>
  </si>
  <si>
    <t>生産計画登録（コーヒーフィルタ）</t>
  </si>
  <si>
    <t>J.製品棚卸</t>
  </si>
  <si>
    <t>B0106</t>
  </si>
  <si>
    <t>生産計画登録（パッケージ工場）</t>
  </si>
  <si>
    <t>K.マスタ管理</t>
  </si>
  <si>
    <t>B0107</t>
  </si>
  <si>
    <t>生産計画登録（W/D工場）</t>
  </si>
  <si>
    <t>L.共通</t>
  </si>
  <si>
    <t>B0108</t>
  </si>
  <si>
    <t>生産計画登録（外注加工）</t>
  </si>
  <si>
    <t>B1101</t>
  </si>
  <si>
    <t>生産計画一覧</t>
  </si>
  <si>
    <t>B1102</t>
  </si>
  <si>
    <t>月間生産計画（設備別）</t>
  </si>
  <si>
    <t>B1103</t>
  </si>
  <si>
    <t>月間生産計画（工程別）①</t>
  </si>
  <si>
    <t>B1104</t>
  </si>
  <si>
    <t>月間生産計画（工程別）②</t>
  </si>
  <si>
    <t>B1201</t>
  </si>
  <si>
    <t>在庫推移一覧</t>
  </si>
  <si>
    <t>B1301</t>
  </si>
  <si>
    <t>在庫一覧</t>
  </si>
  <si>
    <t>B0201</t>
  </si>
  <si>
    <t>生産指示登録（原材料）</t>
  </si>
  <si>
    <t>B0202</t>
  </si>
  <si>
    <t>生産指示登録（調薬）</t>
  </si>
  <si>
    <t>B0203</t>
  </si>
  <si>
    <t>生産指示登録（原反）</t>
  </si>
  <si>
    <t>B2101</t>
  </si>
  <si>
    <t>生産計画表（抄紙）</t>
  </si>
  <si>
    <t>B2102</t>
  </si>
  <si>
    <t>生産計画表（熱加工）</t>
  </si>
  <si>
    <t>B2103</t>
  </si>
  <si>
    <t>生産計画表（加工CM）</t>
  </si>
  <si>
    <t>B2104</t>
  </si>
  <si>
    <t>生産計画表（加工SC）</t>
  </si>
  <si>
    <t>B2105</t>
  </si>
  <si>
    <t>生産計画表（コーヒーフィルタ）</t>
  </si>
  <si>
    <t>B2106</t>
  </si>
  <si>
    <t>生産計画表（パッケージ工場）</t>
  </si>
  <si>
    <t>B2107</t>
  </si>
  <si>
    <t>生産計画表（W/D工場）</t>
  </si>
  <si>
    <t>B2201</t>
  </si>
  <si>
    <t>工程表</t>
  </si>
  <si>
    <t>C0101</t>
  </si>
  <si>
    <t>使用実績登録（原材料）</t>
  </si>
  <si>
    <t>C0102</t>
  </si>
  <si>
    <t>使用実績登録（薬品）</t>
  </si>
  <si>
    <t>C0103</t>
  </si>
  <si>
    <t>使用実績登録（調薬）</t>
  </si>
  <si>
    <t>C0104</t>
  </si>
  <si>
    <t>使用実績登録（調合顔料）</t>
  </si>
  <si>
    <t>C1101</t>
  </si>
  <si>
    <t>使用実績一覧</t>
  </si>
  <si>
    <t>C0201</t>
  </si>
  <si>
    <t>パルプ・化繊・薬品配合登録</t>
  </si>
  <si>
    <t>C1201</t>
  </si>
  <si>
    <t>パルプ・化繊・薬品配合一覧</t>
  </si>
  <si>
    <t>C0401</t>
  </si>
  <si>
    <t>抄紙実績登録（抄紙）</t>
  </si>
  <si>
    <t>C0402</t>
  </si>
  <si>
    <t>仕上実績登録（抄紙）</t>
  </si>
  <si>
    <t>C0403</t>
  </si>
  <si>
    <t>加工実績登録（熱加工）</t>
  </si>
  <si>
    <t>C0404</t>
  </si>
  <si>
    <t>仕上実績登録（熱加工）</t>
  </si>
  <si>
    <t>C0405</t>
  </si>
  <si>
    <t>加工実績登録（加工CM）</t>
  </si>
  <si>
    <t>C0406</t>
  </si>
  <si>
    <t>仕上実績登録（加工CM）</t>
  </si>
  <si>
    <t>C0407</t>
  </si>
  <si>
    <t>加工実績登録（加工SC）</t>
  </si>
  <si>
    <t>C0408</t>
  </si>
  <si>
    <t>仕上実績登録（加工SC）</t>
  </si>
  <si>
    <t>C0409</t>
  </si>
  <si>
    <t>成型実績登録</t>
  </si>
  <si>
    <t>C0410</t>
  </si>
  <si>
    <t>包装実績登録</t>
  </si>
  <si>
    <t>C0411</t>
  </si>
  <si>
    <t>パッケージ実績登録</t>
  </si>
  <si>
    <t>C0412</t>
  </si>
  <si>
    <t>仕上実績登録（W/D工場）</t>
  </si>
  <si>
    <t>C0413</t>
  </si>
  <si>
    <t>仕上実績登録（外注加工）</t>
  </si>
  <si>
    <t>C1401</t>
  </si>
  <si>
    <t>生産実績一覧（抄紙）</t>
  </si>
  <si>
    <t>C1402</t>
  </si>
  <si>
    <t>生産実績一覧（熱加工）</t>
  </si>
  <si>
    <t>C1403</t>
  </si>
  <si>
    <t>生産実績一覧（加工CM）</t>
  </si>
  <si>
    <t>C1404</t>
  </si>
  <si>
    <t>生産実績一覧（加工SC）</t>
  </si>
  <si>
    <t>C1405</t>
  </si>
  <si>
    <t>生産実績一覧（コーヒーフィルタ）</t>
  </si>
  <si>
    <t>C1406</t>
  </si>
  <si>
    <t>生産実績一覧（パッケージ工場）</t>
  </si>
  <si>
    <t>C1407</t>
  </si>
  <si>
    <t>生産実績一覧（W/D工場）</t>
  </si>
  <si>
    <t>C1408</t>
  </si>
  <si>
    <t>生産実績一覧（外注加工）</t>
  </si>
  <si>
    <t>C3401</t>
  </si>
  <si>
    <t>作業一覧（抄紙）</t>
  </si>
  <si>
    <t>C3402</t>
  </si>
  <si>
    <t>作業一覧（熱加工）</t>
  </si>
  <si>
    <t>C3403</t>
  </si>
  <si>
    <t>作業一覧（加工CM）</t>
  </si>
  <si>
    <t>C3404</t>
  </si>
  <si>
    <t>作業一覧（加工SC）</t>
  </si>
  <si>
    <t>C3405</t>
  </si>
  <si>
    <t>作業一覧（W/D工場）</t>
  </si>
  <si>
    <t>C0501</t>
  </si>
  <si>
    <t>在庫移動指示登録</t>
  </si>
  <si>
    <t>C0502</t>
  </si>
  <si>
    <t>在庫移動指示登録（パッケージ工場）</t>
  </si>
  <si>
    <t>C0503</t>
  </si>
  <si>
    <t>在庫移動指示登録（外注加工）</t>
  </si>
  <si>
    <t>C1501</t>
  </si>
  <si>
    <t>在庫移動指示一覧</t>
  </si>
  <si>
    <t>C2101</t>
  </si>
  <si>
    <t>在庫移動指図書</t>
  </si>
  <si>
    <t>C0601</t>
  </si>
  <si>
    <t>引取指示登録</t>
  </si>
  <si>
    <t>C1601</t>
  </si>
  <si>
    <t>引取指示一覧</t>
  </si>
  <si>
    <t>C2201</t>
  </si>
  <si>
    <t>引取依頼書</t>
  </si>
  <si>
    <t>C0701</t>
  </si>
  <si>
    <t>加工指示登録（W/D工場）</t>
  </si>
  <si>
    <t>C0702</t>
  </si>
  <si>
    <t>加工指示登録（外注加工）</t>
  </si>
  <si>
    <t>C2301</t>
  </si>
  <si>
    <t>加工指示書</t>
  </si>
  <si>
    <t>D0101</t>
  </si>
  <si>
    <t>出荷指示登録</t>
  </si>
  <si>
    <t>D0102</t>
  </si>
  <si>
    <t>出荷指示登録（海外）</t>
  </si>
  <si>
    <t>D1101</t>
  </si>
  <si>
    <t>出荷指示一覧</t>
  </si>
  <si>
    <t>D1102</t>
  </si>
  <si>
    <t>出荷指示一覧（海外）</t>
  </si>
  <si>
    <t>D0201</t>
  </si>
  <si>
    <t>出荷実績登録</t>
  </si>
  <si>
    <t>D0202</t>
  </si>
  <si>
    <t>出荷実績登録（海外）</t>
  </si>
  <si>
    <t>D3201</t>
  </si>
  <si>
    <t>出荷実績登録（バーコード読取）</t>
  </si>
  <si>
    <t>D1201</t>
  </si>
  <si>
    <t>出荷実績一覧</t>
  </si>
  <si>
    <t>D1202</t>
  </si>
  <si>
    <t>出荷実績一覧（海外）</t>
  </si>
  <si>
    <t>E0101</t>
  </si>
  <si>
    <t>発注指示登録</t>
  </si>
  <si>
    <t>E1101</t>
  </si>
  <si>
    <t>発注指示一覧</t>
  </si>
  <si>
    <t>E0201</t>
  </si>
  <si>
    <t>発注登録</t>
  </si>
  <si>
    <t>E1201</t>
  </si>
  <si>
    <t>発注一覧</t>
  </si>
  <si>
    <t>E0301</t>
  </si>
  <si>
    <t>発注指示選択</t>
  </si>
  <si>
    <t>E0401</t>
  </si>
  <si>
    <t>注文書出力</t>
  </si>
  <si>
    <t>E2401</t>
  </si>
  <si>
    <t>注文書</t>
  </si>
  <si>
    <t>資材受入登録</t>
  </si>
  <si>
    <t>E1401</t>
  </si>
  <si>
    <t>資材受入一覧</t>
  </si>
  <si>
    <t>E1501</t>
  </si>
  <si>
    <t>資材在庫一覧</t>
  </si>
  <si>
    <t>F0101</t>
  </si>
  <si>
    <t>請求書出力</t>
  </si>
  <si>
    <t>F0102</t>
  </si>
  <si>
    <t>請求書出力（プレビュー）</t>
  </si>
  <si>
    <t>F3101</t>
  </si>
  <si>
    <t>入金一覧</t>
  </si>
  <si>
    <t>G0101</t>
  </si>
  <si>
    <t>その他売上登録</t>
  </si>
  <si>
    <t>G0102</t>
  </si>
  <si>
    <t>その他売上登録（海外）</t>
  </si>
  <si>
    <t>G1101</t>
  </si>
  <si>
    <t>その他売上一覧</t>
  </si>
  <si>
    <t>G1102</t>
  </si>
  <si>
    <t>その他売上一覧（海外）</t>
  </si>
  <si>
    <t>G3101</t>
  </si>
  <si>
    <t>売上連携</t>
  </si>
  <si>
    <t>H0101</t>
  </si>
  <si>
    <t>支払予定データ登録</t>
  </si>
  <si>
    <t>H1101</t>
  </si>
  <si>
    <t>支払予定データ一覧</t>
  </si>
  <si>
    <t>H3101</t>
  </si>
  <si>
    <t>支払予定データ連携</t>
  </si>
  <si>
    <t>I0101</t>
  </si>
  <si>
    <t>原価データ登録</t>
  </si>
  <si>
    <t>I1101</t>
  </si>
  <si>
    <t>原価一覧</t>
  </si>
  <si>
    <t>J0101</t>
  </si>
  <si>
    <t>実地棚卸データ登録</t>
  </si>
  <si>
    <t>J1101</t>
  </si>
  <si>
    <t>実地棚卸データ一覧</t>
  </si>
  <si>
    <t>K0102</t>
  </si>
  <si>
    <t>メニューマスタメンテナンス</t>
  </si>
  <si>
    <t>K0103</t>
  </si>
  <si>
    <t>権限マスタメンテナンス</t>
  </si>
  <si>
    <t>K0104</t>
  </si>
  <si>
    <t>品種マスタメンテナンス</t>
  </si>
  <si>
    <t>K0105</t>
  </si>
  <si>
    <t>業者マスタメンテナンス</t>
  </si>
  <si>
    <t>K0106</t>
  </si>
  <si>
    <t>工程マスタメンテナンス</t>
  </si>
  <si>
    <t>K0107</t>
  </si>
  <si>
    <t>品種大分類マスタメンテナンス</t>
  </si>
  <si>
    <t>K0108</t>
  </si>
  <si>
    <t>品種中分類メンテナンス</t>
  </si>
  <si>
    <t>K0109</t>
  </si>
  <si>
    <t>単位コードマスタメンテナンス</t>
  </si>
  <si>
    <t>K0110</t>
  </si>
  <si>
    <t>通貨コードメンテナンス</t>
  </si>
  <si>
    <t>K0111</t>
  </si>
  <si>
    <t>管轄コードメンテナンス</t>
  </si>
  <si>
    <t>K0112</t>
  </si>
  <si>
    <t>保管場所コードメンテナンス</t>
  </si>
  <si>
    <t>K0113</t>
  </si>
  <si>
    <t>採番マスタメンテナンス</t>
  </si>
  <si>
    <t>K0114</t>
  </si>
  <si>
    <t>製品分類マスタメンテナンス</t>
  </si>
  <si>
    <t>K0115</t>
  </si>
  <si>
    <t>利用者マスタメンテナンス</t>
  </si>
  <si>
    <t>K0116</t>
  </si>
  <si>
    <t>部署マスタメンテナンス</t>
  </si>
  <si>
    <t>K0117</t>
  </si>
  <si>
    <t>カレンダーマスタメンテナンス</t>
  </si>
  <si>
    <t>K0118</t>
  </si>
  <si>
    <t>コード名称マスタメンテナンス</t>
  </si>
  <si>
    <t>K0119</t>
  </si>
  <si>
    <t>区分名称マスタメンテナンス</t>
  </si>
  <si>
    <t>K0120</t>
  </si>
  <si>
    <t>承認経路マスタメンテナンス</t>
  </si>
  <si>
    <t>K0121</t>
  </si>
  <si>
    <t>業者品種マスタメンテナンス</t>
  </si>
  <si>
    <t>K0122</t>
  </si>
  <si>
    <t>科目マスタメンテナンス</t>
  </si>
  <si>
    <t>K0123</t>
  </si>
  <si>
    <t>経費マスタメンテナンス</t>
  </si>
  <si>
    <t>K0124</t>
  </si>
  <si>
    <t>原価計算経費マスタメンテナンス</t>
  </si>
  <si>
    <t>L0101</t>
  </si>
  <si>
    <t>ログイン画面</t>
  </si>
  <si>
    <t>L0201</t>
  </si>
  <si>
    <t>メニュー画面</t>
  </si>
  <si>
    <t>L1101</t>
  </si>
  <si>
    <t>端末利用状況一覧</t>
  </si>
  <si>
    <t>L1201</t>
  </si>
  <si>
    <t>ロットトレース一覧</t>
  </si>
  <si>
    <t>指摘区分</t>
    <rPh sb="0" eb="2">
      <t>シテキ</t>
    </rPh>
    <rPh sb="2" eb="4">
      <t>クブン</t>
    </rPh>
    <phoneticPr fontId="4"/>
  </si>
  <si>
    <t>※選択したい行をダブルクリックしてください。</t>
    <rPh sb="1" eb="3">
      <t>センタク</t>
    </rPh>
    <rPh sb="6" eb="7">
      <t>ギョウ</t>
    </rPh>
    <phoneticPr fontId="4"/>
  </si>
  <si>
    <t>指摘区分内容説明</t>
    <rPh sb="0" eb="2">
      <t>シテキ</t>
    </rPh>
    <rPh sb="2" eb="4">
      <t>クブン</t>
    </rPh>
    <rPh sb="4" eb="6">
      <t>ナイヨウ</t>
    </rPh>
    <rPh sb="6" eb="8">
      <t>セツメイ</t>
    </rPh>
    <phoneticPr fontId="4"/>
  </si>
  <si>
    <t>1:記載ミス</t>
    <rPh sb="2" eb="4">
      <t>キサイ</t>
    </rPh>
    <phoneticPr fontId="2"/>
  </si>
  <si>
    <t>記載ミス（誤記等）</t>
    <rPh sb="0" eb="2">
      <t>キサイ</t>
    </rPh>
    <rPh sb="5" eb="7">
      <t>ゴキ</t>
    </rPh>
    <rPh sb="7" eb="8">
      <t>トウ</t>
    </rPh>
    <phoneticPr fontId="2"/>
  </si>
  <si>
    <t>2:記載漏れ</t>
    <rPh sb="2" eb="4">
      <t>キサイ</t>
    </rPh>
    <rPh sb="4" eb="5">
      <t>モ</t>
    </rPh>
    <phoneticPr fontId="2"/>
  </si>
  <si>
    <t>記載漏れ（処理漏れ等）</t>
    <rPh sb="0" eb="2">
      <t>キサイ</t>
    </rPh>
    <rPh sb="2" eb="3">
      <t>モ</t>
    </rPh>
    <rPh sb="5" eb="7">
      <t>ショリ</t>
    </rPh>
    <rPh sb="7" eb="8">
      <t>モ</t>
    </rPh>
    <rPh sb="9" eb="10">
      <t>トウ</t>
    </rPh>
    <phoneticPr fontId="2"/>
  </si>
  <si>
    <t>3:記載不要</t>
    <rPh sb="2" eb="4">
      <t>キサイ</t>
    </rPh>
    <rPh sb="4" eb="6">
      <t>フヨウ</t>
    </rPh>
    <phoneticPr fontId="2"/>
  </si>
  <si>
    <t>記載不要</t>
    <rPh sb="0" eb="2">
      <t>キサイ</t>
    </rPh>
    <rPh sb="2" eb="4">
      <t>フヨウ</t>
    </rPh>
    <phoneticPr fontId="2"/>
  </si>
  <si>
    <t>4:表現曖昧</t>
    <rPh sb="2" eb="4">
      <t>ヒョウゲン</t>
    </rPh>
    <rPh sb="4" eb="6">
      <t>アイマイ</t>
    </rPh>
    <phoneticPr fontId="2"/>
  </si>
  <si>
    <t>表現曖昧（処理に対する文面・表現曖昧等）</t>
    <rPh sb="0" eb="2">
      <t>ヒョウゲン</t>
    </rPh>
    <rPh sb="2" eb="4">
      <t>アイマイ</t>
    </rPh>
    <rPh sb="5" eb="7">
      <t>ショリ</t>
    </rPh>
    <rPh sb="8" eb="9">
      <t>タイ</t>
    </rPh>
    <rPh sb="11" eb="13">
      <t>ブンメン</t>
    </rPh>
    <rPh sb="14" eb="16">
      <t>ヒョウゲン</t>
    </rPh>
    <rPh sb="16" eb="18">
      <t>アイマイ</t>
    </rPh>
    <rPh sb="18" eb="19">
      <t>トウ</t>
    </rPh>
    <phoneticPr fontId="2"/>
  </si>
  <si>
    <t>5:表現統一</t>
    <rPh sb="2" eb="4">
      <t>ヒョウゲン</t>
    </rPh>
    <rPh sb="4" eb="6">
      <t>トウイツ</t>
    </rPh>
    <phoneticPr fontId="2"/>
  </si>
  <si>
    <t>表現統一（一覧化等処理記載内容が判るように改善）</t>
    <rPh sb="0" eb="2">
      <t>ヒョウゲン</t>
    </rPh>
    <rPh sb="2" eb="4">
      <t>トウイツ</t>
    </rPh>
    <rPh sb="5" eb="7">
      <t>イチラン</t>
    </rPh>
    <rPh sb="7" eb="8">
      <t>カ</t>
    </rPh>
    <rPh sb="8" eb="9">
      <t>トウ</t>
    </rPh>
    <rPh sb="9" eb="11">
      <t>ショリ</t>
    </rPh>
    <rPh sb="11" eb="13">
      <t>キサイ</t>
    </rPh>
    <rPh sb="13" eb="15">
      <t>ナイヨウ</t>
    </rPh>
    <rPh sb="16" eb="17">
      <t>ワカ</t>
    </rPh>
    <rPh sb="21" eb="23">
      <t>カイゼン</t>
    </rPh>
    <phoneticPr fontId="2"/>
  </si>
  <si>
    <t>6:処理検討不足</t>
    <rPh sb="2" eb="4">
      <t>ショリ</t>
    </rPh>
    <rPh sb="4" eb="6">
      <t>ケントウ</t>
    </rPh>
    <rPh sb="6" eb="8">
      <t>フソク</t>
    </rPh>
    <phoneticPr fontId="2"/>
  </si>
  <si>
    <t>処理検討不足</t>
    <rPh sb="0" eb="2">
      <t>ショリ</t>
    </rPh>
    <rPh sb="2" eb="4">
      <t>ケントウ</t>
    </rPh>
    <rPh sb="4" eb="6">
      <t>フソク</t>
    </rPh>
    <phoneticPr fontId="2"/>
  </si>
  <si>
    <t>7:ユーザ確認要</t>
    <rPh sb="5" eb="7">
      <t>カクニン</t>
    </rPh>
    <rPh sb="7" eb="8">
      <t>ヨウ</t>
    </rPh>
    <phoneticPr fontId="2"/>
  </si>
  <si>
    <t>ユーザ確認要</t>
    <rPh sb="3" eb="5">
      <t>カクニン</t>
    </rPh>
    <rPh sb="5" eb="6">
      <t>ヨウ</t>
    </rPh>
    <phoneticPr fontId="2"/>
  </si>
  <si>
    <t>8:設計規約ミス</t>
    <rPh sb="2" eb="4">
      <t>セッケイ</t>
    </rPh>
    <rPh sb="4" eb="6">
      <t>キヤク</t>
    </rPh>
    <phoneticPr fontId="2"/>
  </si>
  <si>
    <t>設計ルールに従っていない等</t>
    <rPh sb="0" eb="2">
      <t>セッケイ</t>
    </rPh>
    <rPh sb="6" eb="7">
      <t>シタガ</t>
    </rPh>
    <rPh sb="12" eb="13">
      <t>トウ</t>
    </rPh>
    <phoneticPr fontId="2"/>
  </si>
  <si>
    <t>9:設計問合せ</t>
    <rPh sb="2" eb="4">
      <t>セッケイ</t>
    </rPh>
    <rPh sb="4" eb="6">
      <t>トイアワ</t>
    </rPh>
    <phoneticPr fontId="2"/>
  </si>
  <si>
    <t>設計者への処理確認</t>
    <rPh sb="0" eb="3">
      <t>セッケイシャ</t>
    </rPh>
    <rPh sb="5" eb="7">
      <t>ショリ</t>
    </rPh>
    <rPh sb="7" eb="9">
      <t>カクニン</t>
    </rPh>
    <phoneticPr fontId="2"/>
  </si>
  <si>
    <t>※最終行です。削除しないでください。行を挿入する場合は、この行より上で実施してください。</t>
    <phoneticPr fontId="4"/>
  </si>
  <si>
    <t>原因分類/原因区分/原因区分詳細一覧</t>
    <rPh sb="16" eb="18">
      <t>イチラン</t>
    </rPh>
    <phoneticPr fontId="4"/>
  </si>
  <si>
    <t>Lv1</t>
    <phoneticPr fontId="4"/>
  </si>
  <si>
    <t>Lv2</t>
    <phoneticPr fontId="4"/>
  </si>
  <si>
    <t>原因区分内容説明</t>
    <rPh sb="0" eb="2">
      <t>ゲンイン</t>
    </rPh>
    <rPh sb="2" eb="4">
      <t>クブン</t>
    </rPh>
    <rPh sb="4" eb="6">
      <t>ナイヨウ</t>
    </rPh>
    <rPh sb="6" eb="8">
      <t>セツメイ</t>
    </rPh>
    <phoneticPr fontId="4"/>
  </si>
  <si>
    <t>10:記載ミス</t>
    <rPh sb="3" eb="5">
      <t>キサイ</t>
    </rPh>
    <phoneticPr fontId="2"/>
  </si>
  <si>
    <t>11:記載漏れ（画面・帳票）</t>
    <rPh sb="3" eb="5">
      <t>キサイ</t>
    </rPh>
    <rPh sb="5" eb="6">
      <t>モ</t>
    </rPh>
    <rPh sb="8" eb="10">
      <t>ガメン</t>
    </rPh>
    <rPh sb="11" eb="13">
      <t>チョウヒョウ</t>
    </rPh>
    <phoneticPr fontId="2"/>
  </si>
  <si>
    <t>画面/帳票の項目過不足、レイアウト設計ミス</t>
    <phoneticPr fontId="2"/>
  </si>
  <si>
    <t>12:記載漏れ（処理）</t>
    <rPh sb="3" eb="5">
      <t>キサイ</t>
    </rPh>
    <rPh sb="5" eb="6">
      <t>モ</t>
    </rPh>
    <rPh sb="8" eb="10">
      <t>ショリ</t>
    </rPh>
    <phoneticPr fontId="2"/>
  </si>
  <si>
    <t>処理に対するボタン処理・イベント処理等の記載漏れ</t>
    <rPh sb="0" eb="2">
      <t>ショリ</t>
    </rPh>
    <rPh sb="3" eb="4">
      <t>タイ</t>
    </rPh>
    <rPh sb="9" eb="11">
      <t>ショリ</t>
    </rPh>
    <rPh sb="16" eb="18">
      <t>ショリ</t>
    </rPh>
    <rPh sb="18" eb="19">
      <t>トウ</t>
    </rPh>
    <rPh sb="20" eb="22">
      <t>キサイ</t>
    </rPh>
    <rPh sb="22" eb="23">
      <t>モ</t>
    </rPh>
    <phoneticPr fontId="2"/>
  </si>
  <si>
    <t>13:記載不要</t>
    <rPh sb="3" eb="5">
      <t>キサイ</t>
    </rPh>
    <rPh sb="5" eb="7">
      <t>フヨウ</t>
    </rPh>
    <phoneticPr fontId="2"/>
  </si>
  <si>
    <t>記載不要の処理</t>
    <rPh sb="5" eb="7">
      <t>ショリ</t>
    </rPh>
    <phoneticPr fontId="2"/>
  </si>
  <si>
    <t>14:表現曖昧</t>
    <rPh sb="3" eb="5">
      <t>ヒョウゲン</t>
    </rPh>
    <rPh sb="5" eb="7">
      <t>アイマイ</t>
    </rPh>
    <phoneticPr fontId="2"/>
  </si>
  <si>
    <t>処理に対しての表現が曖昧　※処理内容の記載・方針は正しい</t>
    <rPh sb="0" eb="2">
      <t>ショリ</t>
    </rPh>
    <rPh sb="3" eb="4">
      <t>タイ</t>
    </rPh>
    <rPh sb="7" eb="9">
      <t>ヒョウゲン</t>
    </rPh>
    <rPh sb="10" eb="12">
      <t>アイマイ</t>
    </rPh>
    <rPh sb="14" eb="16">
      <t>ショリ</t>
    </rPh>
    <rPh sb="16" eb="18">
      <t>ナイヨウ</t>
    </rPh>
    <rPh sb="19" eb="21">
      <t>キサイ</t>
    </rPh>
    <rPh sb="22" eb="24">
      <t>ホウシン</t>
    </rPh>
    <rPh sb="25" eb="26">
      <t>タダ</t>
    </rPh>
    <phoneticPr fontId="2"/>
  </si>
  <si>
    <t>15:表現統一</t>
    <rPh sb="3" eb="5">
      <t>ヒョウゲン</t>
    </rPh>
    <rPh sb="5" eb="7">
      <t>トウイツ</t>
    </rPh>
    <phoneticPr fontId="2"/>
  </si>
  <si>
    <t>処理に対しての表現の統一化</t>
    <rPh sb="0" eb="2">
      <t>ショリ</t>
    </rPh>
    <rPh sb="3" eb="4">
      <t>タイ</t>
    </rPh>
    <rPh sb="7" eb="9">
      <t>ヒョウゲン</t>
    </rPh>
    <rPh sb="10" eb="13">
      <t>トウイツカ</t>
    </rPh>
    <phoneticPr fontId="2"/>
  </si>
  <si>
    <t>2:設計検討不足</t>
    <rPh sb="2" eb="4">
      <t>セッケイ</t>
    </rPh>
    <rPh sb="4" eb="8">
      <t>ケントウフソク</t>
    </rPh>
    <phoneticPr fontId="2"/>
  </si>
  <si>
    <t>21:処理検討不足</t>
    <rPh sb="3" eb="5">
      <t>ショリ</t>
    </rPh>
    <rPh sb="5" eb="7">
      <t>ケントウ</t>
    </rPh>
    <rPh sb="7" eb="9">
      <t>フソク</t>
    </rPh>
    <phoneticPr fontId="2"/>
  </si>
  <si>
    <t>イベント（ボタン処理・項目処理等）処理検討不足による設計仕様ミス</t>
    <rPh sb="8" eb="10">
      <t>ショリ</t>
    </rPh>
    <rPh sb="11" eb="13">
      <t>コウモク</t>
    </rPh>
    <rPh sb="13" eb="15">
      <t>ショリ</t>
    </rPh>
    <rPh sb="15" eb="16">
      <t>トウ</t>
    </rPh>
    <rPh sb="17" eb="19">
      <t>ショリ</t>
    </rPh>
    <rPh sb="19" eb="21">
      <t>ケントウ</t>
    </rPh>
    <rPh sb="21" eb="23">
      <t>フソク</t>
    </rPh>
    <phoneticPr fontId="2"/>
  </si>
  <si>
    <t>3:他機能連携不足</t>
    <rPh sb="2" eb="7">
      <t>タキノウレンケイ</t>
    </rPh>
    <rPh sb="7" eb="9">
      <t>フソク</t>
    </rPh>
    <phoneticPr fontId="2"/>
  </si>
  <si>
    <t>31:他機能連携不足</t>
    <rPh sb="3" eb="6">
      <t>タキノウ</t>
    </rPh>
    <rPh sb="6" eb="8">
      <t>レンケイ</t>
    </rPh>
    <rPh sb="8" eb="10">
      <t>フソク</t>
    </rPh>
    <phoneticPr fontId="2"/>
  </si>
  <si>
    <t>他機能との処理連携不足による設計仕様ミス</t>
    <rPh sb="0" eb="3">
      <t>タキノウ</t>
    </rPh>
    <rPh sb="5" eb="7">
      <t>ショリ</t>
    </rPh>
    <rPh sb="7" eb="9">
      <t>レンケイ</t>
    </rPh>
    <rPh sb="9" eb="11">
      <t>フソク</t>
    </rPh>
    <phoneticPr fontId="2"/>
  </si>
  <si>
    <t>4:共通設計ﾐｽ</t>
    <rPh sb="2" eb="4">
      <t>キョウツウ</t>
    </rPh>
    <phoneticPr fontId="4"/>
  </si>
  <si>
    <t>41:共通処理漏れ</t>
    <rPh sb="5" eb="7">
      <t>ショリ</t>
    </rPh>
    <rPh sb="7" eb="8">
      <t>モ</t>
    </rPh>
    <phoneticPr fontId="2"/>
  </si>
  <si>
    <t>共通処理（共通イベント処理・共通制御等の処理）の記載漏れによる設計仕様ミス</t>
    <rPh sb="0" eb="2">
      <t>キョウツウ</t>
    </rPh>
    <rPh sb="2" eb="4">
      <t>ショリ</t>
    </rPh>
    <rPh sb="5" eb="7">
      <t>キョウツウ</t>
    </rPh>
    <rPh sb="11" eb="13">
      <t>ショリ</t>
    </rPh>
    <rPh sb="14" eb="16">
      <t>キョウツウ</t>
    </rPh>
    <rPh sb="16" eb="18">
      <t>セイギョ</t>
    </rPh>
    <rPh sb="18" eb="19">
      <t>トウ</t>
    </rPh>
    <rPh sb="20" eb="22">
      <t>ショリ</t>
    </rPh>
    <rPh sb="24" eb="26">
      <t>キサイ</t>
    </rPh>
    <rPh sb="26" eb="27">
      <t>モ</t>
    </rPh>
    <phoneticPr fontId="2"/>
  </si>
  <si>
    <t>4:共通検討不足</t>
    <rPh sb="2" eb="4">
      <t>キョウツウ</t>
    </rPh>
    <rPh sb="4" eb="6">
      <t>ケントウ</t>
    </rPh>
    <rPh sb="6" eb="8">
      <t>フソク</t>
    </rPh>
    <phoneticPr fontId="4"/>
  </si>
  <si>
    <t>42:共通処理検討不足</t>
    <rPh sb="5" eb="7">
      <t>ショリ</t>
    </rPh>
    <rPh sb="7" eb="9">
      <t>ケントウ</t>
    </rPh>
    <rPh sb="9" eb="11">
      <t>フソク</t>
    </rPh>
    <phoneticPr fontId="2"/>
  </si>
  <si>
    <t>共通処理（共通イベント処理・共通制御等の処理）の共通処理検討不足による設計仕様ミス</t>
    <rPh sb="0" eb="2">
      <t>キョウツウ</t>
    </rPh>
    <rPh sb="2" eb="4">
      <t>ショリ</t>
    </rPh>
    <rPh sb="5" eb="7">
      <t>キョウツウ</t>
    </rPh>
    <rPh sb="11" eb="13">
      <t>ショリ</t>
    </rPh>
    <rPh sb="14" eb="16">
      <t>キョウツウ</t>
    </rPh>
    <rPh sb="16" eb="18">
      <t>セイギョ</t>
    </rPh>
    <rPh sb="18" eb="19">
      <t>トウ</t>
    </rPh>
    <rPh sb="20" eb="22">
      <t>ショリ</t>
    </rPh>
    <rPh sb="24" eb="26">
      <t>キョウツウ</t>
    </rPh>
    <rPh sb="26" eb="28">
      <t>ショリ</t>
    </rPh>
    <rPh sb="28" eb="30">
      <t>ケントウ</t>
    </rPh>
    <rPh sb="30" eb="32">
      <t>フソク</t>
    </rPh>
    <phoneticPr fontId="2"/>
  </si>
  <si>
    <t>5:共通部品設計ﾐｽ</t>
    <phoneticPr fontId="2"/>
  </si>
  <si>
    <t>51:共通部品設計ﾐｽ</t>
    <phoneticPr fontId="2"/>
  </si>
  <si>
    <t>システム共通部品、業務共通部品などに関する設計仕様ミス</t>
    <phoneticPr fontId="2"/>
  </si>
  <si>
    <t>6:ｲﾝﾀｰﾌｪｰｽ設計ﾐｽ</t>
    <phoneticPr fontId="2"/>
  </si>
  <si>
    <t>61:ｲﾝﾀｰﾌｪｰｽ設計ﾐｽ</t>
    <phoneticPr fontId="2"/>
  </si>
  <si>
    <t xml:space="preserve">関連する外部システムもしくはサブシステム内のインターフェースに関する設計ミス </t>
  </si>
  <si>
    <t>7:DB/ﾌｧｲﾙ設計ﾐｽ</t>
    <phoneticPr fontId="2"/>
  </si>
  <si>
    <t>71:DB記載漏れ・不測</t>
    <rPh sb="5" eb="7">
      <t>キサイ</t>
    </rPh>
    <rPh sb="7" eb="8">
      <t>モ</t>
    </rPh>
    <rPh sb="10" eb="12">
      <t>フソク</t>
    </rPh>
    <phoneticPr fontId="2"/>
  </si>
  <si>
    <t xml:space="preserve">DB構造、ファイル構造、インデックス・リンクなどに関する設計仕様ミス </t>
    <phoneticPr fontId="2"/>
  </si>
  <si>
    <t>72:DB他機能連携不足</t>
    <rPh sb="5" eb="8">
      <t>タキノウ</t>
    </rPh>
    <rPh sb="8" eb="10">
      <t>レンケイ</t>
    </rPh>
    <rPh sb="10" eb="12">
      <t>フソク</t>
    </rPh>
    <phoneticPr fontId="2"/>
  </si>
  <si>
    <t xml:space="preserve">他機能連携に対するDB構造、ファイル構造、インデックス・リンクなどに関する設計仕様ミス </t>
    <rPh sb="3" eb="5">
      <t>レンケイ</t>
    </rPh>
    <rPh sb="6" eb="7">
      <t>タイ</t>
    </rPh>
    <phoneticPr fontId="2"/>
  </si>
  <si>
    <t>8:ユーザ確認要</t>
    <rPh sb="5" eb="7">
      <t>カクニン</t>
    </rPh>
    <rPh sb="7" eb="8">
      <t>ヨウ</t>
    </rPh>
    <phoneticPr fontId="2"/>
  </si>
  <si>
    <t>81:ユーザ確認要</t>
    <rPh sb="6" eb="8">
      <t>カクニン</t>
    </rPh>
    <rPh sb="8" eb="9">
      <t>ヨウ</t>
    </rPh>
    <phoneticPr fontId="2"/>
  </si>
  <si>
    <t>ユーザに確認する事項をまとめる</t>
    <rPh sb="4" eb="6">
      <t>カクニン</t>
    </rPh>
    <rPh sb="8" eb="10">
      <t>ジコウ</t>
    </rPh>
    <phoneticPr fontId="2"/>
  </si>
  <si>
    <t>9.設計規約ミス</t>
    <rPh sb="2" eb="4">
      <t>セッケイ</t>
    </rPh>
    <rPh sb="4" eb="6">
      <t>キヤク</t>
    </rPh>
    <phoneticPr fontId="2"/>
  </si>
  <si>
    <t>91.設計規約ミス</t>
    <rPh sb="3" eb="5">
      <t>セッケイ</t>
    </rPh>
    <rPh sb="5" eb="7">
      <t>キヤク</t>
    </rPh>
    <phoneticPr fontId="2"/>
  </si>
  <si>
    <t>A.指摘誤り</t>
    <rPh sb="2" eb="4">
      <t>シテキ</t>
    </rPh>
    <rPh sb="4" eb="5">
      <t>アヤマ</t>
    </rPh>
    <phoneticPr fontId="2"/>
  </si>
  <si>
    <t>A1:指摘誤り</t>
    <rPh sb="3" eb="5">
      <t>シテキ</t>
    </rPh>
    <rPh sb="5" eb="6">
      <t>アヤマ</t>
    </rPh>
    <phoneticPr fontId="2"/>
  </si>
  <si>
    <t>指摘誤り</t>
    <rPh sb="0" eb="3">
      <t>シテキアヤマ</t>
    </rPh>
    <phoneticPr fontId="2"/>
  </si>
  <si>
    <t>吉本</t>
    <rPh sb="0" eb="2">
      <t>ヨシモト</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</si>
</sst>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yyyy/mm/dd"/>
    <numFmt numFmtId="177" formatCode="h:mm;@"/>
    <numFmt numFmtId="178" formatCode="&quot;Rev.&quot;\ General"/>
  </numFmts>
  <fonts count="13" x14ac:knownFonts="1">
    <font>
      <sz val="10"/>
      <color theme="1"/>
      <name val="Meiryo UI"/>
      <family val="2"/>
      <charset val="128"/>
    </font>
    <font>
      <sz val="10"/>
      <color theme="0"/>
      <name val="Meiryo UI"/>
      <family val="2"/>
      <charset val="128"/>
    </font>
    <font>
      <sz val="6"/>
      <name val="Meiryo UI"/>
      <family val="2"/>
      <charset val="128"/>
    </font>
    <font>
      <sz val="10"/>
      <color theme="0"/>
      <name val="Meiryo UI"/>
      <family val="3"/>
      <charset val="128"/>
    </font>
    <font>
      <sz val="6"/>
      <name val="ＭＳ Ｐゴシック"/>
      <family val="3"/>
      <charset val="128"/>
    </font>
    <font>
      <sz val="10"/>
      <name val="Meiryo UI"/>
      <family val="3"/>
      <charset val="128"/>
    </font>
    <font>
      <sz val="11"/>
      <name val="ＭＳ Ｐゴシック"/>
      <family val="3"/>
      <charset val="128"/>
    </font>
    <font>
      <b/>
      <sz val="11"/>
      <name val="Meiryo UI"/>
      <family val="3"/>
      <charset val="128"/>
    </font>
    <font>
      <sz val="11"/>
      <name val="Meiryo UI"/>
      <family val="3"/>
      <charset val="128"/>
    </font>
    <font>
      <b/>
      <sz val="11"/>
      <color rgb="FFFF0000"/>
      <name val="Meiryo UI"/>
      <family val="3"/>
      <charset val="128"/>
    </font>
    <font>
      <sz val="10"/>
      <name val="ＭＳ Ｐゴシック"/>
      <family val="3"/>
      <charset val="128"/>
    </font>
    <font>
      <b/>
      <i/>
      <sz val="11"/>
      <name val="Meiryo UI"/>
      <family val="3"/>
      <charset val="128"/>
    </font>
    <font>
      <b/>
      <sz val="12"/>
      <color theme="0"/>
      <name val="Meiryo UI"/>
      <family val="3"/>
      <charset val="128"/>
    </font>
  </fonts>
  <fills count="7">
    <fill>
      <patternFill patternType="none"/>
    </fill>
    <fill>
      <patternFill patternType="gray125"/>
    </fill>
    <fill>
      <patternFill patternType="solid">
        <fgColor rgb="FF0066FF"/>
        <bgColor indexed="64"/>
      </patternFill>
    </fill>
    <fill>
      <patternFill patternType="solid">
        <fgColor rgb="FFCCFFCC"/>
        <bgColor indexed="64"/>
      </patternFill>
    </fill>
    <fill>
      <patternFill patternType="solid">
        <fgColor rgb="FFCCFFE0"/>
        <bgColor indexed="64"/>
      </patternFill>
    </fill>
    <fill>
      <patternFill patternType="solid">
        <fgColor rgb="FFF0FFFF"/>
        <bgColor indexed="64"/>
      </patternFill>
    </fill>
    <fill>
      <patternFill patternType="solid">
        <fgColor rgb="FFFF0000"/>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hair">
        <color indexed="64"/>
      </bottom>
      <diagonal/>
    </border>
  </borders>
  <cellStyleXfs count="4">
    <xf numFmtId="0" fontId="0" fillId="0" borderId="0">
      <alignment vertical="center"/>
    </xf>
    <xf numFmtId="0" fontId="6" fillId="0" borderId="0"/>
    <xf numFmtId="0" fontId="10" fillId="0" borderId="0">
      <alignment vertical="center"/>
    </xf>
    <xf numFmtId="0" fontId="6" fillId="0" borderId="0">
      <alignment vertical="center"/>
    </xf>
  </cellStyleXfs>
  <cellXfs count="92">
    <xf numFmtId="0" fontId="0" fillId="0" borderId="0" xfId="0">
      <alignment vertical="center"/>
    </xf>
    <xf numFmtId="0" fontId="0" fillId="0" borderId="0" xfId="0" applyAlignment="1">
      <alignment horizontal="center" vertical="center"/>
    </xf>
    <xf numFmtId="177" fontId="0" fillId="0" borderId="0" xfId="0" applyNumberFormat="1" applyAlignment="1">
      <alignment horizontal="center" vertical="center"/>
    </xf>
    <xf numFmtId="0" fontId="0" fillId="0" borderId="0" xfId="0" applyAlignment="1">
      <alignment vertical="top"/>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0" borderId="1" xfId="0" applyBorder="1" applyAlignment="1">
      <alignment vertical="top"/>
    </xf>
    <xf numFmtId="0" fontId="3" fillId="2" borderId="3" xfId="0" applyFont="1" applyFill="1" applyBorder="1">
      <alignment vertical="center"/>
    </xf>
    <xf numFmtId="0" fontId="3" fillId="2" borderId="4" xfId="0" applyFont="1" applyFill="1" applyBorder="1">
      <alignment vertical="center"/>
    </xf>
    <xf numFmtId="0" fontId="3" fillId="2" borderId="2" xfId="0" applyFont="1" applyFill="1" applyBorder="1">
      <alignment vertical="center"/>
    </xf>
    <xf numFmtId="176" fontId="0" fillId="0" borderId="0" xfId="0" applyNumberFormat="1" applyAlignment="1">
      <alignment horizontal="center" vertical="center"/>
    </xf>
    <xf numFmtId="0" fontId="3" fillId="0" borderId="0" xfId="0" applyFont="1" applyAlignment="1">
      <alignment horizontal="center" vertical="center"/>
    </xf>
    <xf numFmtId="0" fontId="7" fillId="0" borderId="0" xfId="1" applyFont="1" applyAlignment="1">
      <alignment vertical="center"/>
    </xf>
    <xf numFmtId="0" fontId="9" fillId="0" borderId="0" xfId="1" applyFont="1" applyAlignment="1">
      <alignment vertical="center"/>
    </xf>
    <xf numFmtId="0" fontId="8" fillId="0" borderId="0" xfId="1" applyFont="1"/>
    <xf numFmtId="0" fontId="7" fillId="4" borderId="13" xfId="1" applyFont="1" applyFill="1" applyBorder="1" applyAlignment="1">
      <alignment horizontal="center" vertical="center"/>
    </xf>
    <xf numFmtId="49" fontId="7" fillId="4" borderId="12" xfId="3" applyNumberFormat="1" applyFont="1" applyFill="1" applyBorder="1" applyAlignment="1">
      <alignment horizontal="center" vertical="center"/>
    </xf>
    <xf numFmtId="49" fontId="11" fillId="4" borderId="7" xfId="3" applyNumberFormat="1" applyFont="1" applyFill="1" applyBorder="1" applyAlignment="1">
      <alignment horizontal="center" vertical="center"/>
    </xf>
    <xf numFmtId="49" fontId="11" fillId="4" borderId="14" xfId="3" applyNumberFormat="1" applyFont="1" applyFill="1" applyBorder="1" applyAlignment="1">
      <alignment horizontal="center" vertical="center"/>
    </xf>
    <xf numFmtId="49" fontId="8" fillId="5" borderId="13" xfId="3" applyNumberFormat="1" applyFont="1" applyFill="1" applyBorder="1" applyAlignment="1">
      <alignment horizontal="left" vertical="center" wrapText="1"/>
    </xf>
    <xf numFmtId="49" fontId="8" fillId="5" borderId="15" xfId="3" applyNumberFormat="1" applyFont="1" applyFill="1" applyBorder="1" applyAlignment="1">
      <alignment vertical="center" wrapText="1"/>
    </xf>
    <xf numFmtId="49" fontId="8" fillId="5" borderId="16" xfId="3" applyNumberFormat="1" applyFont="1" applyFill="1" applyBorder="1">
      <alignment vertical="center"/>
    </xf>
    <xf numFmtId="49" fontId="8" fillId="5" borderId="17" xfId="3" applyNumberFormat="1" applyFont="1" applyFill="1" applyBorder="1" applyAlignment="1">
      <alignment vertical="center" wrapText="1"/>
    </xf>
    <xf numFmtId="49" fontId="8" fillId="5" borderId="16" xfId="3" applyNumberFormat="1" applyFont="1" applyFill="1" applyBorder="1" applyAlignment="1">
      <alignment vertical="center" wrapText="1"/>
    </xf>
    <xf numFmtId="0" fontId="12" fillId="6" borderId="7" xfId="2" applyFont="1" applyFill="1" applyBorder="1">
      <alignment vertical="center"/>
    </xf>
    <xf numFmtId="0" fontId="9" fillId="6" borderId="8" xfId="2" applyFont="1" applyFill="1" applyBorder="1">
      <alignment vertical="center"/>
    </xf>
    <xf numFmtId="49" fontId="7" fillId="4" borderId="1" xfId="3" applyNumberFormat="1" applyFont="1" applyFill="1" applyBorder="1" applyAlignment="1">
      <alignment horizontal="center" vertical="center"/>
    </xf>
    <xf numFmtId="49" fontId="11" fillId="4" borderId="1" xfId="3" applyNumberFormat="1" applyFont="1" applyFill="1" applyBorder="1" applyAlignment="1">
      <alignment horizontal="center" vertical="center"/>
    </xf>
    <xf numFmtId="49" fontId="8" fillId="5" borderId="16" xfId="3" applyNumberFormat="1" applyFont="1" applyFill="1" applyBorder="1" applyAlignment="1">
      <alignment horizontal="left" vertical="center" wrapText="1"/>
    </xf>
    <xf numFmtId="49" fontId="8" fillId="5" borderId="18" xfId="3" applyNumberFormat="1" applyFont="1" applyFill="1" applyBorder="1" applyAlignment="1">
      <alignment vertical="center" wrapText="1"/>
    </xf>
    <xf numFmtId="0" fontId="12" fillId="6" borderId="8" xfId="2" applyFont="1" applyFill="1" applyBorder="1">
      <alignment vertical="center"/>
    </xf>
    <xf numFmtId="0" fontId="0" fillId="2" borderId="0" xfId="0" applyFill="1" applyAlignment="1">
      <alignment vertical="top"/>
    </xf>
    <xf numFmtId="0" fontId="1" fillId="2" borderId="0" xfId="0" applyFont="1" applyFill="1" applyAlignment="1">
      <alignment vertical="top"/>
    </xf>
    <xf numFmtId="49" fontId="8" fillId="5" borderId="19" xfId="3" applyNumberFormat="1" applyFont="1" applyFill="1" applyBorder="1" applyAlignment="1">
      <alignment vertical="center" wrapText="1"/>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0" borderId="2" xfId="0" applyBorder="1" applyAlignment="1">
      <alignment horizontal="center" vertical="top"/>
    </xf>
    <xf numFmtId="0" fontId="0" fillId="0" borderId="3" xfId="0" applyBorder="1" applyAlignment="1">
      <alignment horizontal="center" vertical="top"/>
    </xf>
    <xf numFmtId="0" fontId="0" fillId="0" borderId="4" xfId="0" applyBorder="1" applyAlignment="1">
      <alignment horizontal="center" vertical="top"/>
    </xf>
    <xf numFmtId="0" fontId="0" fillId="0" borderId="2" xfId="0" applyBorder="1" applyAlignment="1">
      <alignment vertical="top" wrapText="1"/>
    </xf>
    <xf numFmtId="0" fontId="0" fillId="0" borderId="3" xfId="0" applyBorder="1" applyAlignment="1">
      <alignment vertical="top" wrapText="1"/>
    </xf>
    <xf numFmtId="0" fontId="0" fillId="0" borderId="4" xfId="0" applyBorder="1" applyAlignment="1">
      <alignment vertical="top" wrapText="1"/>
    </xf>
    <xf numFmtId="176" fontId="0" fillId="0" borderId="2" xfId="0" applyNumberFormat="1" applyBorder="1" applyAlignment="1">
      <alignment horizontal="center" vertical="top"/>
    </xf>
    <xf numFmtId="176" fontId="0" fillId="0" borderId="3" xfId="0" applyNumberFormat="1" applyBorder="1" applyAlignment="1">
      <alignment horizontal="center" vertical="top"/>
    </xf>
    <xf numFmtId="176" fontId="0" fillId="0" borderId="4" xfId="0" applyNumberFormat="1" applyBorder="1" applyAlignment="1">
      <alignment horizontal="center" vertical="top"/>
    </xf>
    <xf numFmtId="0" fontId="0" fillId="0" borderId="2" xfId="0" applyBorder="1" applyAlignment="1">
      <alignment horizontal="center" vertical="top" wrapText="1"/>
    </xf>
    <xf numFmtId="0" fontId="0" fillId="0" borderId="3" xfId="0" applyBorder="1" applyAlignment="1">
      <alignment horizontal="center" vertical="top" wrapText="1"/>
    </xf>
    <xf numFmtId="0" fontId="0" fillId="0" borderId="4" xfId="0" applyBorder="1" applyAlignment="1">
      <alignment horizontal="center" vertical="top" wrapText="1"/>
    </xf>
    <xf numFmtId="0" fontId="0" fillId="0" borderId="2" xfId="0" applyBorder="1" applyAlignment="1">
      <alignment vertical="top"/>
    </xf>
    <xf numFmtId="0" fontId="0" fillId="0" borderId="3" xfId="0" applyBorder="1" applyAlignment="1">
      <alignment vertical="top"/>
    </xf>
    <xf numFmtId="0" fontId="0" fillId="0" borderId="4" xfId="0" applyBorder="1" applyAlignment="1">
      <alignment vertical="top"/>
    </xf>
    <xf numFmtId="0" fontId="0" fillId="0" borderId="2" xfId="0" applyBorder="1" applyAlignment="1">
      <alignment horizontal="left" vertical="top" wrapText="1"/>
    </xf>
    <xf numFmtId="0" fontId="0" fillId="0" borderId="3" xfId="0" applyBorder="1" applyAlignment="1">
      <alignment horizontal="left" vertical="top" wrapText="1"/>
    </xf>
    <xf numFmtId="0" fontId="0" fillId="0" borderId="4" xfId="0" applyBorder="1" applyAlignment="1">
      <alignment horizontal="left" vertical="top" wrapText="1"/>
    </xf>
    <xf numFmtId="0" fontId="5" fillId="3" borderId="9" xfId="0" applyFont="1" applyFill="1" applyBorder="1" applyAlignment="1">
      <alignment horizontal="center" vertical="center" wrapText="1"/>
    </xf>
    <xf numFmtId="0" fontId="5" fillId="3" borderId="5" xfId="0" applyFont="1" applyFill="1" applyBorder="1" applyAlignment="1">
      <alignment horizontal="center" vertical="center" wrapText="1"/>
    </xf>
    <xf numFmtId="0" fontId="5" fillId="3" borderId="10" xfId="0" applyFont="1" applyFill="1" applyBorder="1" applyAlignment="1">
      <alignment horizontal="center" vertical="center" wrapText="1"/>
    </xf>
    <xf numFmtId="0" fontId="5" fillId="3" borderId="7" xfId="0" applyFont="1" applyFill="1" applyBorder="1" applyAlignment="1">
      <alignment horizontal="center" vertical="center" wrapText="1"/>
    </xf>
    <xf numFmtId="0" fontId="5" fillId="3" borderId="8" xfId="0" applyFont="1" applyFill="1" applyBorder="1" applyAlignment="1">
      <alignment horizontal="center" vertical="center" wrapText="1"/>
    </xf>
    <xf numFmtId="0" fontId="5" fillId="3" borderId="11" xfId="0" applyFont="1" applyFill="1" applyBorder="1" applyAlignment="1">
      <alignment horizontal="center" vertical="center" wrapText="1"/>
    </xf>
    <xf numFmtId="0" fontId="0" fillId="3" borderId="9" xfId="0" applyFill="1" applyBorder="1" applyAlignment="1">
      <alignment horizontal="center" vertical="center"/>
    </xf>
    <xf numFmtId="0" fontId="0" fillId="3" borderId="10" xfId="0" applyFill="1" applyBorder="1" applyAlignment="1">
      <alignment horizontal="center" vertical="center"/>
    </xf>
    <xf numFmtId="0" fontId="0" fillId="3" borderId="7" xfId="0" applyFill="1" applyBorder="1" applyAlignment="1">
      <alignment horizontal="center" vertical="center"/>
    </xf>
    <xf numFmtId="0" fontId="0" fillId="3" borderId="11" xfId="0" applyFill="1" applyBorder="1" applyAlignment="1">
      <alignment horizontal="center" vertical="center"/>
    </xf>
    <xf numFmtId="0" fontId="0" fillId="3" borderId="5" xfId="0" applyFill="1" applyBorder="1" applyAlignment="1">
      <alignment horizontal="center" vertical="center"/>
    </xf>
    <xf numFmtId="0" fontId="0" fillId="3" borderId="8" xfId="0" applyFill="1" applyBorder="1" applyAlignment="1">
      <alignment horizontal="center" vertical="center"/>
    </xf>
    <xf numFmtId="0" fontId="3" fillId="2" borderId="2" xfId="0" applyFont="1" applyFill="1" applyBorder="1" applyAlignment="1">
      <alignment horizontal="center" vertical="center"/>
    </xf>
    <xf numFmtId="0" fontId="3" fillId="2" borderId="3" xfId="0" applyFont="1" applyFill="1" applyBorder="1" applyAlignment="1">
      <alignment horizontal="center" vertical="center"/>
    </xf>
    <xf numFmtId="0" fontId="3" fillId="2" borderId="4" xfId="0" applyFont="1" applyFill="1" applyBorder="1" applyAlignment="1">
      <alignment horizontal="center" vertical="center"/>
    </xf>
    <xf numFmtId="177" fontId="0" fillId="0" borderId="2" xfId="0" applyNumberFormat="1" applyBorder="1" applyAlignment="1">
      <alignment horizontal="center" vertical="center"/>
    </xf>
    <xf numFmtId="177" fontId="0" fillId="0" borderId="3" xfId="0" applyNumberFormat="1" applyBorder="1" applyAlignment="1">
      <alignment horizontal="center" vertical="center"/>
    </xf>
    <xf numFmtId="177" fontId="0" fillId="0" borderId="4" xfId="0" applyNumberFormat="1" applyBorder="1" applyAlignment="1">
      <alignment horizontal="center" vertical="center"/>
    </xf>
    <xf numFmtId="176" fontId="0" fillId="0" borderId="2" xfId="0" applyNumberFormat="1" applyBorder="1" applyAlignment="1">
      <alignment horizontal="center" vertical="center"/>
    </xf>
    <xf numFmtId="176" fontId="0" fillId="0" borderId="3" xfId="0" applyNumberFormat="1" applyBorder="1" applyAlignment="1">
      <alignment horizontal="center" vertical="center"/>
    </xf>
    <xf numFmtId="176" fontId="0" fillId="0" borderId="4" xfId="0" applyNumberFormat="1" applyBorder="1" applyAlignment="1">
      <alignment horizontal="center" vertical="center"/>
    </xf>
    <xf numFmtId="0" fontId="5" fillId="3" borderId="2" xfId="0" applyFont="1" applyFill="1" applyBorder="1" applyAlignment="1">
      <alignment horizontal="center" vertical="center" wrapText="1"/>
    </xf>
    <xf numFmtId="0" fontId="5" fillId="3" borderId="3" xfId="0" applyFont="1" applyFill="1" applyBorder="1" applyAlignment="1">
      <alignment horizontal="center" vertical="center" wrapText="1"/>
    </xf>
    <xf numFmtId="0" fontId="5" fillId="3" borderId="4" xfId="0" applyFont="1" applyFill="1" applyBorder="1" applyAlignment="1">
      <alignment horizontal="center" vertical="center" wrapText="1"/>
    </xf>
    <xf numFmtId="0" fontId="5" fillId="3" borderId="1" xfId="0" applyFont="1" applyFill="1" applyBorder="1" applyAlignment="1">
      <alignment horizontal="center" vertical="center" wrapText="1"/>
    </xf>
    <xf numFmtId="0" fontId="1" fillId="2" borderId="2" xfId="0" applyFont="1" applyFill="1" applyBorder="1" applyAlignment="1">
      <alignment horizontal="center" vertical="center"/>
    </xf>
    <xf numFmtId="14" fontId="0" fillId="0" borderId="2" xfId="0" applyNumberFormat="1" applyBorder="1" applyAlignment="1">
      <alignment vertical="top" wrapText="1"/>
    </xf>
    <xf numFmtId="0" fontId="0" fillId="0" borderId="2" xfId="0" applyBorder="1" applyAlignment="1">
      <alignment horizontal="center" vertical="center"/>
    </xf>
    <xf numFmtId="0" fontId="0" fillId="0" borderId="4" xfId="0" applyBorder="1" applyAlignment="1">
      <alignment horizontal="center" vertical="center"/>
    </xf>
    <xf numFmtId="0" fontId="0" fillId="0" borderId="3" xfId="0" applyBorder="1" applyAlignment="1">
      <alignment horizontal="center" vertical="center"/>
    </xf>
    <xf numFmtId="178" fontId="0" fillId="0" borderId="2" xfId="0" applyNumberFormat="1" applyBorder="1" applyAlignment="1">
      <alignment horizontal="center" vertical="center"/>
    </xf>
    <xf numFmtId="178" fontId="0" fillId="0" borderId="3" xfId="0" applyNumberFormat="1" applyBorder="1" applyAlignment="1">
      <alignment horizontal="center" vertical="center"/>
    </xf>
    <xf numFmtId="178" fontId="0" fillId="0" borderId="4" xfId="0" applyNumberFormat="1" applyBorder="1" applyAlignment="1">
      <alignment horizontal="center" vertical="center"/>
    </xf>
    <xf numFmtId="0" fontId="0" fillId="3" borderId="6" xfId="0" applyFill="1" applyBorder="1" applyAlignment="1">
      <alignment horizontal="center" vertical="center" wrapText="1"/>
    </xf>
    <xf numFmtId="0" fontId="0" fillId="3" borderId="12" xfId="0" applyFill="1" applyBorder="1" applyAlignment="1">
      <alignment horizontal="center" vertical="center" wrapText="1"/>
    </xf>
    <xf numFmtId="0" fontId="7" fillId="4" borderId="13" xfId="1" applyFont="1" applyFill="1" applyBorder="1" applyAlignment="1">
      <alignment horizontal="center" vertical="center"/>
    </xf>
  </cellXfs>
  <cellStyles count="4">
    <cellStyle name="標準" xfId="0" builtinId="0"/>
    <cellStyle name="標準 2" xfId="1" xr:uid="{00000000-0005-0000-0000-000001000000}"/>
    <cellStyle name="標準 4" xfId="3" xr:uid="{00000000-0005-0000-0000-000002000000}"/>
    <cellStyle name="標準_質問内容結果" xfId="2" xr:uid="{00000000-0005-0000-0000-000003000000}"/>
  </cellStyles>
  <dxfs count="0"/>
  <tableStyles count="0" defaultTableStyle="TableStyleMedium2" defaultPivotStyle="PivotStyleLight16"/>
  <colors>
    <mruColors>
      <color rgb="FFCCFFFF"/>
      <color rgb="FF0066FF"/>
      <color rgb="FFFFCCFF"/>
      <color rgb="FFFFFFCC"/>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externalLink" Target="externalLinks/externalLink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D:\01._JOBOld\1901436_&#23500;&#22763;&#36890;&#65295;&#12471;&#12473;&#12513;&#12483;&#12463;&#12473;%20SNICS%20I&#65295;F&#12469;&#12540;&#12496;&#12471;&#12473;&#12486;&#12512;\01_&#21336;&#20307;&#20181;&#27096;&#26360;\SNCS&#20966;&#29702;&#19968;&#35239;_PT&#20181;&#27096;&#26360;&#20860;&#25104;&#32318;&#2636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表紙"/>
      <sheetName val="PT仕様書の使用方法"/>
      <sheetName val="基本_start"/>
      <sheetName val="基本_オン_1"/>
      <sheetName val="優先順更新"/>
      <sheetName val="基本_end"/>
      <sheetName val="業務_start"/>
      <sheetName val="業務_end"/>
      <sheetName val="コード表"/>
      <sheetName val="原因区分"/>
      <sheetName val="設定シート"/>
      <sheetName val="プロセス"/>
      <sheetName val="バージョン情報"/>
      <sheetName val="【変更不可】共通設定"/>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sheetData sheetId="9" refreshError="1"/>
      <sheetData sheetId="10"/>
      <sheetData sheetId="11"/>
      <sheetData sheetId="12" refreshError="1"/>
      <sheetData sheetId="13"/>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S30"/>
  <sheetViews>
    <sheetView showGridLines="0" tabSelected="1" zoomScale="85" zoomScaleNormal="85" workbookViewId="0">
      <selection sqref="A1:D1"/>
    </sheetView>
  </sheetViews>
  <sheetFormatPr defaultColWidth="3.6328125" defaultRowHeight="15" customHeight="1" x14ac:dyDescent="0.3"/>
  <cols>
    <col min="1" max="1" width="4.6328125" style="3" customWidth="1"/>
    <col min="2" max="16" width="3.6328125" style="3" customWidth="1"/>
    <col min="17" max="17" width="3.6328125" style="3"/>
    <col min="18" max="23" width="3.6328125" style="3" customWidth="1"/>
    <col min="24" max="41" width="3.6328125" style="3"/>
    <col min="42" max="65" width="3.6328125" style="3" customWidth="1"/>
    <col min="66" max="16384" width="3.6328125" style="3"/>
  </cols>
  <sheetData>
    <row r="1" spans="1:71" customFormat="1" ht="15" customHeight="1" x14ac:dyDescent="0.3">
      <c r="A1" s="81" t="s">
        <v>0</v>
      </c>
      <c r="B1" s="69"/>
      <c r="C1" s="69"/>
      <c r="D1" s="70"/>
      <c r="E1" s="68" t="s">
        <v>1</v>
      </c>
      <c r="F1" s="69"/>
      <c r="G1" s="70"/>
      <c r="H1" s="68" t="s">
        <v>2</v>
      </c>
      <c r="I1" s="70"/>
      <c r="J1" s="68" t="s">
        <v>3</v>
      </c>
      <c r="K1" s="69"/>
      <c r="L1" s="69"/>
      <c r="M1" s="69"/>
      <c r="N1" s="69"/>
      <c r="O1" s="70"/>
      <c r="P1" s="68" t="s">
        <v>4</v>
      </c>
      <c r="Q1" s="70"/>
    </row>
    <row r="2" spans="1:71" customFormat="1" ht="15" customHeight="1" x14ac:dyDescent="0.3">
      <c r="A2" s="83" t="s">
        <v>5</v>
      </c>
      <c r="B2" s="85"/>
      <c r="C2" s="85"/>
      <c r="D2" s="84"/>
      <c r="E2" s="83" t="s">
        <v>6</v>
      </c>
      <c r="F2" s="85"/>
      <c r="G2" s="84"/>
      <c r="H2" s="83" t="s">
        <v>7</v>
      </c>
      <c r="I2" s="84"/>
      <c r="J2" s="4" t="str">
        <f>IF(H2="","",VLOOKUP(H2,マスタ!C:D,2,FALSE))</f>
        <v>生産実績一覧（外注加工）</v>
      </c>
      <c r="K2" s="5"/>
      <c r="L2" s="5"/>
      <c r="M2" s="5"/>
      <c r="N2" s="5"/>
      <c r="O2" s="6"/>
      <c r="P2" s="83"/>
      <c r="Q2" s="84"/>
      <c r="AE2" s="10" t="s">
        <v>8</v>
      </c>
      <c r="AF2" s="8"/>
      <c r="AG2" s="9"/>
      <c r="AH2" s="35" t="s">
        <v>9</v>
      </c>
      <c r="AI2" s="36"/>
      <c r="AJ2" s="36"/>
      <c r="AK2" s="37"/>
      <c r="AM2" s="10" t="s">
        <v>10</v>
      </c>
      <c r="AN2" s="8"/>
      <c r="AO2" s="9"/>
      <c r="AP2" s="35" t="s">
        <v>11</v>
      </c>
      <c r="AQ2" s="36"/>
      <c r="AR2" s="36"/>
      <c r="AS2" s="37"/>
    </row>
    <row r="3" spans="1:71" customFormat="1" ht="15" customHeight="1" x14ac:dyDescent="0.3">
      <c r="AE3" s="10" t="s">
        <v>12</v>
      </c>
      <c r="AF3" s="8"/>
      <c r="AG3" s="9"/>
      <c r="AH3" s="35"/>
      <c r="AI3" s="36"/>
      <c r="AJ3" s="36"/>
      <c r="AK3" s="37"/>
      <c r="AM3" s="10" t="s">
        <v>13</v>
      </c>
      <c r="AN3" s="8"/>
      <c r="AO3" s="9"/>
      <c r="AP3" s="35" t="s">
        <v>14</v>
      </c>
      <c r="AQ3" s="36"/>
      <c r="AR3" s="36"/>
      <c r="AS3" s="37"/>
    </row>
    <row r="4" spans="1:71" customFormat="1" ht="15" customHeight="1" x14ac:dyDescent="0.3">
      <c r="A4" s="81" t="s">
        <v>15</v>
      </c>
      <c r="B4" s="69"/>
      <c r="C4" s="70"/>
      <c r="D4" s="68" t="s">
        <v>16</v>
      </c>
      <c r="E4" s="69"/>
      <c r="F4" s="70"/>
      <c r="G4" s="68" t="s">
        <v>17</v>
      </c>
      <c r="H4" s="69"/>
      <c r="I4" s="70"/>
      <c r="J4" s="68" t="s">
        <v>18</v>
      </c>
      <c r="K4" s="69"/>
      <c r="L4" s="70"/>
      <c r="M4" s="68" t="s">
        <v>19</v>
      </c>
      <c r="N4" s="69"/>
      <c r="O4" s="70"/>
      <c r="P4" s="12"/>
      <c r="Q4" s="81" t="s">
        <v>20</v>
      </c>
      <c r="R4" s="70"/>
      <c r="S4" s="68" t="s">
        <v>21</v>
      </c>
      <c r="T4" s="69"/>
      <c r="U4" s="69"/>
      <c r="V4" s="70"/>
      <c r="W4" s="68" t="s">
        <v>22</v>
      </c>
      <c r="X4" s="69"/>
      <c r="Y4" s="70"/>
      <c r="Z4" s="68" t="s">
        <v>23</v>
      </c>
      <c r="AA4" s="69"/>
      <c r="AB4" s="70"/>
      <c r="AE4" s="10" t="s">
        <v>24</v>
      </c>
      <c r="AF4" s="8"/>
      <c r="AG4" s="9"/>
      <c r="AH4" s="35"/>
      <c r="AI4" s="36"/>
      <c r="AJ4" s="36"/>
      <c r="AK4" s="37"/>
      <c r="AM4" s="10" t="s">
        <v>25</v>
      </c>
      <c r="AN4" s="8"/>
      <c r="AO4" s="9"/>
      <c r="AP4" s="35"/>
      <c r="AQ4" s="36"/>
      <c r="AR4" s="36"/>
      <c r="AS4" s="37"/>
    </row>
    <row r="5" spans="1:71" customFormat="1" ht="15" customHeight="1" x14ac:dyDescent="0.3">
      <c r="A5" s="86" t="s">
        <v>26</v>
      </c>
      <c r="B5" s="87"/>
      <c r="C5" s="88"/>
      <c r="D5" s="74">
        <v>45215</v>
      </c>
      <c r="E5" s="75"/>
      <c r="F5" s="76"/>
      <c r="G5" s="71"/>
      <c r="H5" s="72"/>
      <c r="I5" s="73"/>
      <c r="J5" s="71"/>
      <c r="K5" s="72"/>
      <c r="L5" s="73"/>
      <c r="M5" s="71">
        <v>0.20833333333333334</v>
      </c>
      <c r="N5" s="72"/>
      <c r="O5" s="73"/>
      <c r="P5" s="2"/>
      <c r="Q5" s="83">
        <f ca="1">COUNT(INDIRECT("$A9:$A"&amp;ROW(最終行)))</f>
        <v>20</v>
      </c>
      <c r="R5" s="84"/>
      <c r="S5" s="74">
        <f ca="1">IF(MAX(INDIRECT("$BB9:$BB"&amp;ROW(最終行)))=0,"",MAX(INDIRECT("$BB9:$BB"&amp;ROW(最終行))))</f>
        <v>45222</v>
      </c>
      <c r="T5" s="75"/>
      <c r="U5" s="75"/>
      <c r="V5" s="76"/>
      <c r="W5" s="74">
        <f ca="1">IF(MAX(INDIRECT("$BE9:$BE"&amp;ROW(最終行)))=0,"",MAX(INDIRECT("$BE9:$BE"&amp;ROW(最終行))))</f>
        <v>45223</v>
      </c>
      <c r="X5" s="75"/>
      <c r="Y5" s="76"/>
      <c r="Z5" s="74">
        <f ca="1">IF(MAX(INDIRECT("$BK9:$BK"&amp;ROW(最終行)))=0,"",MAX(INDIRECT("$BK9:$BK"&amp;ROW(最終行))))</f>
        <v>45243</v>
      </c>
      <c r="AA5" s="75"/>
      <c r="AB5" s="76"/>
      <c r="AD5" s="11"/>
      <c r="AE5" s="10" t="s">
        <v>27</v>
      </c>
      <c r="AF5" s="8"/>
      <c r="AG5" s="9"/>
      <c r="AH5" s="35"/>
      <c r="AI5" s="36"/>
      <c r="AJ5" s="36"/>
      <c r="AK5" s="37"/>
      <c r="AM5" s="10" t="s">
        <v>28</v>
      </c>
      <c r="AN5" s="8"/>
      <c r="AO5" s="9"/>
      <c r="AP5" s="35"/>
      <c r="AQ5" s="36"/>
      <c r="AR5" s="36"/>
      <c r="AS5" s="37"/>
    </row>
    <row r="6" spans="1:71" customFormat="1" ht="15" customHeight="1" x14ac:dyDescent="0.3"/>
    <row r="7" spans="1:71" s="1" customFormat="1" ht="15" customHeight="1" x14ac:dyDescent="0.3">
      <c r="A7" s="89" t="s">
        <v>29</v>
      </c>
      <c r="B7" s="62" t="s">
        <v>30</v>
      </c>
      <c r="C7" s="63"/>
      <c r="D7" s="62" t="s">
        <v>31</v>
      </c>
      <c r="E7" s="66"/>
      <c r="F7" s="66"/>
      <c r="G7" s="66"/>
      <c r="H7" s="63"/>
      <c r="I7" s="62" t="s">
        <v>32</v>
      </c>
      <c r="J7" s="66"/>
      <c r="K7" s="66"/>
      <c r="L7" s="63"/>
      <c r="M7" s="62" t="s">
        <v>33</v>
      </c>
      <c r="N7" s="66"/>
      <c r="O7" s="66"/>
      <c r="P7" s="66"/>
      <c r="Q7" s="66"/>
      <c r="R7" s="66"/>
      <c r="S7" s="66"/>
      <c r="T7" s="66"/>
      <c r="U7" s="66"/>
      <c r="V7" s="66"/>
      <c r="W7" s="66"/>
      <c r="X7" s="66"/>
      <c r="Y7" s="63"/>
      <c r="Z7" s="62" t="s">
        <v>34</v>
      </c>
      <c r="AA7" s="66"/>
      <c r="AB7" s="66"/>
      <c r="AC7" s="66"/>
      <c r="AD7" s="66"/>
      <c r="AE7" s="66"/>
      <c r="AF7" s="66"/>
      <c r="AG7" s="66"/>
      <c r="AH7" s="66"/>
      <c r="AI7" s="66"/>
      <c r="AJ7" s="66"/>
      <c r="AK7" s="66"/>
      <c r="AL7" s="63"/>
      <c r="AM7" s="62" t="s">
        <v>35</v>
      </c>
      <c r="AN7" s="66"/>
      <c r="AO7" s="63"/>
      <c r="AP7" s="80" t="s">
        <v>36</v>
      </c>
      <c r="AQ7" s="80"/>
      <c r="AR7" s="80"/>
      <c r="AS7" s="80"/>
      <c r="AT7" s="80"/>
      <c r="AU7" s="80"/>
      <c r="AV7" s="80"/>
      <c r="AW7" s="80"/>
      <c r="AX7" s="80"/>
      <c r="AY7" s="56" t="s">
        <v>37</v>
      </c>
      <c r="AZ7" s="57"/>
      <c r="BA7" s="57"/>
      <c r="BB7" s="57"/>
      <c r="BC7" s="57"/>
      <c r="BD7" s="57"/>
      <c r="BE7" s="57"/>
      <c r="BF7" s="57"/>
      <c r="BG7" s="58"/>
      <c r="BH7" s="80" t="s">
        <v>38</v>
      </c>
      <c r="BI7" s="80"/>
      <c r="BJ7" s="80"/>
      <c r="BK7" s="80"/>
      <c r="BL7" s="80"/>
      <c r="BM7" s="80"/>
      <c r="BN7" s="56" t="s">
        <v>39</v>
      </c>
      <c r="BO7" s="57"/>
      <c r="BP7" s="57"/>
      <c r="BQ7" s="57"/>
      <c r="BR7" s="57"/>
      <c r="BS7" s="58"/>
    </row>
    <row r="8" spans="1:71" s="1" customFormat="1" ht="15" customHeight="1" x14ac:dyDescent="0.3">
      <c r="A8" s="90"/>
      <c r="B8" s="64"/>
      <c r="C8" s="65"/>
      <c r="D8" s="64"/>
      <c r="E8" s="67"/>
      <c r="F8" s="67"/>
      <c r="G8" s="67"/>
      <c r="H8" s="65"/>
      <c r="I8" s="64"/>
      <c r="J8" s="67"/>
      <c r="K8" s="67"/>
      <c r="L8" s="65"/>
      <c r="M8" s="64"/>
      <c r="N8" s="67"/>
      <c r="O8" s="67"/>
      <c r="P8" s="67"/>
      <c r="Q8" s="67"/>
      <c r="R8" s="67"/>
      <c r="S8" s="67"/>
      <c r="T8" s="67"/>
      <c r="U8" s="67"/>
      <c r="V8" s="67"/>
      <c r="W8" s="67"/>
      <c r="X8" s="67"/>
      <c r="Y8" s="65"/>
      <c r="Z8" s="64"/>
      <c r="AA8" s="67"/>
      <c r="AB8" s="67"/>
      <c r="AC8" s="67"/>
      <c r="AD8" s="67"/>
      <c r="AE8" s="67"/>
      <c r="AF8" s="67"/>
      <c r="AG8" s="67"/>
      <c r="AH8" s="67"/>
      <c r="AI8" s="67"/>
      <c r="AJ8" s="67"/>
      <c r="AK8" s="67"/>
      <c r="AL8" s="65"/>
      <c r="AM8" s="64"/>
      <c r="AN8" s="67"/>
      <c r="AO8" s="65"/>
      <c r="AP8" s="59" t="s">
        <v>40</v>
      </c>
      <c r="AQ8" s="60"/>
      <c r="AR8" s="61"/>
      <c r="AS8" s="59" t="s">
        <v>41</v>
      </c>
      <c r="AT8" s="60"/>
      <c r="AU8" s="61"/>
      <c r="AV8" s="59" t="s">
        <v>42</v>
      </c>
      <c r="AW8" s="60"/>
      <c r="AX8" s="61"/>
      <c r="AY8" s="77" t="s">
        <v>43</v>
      </c>
      <c r="AZ8" s="78"/>
      <c r="BA8" s="79"/>
      <c r="BB8" s="77" t="s">
        <v>44</v>
      </c>
      <c r="BC8" s="78"/>
      <c r="BD8" s="79"/>
      <c r="BE8" s="77" t="s">
        <v>45</v>
      </c>
      <c r="BF8" s="78"/>
      <c r="BG8" s="79"/>
      <c r="BH8" s="59" t="s">
        <v>46</v>
      </c>
      <c r="BI8" s="60"/>
      <c r="BJ8" s="61"/>
      <c r="BK8" s="77" t="s">
        <v>47</v>
      </c>
      <c r="BL8" s="78"/>
      <c r="BM8" s="79"/>
      <c r="BN8" s="59"/>
      <c r="BO8" s="60"/>
      <c r="BP8" s="60"/>
      <c r="BQ8" s="60"/>
      <c r="BR8" s="60"/>
      <c r="BS8" s="61"/>
    </row>
    <row r="9" spans="1:71" ht="60" customHeight="1" x14ac:dyDescent="0.3">
      <c r="A9" s="7">
        <f>IF(M9="","",COUNTA($M$9:M9))</f>
        <v>1</v>
      </c>
      <c r="B9" s="38" t="s">
        <v>11</v>
      </c>
      <c r="C9" s="40"/>
      <c r="D9" s="50" t="s">
        <v>48</v>
      </c>
      <c r="E9" s="51"/>
      <c r="F9" s="51"/>
      <c r="G9" s="51"/>
      <c r="H9" s="52"/>
      <c r="I9" s="42" t="s">
        <v>49</v>
      </c>
      <c r="J9" s="42"/>
      <c r="K9" s="42"/>
      <c r="L9" s="42"/>
      <c r="M9" s="53" t="s">
        <v>50</v>
      </c>
      <c r="N9" s="54"/>
      <c r="O9" s="54"/>
      <c r="P9" s="54"/>
      <c r="Q9" s="54"/>
      <c r="R9" s="54"/>
      <c r="S9" s="54"/>
      <c r="T9" s="54"/>
      <c r="U9" s="54"/>
      <c r="V9" s="54"/>
      <c r="W9" s="54"/>
      <c r="X9" s="54"/>
      <c r="Y9" s="55"/>
      <c r="Z9" s="41" t="s">
        <v>51</v>
      </c>
      <c r="AA9" s="42"/>
      <c r="AB9" s="42"/>
      <c r="AC9" s="42"/>
      <c r="AD9" s="42"/>
      <c r="AE9" s="42"/>
      <c r="AF9" s="42"/>
      <c r="AG9" s="42"/>
      <c r="AH9" s="42"/>
      <c r="AI9" s="42"/>
      <c r="AJ9" s="42"/>
      <c r="AK9" s="42"/>
      <c r="AL9" s="43"/>
      <c r="AM9" s="41" t="s">
        <v>52</v>
      </c>
      <c r="AN9" s="42"/>
      <c r="AO9" s="43"/>
      <c r="AP9" s="47" t="s">
        <v>53</v>
      </c>
      <c r="AQ9" s="48"/>
      <c r="AR9" s="49"/>
      <c r="AS9" s="47" t="s">
        <v>54</v>
      </c>
      <c r="AT9" s="48"/>
      <c r="AU9" s="49"/>
      <c r="AV9" s="47" t="s">
        <v>55</v>
      </c>
      <c r="AW9" s="48"/>
      <c r="AX9" s="49"/>
      <c r="AY9" s="38" t="s">
        <v>56</v>
      </c>
      <c r="AZ9" s="39"/>
      <c r="BA9" s="40"/>
      <c r="BB9" s="44">
        <v>45217</v>
      </c>
      <c r="BC9" s="45"/>
      <c r="BD9" s="46"/>
      <c r="BE9" s="44">
        <v>45222</v>
      </c>
      <c r="BF9" s="45"/>
      <c r="BG9" s="46"/>
      <c r="BH9" s="38" t="s">
        <v>14</v>
      </c>
      <c r="BI9" s="39"/>
      <c r="BJ9" s="40"/>
      <c r="BK9" s="44">
        <v>45223</v>
      </c>
      <c r="BL9" s="45"/>
      <c r="BM9" s="46"/>
      <c r="BN9" s="41"/>
      <c r="BO9" s="42"/>
      <c r="BP9" s="42"/>
      <c r="BQ9" s="42"/>
      <c r="BR9" s="42"/>
      <c r="BS9" s="43"/>
    </row>
    <row r="10" spans="1:71" ht="60" customHeight="1" x14ac:dyDescent="0.3">
      <c r="A10" s="7">
        <f>IF(M10="","",COUNTA($M$9:M10))</f>
        <v>2</v>
      </c>
      <c r="B10" s="38" t="s">
        <v>11</v>
      </c>
      <c r="C10" s="40"/>
      <c r="D10" s="50" t="s">
        <v>57</v>
      </c>
      <c r="E10" s="51"/>
      <c r="F10" s="51"/>
      <c r="G10" s="51"/>
      <c r="H10" s="52"/>
      <c r="I10" s="42" t="s">
        <v>58</v>
      </c>
      <c r="J10" s="42"/>
      <c r="K10" s="42"/>
      <c r="L10" s="42"/>
      <c r="M10" s="53" t="s">
        <v>59</v>
      </c>
      <c r="N10" s="54"/>
      <c r="O10" s="54"/>
      <c r="P10" s="54"/>
      <c r="Q10" s="54"/>
      <c r="R10" s="54"/>
      <c r="S10" s="54"/>
      <c r="T10" s="54"/>
      <c r="U10" s="54"/>
      <c r="V10" s="54"/>
      <c r="W10" s="54"/>
      <c r="X10" s="54"/>
      <c r="Y10" s="55"/>
      <c r="Z10" s="53" t="s">
        <v>60</v>
      </c>
      <c r="AA10" s="54"/>
      <c r="AB10" s="54"/>
      <c r="AC10" s="54"/>
      <c r="AD10" s="54"/>
      <c r="AE10" s="54"/>
      <c r="AF10" s="54"/>
      <c r="AG10" s="54"/>
      <c r="AH10" s="54"/>
      <c r="AI10" s="54"/>
      <c r="AJ10" s="54"/>
      <c r="AK10" s="54"/>
      <c r="AL10" s="55"/>
      <c r="AM10" s="41" t="s">
        <v>61</v>
      </c>
      <c r="AN10" s="42"/>
      <c r="AO10" s="43"/>
      <c r="AP10" s="47" t="s">
        <v>53</v>
      </c>
      <c r="AQ10" s="48"/>
      <c r="AR10" s="49"/>
      <c r="AS10" s="47" t="s">
        <v>62</v>
      </c>
      <c r="AT10" s="48"/>
      <c r="AU10" s="49"/>
      <c r="AV10" s="47" t="s">
        <v>63</v>
      </c>
      <c r="AW10" s="48"/>
      <c r="AX10" s="49"/>
      <c r="AY10" s="38" t="s">
        <v>56</v>
      </c>
      <c r="AZ10" s="39"/>
      <c r="BA10" s="40"/>
      <c r="BB10" s="44">
        <v>45217</v>
      </c>
      <c r="BC10" s="45"/>
      <c r="BD10" s="46"/>
      <c r="BE10" s="44">
        <v>45222</v>
      </c>
      <c r="BF10" s="45"/>
      <c r="BG10" s="46"/>
      <c r="BH10" s="38" t="s">
        <v>493</v>
      </c>
      <c r="BI10" s="39"/>
      <c r="BJ10" s="40"/>
      <c r="BK10" s="44">
        <v>45243</v>
      </c>
      <c r="BL10" s="45"/>
      <c r="BM10" s="46"/>
      <c r="BN10" s="82"/>
      <c r="BO10" s="42"/>
      <c r="BP10" s="42"/>
      <c r="BQ10" s="42"/>
      <c r="BR10" s="42"/>
      <c r="BS10" s="43"/>
    </row>
    <row r="11" spans="1:71" ht="60" customHeight="1" x14ac:dyDescent="0.3">
      <c r="A11" s="7">
        <f>IF(M11="","",COUNTA($M$9:M11))</f>
        <v>3</v>
      </c>
      <c r="B11" s="38" t="s">
        <v>11</v>
      </c>
      <c r="C11" s="40"/>
      <c r="D11" s="50" t="s">
        <v>57</v>
      </c>
      <c r="E11" s="51"/>
      <c r="F11" s="51"/>
      <c r="G11" s="51"/>
      <c r="H11" s="52"/>
      <c r="I11" s="42" t="s">
        <v>58</v>
      </c>
      <c r="J11" s="42"/>
      <c r="K11" s="42"/>
      <c r="L11" s="42"/>
      <c r="M11" s="41" t="s">
        <v>65</v>
      </c>
      <c r="N11" s="42"/>
      <c r="O11" s="42"/>
      <c r="P11" s="42"/>
      <c r="Q11" s="42"/>
      <c r="R11" s="42"/>
      <c r="S11" s="42"/>
      <c r="T11" s="42"/>
      <c r="U11" s="42"/>
      <c r="V11" s="42"/>
      <c r="W11" s="42"/>
      <c r="X11" s="42"/>
      <c r="Y11" s="43"/>
      <c r="Z11" s="41" t="s">
        <v>66</v>
      </c>
      <c r="AA11" s="42"/>
      <c r="AB11" s="42"/>
      <c r="AC11" s="42"/>
      <c r="AD11" s="42"/>
      <c r="AE11" s="42"/>
      <c r="AF11" s="42"/>
      <c r="AG11" s="42"/>
      <c r="AH11" s="42"/>
      <c r="AI11" s="42"/>
      <c r="AJ11" s="42"/>
      <c r="AK11" s="42"/>
      <c r="AL11" s="43"/>
      <c r="AM11" s="41" t="s">
        <v>61</v>
      </c>
      <c r="AN11" s="42"/>
      <c r="AO11" s="43"/>
      <c r="AP11" s="47" t="s">
        <v>53</v>
      </c>
      <c r="AQ11" s="48"/>
      <c r="AR11" s="49"/>
      <c r="AS11" s="47" t="s">
        <v>62</v>
      </c>
      <c r="AT11" s="48"/>
      <c r="AU11" s="49"/>
      <c r="AV11" s="47" t="s">
        <v>63</v>
      </c>
      <c r="AW11" s="48"/>
      <c r="AX11" s="49"/>
      <c r="AY11" s="38" t="s">
        <v>56</v>
      </c>
      <c r="AZ11" s="39"/>
      <c r="BA11" s="40"/>
      <c r="BB11" s="44">
        <v>45217</v>
      </c>
      <c r="BC11" s="45"/>
      <c r="BD11" s="46"/>
      <c r="BE11" s="44">
        <v>45222</v>
      </c>
      <c r="BF11" s="45"/>
      <c r="BG11" s="46"/>
      <c r="BH11" s="38" t="s">
        <v>14</v>
      </c>
      <c r="BI11" s="39"/>
      <c r="BJ11" s="40"/>
      <c r="BK11" s="44">
        <v>45223</v>
      </c>
      <c r="BL11" s="45"/>
      <c r="BM11" s="46"/>
      <c r="BN11" s="41"/>
      <c r="BO11" s="42"/>
      <c r="BP11" s="42"/>
      <c r="BQ11" s="42"/>
      <c r="BR11" s="42"/>
      <c r="BS11" s="43"/>
    </row>
    <row r="12" spans="1:71" ht="115.5" customHeight="1" x14ac:dyDescent="0.3">
      <c r="A12" s="7">
        <f>IF(M12="","",COUNTA($M$9:M12))</f>
        <v>4</v>
      </c>
      <c r="B12" s="38" t="s">
        <v>11</v>
      </c>
      <c r="C12" s="40"/>
      <c r="D12" s="50" t="s">
        <v>57</v>
      </c>
      <c r="E12" s="51"/>
      <c r="F12" s="51"/>
      <c r="G12" s="51"/>
      <c r="H12" s="52"/>
      <c r="I12" s="41" t="s">
        <v>67</v>
      </c>
      <c r="J12" s="42"/>
      <c r="K12" s="42"/>
      <c r="L12" s="43"/>
      <c r="M12" s="53" t="s">
        <v>68</v>
      </c>
      <c r="N12" s="54"/>
      <c r="O12" s="54"/>
      <c r="P12" s="54"/>
      <c r="Q12" s="54"/>
      <c r="R12" s="54"/>
      <c r="S12" s="54"/>
      <c r="T12" s="54"/>
      <c r="U12" s="54"/>
      <c r="V12" s="54"/>
      <c r="W12" s="54"/>
      <c r="X12" s="54"/>
      <c r="Y12" s="55"/>
      <c r="Z12" s="53" t="s">
        <v>69</v>
      </c>
      <c r="AA12" s="54"/>
      <c r="AB12" s="54"/>
      <c r="AC12" s="54"/>
      <c r="AD12" s="54"/>
      <c r="AE12" s="54"/>
      <c r="AF12" s="54"/>
      <c r="AG12" s="54"/>
      <c r="AH12" s="54"/>
      <c r="AI12" s="54"/>
      <c r="AJ12" s="54"/>
      <c r="AK12" s="54"/>
      <c r="AL12" s="55"/>
      <c r="AM12" s="41" t="s">
        <v>61</v>
      </c>
      <c r="AN12" s="42"/>
      <c r="AO12" s="43"/>
      <c r="AP12" s="47" t="s">
        <v>53</v>
      </c>
      <c r="AQ12" s="48"/>
      <c r="AR12" s="49"/>
      <c r="AS12" s="47" t="s">
        <v>54</v>
      </c>
      <c r="AT12" s="48"/>
      <c r="AU12" s="49"/>
      <c r="AV12" s="47" t="s">
        <v>70</v>
      </c>
      <c r="AW12" s="48"/>
      <c r="AX12" s="49"/>
      <c r="AY12" s="38" t="s">
        <v>56</v>
      </c>
      <c r="AZ12" s="39"/>
      <c r="BA12" s="40"/>
      <c r="BB12" s="44">
        <v>45217</v>
      </c>
      <c r="BC12" s="45"/>
      <c r="BD12" s="46"/>
      <c r="BE12" s="44">
        <v>45217</v>
      </c>
      <c r="BF12" s="45"/>
      <c r="BG12" s="46"/>
      <c r="BH12" s="38" t="s">
        <v>14</v>
      </c>
      <c r="BI12" s="39"/>
      <c r="BJ12" s="40"/>
      <c r="BK12" s="44">
        <v>45222</v>
      </c>
      <c r="BL12" s="45"/>
      <c r="BM12" s="46"/>
      <c r="BN12" s="41"/>
      <c r="BO12" s="42"/>
      <c r="BP12" s="42"/>
      <c r="BQ12" s="42"/>
      <c r="BR12" s="42"/>
      <c r="BS12" s="43"/>
    </row>
    <row r="13" spans="1:71" ht="60" customHeight="1" x14ac:dyDescent="0.3">
      <c r="A13" s="7">
        <f>IF(M13="","",COUNTA($M$9:M13))</f>
        <v>5</v>
      </c>
      <c r="B13" s="38" t="s">
        <v>11</v>
      </c>
      <c r="C13" s="40"/>
      <c r="D13" s="50" t="s">
        <v>57</v>
      </c>
      <c r="E13" s="51"/>
      <c r="F13" s="51"/>
      <c r="G13" s="51"/>
      <c r="H13" s="52"/>
      <c r="I13" s="41" t="s">
        <v>71</v>
      </c>
      <c r="J13" s="42"/>
      <c r="K13" s="42"/>
      <c r="L13" s="43"/>
      <c r="M13" s="53" t="s">
        <v>72</v>
      </c>
      <c r="N13" s="54"/>
      <c r="O13" s="54"/>
      <c r="P13" s="54"/>
      <c r="Q13" s="54"/>
      <c r="R13" s="54"/>
      <c r="S13" s="54"/>
      <c r="T13" s="54"/>
      <c r="U13" s="54"/>
      <c r="V13" s="54"/>
      <c r="W13" s="54"/>
      <c r="X13" s="54"/>
      <c r="Y13" s="55"/>
      <c r="Z13" s="41" t="s">
        <v>73</v>
      </c>
      <c r="AA13" s="42"/>
      <c r="AB13" s="42"/>
      <c r="AC13" s="42"/>
      <c r="AD13" s="42"/>
      <c r="AE13" s="42"/>
      <c r="AF13" s="42"/>
      <c r="AG13" s="42"/>
      <c r="AH13" s="42"/>
      <c r="AI13" s="42"/>
      <c r="AJ13" s="42"/>
      <c r="AK13" s="42"/>
      <c r="AL13" s="43"/>
      <c r="AM13" s="41" t="s">
        <v>61</v>
      </c>
      <c r="AN13" s="42"/>
      <c r="AO13" s="43"/>
      <c r="AP13" s="47" t="s">
        <v>53</v>
      </c>
      <c r="AQ13" s="48"/>
      <c r="AR13" s="49"/>
      <c r="AS13" s="47" t="s">
        <v>54</v>
      </c>
      <c r="AT13" s="48"/>
      <c r="AU13" s="49"/>
      <c r="AV13" s="47" t="s">
        <v>70</v>
      </c>
      <c r="AW13" s="48"/>
      <c r="AX13" s="49"/>
      <c r="AY13" s="38" t="s">
        <v>56</v>
      </c>
      <c r="AZ13" s="39"/>
      <c r="BA13" s="40"/>
      <c r="BB13" s="44">
        <v>45217</v>
      </c>
      <c r="BC13" s="45"/>
      <c r="BD13" s="46"/>
      <c r="BE13" s="44">
        <v>45217</v>
      </c>
      <c r="BF13" s="45"/>
      <c r="BG13" s="46"/>
      <c r="BH13" s="38" t="s">
        <v>14</v>
      </c>
      <c r="BI13" s="39"/>
      <c r="BJ13" s="40"/>
      <c r="BK13" s="44">
        <v>45222</v>
      </c>
      <c r="BL13" s="45"/>
      <c r="BM13" s="46"/>
      <c r="BN13" s="41"/>
      <c r="BO13" s="42"/>
      <c r="BP13" s="42"/>
      <c r="BQ13" s="42"/>
      <c r="BR13" s="42"/>
      <c r="BS13" s="43"/>
    </row>
    <row r="14" spans="1:71" ht="60" customHeight="1" x14ac:dyDescent="0.3">
      <c r="A14" s="7">
        <f>IF(M14="","",COUNTA($M$9:M14))</f>
        <v>6</v>
      </c>
      <c r="B14" s="38" t="s">
        <v>11</v>
      </c>
      <c r="C14" s="40"/>
      <c r="D14" s="50" t="s">
        <v>57</v>
      </c>
      <c r="E14" s="51"/>
      <c r="F14" s="51"/>
      <c r="G14" s="51"/>
      <c r="H14" s="52"/>
      <c r="I14" s="41" t="s">
        <v>74</v>
      </c>
      <c r="J14" s="42"/>
      <c r="K14" s="42"/>
      <c r="L14" s="43"/>
      <c r="M14" s="53" t="s">
        <v>75</v>
      </c>
      <c r="N14" s="54"/>
      <c r="O14" s="54"/>
      <c r="P14" s="54"/>
      <c r="Q14" s="54"/>
      <c r="R14" s="54"/>
      <c r="S14" s="54"/>
      <c r="T14" s="54"/>
      <c r="U14" s="54"/>
      <c r="V14" s="54"/>
      <c r="W14" s="54"/>
      <c r="X14" s="54"/>
      <c r="Y14" s="55"/>
      <c r="Z14" s="41" t="s">
        <v>76</v>
      </c>
      <c r="AA14" s="42"/>
      <c r="AB14" s="42"/>
      <c r="AC14" s="42"/>
      <c r="AD14" s="42"/>
      <c r="AE14" s="42"/>
      <c r="AF14" s="42"/>
      <c r="AG14" s="42"/>
      <c r="AH14" s="42"/>
      <c r="AI14" s="42"/>
      <c r="AJ14" s="42"/>
      <c r="AK14" s="42"/>
      <c r="AL14" s="43"/>
      <c r="AM14" s="41" t="s">
        <v>61</v>
      </c>
      <c r="AN14" s="42"/>
      <c r="AO14" s="43"/>
      <c r="AP14" s="47" t="s">
        <v>53</v>
      </c>
      <c r="AQ14" s="48"/>
      <c r="AR14" s="49"/>
      <c r="AS14" s="47" t="s">
        <v>54</v>
      </c>
      <c r="AT14" s="48"/>
      <c r="AU14" s="49"/>
      <c r="AV14" s="47" t="s">
        <v>70</v>
      </c>
      <c r="AW14" s="48"/>
      <c r="AX14" s="49"/>
      <c r="AY14" s="38" t="s">
        <v>56</v>
      </c>
      <c r="AZ14" s="39"/>
      <c r="BA14" s="40"/>
      <c r="BB14" s="44">
        <v>45217</v>
      </c>
      <c r="BC14" s="45"/>
      <c r="BD14" s="46"/>
      <c r="BE14" s="44">
        <v>45217</v>
      </c>
      <c r="BF14" s="45"/>
      <c r="BG14" s="46"/>
      <c r="BH14" s="38" t="s">
        <v>14</v>
      </c>
      <c r="BI14" s="39"/>
      <c r="BJ14" s="40"/>
      <c r="BK14" s="44">
        <v>45222</v>
      </c>
      <c r="BL14" s="45"/>
      <c r="BM14" s="46"/>
      <c r="BN14" s="41"/>
      <c r="BO14" s="42"/>
      <c r="BP14" s="42"/>
      <c r="BQ14" s="42"/>
      <c r="BR14" s="42"/>
      <c r="BS14" s="43"/>
    </row>
    <row r="15" spans="1:71" ht="119.25" customHeight="1" x14ac:dyDescent="0.3">
      <c r="A15" s="7">
        <f>IF(M15="","",COUNTA($M$9:M15))</f>
        <v>7</v>
      </c>
      <c r="B15" s="38" t="s">
        <v>11</v>
      </c>
      <c r="C15" s="40"/>
      <c r="D15" s="50" t="s">
        <v>57</v>
      </c>
      <c r="E15" s="51"/>
      <c r="F15" s="51"/>
      <c r="G15" s="51"/>
      <c r="H15" s="52"/>
      <c r="I15" s="41" t="s">
        <v>77</v>
      </c>
      <c r="J15" s="42"/>
      <c r="K15" s="42"/>
      <c r="L15" s="43"/>
      <c r="M15" s="53" t="s">
        <v>78</v>
      </c>
      <c r="N15" s="54"/>
      <c r="O15" s="54"/>
      <c r="P15" s="54"/>
      <c r="Q15" s="54"/>
      <c r="R15" s="54"/>
      <c r="S15" s="54"/>
      <c r="T15" s="54"/>
      <c r="U15" s="54"/>
      <c r="V15" s="54"/>
      <c r="W15" s="54"/>
      <c r="X15" s="54"/>
      <c r="Y15" s="55"/>
      <c r="Z15" s="53" t="s">
        <v>79</v>
      </c>
      <c r="AA15" s="54"/>
      <c r="AB15" s="54"/>
      <c r="AC15" s="54"/>
      <c r="AD15" s="54"/>
      <c r="AE15" s="54"/>
      <c r="AF15" s="54"/>
      <c r="AG15" s="54"/>
      <c r="AH15" s="54"/>
      <c r="AI15" s="54"/>
      <c r="AJ15" s="54"/>
      <c r="AK15" s="54"/>
      <c r="AL15" s="55"/>
      <c r="AM15" s="41" t="s">
        <v>61</v>
      </c>
      <c r="AN15" s="42"/>
      <c r="AO15" s="43"/>
      <c r="AP15" s="47" t="s">
        <v>53</v>
      </c>
      <c r="AQ15" s="48"/>
      <c r="AR15" s="49"/>
      <c r="AS15" s="47" t="s">
        <v>62</v>
      </c>
      <c r="AT15" s="48"/>
      <c r="AU15" s="49"/>
      <c r="AV15" s="47" t="s">
        <v>63</v>
      </c>
      <c r="AW15" s="48"/>
      <c r="AX15" s="49"/>
      <c r="AY15" s="38" t="s">
        <v>56</v>
      </c>
      <c r="AZ15" s="39"/>
      <c r="BA15" s="40"/>
      <c r="BB15" s="44">
        <v>45217</v>
      </c>
      <c r="BC15" s="45"/>
      <c r="BD15" s="46"/>
      <c r="BE15" s="44">
        <v>45223</v>
      </c>
      <c r="BF15" s="45"/>
      <c r="BG15" s="46"/>
      <c r="BH15" s="38" t="s">
        <v>14</v>
      </c>
      <c r="BI15" s="39"/>
      <c r="BJ15" s="40"/>
      <c r="BK15" s="44">
        <v>45225</v>
      </c>
      <c r="BL15" s="45"/>
      <c r="BM15" s="46"/>
      <c r="BN15" s="41"/>
      <c r="BO15" s="42"/>
      <c r="BP15" s="42"/>
      <c r="BQ15" s="42"/>
      <c r="BR15" s="42"/>
      <c r="BS15" s="43"/>
    </row>
    <row r="16" spans="1:71" ht="60" customHeight="1" x14ac:dyDescent="0.3">
      <c r="A16" s="7">
        <f>IF(M16="","",COUNTA($M$9:M16))</f>
        <v>8</v>
      </c>
      <c r="B16" s="38" t="s">
        <v>11</v>
      </c>
      <c r="C16" s="40"/>
      <c r="D16" s="50" t="s">
        <v>57</v>
      </c>
      <c r="E16" s="51"/>
      <c r="F16" s="51"/>
      <c r="G16" s="51"/>
      <c r="H16" s="52"/>
      <c r="I16" s="41" t="s">
        <v>74</v>
      </c>
      <c r="J16" s="42"/>
      <c r="K16" s="42"/>
      <c r="L16" s="43"/>
      <c r="M16" s="53" t="s">
        <v>80</v>
      </c>
      <c r="N16" s="54"/>
      <c r="O16" s="54"/>
      <c r="P16" s="54"/>
      <c r="Q16" s="54"/>
      <c r="R16" s="54"/>
      <c r="S16" s="54"/>
      <c r="T16" s="54"/>
      <c r="U16" s="54"/>
      <c r="V16" s="54"/>
      <c r="W16" s="54"/>
      <c r="X16" s="54"/>
      <c r="Y16" s="55"/>
      <c r="Z16" s="41" t="s">
        <v>81</v>
      </c>
      <c r="AA16" s="42"/>
      <c r="AB16" s="42"/>
      <c r="AC16" s="42"/>
      <c r="AD16" s="42"/>
      <c r="AE16" s="42"/>
      <c r="AF16" s="42"/>
      <c r="AG16" s="42"/>
      <c r="AH16" s="42"/>
      <c r="AI16" s="42"/>
      <c r="AJ16" s="42"/>
      <c r="AK16" s="42"/>
      <c r="AL16" s="43"/>
      <c r="AM16" s="41" t="s">
        <v>82</v>
      </c>
      <c r="AN16" s="42"/>
      <c r="AO16" s="43"/>
      <c r="AP16" s="47" t="s">
        <v>53</v>
      </c>
      <c r="AQ16" s="48"/>
      <c r="AR16" s="49"/>
      <c r="AS16" s="47" t="s">
        <v>54</v>
      </c>
      <c r="AT16" s="48"/>
      <c r="AU16" s="49"/>
      <c r="AV16" s="47" t="s">
        <v>70</v>
      </c>
      <c r="AW16" s="48"/>
      <c r="AX16" s="49"/>
      <c r="AY16" s="38" t="s">
        <v>56</v>
      </c>
      <c r="AZ16" s="39"/>
      <c r="BA16" s="40"/>
      <c r="BB16" s="44">
        <v>45217</v>
      </c>
      <c r="BC16" s="45"/>
      <c r="BD16" s="46"/>
      <c r="BE16" s="44">
        <v>45217</v>
      </c>
      <c r="BF16" s="45"/>
      <c r="BG16" s="46"/>
      <c r="BH16" s="38" t="s">
        <v>14</v>
      </c>
      <c r="BI16" s="39"/>
      <c r="BJ16" s="40"/>
      <c r="BK16" s="44">
        <v>45222</v>
      </c>
      <c r="BL16" s="45"/>
      <c r="BM16" s="46"/>
      <c r="BN16" s="41"/>
      <c r="BO16" s="42"/>
      <c r="BP16" s="42"/>
      <c r="BQ16" s="42"/>
      <c r="BR16" s="42"/>
      <c r="BS16" s="43"/>
    </row>
    <row r="17" spans="1:71" ht="61.95" customHeight="1" x14ac:dyDescent="0.3">
      <c r="A17" s="7">
        <f>IF(M17="","",COUNTA($M$9:M17))</f>
        <v>9</v>
      </c>
      <c r="B17" s="38" t="s">
        <v>11</v>
      </c>
      <c r="C17" s="40"/>
      <c r="D17" s="50" t="s">
        <v>57</v>
      </c>
      <c r="E17" s="51"/>
      <c r="F17" s="51"/>
      <c r="G17" s="51"/>
      <c r="H17" s="52"/>
      <c r="I17" s="41" t="s">
        <v>74</v>
      </c>
      <c r="J17" s="42"/>
      <c r="K17" s="42"/>
      <c r="L17" s="43"/>
      <c r="M17" s="53" t="s">
        <v>83</v>
      </c>
      <c r="N17" s="54"/>
      <c r="O17" s="54"/>
      <c r="P17" s="54"/>
      <c r="Q17" s="54"/>
      <c r="R17" s="54"/>
      <c r="S17" s="54"/>
      <c r="T17" s="54"/>
      <c r="U17" s="54"/>
      <c r="V17" s="54"/>
      <c r="W17" s="54"/>
      <c r="X17" s="54"/>
      <c r="Y17" s="55"/>
      <c r="Z17" s="53" t="s">
        <v>84</v>
      </c>
      <c r="AA17" s="54"/>
      <c r="AB17" s="54"/>
      <c r="AC17" s="54"/>
      <c r="AD17" s="54"/>
      <c r="AE17" s="54"/>
      <c r="AF17" s="54"/>
      <c r="AG17" s="54"/>
      <c r="AH17" s="54"/>
      <c r="AI17" s="54"/>
      <c r="AJ17" s="54"/>
      <c r="AK17" s="54"/>
      <c r="AL17" s="55"/>
      <c r="AM17" s="41" t="s">
        <v>85</v>
      </c>
      <c r="AN17" s="42"/>
      <c r="AO17" s="43"/>
      <c r="AP17" s="47" t="s">
        <v>53</v>
      </c>
      <c r="AQ17" s="48"/>
      <c r="AR17" s="49"/>
      <c r="AS17" s="47" t="s">
        <v>54</v>
      </c>
      <c r="AT17" s="48"/>
      <c r="AU17" s="49"/>
      <c r="AV17" s="47" t="s">
        <v>70</v>
      </c>
      <c r="AW17" s="48"/>
      <c r="AX17" s="49"/>
      <c r="AY17" s="38" t="s">
        <v>56</v>
      </c>
      <c r="AZ17" s="39"/>
      <c r="BA17" s="40"/>
      <c r="BB17" s="44">
        <v>45217</v>
      </c>
      <c r="BC17" s="45"/>
      <c r="BD17" s="46"/>
      <c r="BE17" s="44">
        <v>45222</v>
      </c>
      <c r="BF17" s="45"/>
      <c r="BG17" s="46"/>
      <c r="BH17" s="38" t="s">
        <v>14</v>
      </c>
      <c r="BI17" s="39"/>
      <c r="BJ17" s="40"/>
      <c r="BK17" s="44">
        <v>45223</v>
      </c>
      <c r="BL17" s="45"/>
      <c r="BM17" s="46"/>
      <c r="BN17" s="41"/>
      <c r="BO17" s="42"/>
      <c r="BP17" s="42"/>
      <c r="BQ17" s="42"/>
      <c r="BR17" s="42"/>
      <c r="BS17" s="43"/>
    </row>
    <row r="18" spans="1:71" ht="61.95" customHeight="1" x14ac:dyDescent="0.3">
      <c r="A18" s="7">
        <f>IF(M18="","",COUNTA($M$9:M18))</f>
        <v>10</v>
      </c>
      <c r="B18" s="38" t="s">
        <v>11</v>
      </c>
      <c r="C18" s="40"/>
      <c r="D18" s="50" t="s">
        <v>57</v>
      </c>
      <c r="E18" s="51"/>
      <c r="F18" s="51"/>
      <c r="G18" s="51"/>
      <c r="H18" s="52"/>
      <c r="I18" s="41" t="s">
        <v>86</v>
      </c>
      <c r="J18" s="42"/>
      <c r="K18" s="42"/>
      <c r="L18" s="43"/>
      <c r="M18" s="53" t="s">
        <v>87</v>
      </c>
      <c r="N18" s="54"/>
      <c r="O18" s="54"/>
      <c r="P18" s="54"/>
      <c r="Q18" s="54"/>
      <c r="R18" s="54"/>
      <c r="S18" s="54"/>
      <c r="T18" s="54"/>
      <c r="U18" s="54"/>
      <c r="V18" s="54"/>
      <c r="W18" s="54"/>
      <c r="X18" s="54"/>
      <c r="Y18" s="55"/>
      <c r="Z18" s="53" t="s">
        <v>88</v>
      </c>
      <c r="AA18" s="54"/>
      <c r="AB18" s="54"/>
      <c r="AC18" s="54"/>
      <c r="AD18" s="54"/>
      <c r="AE18" s="54"/>
      <c r="AF18" s="54"/>
      <c r="AG18" s="54"/>
      <c r="AH18" s="54"/>
      <c r="AI18" s="54"/>
      <c r="AJ18" s="54"/>
      <c r="AK18" s="54"/>
      <c r="AL18" s="55"/>
      <c r="AM18" s="41" t="s">
        <v>85</v>
      </c>
      <c r="AN18" s="42"/>
      <c r="AO18" s="43"/>
      <c r="AP18" s="47" t="s">
        <v>53</v>
      </c>
      <c r="AQ18" s="48"/>
      <c r="AR18" s="49"/>
      <c r="AS18" s="47" t="s">
        <v>54</v>
      </c>
      <c r="AT18" s="48"/>
      <c r="AU18" s="49"/>
      <c r="AV18" s="47" t="s">
        <v>89</v>
      </c>
      <c r="AW18" s="48"/>
      <c r="AX18" s="49"/>
      <c r="AY18" s="38" t="s">
        <v>56</v>
      </c>
      <c r="AZ18" s="39"/>
      <c r="BA18" s="40"/>
      <c r="BB18" s="44">
        <v>45217</v>
      </c>
      <c r="BC18" s="45"/>
      <c r="BD18" s="46"/>
      <c r="BE18" s="44">
        <v>45217</v>
      </c>
      <c r="BF18" s="45"/>
      <c r="BG18" s="46"/>
      <c r="BH18" s="38" t="s">
        <v>14</v>
      </c>
      <c r="BI18" s="39"/>
      <c r="BJ18" s="40"/>
      <c r="BK18" s="44">
        <v>45222</v>
      </c>
      <c r="BL18" s="45"/>
      <c r="BM18" s="46"/>
      <c r="BN18" s="41"/>
      <c r="BO18" s="42"/>
      <c r="BP18" s="42"/>
      <c r="BQ18" s="42"/>
      <c r="BR18" s="42"/>
      <c r="BS18" s="43"/>
    </row>
    <row r="19" spans="1:71" ht="115.5" customHeight="1" x14ac:dyDescent="0.3">
      <c r="A19" s="7">
        <f>IF(M19="","",COUNTA($M$9:M19))</f>
        <v>11</v>
      </c>
      <c r="B19" s="38" t="s">
        <v>11</v>
      </c>
      <c r="C19" s="40"/>
      <c r="D19" s="50" t="s">
        <v>48</v>
      </c>
      <c r="E19" s="51"/>
      <c r="F19" s="51"/>
      <c r="G19" s="51"/>
      <c r="H19" s="52"/>
      <c r="I19" s="41" t="s">
        <v>77</v>
      </c>
      <c r="J19" s="42"/>
      <c r="K19" s="42"/>
      <c r="L19" s="43"/>
      <c r="M19" s="53" t="s">
        <v>90</v>
      </c>
      <c r="N19" s="54"/>
      <c r="O19" s="54"/>
      <c r="P19" s="54"/>
      <c r="Q19" s="54"/>
      <c r="R19" s="54"/>
      <c r="S19" s="54"/>
      <c r="T19" s="54"/>
      <c r="U19" s="54"/>
      <c r="V19" s="54"/>
      <c r="W19" s="54"/>
      <c r="X19" s="54"/>
      <c r="Y19" s="55"/>
      <c r="Z19" s="53" t="s">
        <v>91</v>
      </c>
      <c r="AA19" s="54"/>
      <c r="AB19" s="54"/>
      <c r="AC19" s="54"/>
      <c r="AD19" s="54"/>
      <c r="AE19" s="54"/>
      <c r="AF19" s="54"/>
      <c r="AG19" s="54"/>
      <c r="AH19" s="54"/>
      <c r="AI19" s="54"/>
      <c r="AJ19" s="54"/>
      <c r="AK19" s="54"/>
      <c r="AL19" s="55"/>
      <c r="AM19" s="41" t="s">
        <v>92</v>
      </c>
      <c r="AN19" s="42"/>
      <c r="AO19" s="43"/>
      <c r="AP19" s="47" t="s">
        <v>53</v>
      </c>
      <c r="AQ19" s="48"/>
      <c r="AR19" s="49"/>
      <c r="AS19" s="47" t="s">
        <v>54</v>
      </c>
      <c r="AT19" s="48"/>
      <c r="AU19" s="49"/>
      <c r="AV19" s="47" t="s">
        <v>55</v>
      </c>
      <c r="AW19" s="48"/>
      <c r="AX19" s="49"/>
      <c r="AY19" s="38" t="s">
        <v>56</v>
      </c>
      <c r="AZ19" s="39"/>
      <c r="BA19" s="40"/>
      <c r="BB19" s="44">
        <v>45217</v>
      </c>
      <c r="BC19" s="45"/>
      <c r="BD19" s="46"/>
      <c r="BE19" s="44">
        <v>45222</v>
      </c>
      <c r="BF19" s="45"/>
      <c r="BG19" s="46"/>
      <c r="BH19" s="38" t="s">
        <v>14</v>
      </c>
      <c r="BI19" s="39"/>
      <c r="BJ19" s="40"/>
      <c r="BK19" s="44">
        <v>45225</v>
      </c>
      <c r="BL19" s="45"/>
      <c r="BM19" s="46"/>
      <c r="BN19" s="41"/>
      <c r="BO19" s="42"/>
      <c r="BP19" s="42"/>
      <c r="BQ19" s="42"/>
      <c r="BR19" s="42"/>
      <c r="BS19" s="43"/>
    </row>
    <row r="20" spans="1:71" ht="60" customHeight="1" x14ac:dyDescent="0.3">
      <c r="A20" s="7">
        <f>IF(M20="","",COUNTA($M$9:M20))</f>
        <v>12</v>
      </c>
      <c r="B20" s="38" t="s">
        <v>11</v>
      </c>
      <c r="C20" s="40"/>
      <c r="D20" s="50" t="s">
        <v>48</v>
      </c>
      <c r="E20" s="51"/>
      <c r="F20" s="51"/>
      <c r="G20" s="51"/>
      <c r="H20" s="52"/>
      <c r="I20" s="41" t="s">
        <v>86</v>
      </c>
      <c r="J20" s="42"/>
      <c r="K20" s="42"/>
      <c r="L20" s="43"/>
      <c r="M20" s="53" t="s">
        <v>93</v>
      </c>
      <c r="N20" s="54"/>
      <c r="O20" s="54"/>
      <c r="P20" s="54"/>
      <c r="Q20" s="54"/>
      <c r="R20" s="54"/>
      <c r="S20" s="54"/>
      <c r="T20" s="54"/>
      <c r="U20" s="54"/>
      <c r="V20" s="54"/>
      <c r="W20" s="54"/>
      <c r="X20" s="54"/>
      <c r="Y20" s="55"/>
      <c r="Z20" s="53" t="s">
        <v>94</v>
      </c>
      <c r="AA20" s="54"/>
      <c r="AB20" s="54"/>
      <c r="AC20" s="54"/>
      <c r="AD20" s="54"/>
      <c r="AE20" s="54"/>
      <c r="AF20" s="54"/>
      <c r="AG20" s="54"/>
      <c r="AH20" s="54"/>
      <c r="AI20" s="54"/>
      <c r="AJ20" s="54"/>
      <c r="AK20" s="54"/>
      <c r="AL20" s="55"/>
      <c r="AM20" s="41" t="s">
        <v>95</v>
      </c>
      <c r="AN20" s="42"/>
      <c r="AO20" s="43"/>
      <c r="AP20" s="47" t="s">
        <v>53</v>
      </c>
      <c r="AQ20" s="48"/>
      <c r="AR20" s="49"/>
      <c r="AS20" s="47" t="s">
        <v>54</v>
      </c>
      <c r="AT20" s="48"/>
      <c r="AU20" s="49"/>
      <c r="AV20" s="47" t="s">
        <v>89</v>
      </c>
      <c r="AW20" s="48"/>
      <c r="AX20" s="49"/>
      <c r="AY20" s="38" t="s">
        <v>56</v>
      </c>
      <c r="AZ20" s="39"/>
      <c r="BA20" s="40"/>
      <c r="BB20" s="44">
        <v>45217</v>
      </c>
      <c r="BC20" s="45"/>
      <c r="BD20" s="46"/>
      <c r="BE20" s="44">
        <v>45217</v>
      </c>
      <c r="BF20" s="45"/>
      <c r="BG20" s="46"/>
      <c r="BH20" s="38" t="s">
        <v>14</v>
      </c>
      <c r="BI20" s="39"/>
      <c r="BJ20" s="40"/>
      <c r="BK20" s="44">
        <v>45222</v>
      </c>
      <c r="BL20" s="45"/>
      <c r="BM20" s="46"/>
      <c r="BN20" s="41"/>
      <c r="BO20" s="42"/>
      <c r="BP20" s="42"/>
      <c r="BQ20" s="42"/>
      <c r="BR20" s="42"/>
      <c r="BS20" s="43"/>
    </row>
    <row r="21" spans="1:71" ht="87" customHeight="1" x14ac:dyDescent="0.3">
      <c r="A21" s="7">
        <f>IF(M21="","",COUNTA($M$9:M21))</f>
        <v>13</v>
      </c>
      <c r="B21" s="38" t="s">
        <v>11</v>
      </c>
      <c r="C21" s="40"/>
      <c r="D21" s="50" t="s">
        <v>48</v>
      </c>
      <c r="E21" s="51"/>
      <c r="F21" s="51"/>
      <c r="G21" s="51"/>
      <c r="H21" s="52"/>
      <c r="I21" s="41" t="s">
        <v>77</v>
      </c>
      <c r="J21" s="42"/>
      <c r="K21" s="42"/>
      <c r="L21" s="43"/>
      <c r="M21" s="53" t="s">
        <v>96</v>
      </c>
      <c r="N21" s="54"/>
      <c r="O21" s="54"/>
      <c r="P21" s="54"/>
      <c r="Q21" s="54"/>
      <c r="R21" s="54"/>
      <c r="S21" s="54"/>
      <c r="T21" s="54"/>
      <c r="U21" s="54"/>
      <c r="V21" s="54"/>
      <c r="W21" s="54"/>
      <c r="X21" s="54"/>
      <c r="Y21" s="55"/>
      <c r="Z21" s="53" t="s">
        <v>97</v>
      </c>
      <c r="AA21" s="54"/>
      <c r="AB21" s="54"/>
      <c r="AC21" s="54"/>
      <c r="AD21" s="54"/>
      <c r="AE21" s="54"/>
      <c r="AF21" s="54"/>
      <c r="AG21" s="54"/>
      <c r="AH21" s="54"/>
      <c r="AI21" s="54"/>
      <c r="AJ21" s="54"/>
      <c r="AK21" s="54"/>
      <c r="AL21" s="55"/>
      <c r="AM21" s="41" t="s">
        <v>98</v>
      </c>
      <c r="AN21" s="42"/>
      <c r="AO21" s="43"/>
      <c r="AP21" s="47" t="s">
        <v>53</v>
      </c>
      <c r="AQ21" s="48"/>
      <c r="AR21" s="49"/>
      <c r="AS21" s="47" t="s">
        <v>99</v>
      </c>
      <c r="AT21" s="48"/>
      <c r="AU21" s="49"/>
      <c r="AV21" s="47" t="s">
        <v>100</v>
      </c>
      <c r="AW21" s="48"/>
      <c r="AX21" s="49"/>
      <c r="AY21" s="38" t="s">
        <v>56</v>
      </c>
      <c r="AZ21" s="39"/>
      <c r="BA21" s="40"/>
      <c r="BB21" s="44">
        <v>45217</v>
      </c>
      <c r="BC21" s="45"/>
      <c r="BD21" s="46"/>
      <c r="BE21" s="44">
        <v>45217</v>
      </c>
      <c r="BF21" s="45"/>
      <c r="BG21" s="46"/>
      <c r="BH21" s="38" t="s">
        <v>14</v>
      </c>
      <c r="BI21" s="39"/>
      <c r="BJ21" s="40"/>
      <c r="BK21" s="44">
        <v>45222</v>
      </c>
      <c r="BL21" s="45"/>
      <c r="BM21" s="46"/>
      <c r="BN21" s="41"/>
      <c r="BO21" s="42"/>
      <c r="BP21" s="42"/>
      <c r="BQ21" s="42"/>
      <c r="BR21" s="42"/>
      <c r="BS21" s="43"/>
    </row>
    <row r="22" spans="1:71" ht="74.400000000000006" customHeight="1" x14ac:dyDescent="0.3">
      <c r="A22" s="7">
        <f>IF(M22="","",COUNTA($M$9:M22))</f>
        <v>14</v>
      </c>
      <c r="B22" s="38" t="s">
        <v>11</v>
      </c>
      <c r="C22" s="40"/>
      <c r="D22" s="50" t="s">
        <v>101</v>
      </c>
      <c r="E22" s="51"/>
      <c r="F22" s="51"/>
      <c r="G22" s="51"/>
      <c r="H22" s="52"/>
      <c r="I22" s="41" t="s">
        <v>58</v>
      </c>
      <c r="J22" s="42"/>
      <c r="K22" s="42"/>
      <c r="L22" s="43"/>
      <c r="M22" s="53" t="s">
        <v>102</v>
      </c>
      <c r="N22" s="54"/>
      <c r="O22" s="54"/>
      <c r="P22" s="54"/>
      <c r="Q22" s="54"/>
      <c r="R22" s="54"/>
      <c r="S22" s="54"/>
      <c r="T22" s="54"/>
      <c r="U22" s="54"/>
      <c r="V22" s="54"/>
      <c r="W22" s="54"/>
      <c r="X22" s="54"/>
      <c r="Y22" s="55"/>
      <c r="Z22" s="53" t="s">
        <v>103</v>
      </c>
      <c r="AA22" s="54"/>
      <c r="AB22" s="54"/>
      <c r="AC22" s="54"/>
      <c r="AD22" s="54"/>
      <c r="AE22" s="54"/>
      <c r="AF22" s="54"/>
      <c r="AG22" s="54"/>
      <c r="AH22" s="54"/>
      <c r="AI22" s="54"/>
      <c r="AJ22" s="54"/>
      <c r="AK22" s="54"/>
      <c r="AL22" s="55"/>
      <c r="AM22" s="41" t="s">
        <v>104</v>
      </c>
      <c r="AN22" s="42"/>
      <c r="AO22" s="43"/>
      <c r="AP22" s="47" t="s">
        <v>53</v>
      </c>
      <c r="AQ22" s="48"/>
      <c r="AR22" s="49"/>
      <c r="AS22" s="47" t="s">
        <v>62</v>
      </c>
      <c r="AT22" s="48"/>
      <c r="AU22" s="49"/>
      <c r="AV22" s="47" t="s">
        <v>63</v>
      </c>
      <c r="AW22" s="48"/>
      <c r="AX22" s="49"/>
      <c r="AY22" s="38" t="s">
        <v>56</v>
      </c>
      <c r="AZ22" s="39"/>
      <c r="BA22" s="40"/>
      <c r="BB22" s="44">
        <v>45217</v>
      </c>
      <c r="BC22" s="45"/>
      <c r="BD22" s="46"/>
      <c r="BE22" s="44">
        <v>45217</v>
      </c>
      <c r="BF22" s="45"/>
      <c r="BG22" s="46"/>
      <c r="BH22" s="38" t="s">
        <v>14</v>
      </c>
      <c r="BI22" s="39"/>
      <c r="BJ22" s="40"/>
      <c r="BK22" s="44">
        <v>45222</v>
      </c>
      <c r="BL22" s="45"/>
      <c r="BM22" s="46"/>
      <c r="BN22" s="41"/>
      <c r="BO22" s="42"/>
      <c r="BP22" s="42"/>
      <c r="BQ22" s="42"/>
      <c r="BR22" s="42"/>
      <c r="BS22" s="43"/>
    </row>
    <row r="23" spans="1:71" ht="135.75" customHeight="1" x14ac:dyDescent="0.3">
      <c r="A23" s="7">
        <f>IF(M23="","",COUNTA($M$9:M23))</f>
        <v>15</v>
      </c>
      <c r="B23" s="38" t="s">
        <v>11</v>
      </c>
      <c r="C23" s="40"/>
      <c r="D23" s="41" t="s">
        <v>105</v>
      </c>
      <c r="E23" s="51"/>
      <c r="F23" s="51"/>
      <c r="G23" s="51"/>
      <c r="H23" s="52"/>
      <c r="I23" s="41" t="s">
        <v>58</v>
      </c>
      <c r="J23" s="42"/>
      <c r="K23" s="42"/>
      <c r="L23" s="43"/>
      <c r="M23" s="53" t="s">
        <v>106</v>
      </c>
      <c r="N23" s="54"/>
      <c r="O23" s="54"/>
      <c r="P23" s="54"/>
      <c r="Q23" s="54"/>
      <c r="R23" s="54"/>
      <c r="S23" s="54"/>
      <c r="T23" s="54"/>
      <c r="U23" s="54"/>
      <c r="V23" s="54"/>
      <c r="W23" s="54"/>
      <c r="X23" s="54"/>
      <c r="Y23" s="55"/>
      <c r="Z23" s="53" t="s">
        <v>107</v>
      </c>
      <c r="AA23" s="54"/>
      <c r="AB23" s="54"/>
      <c r="AC23" s="54"/>
      <c r="AD23" s="54"/>
      <c r="AE23" s="54"/>
      <c r="AF23" s="54"/>
      <c r="AG23" s="54"/>
      <c r="AH23" s="54"/>
      <c r="AI23" s="54"/>
      <c r="AJ23" s="54"/>
      <c r="AK23" s="54"/>
      <c r="AL23" s="55"/>
      <c r="AM23" s="41" t="s">
        <v>108</v>
      </c>
      <c r="AN23" s="42"/>
      <c r="AO23" s="43"/>
      <c r="AP23" s="47" t="s">
        <v>53</v>
      </c>
      <c r="AQ23" s="48"/>
      <c r="AR23" s="49"/>
      <c r="AS23" s="47" t="s">
        <v>62</v>
      </c>
      <c r="AT23" s="48"/>
      <c r="AU23" s="49"/>
      <c r="AV23" s="47" t="s">
        <v>63</v>
      </c>
      <c r="AW23" s="48"/>
      <c r="AX23" s="49"/>
      <c r="AY23" s="38" t="s">
        <v>56</v>
      </c>
      <c r="AZ23" s="39"/>
      <c r="BA23" s="40"/>
      <c r="BB23" s="44">
        <v>45217</v>
      </c>
      <c r="BC23" s="45"/>
      <c r="BD23" s="46"/>
      <c r="BE23" s="44">
        <v>45217</v>
      </c>
      <c r="BF23" s="45"/>
      <c r="BG23" s="46"/>
      <c r="BH23" s="38" t="s">
        <v>14</v>
      </c>
      <c r="BI23" s="39"/>
      <c r="BJ23" s="40"/>
      <c r="BK23" s="44">
        <v>45222</v>
      </c>
      <c r="BL23" s="45"/>
      <c r="BM23" s="46"/>
      <c r="BN23" s="41"/>
      <c r="BO23" s="42"/>
      <c r="BP23" s="42"/>
      <c r="BQ23" s="42"/>
      <c r="BR23" s="42"/>
      <c r="BS23" s="43"/>
    </row>
    <row r="24" spans="1:71" ht="144.75" customHeight="1" x14ac:dyDescent="0.3">
      <c r="A24" s="7">
        <f>IF(M24="","",COUNTA($M$9:M24))</f>
        <v>16</v>
      </c>
      <c r="B24" s="38" t="s">
        <v>11</v>
      </c>
      <c r="C24" s="40"/>
      <c r="D24" s="41" t="s">
        <v>109</v>
      </c>
      <c r="E24" s="51"/>
      <c r="F24" s="51"/>
      <c r="G24" s="51"/>
      <c r="H24" s="52"/>
      <c r="I24" s="41" t="s">
        <v>49</v>
      </c>
      <c r="J24" s="42"/>
      <c r="K24" s="42"/>
      <c r="L24" s="43"/>
      <c r="M24" s="53" t="s">
        <v>110</v>
      </c>
      <c r="N24" s="54"/>
      <c r="O24" s="54"/>
      <c r="P24" s="54"/>
      <c r="Q24" s="54"/>
      <c r="R24" s="54"/>
      <c r="S24" s="54"/>
      <c r="T24" s="54"/>
      <c r="U24" s="54"/>
      <c r="V24" s="54"/>
      <c r="W24" s="54"/>
      <c r="X24" s="54"/>
      <c r="Y24" s="55"/>
      <c r="Z24" s="53" t="s">
        <v>111</v>
      </c>
      <c r="AA24" s="54"/>
      <c r="AB24" s="54"/>
      <c r="AC24" s="54"/>
      <c r="AD24" s="54"/>
      <c r="AE24" s="54"/>
      <c r="AF24" s="54"/>
      <c r="AG24" s="54"/>
      <c r="AH24" s="54"/>
      <c r="AI24" s="54"/>
      <c r="AJ24" s="54"/>
      <c r="AK24" s="54"/>
      <c r="AL24" s="55"/>
      <c r="AM24" s="41" t="s">
        <v>112</v>
      </c>
      <c r="AN24" s="42"/>
      <c r="AO24" s="43"/>
      <c r="AP24" s="47" t="s">
        <v>53</v>
      </c>
      <c r="AQ24" s="48"/>
      <c r="AR24" s="49"/>
      <c r="AS24" s="47" t="s">
        <v>54</v>
      </c>
      <c r="AT24" s="48"/>
      <c r="AU24" s="49"/>
      <c r="AV24" s="47" t="s">
        <v>55</v>
      </c>
      <c r="AW24" s="48"/>
      <c r="AX24" s="49"/>
      <c r="AY24" s="38" t="s">
        <v>56</v>
      </c>
      <c r="AZ24" s="39"/>
      <c r="BA24" s="40"/>
      <c r="BB24" s="44">
        <v>45217</v>
      </c>
      <c r="BC24" s="45"/>
      <c r="BD24" s="46"/>
      <c r="BE24" s="44">
        <v>45223</v>
      </c>
      <c r="BF24" s="45"/>
      <c r="BG24" s="46"/>
      <c r="BH24" s="38"/>
      <c r="BI24" s="39"/>
      <c r="BJ24" s="40"/>
      <c r="BK24" s="44"/>
      <c r="BL24" s="45"/>
      <c r="BM24" s="46"/>
      <c r="BN24" s="82" t="s">
        <v>113</v>
      </c>
      <c r="BO24" s="42"/>
      <c r="BP24" s="42"/>
      <c r="BQ24" s="42"/>
      <c r="BR24" s="42"/>
      <c r="BS24" s="43"/>
    </row>
    <row r="25" spans="1:71" ht="96" customHeight="1" x14ac:dyDescent="0.3">
      <c r="A25" s="7">
        <f>IF(M25="","",COUNTA($M$9:M25))</f>
        <v>17</v>
      </c>
      <c r="B25" s="38" t="s">
        <v>11</v>
      </c>
      <c r="C25" s="40"/>
      <c r="D25" s="50" t="s">
        <v>48</v>
      </c>
      <c r="E25" s="51"/>
      <c r="F25" s="51"/>
      <c r="G25" s="51"/>
      <c r="H25" s="52"/>
      <c r="I25" s="41" t="s">
        <v>58</v>
      </c>
      <c r="J25" s="42"/>
      <c r="K25" s="42"/>
      <c r="L25" s="43"/>
      <c r="M25" s="53" t="s">
        <v>114</v>
      </c>
      <c r="N25" s="54"/>
      <c r="O25" s="54"/>
      <c r="P25" s="54"/>
      <c r="Q25" s="54"/>
      <c r="R25" s="54"/>
      <c r="S25" s="54"/>
      <c r="T25" s="54"/>
      <c r="U25" s="54"/>
      <c r="V25" s="54"/>
      <c r="W25" s="54"/>
      <c r="X25" s="54"/>
      <c r="Y25" s="55"/>
      <c r="Z25" s="53" t="s">
        <v>115</v>
      </c>
      <c r="AA25" s="54"/>
      <c r="AB25" s="54"/>
      <c r="AC25" s="54"/>
      <c r="AD25" s="54"/>
      <c r="AE25" s="54"/>
      <c r="AF25" s="54"/>
      <c r="AG25" s="54"/>
      <c r="AH25" s="54"/>
      <c r="AI25" s="54"/>
      <c r="AJ25" s="54"/>
      <c r="AK25" s="54"/>
      <c r="AL25" s="55"/>
      <c r="AM25" s="41" t="s">
        <v>116</v>
      </c>
      <c r="AN25" s="42"/>
      <c r="AO25" s="43"/>
      <c r="AP25" s="47" t="s">
        <v>53</v>
      </c>
      <c r="AQ25" s="48"/>
      <c r="AR25" s="49"/>
      <c r="AS25" s="47" t="s">
        <v>62</v>
      </c>
      <c r="AT25" s="48"/>
      <c r="AU25" s="49"/>
      <c r="AV25" s="47" t="s">
        <v>63</v>
      </c>
      <c r="AW25" s="48"/>
      <c r="AX25" s="49"/>
      <c r="AY25" s="38" t="s">
        <v>56</v>
      </c>
      <c r="AZ25" s="39"/>
      <c r="BA25" s="40"/>
      <c r="BB25" s="44">
        <v>45217</v>
      </c>
      <c r="BC25" s="45"/>
      <c r="BD25" s="46"/>
      <c r="BE25" s="44">
        <v>45222</v>
      </c>
      <c r="BF25" s="45"/>
      <c r="BG25" s="46"/>
      <c r="BH25" s="38" t="s">
        <v>14</v>
      </c>
      <c r="BI25" s="39"/>
      <c r="BJ25" s="40"/>
      <c r="BK25" s="44">
        <v>45223</v>
      </c>
      <c r="BL25" s="45"/>
      <c r="BM25" s="46"/>
      <c r="BN25" s="41"/>
      <c r="BO25" s="42"/>
      <c r="BP25" s="42"/>
      <c r="BQ25" s="42"/>
      <c r="BR25" s="42"/>
      <c r="BS25" s="43"/>
    </row>
    <row r="26" spans="1:71" ht="55.95" customHeight="1" x14ac:dyDescent="0.3">
      <c r="A26" s="7">
        <f>IF(M26="","",COUNTA($M$9:M26))</f>
        <v>18</v>
      </c>
      <c r="B26" s="38" t="s">
        <v>11</v>
      </c>
      <c r="C26" s="40"/>
      <c r="D26" s="50" t="s">
        <v>117</v>
      </c>
      <c r="E26" s="51"/>
      <c r="F26" s="51"/>
      <c r="G26" s="51"/>
      <c r="H26" s="52"/>
      <c r="I26" s="41" t="s">
        <v>67</v>
      </c>
      <c r="J26" s="42"/>
      <c r="K26" s="42"/>
      <c r="L26" s="43"/>
      <c r="M26" s="53" t="s">
        <v>118</v>
      </c>
      <c r="N26" s="54"/>
      <c r="O26" s="54"/>
      <c r="P26" s="54"/>
      <c r="Q26" s="54"/>
      <c r="R26" s="54"/>
      <c r="S26" s="54"/>
      <c r="T26" s="54"/>
      <c r="U26" s="54"/>
      <c r="V26" s="54"/>
      <c r="W26" s="54"/>
      <c r="X26" s="54"/>
      <c r="Y26" s="55"/>
      <c r="Z26" s="53" t="s">
        <v>119</v>
      </c>
      <c r="AA26" s="54"/>
      <c r="AB26" s="54"/>
      <c r="AC26" s="54"/>
      <c r="AD26" s="54"/>
      <c r="AE26" s="54"/>
      <c r="AF26" s="54"/>
      <c r="AG26" s="54"/>
      <c r="AH26" s="54"/>
      <c r="AI26" s="54"/>
      <c r="AJ26" s="54"/>
      <c r="AK26" s="54"/>
      <c r="AL26" s="55"/>
      <c r="AM26" s="41" t="s">
        <v>117</v>
      </c>
      <c r="AN26" s="42"/>
      <c r="AO26" s="43"/>
      <c r="AP26" s="47" t="s">
        <v>53</v>
      </c>
      <c r="AQ26" s="48"/>
      <c r="AR26" s="49"/>
      <c r="AS26" s="47" t="s">
        <v>54</v>
      </c>
      <c r="AT26" s="48"/>
      <c r="AU26" s="49"/>
      <c r="AV26" s="47" t="s">
        <v>70</v>
      </c>
      <c r="AW26" s="48"/>
      <c r="AX26" s="49"/>
      <c r="AY26" s="38" t="s">
        <v>56</v>
      </c>
      <c r="AZ26" s="39"/>
      <c r="BA26" s="40"/>
      <c r="BB26" s="44">
        <v>45217</v>
      </c>
      <c r="BC26" s="45"/>
      <c r="BD26" s="46"/>
      <c r="BE26" s="44">
        <v>45217</v>
      </c>
      <c r="BF26" s="45"/>
      <c r="BG26" s="46"/>
      <c r="BH26" s="38" t="s">
        <v>14</v>
      </c>
      <c r="BI26" s="39"/>
      <c r="BJ26" s="40"/>
      <c r="BK26" s="44">
        <v>45222</v>
      </c>
      <c r="BL26" s="45"/>
      <c r="BM26" s="46"/>
      <c r="BN26" s="41"/>
      <c r="BO26" s="42"/>
      <c r="BP26" s="42"/>
      <c r="BQ26" s="42"/>
      <c r="BR26" s="42"/>
      <c r="BS26" s="43"/>
    </row>
    <row r="27" spans="1:71" ht="99.75" customHeight="1" x14ac:dyDescent="0.3">
      <c r="A27" s="7">
        <f>IF(M27="","",COUNTA($M$9:M27))</f>
        <v>19</v>
      </c>
      <c r="B27" s="38" t="s">
        <v>11</v>
      </c>
      <c r="C27" s="40"/>
      <c r="D27" s="50" t="s">
        <v>117</v>
      </c>
      <c r="E27" s="51"/>
      <c r="F27" s="51"/>
      <c r="G27" s="51"/>
      <c r="H27" s="52"/>
      <c r="I27" s="41" t="s">
        <v>77</v>
      </c>
      <c r="J27" s="42"/>
      <c r="K27" s="42"/>
      <c r="L27" s="43"/>
      <c r="M27" s="53" t="s">
        <v>120</v>
      </c>
      <c r="N27" s="54"/>
      <c r="O27" s="54"/>
      <c r="P27" s="54"/>
      <c r="Q27" s="54"/>
      <c r="R27" s="54"/>
      <c r="S27" s="54"/>
      <c r="T27" s="54"/>
      <c r="U27" s="54"/>
      <c r="V27" s="54"/>
      <c r="W27" s="54"/>
      <c r="X27" s="54"/>
      <c r="Y27" s="55"/>
      <c r="Z27" s="53" t="s">
        <v>121</v>
      </c>
      <c r="AA27" s="54"/>
      <c r="AB27" s="54"/>
      <c r="AC27" s="54"/>
      <c r="AD27" s="54"/>
      <c r="AE27" s="54"/>
      <c r="AF27" s="54"/>
      <c r="AG27" s="54"/>
      <c r="AH27" s="54"/>
      <c r="AI27" s="54"/>
      <c r="AJ27" s="54"/>
      <c r="AK27" s="54"/>
      <c r="AL27" s="55"/>
      <c r="AM27" s="41" t="s">
        <v>122</v>
      </c>
      <c r="AN27" s="42"/>
      <c r="AO27" s="43"/>
      <c r="AP27" s="47" t="s">
        <v>53</v>
      </c>
      <c r="AQ27" s="48"/>
      <c r="AR27" s="49"/>
      <c r="AS27" s="47" t="s">
        <v>54</v>
      </c>
      <c r="AT27" s="48"/>
      <c r="AU27" s="49"/>
      <c r="AV27" s="47" t="s">
        <v>70</v>
      </c>
      <c r="AW27" s="48"/>
      <c r="AX27" s="49"/>
      <c r="AY27" s="38" t="s">
        <v>56</v>
      </c>
      <c r="AZ27" s="39"/>
      <c r="BA27" s="40"/>
      <c r="BB27" s="44">
        <v>45217</v>
      </c>
      <c r="BC27" s="45"/>
      <c r="BD27" s="46"/>
      <c r="BE27" s="44">
        <v>45223</v>
      </c>
      <c r="BF27" s="45"/>
      <c r="BG27" s="46"/>
      <c r="BH27" s="38" t="s">
        <v>14</v>
      </c>
      <c r="BI27" s="39"/>
      <c r="BJ27" s="40"/>
      <c r="BK27" s="44">
        <v>45223</v>
      </c>
      <c r="BL27" s="45"/>
      <c r="BM27" s="46"/>
      <c r="BN27" s="41"/>
      <c r="BO27" s="42"/>
      <c r="BP27" s="42"/>
      <c r="BQ27" s="42"/>
      <c r="BR27" s="42"/>
      <c r="BS27" s="43"/>
    </row>
    <row r="28" spans="1:71" ht="55.95" customHeight="1" x14ac:dyDescent="0.3">
      <c r="A28" s="7">
        <f>IF(M28="","",COUNTA($M$9:M28))</f>
        <v>20</v>
      </c>
      <c r="B28" s="38" t="s">
        <v>14</v>
      </c>
      <c r="C28" s="40"/>
      <c r="D28" s="50" t="s">
        <v>48</v>
      </c>
      <c r="E28" s="51"/>
      <c r="F28" s="51"/>
      <c r="G28" s="51"/>
      <c r="H28" s="52"/>
      <c r="I28" s="41" t="s">
        <v>58</v>
      </c>
      <c r="J28" s="42"/>
      <c r="K28" s="42"/>
      <c r="L28" s="43"/>
      <c r="M28" s="53" t="s">
        <v>123</v>
      </c>
      <c r="N28" s="54"/>
      <c r="O28" s="54"/>
      <c r="P28" s="54"/>
      <c r="Q28" s="54"/>
      <c r="R28" s="54"/>
      <c r="S28" s="54"/>
      <c r="T28" s="54"/>
      <c r="U28" s="54"/>
      <c r="V28" s="54"/>
      <c r="W28" s="54"/>
      <c r="X28" s="54"/>
      <c r="Y28" s="55"/>
      <c r="Z28" s="53" t="s">
        <v>124</v>
      </c>
      <c r="AA28" s="54"/>
      <c r="AB28" s="54"/>
      <c r="AC28" s="54"/>
      <c r="AD28" s="54"/>
      <c r="AE28" s="54"/>
      <c r="AF28" s="54"/>
      <c r="AG28" s="54"/>
      <c r="AH28" s="54"/>
      <c r="AI28" s="54"/>
      <c r="AJ28" s="54"/>
      <c r="AK28" s="54"/>
      <c r="AL28" s="55"/>
      <c r="AM28" s="41" t="s">
        <v>125</v>
      </c>
      <c r="AN28" s="42"/>
      <c r="AO28" s="43"/>
      <c r="AP28" s="47" t="s">
        <v>53</v>
      </c>
      <c r="AQ28" s="48"/>
      <c r="AR28" s="49"/>
      <c r="AS28" s="47" t="s">
        <v>126</v>
      </c>
      <c r="AT28" s="48"/>
      <c r="AU28" s="49"/>
      <c r="AV28" s="47" t="s">
        <v>127</v>
      </c>
      <c r="AW28" s="48"/>
      <c r="AX28" s="49"/>
      <c r="AY28" s="38" t="s">
        <v>56</v>
      </c>
      <c r="AZ28" s="39"/>
      <c r="BA28" s="40"/>
      <c r="BB28" s="44">
        <v>45222</v>
      </c>
      <c r="BC28" s="45"/>
      <c r="BD28" s="46"/>
      <c r="BE28" s="44">
        <v>45222</v>
      </c>
      <c r="BF28" s="45"/>
      <c r="BG28" s="46"/>
      <c r="BH28" s="38" t="s">
        <v>493</v>
      </c>
      <c r="BI28" s="39"/>
      <c r="BJ28" s="40"/>
      <c r="BK28" s="44">
        <v>45243</v>
      </c>
      <c r="BL28" s="45"/>
      <c r="BM28" s="46"/>
      <c r="BN28" s="82" t="s">
        <v>64</v>
      </c>
      <c r="BO28" s="42"/>
      <c r="BP28" s="42"/>
      <c r="BQ28" s="42"/>
      <c r="BR28" s="42"/>
      <c r="BS28" s="43"/>
    </row>
    <row r="29" spans="1:71" ht="55.95" customHeight="1" x14ac:dyDescent="0.3">
      <c r="A29" s="7" t="str">
        <f>IF(M29="","",COUNTA($M$9:M29))</f>
        <v/>
      </c>
      <c r="B29" s="38"/>
      <c r="C29" s="40"/>
      <c r="D29" s="50"/>
      <c r="E29" s="51"/>
      <c r="F29" s="51"/>
      <c r="G29" s="51"/>
      <c r="H29" s="52"/>
      <c r="I29" s="41"/>
      <c r="J29" s="42"/>
      <c r="K29" s="42"/>
      <c r="L29" s="43"/>
      <c r="M29" s="53"/>
      <c r="N29" s="54"/>
      <c r="O29" s="54"/>
      <c r="P29" s="54"/>
      <c r="Q29" s="54"/>
      <c r="R29" s="54"/>
      <c r="S29" s="54"/>
      <c r="T29" s="54"/>
      <c r="U29" s="54"/>
      <c r="V29" s="54"/>
      <c r="W29" s="54"/>
      <c r="X29" s="54"/>
      <c r="Y29" s="55"/>
      <c r="Z29" s="53"/>
      <c r="AA29" s="54"/>
      <c r="AB29" s="54"/>
      <c r="AC29" s="54"/>
      <c r="AD29" s="54"/>
      <c r="AE29" s="54"/>
      <c r="AF29" s="54"/>
      <c r="AG29" s="54"/>
      <c r="AH29" s="54"/>
      <c r="AI29" s="54"/>
      <c r="AJ29" s="54"/>
      <c r="AK29" s="54"/>
      <c r="AL29" s="55"/>
      <c r="AM29" s="41"/>
      <c r="AN29" s="42"/>
      <c r="AO29" s="43"/>
      <c r="AP29" s="47"/>
      <c r="AQ29" s="48"/>
      <c r="AR29" s="49"/>
      <c r="AS29" s="47"/>
      <c r="AT29" s="48"/>
      <c r="AU29" s="49"/>
      <c r="AV29" s="47"/>
      <c r="AW29" s="48"/>
      <c r="AX29" s="49"/>
      <c r="AY29" s="38"/>
      <c r="AZ29" s="39"/>
      <c r="BA29" s="40"/>
      <c r="BB29" s="44"/>
      <c r="BC29" s="45"/>
      <c r="BD29" s="46"/>
      <c r="BE29" s="44"/>
      <c r="BF29" s="45"/>
      <c r="BG29" s="46"/>
      <c r="BH29" s="38"/>
      <c r="BI29" s="39"/>
      <c r="BJ29" s="40"/>
      <c r="BK29" s="44"/>
      <c r="BL29" s="45"/>
      <c r="BM29" s="46"/>
      <c r="BN29" s="41"/>
      <c r="BO29" s="42"/>
      <c r="BP29" s="42"/>
      <c r="BQ29" s="42"/>
      <c r="BR29" s="42"/>
      <c r="BS29" s="43"/>
    </row>
    <row r="30" spans="1:71" ht="15" customHeight="1" x14ac:dyDescent="0.3">
      <c r="A30" s="33" t="s">
        <v>128</v>
      </c>
      <c r="B30" s="32"/>
      <c r="C30" s="32"/>
      <c r="D30" s="32"/>
      <c r="E30" s="32"/>
      <c r="F30" s="32"/>
      <c r="G30" s="32"/>
      <c r="H30" s="32"/>
      <c r="I30" s="32"/>
      <c r="J30" s="32"/>
      <c r="K30" s="32"/>
      <c r="L30" s="32"/>
      <c r="M30" s="32"/>
      <c r="N30" s="32"/>
      <c r="O30" s="32"/>
      <c r="P30" s="32"/>
      <c r="Q30" s="32"/>
      <c r="R30" s="32"/>
      <c r="S30" s="32"/>
      <c r="T30" s="32"/>
      <c r="U30" s="32"/>
      <c r="V30" s="32"/>
      <c r="W30" s="32"/>
      <c r="X30" s="32"/>
      <c r="Y30" s="32"/>
      <c r="Z30" s="32"/>
      <c r="AA30" s="32"/>
      <c r="AB30" s="32"/>
      <c r="AC30" s="32"/>
      <c r="AD30" s="32"/>
      <c r="AE30" s="32"/>
      <c r="AF30" s="32"/>
      <c r="AG30" s="32"/>
      <c r="AH30" s="32"/>
      <c r="AI30" s="32"/>
      <c r="AJ30" s="32"/>
      <c r="AK30" s="32"/>
      <c r="AL30" s="32"/>
      <c r="AM30" s="32"/>
      <c r="AN30" s="32"/>
      <c r="AO30" s="32"/>
      <c r="AP30" s="32"/>
      <c r="AQ30" s="32"/>
      <c r="AR30" s="32"/>
      <c r="AS30" s="32"/>
      <c r="AT30" s="32"/>
      <c r="AU30" s="32"/>
      <c r="AV30" s="32"/>
      <c r="AW30" s="32"/>
      <c r="AX30" s="32"/>
      <c r="AY30" s="32"/>
      <c r="AZ30" s="32"/>
      <c r="BA30" s="32"/>
      <c r="BB30" s="32"/>
      <c r="BC30" s="32"/>
      <c r="BD30" s="32"/>
      <c r="BE30" s="32"/>
      <c r="BF30" s="32"/>
      <c r="BG30" s="32"/>
      <c r="BH30" s="32"/>
      <c r="BI30" s="32"/>
      <c r="BJ30" s="32"/>
      <c r="BK30" s="32"/>
      <c r="BL30" s="32"/>
      <c r="BM30" s="32"/>
      <c r="BN30" s="32"/>
      <c r="BO30" s="32"/>
      <c r="BP30" s="32"/>
      <c r="BQ30" s="32"/>
      <c r="BR30" s="32"/>
      <c r="BS30" s="32"/>
    </row>
  </sheetData>
  <mergeCells count="369">
    <mergeCell ref="AY28:BA28"/>
    <mergeCell ref="BB28:BD28"/>
    <mergeCell ref="BE28:BG28"/>
    <mergeCell ref="BH28:BJ28"/>
    <mergeCell ref="BK28:BM28"/>
    <mergeCell ref="BN28:BS28"/>
    <mergeCell ref="B28:C28"/>
    <mergeCell ref="D28:H28"/>
    <mergeCell ref="I28:L28"/>
    <mergeCell ref="M28:Y28"/>
    <mergeCell ref="Z28:AL28"/>
    <mergeCell ref="AM28:AO28"/>
    <mergeCell ref="AP28:AR28"/>
    <mergeCell ref="AS28:AU28"/>
    <mergeCell ref="AV28:AX28"/>
    <mergeCell ref="BH26:BJ26"/>
    <mergeCell ref="BK26:BM26"/>
    <mergeCell ref="BN26:BS26"/>
    <mergeCell ref="B27:C27"/>
    <mergeCell ref="D27:H27"/>
    <mergeCell ref="I27:L27"/>
    <mergeCell ref="M27:Y27"/>
    <mergeCell ref="Z27:AL27"/>
    <mergeCell ref="AM27:AO27"/>
    <mergeCell ref="AP27:AR27"/>
    <mergeCell ref="AS27:AU27"/>
    <mergeCell ref="AV27:AX27"/>
    <mergeCell ref="AY27:BA27"/>
    <mergeCell ref="BB27:BD27"/>
    <mergeCell ref="BE27:BG27"/>
    <mergeCell ref="BH27:BJ27"/>
    <mergeCell ref="BK27:BM27"/>
    <mergeCell ref="BN27:BS27"/>
    <mergeCell ref="B26:C26"/>
    <mergeCell ref="D26:H26"/>
    <mergeCell ref="I26:L26"/>
    <mergeCell ref="M26:Y26"/>
    <mergeCell ref="Z26:AL26"/>
    <mergeCell ref="AM26:AO26"/>
    <mergeCell ref="AP26:AR26"/>
    <mergeCell ref="AS26:AU26"/>
    <mergeCell ref="AV26:AX26"/>
    <mergeCell ref="AY24:BA24"/>
    <mergeCell ref="BB24:BD24"/>
    <mergeCell ref="BE24:BG24"/>
    <mergeCell ref="AP24:AR24"/>
    <mergeCell ref="AS24:AU24"/>
    <mergeCell ref="AV24:AX24"/>
    <mergeCell ref="AY26:BA26"/>
    <mergeCell ref="BB26:BD26"/>
    <mergeCell ref="BE26:BG26"/>
    <mergeCell ref="BH24:BJ24"/>
    <mergeCell ref="BK24:BM24"/>
    <mergeCell ref="BN24:BS24"/>
    <mergeCell ref="B25:C25"/>
    <mergeCell ref="D25:H25"/>
    <mergeCell ref="I25:L25"/>
    <mergeCell ref="M25:Y25"/>
    <mergeCell ref="Z25:AL25"/>
    <mergeCell ref="AM25:AO25"/>
    <mergeCell ref="AP25:AR25"/>
    <mergeCell ref="AS25:AU25"/>
    <mergeCell ref="AV25:AX25"/>
    <mergeCell ref="AY25:BA25"/>
    <mergeCell ref="BB25:BD25"/>
    <mergeCell ref="BE25:BG25"/>
    <mergeCell ref="BH25:BJ25"/>
    <mergeCell ref="BK25:BM25"/>
    <mergeCell ref="BN25:BS25"/>
    <mergeCell ref="B24:C24"/>
    <mergeCell ref="D24:H24"/>
    <mergeCell ref="I24:L24"/>
    <mergeCell ref="M24:Y24"/>
    <mergeCell ref="Z24:AL24"/>
    <mergeCell ref="AM24:AO24"/>
    <mergeCell ref="AY23:BA23"/>
    <mergeCell ref="BB23:BD23"/>
    <mergeCell ref="BE23:BG23"/>
    <mergeCell ref="BH23:BJ23"/>
    <mergeCell ref="BK23:BM23"/>
    <mergeCell ref="BN23:BS23"/>
    <mergeCell ref="B22:C22"/>
    <mergeCell ref="D22:H22"/>
    <mergeCell ref="I22:L22"/>
    <mergeCell ref="M22:Y22"/>
    <mergeCell ref="Z22:AL22"/>
    <mergeCell ref="AM22:AO22"/>
    <mergeCell ref="AP22:AR22"/>
    <mergeCell ref="AS22:AU22"/>
    <mergeCell ref="AV22:AX22"/>
    <mergeCell ref="AY22:BA22"/>
    <mergeCell ref="BB22:BD22"/>
    <mergeCell ref="BE22:BG22"/>
    <mergeCell ref="BH22:BJ22"/>
    <mergeCell ref="BK22:BM22"/>
    <mergeCell ref="BN22:BS22"/>
    <mergeCell ref="B23:C23"/>
    <mergeCell ref="D23:H23"/>
    <mergeCell ref="I23:L23"/>
    <mergeCell ref="M23:Y23"/>
    <mergeCell ref="Z23:AL23"/>
    <mergeCell ref="AM23:AO23"/>
    <mergeCell ref="AP23:AR23"/>
    <mergeCell ref="AS23:AU23"/>
    <mergeCell ref="AV23:AX23"/>
    <mergeCell ref="AP10:AR10"/>
    <mergeCell ref="AS10:AU10"/>
    <mergeCell ref="AV10:AX10"/>
    <mergeCell ref="AS13:AU13"/>
    <mergeCell ref="AS16:AU16"/>
    <mergeCell ref="Z18:AL18"/>
    <mergeCell ref="AS21:AU21"/>
    <mergeCell ref="AY10:BA10"/>
    <mergeCell ref="BB10:BD10"/>
    <mergeCell ref="BE10:BG10"/>
    <mergeCell ref="BH10:BJ10"/>
    <mergeCell ref="BK10:BM10"/>
    <mergeCell ref="BN10:BS10"/>
    <mergeCell ref="A1:D1"/>
    <mergeCell ref="E1:G1"/>
    <mergeCell ref="H1:I1"/>
    <mergeCell ref="J1:O1"/>
    <mergeCell ref="A4:C4"/>
    <mergeCell ref="D4:F4"/>
    <mergeCell ref="M4:O4"/>
    <mergeCell ref="D5:F5"/>
    <mergeCell ref="Q5:R5"/>
    <mergeCell ref="J5:L5"/>
    <mergeCell ref="M5:O5"/>
    <mergeCell ref="A2:D2"/>
    <mergeCell ref="H2:I2"/>
    <mergeCell ref="E2:G2"/>
    <mergeCell ref="A5:C5"/>
    <mergeCell ref="P1:Q1"/>
    <mergeCell ref="P2:Q2"/>
    <mergeCell ref="A7:A8"/>
    <mergeCell ref="G4:I4"/>
    <mergeCell ref="G5:I5"/>
    <mergeCell ref="J4:L4"/>
    <mergeCell ref="S5:V5"/>
    <mergeCell ref="W5:Y5"/>
    <mergeCell ref="BB8:BD8"/>
    <mergeCell ref="BE8:BG8"/>
    <mergeCell ref="BH8:BJ8"/>
    <mergeCell ref="BK8:BM8"/>
    <mergeCell ref="AM7:AO8"/>
    <mergeCell ref="AH5:AK5"/>
    <mergeCell ref="AP7:AX7"/>
    <mergeCell ref="AY7:BG7"/>
    <mergeCell ref="BH7:BM7"/>
    <mergeCell ref="AP8:AR8"/>
    <mergeCell ref="AS8:AU8"/>
    <mergeCell ref="AV8:AX8"/>
    <mergeCell ref="AY8:BA8"/>
    <mergeCell ref="Q4:R4"/>
    <mergeCell ref="S4:V4"/>
    <mergeCell ref="W4:Y4"/>
    <mergeCell ref="Z5:AB5"/>
    <mergeCell ref="Z4:AB4"/>
    <mergeCell ref="BN7:BS8"/>
    <mergeCell ref="B7:C8"/>
    <mergeCell ref="D7:H8"/>
    <mergeCell ref="I7:L8"/>
    <mergeCell ref="M7:Y8"/>
    <mergeCell ref="Z7:AL8"/>
    <mergeCell ref="BN9:BS9"/>
    <mergeCell ref="AP11:AR11"/>
    <mergeCell ref="AS11:AU11"/>
    <mergeCell ref="AV11:AX11"/>
    <mergeCell ref="AY11:BA11"/>
    <mergeCell ref="BB11:BD11"/>
    <mergeCell ref="BE11:BG11"/>
    <mergeCell ref="BH11:BJ11"/>
    <mergeCell ref="BK11:BM11"/>
    <mergeCell ref="BN11:BS11"/>
    <mergeCell ref="AV9:AX9"/>
    <mergeCell ref="AY9:BA9"/>
    <mergeCell ref="BB9:BD9"/>
    <mergeCell ref="BE9:BG9"/>
    <mergeCell ref="BH9:BJ9"/>
    <mergeCell ref="BK9:BM9"/>
    <mergeCell ref="AP9:AR9"/>
    <mergeCell ref="AS9:AU9"/>
    <mergeCell ref="AM9:AO9"/>
    <mergeCell ref="AM11:AO11"/>
    <mergeCell ref="B12:C12"/>
    <mergeCell ref="D12:H12"/>
    <mergeCell ref="I12:L12"/>
    <mergeCell ref="M12:Y12"/>
    <mergeCell ref="Z12:AL12"/>
    <mergeCell ref="AM12:AO12"/>
    <mergeCell ref="M9:Y9"/>
    <mergeCell ref="M11:Y11"/>
    <mergeCell ref="Z9:AL9"/>
    <mergeCell ref="Z11:AL11"/>
    <mergeCell ref="B9:C9"/>
    <mergeCell ref="D9:H9"/>
    <mergeCell ref="D11:H11"/>
    <mergeCell ref="B11:C11"/>
    <mergeCell ref="I9:L9"/>
    <mergeCell ref="I11:L11"/>
    <mergeCell ref="B10:C10"/>
    <mergeCell ref="D10:H10"/>
    <mergeCell ref="I10:L10"/>
    <mergeCell ref="M10:Y10"/>
    <mergeCell ref="Z10:AL10"/>
    <mergeCell ref="AM10:AO10"/>
    <mergeCell ref="B13:C13"/>
    <mergeCell ref="D13:H13"/>
    <mergeCell ref="I13:L13"/>
    <mergeCell ref="M13:Y13"/>
    <mergeCell ref="Z13:AL13"/>
    <mergeCell ref="AM13:AO13"/>
    <mergeCell ref="AP13:AR13"/>
    <mergeCell ref="AP12:AR12"/>
    <mergeCell ref="AS12:AU12"/>
    <mergeCell ref="I14:L14"/>
    <mergeCell ref="M14:Y14"/>
    <mergeCell ref="Z14:AL14"/>
    <mergeCell ref="AM14:AO14"/>
    <mergeCell ref="AP14:AR14"/>
    <mergeCell ref="AS14:AU14"/>
    <mergeCell ref="BH12:BJ12"/>
    <mergeCell ref="BK12:BM12"/>
    <mergeCell ref="BN12:BS12"/>
    <mergeCell ref="AV12:AX12"/>
    <mergeCell ref="AY12:BA12"/>
    <mergeCell ref="BB12:BD12"/>
    <mergeCell ref="BE12:BG12"/>
    <mergeCell ref="BK13:BM13"/>
    <mergeCell ref="BN13:BS13"/>
    <mergeCell ref="AV13:AX13"/>
    <mergeCell ref="AY13:BA13"/>
    <mergeCell ref="BB13:BD13"/>
    <mergeCell ref="BE13:BG13"/>
    <mergeCell ref="BH13:BJ13"/>
    <mergeCell ref="BN17:BS17"/>
    <mergeCell ref="AV16:AX16"/>
    <mergeCell ref="AY16:BA16"/>
    <mergeCell ref="BB16:BD16"/>
    <mergeCell ref="BE16:BG16"/>
    <mergeCell ref="BH16:BJ16"/>
    <mergeCell ref="BN14:BS14"/>
    <mergeCell ref="B17:C17"/>
    <mergeCell ref="D17:H17"/>
    <mergeCell ref="I17:L17"/>
    <mergeCell ref="M17:Y17"/>
    <mergeCell ref="Z17:AL17"/>
    <mergeCell ref="AM17:AO17"/>
    <mergeCell ref="AP17:AR17"/>
    <mergeCell ref="AS17:AU17"/>
    <mergeCell ref="AV17:AX17"/>
    <mergeCell ref="AV14:AX14"/>
    <mergeCell ref="AY14:BA14"/>
    <mergeCell ref="BB14:BD14"/>
    <mergeCell ref="BE14:BG14"/>
    <mergeCell ref="BH14:BJ14"/>
    <mergeCell ref="BK14:BM14"/>
    <mergeCell ref="B14:C14"/>
    <mergeCell ref="D14:H14"/>
    <mergeCell ref="BN15:BS15"/>
    <mergeCell ref="B16:C16"/>
    <mergeCell ref="D16:H16"/>
    <mergeCell ref="I16:L16"/>
    <mergeCell ref="M16:Y16"/>
    <mergeCell ref="Z16:AL16"/>
    <mergeCell ref="AM16:AO16"/>
    <mergeCell ref="AP16:AR16"/>
    <mergeCell ref="AP15:AR15"/>
    <mergeCell ref="AS15:AU15"/>
    <mergeCell ref="AV15:AX15"/>
    <mergeCell ref="AY15:BA15"/>
    <mergeCell ref="BB15:BD15"/>
    <mergeCell ref="BE15:BG15"/>
    <mergeCell ref="B15:C15"/>
    <mergeCell ref="D15:H15"/>
    <mergeCell ref="I15:L15"/>
    <mergeCell ref="M15:Y15"/>
    <mergeCell ref="Z15:AL15"/>
    <mergeCell ref="AM15:AO15"/>
    <mergeCell ref="BK16:BM16"/>
    <mergeCell ref="BN16:BS16"/>
    <mergeCell ref="B18:C18"/>
    <mergeCell ref="AM18:AO18"/>
    <mergeCell ref="AP18:AR18"/>
    <mergeCell ref="AS18:AU18"/>
    <mergeCell ref="D18:H18"/>
    <mergeCell ref="I18:L18"/>
    <mergeCell ref="M18:Y18"/>
    <mergeCell ref="BH15:BJ15"/>
    <mergeCell ref="BK15:BM15"/>
    <mergeCell ref="AY17:BA17"/>
    <mergeCell ref="BB17:BD17"/>
    <mergeCell ref="BE17:BG17"/>
    <mergeCell ref="BH17:BJ17"/>
    <mergeCell ref="BK17:BM17"/>
    <mergeCell ref="BB18:BD18"/>
    <mergeCell ref="BE18:BG18"/>
    <mergeCell ref="BH18:BJ18"/>
    <mergeCell ref="BK18:BM18"/>
    <mergeCell ref="B19:C19"/>
    <mergeCell ref="D19:H19"/>
    <mergeCell ref="I19:L19"/>
    <mergeCell ref="M19:Y19"/>
    <mergeCell ref="Z19:AL19"/>
    <mergeCell ref="AM19:AO19"/>
    <mergeCell ref="AP19:AR19"/>
    <mergeCell ref="AS19:AU19"/>
    <mergeCell ref="AV19:AX19"/>
    <mergeCell ref="B21:C21"/>
    <mergeCell ref="D21:H21"/>
    <mergeCell ref="I21:L21"/>
    <mergeCell ref="M21:Y21"/>
    <mergeCell ref="Z21:AL21"/>
    <mergeCell ref="AM21:AO21"/>
    <mergeCell ref="AP21:AR21"/>
    <mergeCell ref="AP20:AR20"/>
    <mergeCell ref="AS20:AU20"/>
    <mergeCell ref="B20:C20"/>
    <mergeCell ref="D20:H20"/>
    <mergeCell ref="I20:L20"/>
    <mergeCell ref="M20:Y20"/>
    <mergeCell ref="Z20:AL20"/>
    <mergeCell ref="AM20:AO20"/>
    <mergeCell ref="B29:C29"/>
    <mergeCell ref="D29:H29"/>
    <mergeCell ref="I29:L29"/>
    <mergeCell ref="M29:Y29"/>
    <mergeCell ref="Z29:AL29"/>
    <mergeCell ref="AM29:AO29"/>
    <mergeCell ref="AP29:AR29"/>
    <mergeCell ref="AS29:AU29"/>
    <mergeCell ref="AV29:AX29"/>
    <mergeCell ref="BK21:BM21"/>
    <mergeCell ref="AV21:AX21"/>
    <mergeCell ref="AY21:BA21"/>
    <mergeCell ref="BB21:BD21"/>
    <mergeCell ref="BE21:BG21"/>
    <mergeCell ref="BH21:BJ21"/>
    <mergeCell ref="BH20:BJ20"/>
    <mergeCell ref="BK20:BM20"/>
    <mergeCell ref="AV20:AX20"/>
    <mergeCell ref="AY20:BA20"/>
    <mergeCell ref="BB20:BD20"/>
    <mergeCell ref="BE20:BG20"/>
    <mergeCell ref="AP2:AS2"/>
    <mergeCell ref="AP3:AS3"/>
    <mergeCell ref="AP4:AS4"/>
    <mergeCell ref="AP5:AS5"/>
    <mergeCell ref="AH2:AK2"/>
    <mergeCell ref="AH3:AK3"/>
    <mergeCell ref="AH4:AK4"/>
    <mergeCell ref="AY29:BA29"/>
    <mergeCell ref="BN29:BS29"/>
    <mergeCell ref="BB29:BD29"/>
    <mergeCell ref="BE29:BG29"/>
    <mergeCell ref="BH29:BJ29"/>
    <mergeCell ref="BK29:BM29"/>
    <mergeCell ref="AY19:BA19"/>
    <mergeCell ref="BB19:BD19"/>
    <mergeCell ref="BE19:BG19"/>
    <mergeCell ref="BH19:BJ19"/>
    <mergeCell ref="BK19:BM19"/>
    <mergeCell ref="BN20:BS20"/>
    <mergeCell ref="BN21:BS21"/>
    <mergeCell ref="BN19:BS19"/>
    <mergeCell ref="BN18:BS18"/>
    <mergeCell ref="AV18:AX18"/>
    <mergeCell ref="AY18:BA18"/>
  </mergeCells>
  <phoneticPr fontId="2"/>
  <pageMargins left="0.19685039370078741" right="0.19685039370078741" top="0.39370078740157483" bottom="0.39370078740157483" header="0.39370078740157483" footer="0.19685039370078741"/>
  <pageSetup paperSize="9" scale="50" fitToHeight="0" orientation="landscape" r:id="rId1"/>
  <headerFooter>
    <oddFooter>&amp;R&amp;11&amp;A - &amp;P&amp;L詳細設計 - 生産実績一覧（外注加工）</oddFooter>
  </headerFooter>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000-000000000000}">
          <x14:formula1>
            <xm:f>マスタ!$B$2:$B$13</xm:f>
          </x14:formula1>
          <xm:sqref>E2</xm:sqref>
        </x14:dataValidation>
        <x14:dataValidation type="list" allowBlank="1" showInputMessage="1" showErrorMessage="1" xr:uid="{00000000-0002-0000-0000-000001000000}">
          <x14:formula1>
            <xm:f>マスタ!$A$2:$A$7</xm:f>
          </x14:formula1>
          <xm:sqref>A2:D2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135"/>
  <sheetViews>
    <sheetView workbookViewId="0"/>
  </sheetViews>
  <sheetFormatPr defaultRowHeight="14.4" x14ac:dyDescent="0.3"/>
  <cols>
    <col min="4" max="4" width="30.6328125" customWidth="1"/>
  </cols>
  <sheetData>
    <row r="1" spans="1:6" x14ac:dyDescent="0.3">
      <c r="A1" t="s">
        <v>129</v>
      </c>
      <c r="B1" t="s">
        <v>130</v>
      </c>
      <c r="C1" t="s">
        <v>2</v>
      </c>
      <c r="D1" t="s">
        <v>131</v>
      </c>
      <c r="E1" t="s">
        <v>132</v>
      </c>
    </row>
    <row r="2" spans="1:6" x14ac:dyDescent="0.3">
      <c r="A2" t="s">
        <v>133</v>
      </c>
      <c r="B2" t="s">
        <v>134</v>
      </c>
      <c r="C2" t="s">
        <v>135</v>
      </c>
      <c r="D2" t="s">
        <v>136</v>
      </c>
      <c r="E2" t="s">
        <v>137</v>
      </c>
    </row>
    <row r="3" spans="1:6" x14ac:dyDescent="0.3">
      <c r="A3" t="s">
        <v>138</v>
      </c>
      <c r="B3" t="s">
        <v>139</v>
      </c>
      <c r="C3" t="s">
        <v>140</v>
      </c>
      <c r="D3" t="s">
        <v>141</v>
      </c>
      <c r="E3" t="s">
        <v>142</v>
      </c>
    </row>
    <row r="4" spans="1:6" x14ac:dyDescent="0.3">
      <c r="A4" t="s">
        <v>143</v>
      </c>
      <c r="B4" t="s">
        <v>6</v>
      </c>
      <c r="C4" t="s">
        <v>144</v>
      </c>
      <c r="D4" t="s">
        <v>145</v>
      </c>
      <c r="E4" t="s">
        <v>53</v>
      </c>
    </row>
    <row r="5" spans="1:6" x14ac:dyDescent="0.3">
      <c r="A5" t="s">
        <v>146</v>
      </c>
      <c r="B5" t="s">
        <v>147</v>
      </c>
      <c r="C5" t="s">
        <v>148</v>
      </c>
      <c r="D5" t="s">
        <v>149</v>
      </c>
      <c r="E5" t="s">
        <v>150</v>
      </c>
      <c r="F5" t="s">
        <v>151</v>
      </c>
    </row>
    <row r="6" spans="1:6" x14ac:dyDescent="0.3">
      <c r="A6" t="s">
        <v>152</v>
      </c>
      <c r="B6" t="s">
        <v>153</v>
      </c>
      <c r="C6" t="s">
        <v>154</v>
      </c>
      <c r="D6" t="s">
        <v>155</v>
      </c>
      <c r="E6" t="s">
        <v>156</v>
      </c>
    </row>
    <row r="7" spans="1:6" x14ac:dyDescent="0.3">
      <c r="A7" t="s">
        <v>157</v>
      </c>
      <c r="B7" t="s">
        <v>158</v>
      </c>
      <c r="C7" t="s">
        <v>159</v>
      </c>
      <c r="D7" t="s">
        <v>160</v>
      </c>
      <c r="E7" t="s">
        <v>161</v>
      </c>
    </row>
    <row r="8" spans="1:6" x14ac:dyDescent="0.3">
      <c r="B8" t="s">
        <v>162</v>
      </c>
      <c r="C8" t="s">
        <v>163</v>
      </c>
      <c r="D8" t="s">
        <v>164</v>
      </c>
      <c r="E8" t="s">
        <v>165</v>
      </c>
    </row>
    <row r="9" spans="1:6" x14ac:dyDescent="0.3">
      <c r="B9" t="s">
        <v>166</v>
      </c>
      <c r="C9" t="s">
        <v>167</v>
      </c>
      <c r="D9" t="s">
        <v>168</v>
      </c>
      <c r="E9" t="s">
        <v>169</v>
      </c>
    </row>
    <row r="10" spans="1:6" x14ac:dyDescent="0.3">
      <c r="B10" t="s">
        <v>170</v>
      </c>
      <c r="C10" t="s">
        <v>171</v>
      </c>
      <c r="D10" t="s">
        <v>172</v>
      </c>
    </row>
    <row r="11" spans="1:6" x14ac:dyDescent="0.3">
      <c r="B11" t="s">
        <v>173</v>
      </c>
      <c r="C11" t="s">
        <v>174</v>
      </c>
      <c r="D11" t="s">
        <v>175</v>
      </c>
    </row>
    <row r="12" spans="1:6" x14ac:dyDescent="0.3">
      <c r="B12" t="s">
        <v>176</v>
      </c>
      <c r="C12" t="s">
        <v>177</v>
      </c>
      <c r="D12" t="s">
        <v>178</v>
      </c>
    </row>
    <row r="13" spans="1:6" x14ac:dyDescent="0.3">
      <c r="B13" t="s">
        <v>179</v>
      </c>
      <c r="C13" t="s">
        <v>180</v>
      </c>
      <c r="D13" t="s">
        <v>181</v>
      </c>
    </row>
    <row r="14" spans="1:6" x14ac:dyDescent="0.3">
      <c r="C14" t="s">
        <v>182</v>
      </c>
      <c r="D14" t="s">
        <v>183</v>
      </c>
    </row>
    <row r="15" spans="1:6" x14ac:dyDescent="0.3">
      <c r="C15" t="s">
        <v>184</v>
      </c>
      <c r="D15" t="s">
        <v>185</v>
      </c>
    </row>
    <row r="16" spans="1:6" x14ac:dyDescent="0.3">
      <c r="C16" t="s">
        <v>186</v>
      </c>
      <c r="D16" t="s">
        <v>187</v>
      </c>
    </row>
    <row r="17" spans="3:4" x14ac:dyDescent="0.3">
      <c r="C17" t="s">
        <v>188</v>
      </c>
      <c r="D17" t="s">
        <v>189</v>
      </c>
    </row>
    <row r="18" spans="3:4" x14ac:dyDescent="0.3">
      <c r="C18" t="s">
        <v>190</v>
      </c>
      <c r="D18" t="s">
        <v>191</v>
      </c>
    </row>
    <row r="19" spans="3:4" x14ac:dyDescent="0.3">
      <c r="C19" t="s">
        <v>192</v>
      </c>
      <c r="D19" t="s">
        <v>193</v>
      </c>
    </row>
    <row r="20" spans="3:4" x14ac:dyDescent="0.3">
      <c r="C20" t="s">
        <v>194</v>
      </c>
      <c r="D20" t="s">
        <v>195</v>
      </c>
    </row>
    <row r="21" spans="3:4" x14ac:dyDescent="0.3">
      <c r="C21" t="s">
        <v>196</v>
      </c>
      <c r="D21" t="s">
        <v>197</v>
      </c>
    </row>
    <row r="22" spans="3:4" x14ac:dyDescent="0.3">
      <c r="C22" t="s">
        <v>198</v>
      </c>
      <c r="D22" t="s">
        <v>199</v>
      </c>
    </row>
    <row r="23" spans="3:4" x14ac:dyDescent="0.3">
      <c r="C23" t="s">
        <v>200</v>
      </c>
      <c r="D23" t="s">
        <v>201</v>
      </c>
    </row>
    <row r="24" spans="3:4" x14ac:dyDescent="0.3">
      <c r="C24" t="s">
        <v>202</v>
      </c>
      <c r="D24" t="s">
        <v>203</v>
      </c>
    </row>
    <row r="25" spans="3:4" x14ac:dyDescent="0.3">
      <c r="C25" t="s">
        <v>204</v>
      </c>
      <c r="D25" t="s">
        <v>205</v>
      </c>
    </row>
    <row r="26" spans="3:4" x14ac:dyDescent="0.3">
      <c r="C26" t="s">
        <v>206</v>
      </c>
      <c r="D26" t="s">
        <v>207</v>
      </c>
    </row>
    <row r="27" spans="3:4" x14ac:dyDescent="0.3">
      <c r="C27" t="s">
        <v>208</v>
      </c>
      <c r="D27" t="s">
        <v>209</v>
      </c>
    </row>
    <row r="28" spans="3:4" x14ac:dyDescent="0.3">
      <c r="C28" t="s">
        <v>210</v>
      </c>
      <c r="D28" t="s">
        <v>211</v>
      </c>
    </row>
    <row r="29" spans="3:4" x14ac:dyDescent="0.3">
      <c r="C29" t="s">
        <v>212</v>
      </c>
      <c r="D29" t="s">
        <v>213</v>
      </c>
    </row>
    <row r="30" spans="3:4" x14ac:dyDescent="0.3">
      <c r="C30" t="s">
        <v>214</v>
      </c>
      <c r="D30" t="s">
        <v>215</v>
      </c>
    </row>
    <row r="31" spans="3:4" x14ac:dyDescent="0.3">
      <c r="C31" t="s">
        <v>216</v>
      </c>
      <c r="D31" t="s">
        <v>217</v>
      </c>
    </row>
    <row r="32" spans="3:4" x14ac:dyDescent="0.3">
      <c r="C32" t="s">
        <v>218</v>
      </c>
      <c r="D32" t="s">
        <v>219</v>
      </c>
    </row>
    <row r="33" spans="3:4" x14ac:dyDescent="0.3">
      <c r="C33" t="s">
        <v>220</v>
      </c>
      <c r="D33" t="s">
        <v>221</v>
      </c>
    </row>
    <row r="34" spans="3:4" x14ac:dyDescent="0.3">
      <c r="C34" t="s">
        <v>222</v>
      </c>
      <c r="D34" t="s">
        <v>223</v>
      </c>
    </row>
    <row r="35" spans="3:4" x14ac:dyDescent="0.3">
      <c r="C35" t="s">
        <v>224</v>
      </c>
      <c r="D35" t="s">
        <v>225</v>
      </c>
    </row>
    <row r="36" spans="3:4" x14ac:dyDescent="0.3">
      <c r="C36" t="s">
        <v>226</v>
      </c>
      <c r="D36" t="s">
        <v>227</v>
      </c>
    </row>
    <row r="37" spans="3:4" x14ac:dyDescent="0.3">
      <c r="C37" t="s">
        <v>228</v>
      </c>
      <c r="D37" t="s">
        <v>229</v>
      </c>
    </row>
    <row r="38" spans="3:4" x14ac:dyDescent="0.3">
      <c r="C38" t="s">
        <v>230</v>
      </c>
      <c r="D38" t="s">
        <v>231</v>
      </c>
    </row>
    <row r="39" spans="3:4" x14ac:dyDescent="0.3">
      <c r="C39" t="s">
        <v>232</v>
      </c>
      <c r="D39" t="s">
        <v>233</v>
      </c>
    </row>
    <row r="40" spans="3:4" x14ac:dyDescent="0.3">
      <c r="C40" t="s">
        <v>234</v>
      </c>
      <c r="D40" t="s">
        <v>235</v>
      </c>
    </row>
    <row r="41" spans="3:4" x14ac:dyDescent="0.3">
      <c r="C41" t="s">
        <v>236</v>
      </c>
      <c r="D41" t="s">
        <v>237</v>
      </c>
    </row>
    <row r="42" spans="3:4" x14ac:dyDescent="0.3">
      <c r="C42" t="s">
        <v>238</v>
      </c>
      <c r="D42" t="s">
        <v>239</v>
      </c>
    </row>
    <row r="43" spans="3:4" x14ac:dyDescent="0.3">
      <c r="C43" t="s">
        <v>240</v>
      </c>
      <c r="D43" t="s">
        <v>241</v>
      </c>
    </row>
    <row r="44" spans="3:4" x14ac:dyDescent="0.3">
      <c r="C44" t="s">
        <v>242</v>
      </c>
      <c r="D44" t="s">
        <v>243</v>
      </c>
    </row>
    <row r="45" spans="3:4" x14ac:dyDescent="0.3">
      <c r="C45" t="s">
        <v>244</v>
      </c>
      <c r="D45" t="s">
        <v>245</v>
      </c>
    </row>
    <row r="46" spans="3:4" x14ac:dyDescent="0.3">
      <c r="C46" t="s">
        <v>246</v>
      </c>
      <c r="D46" t="s">
        <v>247</v>
      </c>
    </row>
    <row r="47" spans="3:4" x14ac:dyDescent="0.3">
      <c r="C47" t="s">
        <v>248</v>
      </c>
      <c r="D47" t="s">
        <v>249</v>
      </c>
    </row>
    <row r="48" spans="3:4" x14ac:dyDescent="0.3">
      <c r="C48" t="s">
        <v>250</v>
      </c>
      <c r="D48" t="s">
        <v>251</v>
      </c>
    </row>
    <row r="49" spans="3:4" x14ac:dyDescent="0.3">
      <c r="C49" t="s">
        <v>252</v>
      </c>
      <c r="D49" t="s">
        <v>253</v>
      </c>
    </row>
    <row r="50" spans="3:4" x14ac:dyDescent="0.3">
      <c r="C50" t="s">
        <v>254</v>
      </c>
      <c r="D50" t="s">
        <v>255</v>
      </c>
    </row>
    <row r="51" spans="3:4" x14ac:dyDescent="0.3">
      <c r="C51" t="s">
        <v>256</v>
      </c>
      <c r="D51" t="s">
        <v>257</v>
      </c>
    </row>
    <row r="52" spans="3:4" x14ac:dyDescent="0.3">
      <c r="C52" t="s">
        <v>258</v>
      </c>
      <c r="D52" t="s">
        <v>259</v>
      </c>
    </row>
    <row r="53" spans="3:4" x14ac:dyDescent="0.3">
      <c r="C53" t="s">
        <v>260</v>
      </c>
      <c r="D53" t="s">
        <v>261</v>
      </c>
    </row>
    <row r="54" spans="3:4" x14ac:dyDescent="0.3">
      <c r="C54" t="s">
        <v>262</v>
      </c>
      <c r="D54" t="s">
        <v>263</v>
      </c>
    </row>
    <row r="55" spans="3:4" x14ac:dyDescent="0.3">
      <c r="C55" t="s">
        <v>264</v>
      </c>
      <c r="D55" t="s">
        <v>265</v>
      </c>
    </row>
    <row r="56" spans="3:4" x14ac:dyDescent="0.3">
      <c r="C56" t="s">
        <v>266</v>
      </c>
      <c r="D56" t="s">
        <v>267</v>
      </c>
    </row>
    <row r="57" spans="3:4" x14ac:dyDescent="0.3">
      <c r="C57" t="s">
        <v>268</v>
      </c>
      <c r="D57" t="s">
        <v>269</v>
      </c>
    </row>
    <row r="58" spans="3:4" x14ac:dyDescent="0.3">
      <c r="C58" t="s">
        <v>270</v>
      </c>
      <c r="D58" t="s">
        <v>271</v>
      </c>
    </row>
    <row r="59" spans="3:4" x14ac:dyDescent="0.3">
      <c r="C59" t="s">
        <v>272</v>
      </c>
      <c r="D59" t="s">
        <v>273</v>
      </c>
    </row>
    <row r="60" spans="3:4" x14ac:dyDescent="0.3">
      <c r="C60" t="s">
        <v>274</v>
      </c>
      <c r="D60" t="s">
        <v>275</v>
      </c>
    </row>
    <row r="61" spans="3:4" x14ac:dyDescent="0.3">
      <c r="C61" t="s">
        <v>276</v>
      </c>
      <c r="D61" t="s">
        <v>277</v>
      </c>
    </row>
    <row r="62" spans="3:4" x14ac:dyDescent="0.3">
      <c r="C62" t="s">
        <v>278</v>
      </c>
      <c r="D62" t="s">
        <v>279</v>
      </c>
    </row>
    <row r="63" spans="3:4" x14ac:dyDescent="0.3">
      <c r="C63" t="s">
        <v>280</v>
      </c>
      <c r="D63" t="s">
        <v>281</v>
      </c>
    </row>
    <row r="64" spans="3:4" x14ac:dyDescent="0.3">
      <c r="C64" t="s">
        <v>282</v>
      </c>
      <c r="D64" t="s">
        <v>283</v>
      </c>
    </row>
    <row r="65" spans="3:4" x14ac:dyDescent="0.3">
      <c r="C65" t="s">
        <v>284</v>
      </c>
      <c r="D65" t="s">
        <v>285</v>
      </c>
    </row>
    <row r="66" spans="3:4" x14ac:dyDescent="0.3">
      <c r="C66" t="s">
        <v>286</v>
      </c>
      <c r="D66" t="s">
        <v>287</v>
      </c>
    </row>
    <row r="67" spans="3:4" x14ac:dyDescent="0.3">
      <c r="C67" t="s">
        <v>288</v>
      </c>
      <c r="D67" t="s">
        <v>289</v>
      </c>
    </row>
    <row r="68" spans="3:4" x14ac:dyDescent="0.3">
      <c r="C68" t="s">
        <v>290</v>
      </c>
      <c r="D68" t="s">
        <v>291</v>
      </c>
    </row>
    <row r="69" spans="3:4" x14ac:dyDescent="0.3">
      <c r="C69" t="s">
        <v>292</v>
      </c>
      <c r="D69" t="s">
        <v>293</v>
      </c>
    </row>
    <row r="70" spans="3:4" x14ac:dyDescent="0.3">
      <c r="C70" t="s">
        <v>294</v>
      </c>
      <c r="D70" t="s">
        <v>295</v>
      </c>
    </row>
    <row r="71" spans="3:4" x14ac:dyDescent="0.3">
      <c r="C71" t="s">
        <v>296</v>
      </c>
      <c r="D71" t="s">
        <v>297</v>
      </c>
    </row>
    <row r="72" spans="3:4" x14ac:dyDescent="0.3">
      <c r="C72" t="s">
        <v>298</v>
      </c>
      <c r="D72" t="s">
        <v>299</v>
      </c>
    </row>
    <row r="73" spans="3:4" x14ac:dyDescent="0.3">
      <c r="C73" t="s">
        <v>300</v>
      </c>
      <c r="D73" t="s">
        <v>301</v>
      </c>
    </row>
    <row r="74" spans="3:4" x14ac:dyDescent="0.3">
      <c r="C74" t="s">
        <v>302</v>
      </c>
      <c r="D74" t="s">
        <v>303</v>
      </c>
    </row>
    <row r="75" spans="3:4" x14ac:dyDescent="0.3">
      <c r="C75" t="s">
        <v>304</v>
      </c>
      <c r="D75" t="s">
        <v>305</v>
      </c>
    </row>
    <row r="76" spans="3:4" x14ac:dyDescent="0.3">
      <c r="C76" t="s">
        <v>306</v>
      </c>
      <c r="D76" t="s">
        <v>307</v>
      </c>
    </row>
    <row r="77" spans="3:4" x14ac:dyDescent="0.3">
      <c r="C77" t="s">
        <v>308</v>
      </c>
      <c r="D77" t="s">
        <v>309</v>
      </c>
    </row>
    <row r="78" spans="3:4" x14ac:dyDescent="0.3">
      <c r="C78" t="s">
        <v>310</v>
      </c>
      <c r="D78" t="s">
        <v>311</v>
      </c>
    </row>
    <row r="79" spans="3:4" x14ac:dyDescent="0.3">
      <c r="C79" t="s">
        <v>312</v>
      </c>
      <c r="D79" t="s">
        <v>313</v>
      </c>
    </row>
    <row r="80" spans="3:4" x14ac:dyDescent="0.3">
      <c r="C80" t="s">
        <v>314</v>
      </c>
      <c r="D80" t="s">
        <v>315</v>
      </c>
    </row>
    <row r="81" spans="3:4" x14ac:dyDescent="0.3">
      <c r="C81" t="s">
        <v>316</v>
      </c>
      <c r="D81" t="s">
        <v>317</v>
      </c>
    </row>
    <row r="82" spans="3:4" x14ac:dyDescent="0.3">
      <c r="C82" t="s">
        <v>318</v>
      </c>
      <c r="D82" t="s">
        <v>319</v>
      </c>
    </row>
    <row r="83" spans="3:4" x14ac:dyDescent="0.3">
      <c r="C83" t="s">
        <v>320</v>
      </c>
      <c r="D83" t="s">
        <v>321</v>
      </c>
    </row>
    <row r="84" spans="3:4" x14ac:dyDescent="0.3">
      <c r="C84" t="s">
        <v>322</v>
      </c>
      <c r="D84" t="s">
        <v>323</v>
      </c>
    </row>
    <row r="85" spans="3:4" x14ac:dyDescent="0.3">
      <c r="C85" t="s">
        <v>324</v>
      </c>
      <c r="D85" t="s">
        <v>325</v>
      </c>
    </row>
    <row r="86" spans="3:4" x14ac:dyDescent="0.3">
      <c r="C86" t="s">
        <v>326</v>
      </c>
      <c r="D86" t="s">
        <v>327</v>
      </c>
    </row>
    <row r="87" spans="3:4" x14ac:dyDescent="0.3">
      <c r="C87" t="s">
        <v>328</v>
      </c>
      <c r="D87" t="s">
        <v>329</v>
      </c>
    </row>
    <row r="88" spans="3:4" x14ac:dyDescent="0.3">
      <c r="C88" t="s">
        <v>330</v>
      </c>
      <c r="D88" t="s">
        <v>331</v>
      </c>
    </row>
    <row r="89" spans="3:4" x14ac:dyDescent="0.3">
      <c r="C89" t="s">
        <v>332</v>
      </c>
      <c r="D89" t="s">
        <v>333</v>
      </c>
    </row>
    <row r="90" spans="3:4" x14ac:dyDescent="0.3">
      <c r="C90" t="s">
        <v>334</v>
      </c>
      <c r="D90" t="s">
        <v>335</v>
      </c>
    </row>
    <row r="91" spans="3:4" x14ac:dyDescent="0.3">
      <c r="C91" t="s">
        <v>332</v>
      </c>
      <c r="D91" t="s">
        <v>336</v>
      </c>
    </row>
    <row r="92" spans="3:4" x14ac:dyDescent="0.3">
      <c r="C92" t="s">
        <v>337</v>
      </c>
      <c r="D92" t="s">
        <v>338</v>
      </c>
    </row>
    <row r="93" spans="3:4" x14ac:dyDescent="0.3">
      <c r="C93" t="s">
        <v>339</v>
      </c>
      <c r="D93" t="s">
        <v>340</v>
      </c>
    </row>
    <row r="94" spans="3:4" x14ac:dyDescent="0.3">
      <c r="C94" t="s">
        <v>341</v>
      </c>
      <c r="D94" t="s">
        <v>342</v>
      </c>
    </row>
    <row r="95" spans="3:4" x14ac:dyDescent="0.3">
      <c r="C95" t="s">
        <v>343</v>
      </c>
      <c r="D95" t="s">
        <v>344</v>
      </c>
    </row>
    <row r="96" spans="3:4" x14ac:dyDescent="0.3">
      <c r="C96" t="s">
        <v>345</v>
      </c>
      <c r="D96" t="s">
        <v>346</v>
      </c>
    </row>
    <row r="97" spans="3:4" x14ac:dyDescent="0.3">
      <c r="C97" t="s">
        <v>347</v>
      </c>
      <c r="D97" t="s">
        <v>348</v>
      </c>
    </row>
    <row r="98" spans="3:4" x14ac:dyDescent="0.3">
      <c r="C98" t="s">
        <v>349</v>
      </c>
      <c r="D98" t="s">
        <v>350</v>
      </c>
    </row>
    <row r="99" spans="3:4" x14ac:dyDescent="0.3">
      <c r="C99" t="s">
        <v>351</v>
      </c>
      <c r="D99" t="s">
        <v>352</v>
      </c>
    </row>
    <row r="100" spans="3:4" x14ac:dyDescent="0.3">
      <c r="C100" t="s">
        <v>353</v>
      </c>
      <c r="D100" t="s">
        <v>354</v>
      </c>
    </row>
    <row r="101" spans="3:4" x14ac:dyDescent="0.3">
      <c r="C101" t="s">
        <v>355</v>
      </c>
      <c r="D101" t="s">
        <v>356</v>
      </c>
    </row>
    <row r="102" spans="3:4" x14ac:dyDescent="0.3">
      <c r="C102" t="s">
        <v>357</v>
      </c>
      <c r="D102" t="s">
        <v>358</v>
      </c>
    </row>
    <row r="103" spans="3:4" x14ac:dyDescent="0.3">
      <c r="C103" t="s">
        <v>359</v>
      </c>
      <c r="D103" t="s">
        <v>360</v>
      </c>
    </row>
    <row r="104" spans="3:4" x14ac:dyDescent="0.3">
      <c r="C104" t="s">
        <v>361</v>
      </c>
      <c r="D104" t="s">
        <v>362</v>
      </c>
    </row>
    <row r="105" spans="3:4" x14ac:dyDescent="0.3">
      <c r="C105" t="s">
        <v>363</v>
      </c>
      <c r="D105" t="s">
        <v>364</v>
      </c>
    </row>
    <row r="106" spans="3:4" x14ac:dyDescent="0.3">
      <c r="C106" t="s">
        <v>365</v>
      </c>
      <c r="D106" t="s">
        <v>366</v>
      </c>
    </row>
    <row r="107" spans="3:4" x14ac:dyDescent="0.3">
      <c r="C107" t="s">
        <v>367</v>
      </c>
      <c r="D107" t="s">
        <v>368</v>
      </c>
    </row>
    <row r="108" spans="3:4" x14ac:dyDescent="0.3">
      <c r="C108" t="s">
        <v>369</v>
      </c>
      <c r="D108" t="s">
        <v>370</v>
      </c>
    </row>
    <row r="109" spans="3:4" x14ac:dyDescent="0.3">
      <c r="C109" t="s">
        <v>371</v>
      </c>
      <c r="D109" t="s">
        <v>372</v>
      </c>
    </row>
    <row r="110" spans="3:4" x14ac:dyDescent="0.3">
      <c r="C110" t="s">
        <v>373</v>
      </c>
      <c r="D110" t="s">
        <v>374</v>
      </c>
    </row>
    <row r="111" spans="3:4" x14ac:dyDescent="0.3">
      <c r="C111" t="s">
        <v>375</v>
      </c>
      <c r="D111" t="s">
        <v>376</v>
      </c>
    </row>
    <row r="112" spans="3:4" x14ac:dyDescent="0.3">
      <c r="C112" t="s">
        <v>377</v>
      </c>
      <c r="D112" t="s">
        <v>378</v>
      </c>
    </row>
    <row r="113" spans="3:4" x14ac:dyDescent="0.3">
      <c r="C113" t="s">
        <v>379</v>
      </c>
      <c r="D113" t="s">
        <v>380</v>
      </c>
    </row>
    <row r="114" spans="3:4" x14ac:dyDescent="0.3">
      <c r="C114" t="s">
        <v>381</v>
      </c>
      <c r="D114" t="s">
        <v>382</v>
      </c>
    </row>
    <row r="115" spans="3:4" x14ac:dyDescent="0.3">
      <c r="C115" t="s">
        <v>383</v>
      </c>
      <c r="D115" t="s">
        <v>384</v>
      </c>
    </row>
    <row r="116" spans="3:4" x14ac:dyDescent="0.3">
      <c r="C116" t="s">
        <v>385</v>
      </c>
      <c r="D116" t="s">
        <v>386</v>
      </c>
    </row>
    <row r="117" spans="3:4" x14ac:dyDescent="0.3">
      <c r="C117" t="s">
        <v>387</v>
      </c>
      <c r="D117" t="s">
        <v>388</v>
      </c>
    </row>
    <row r="118" spans="3:4" x14ac:dyDescent="0.3">
      <c r="C118" t="s">
        <v>389</v>
      </c>
      <c r="D118" t="s">
        <v>390</v>
      </c>
    </row>
    <row r="119" spans="3:4" x14ac:dyDescent="0.3">
      <c r="C119" t="s">
        <v>391</v>
      </c>
      <c r="D119" t="s">
        <v>392</v>
      </c>
    </row>
    <row r="120" spans="3:4" x14ac:dyDescent="0.3">
      <c r="C120" t="s">
        <v>393</v>
      </c>
      <c r="D120" t="s">
        <v>394</v>
      </c>
    </row>
    <row r="121" spans="3:4" x14ac:dyDescent="0.3">
      <c r="C121" t="s">
        <v>395</v>
      </c>
      <c r="D121" t="s">
        <v>396</v>
      </c>
    </row>
    <row r="122" spans="3:4" x14ac:dyDescent="0.3">
      <c r="C122" t="s">
        <v>397</v>
      </c>
      <c r="D122" t="s">
        <v>398</v>
      </c>
    </row>
    <row r="123" spans="3:4" x14ac:dyDescent="0.3">
      <c r="C123" t="s">
        <v>399</v>
      </c>
      <c r="D123" t="s">
        <v>400</v>
      </c>
    </row>
    <row r="124" spans="3:4" x14ac:dyDescent="0.3">
      <c r="C124" t="s">
        <v>401</v>
      </c>
      <c r="D124" t="s">
        <v>402</v>
      </c>
    </row>
    <row r="125" spans="3:4" x14ac:dyDescent="0.3">
      <c r="C125" t="s">
        <v>403</v>
      </c>
      <c r="D125" t="s">
        <v>404</v>
      </c>
    </row>
    <row r="126" spans="3:4" x14ac:dyDescent="0.3">
      <c r="C126" t="s">
        <v>405</v>
      </c>
      <c r="D126" t="s">
        <v>406</v>
      </c>
    </row>
    <row r="127" spans="3:4" x14ac:dyDescent="0.3">
      <c r="C127" t="s">
        <v>407</v>
      </c>
      <c r="D127" t="s">
        <v>408</v>
      </c>
    </row>
    <row r="128" spans="3:4" x14ac:dyDescent="0.3">
      <c r="C128" t="s">
        <v>409</v>
      </c>
      <c r="D128" t="s">
        <v>410</v>
      </c>
    </row>
    <row r="129" spans="3:4" x14ac:dyDescent="0.3">
      <c r="C129" t="s">
        <v>411</v>
      </c>
      <c r="D129" t="s">
        <v>412</v>
      </c>
    </row>
    <row r="130" spans="3:4" x14ac:dyDescent="0.3">
      <c r="C130" t="s">
        <v>413</v>
      </c>
      <c r="D130" t="s">
        <v>414</v>
      </c>
    </row>
    <row r="131" spans="3:4" x14ac:dyDescent="0.3">
      <c r="C131" t="s">
        <v>415</v>
      </c>
      <c r="D131" t="s">
        <v>416</v>
      </c>
    </row>
    <row r="132" spans="3:4" x14ac:dyDescent="0.3">
      <c r="C132" t="s">
        <v>417</v>
      </c>
      <c r="D132" t="s">
        <v>418</v>
      </c>
    </row>
    <row r="133" spans="3:4" x14ac:dyDescent="0.3">
      <c r="C133" t="s">
        <v>419</v>
      </c>
      <c r="D133" t="s">
        <v>420</v>
      </c>
    </row>
    <row r="134" spans="3:4" x14ac:dyDescent="0.3">
      <c r="C134" t="s">
        <v>421</v>
      </c>
      <c r="D134" t="s">
        <v>422</v>
      </c>
    </row>
    <row r="135" spans="3:4" x14ac:dyDescent="0.3">
      <c r="C135" t="s">
        <v>423</v>
      </c>
      <c r="D135" t="s">
        <v>424</v>
      </c>
    </row>
  </sheetData>
  <phoneticPr fontId="2"/>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B2:C25"/>
  <sheetViews>
    <sheetView showGridLines="0" zoomScaleNormal="100" zoomScaleSheetLayoutView="80" zoomScalePageLayoutView="80" workbookViewId="0"/>
  </sheetViews>
  <sheetFormatPr defaultColWidth="7.36328125" defaultRowHeight="15" x14ac:dyDescent="0.3"/>
  <cols>
    <col min="1" max="1" width="2.08984375" style="15" customWidth="1"/>
    <col min="2" max="2" width="24" style="15" customWidth="1"/>
    <col min="3" max="3" width="80.6328125" style="15" customWidth="1"/>
    <col min="4" max="16384" width="7.36328125" style="15"/>
  </cols>
  <sheetData>
    <row r="2" spans="2:3" x14ac:dyDescent="0.3">
      <c r="B2" s="13" t="s">
        <v>425</v>
      </c>
      <c r="C2" s="14" t="s">
        <v>426</v>
      </c>
    </row>
    <row r="3" spans="2:3" x14ac:dyDescent="0.3">
      <c r="B3" s="27" t="s">
        <v>425</v>
      </c>
      <c r="C3" s="28" t="s">
        <v>427</v>
      </c>
    </row>
    <row r="4" spans="2:3" ht="30" customHeight="1" x14ac:dyDescent="0.3">
      <c r="B4" s="34" t="s">
        <v>428</v>
      </c>
      <c r="C4" s="20" t="s">
        <v>429</v>
      </c>
    </row>
    <row r="5" spans="2:3" ht="30" customHeight="1" x14ac:dyDescent="0.3">
      <c r="B5" s="23" t="s">
        <v>430</v>
      </c>
      <c r="C5" s="29" t="s">
        <v>431</v>
      </c>
    </row>
    <row r="6" spans="2:3" ht="30" customHeight="1" x14ac:dyDescent="0.3">
      <c r="B6" s="23" t="s">
        <v>432</v>
      </c>
      <c r="C6" s="29" t="s">
        <v>433</v>
      </c>
    </row>
    <row r="7" spans="2:3" ht="30" customHeight="1" x14ac:dyDescent="0.3">
      <c r="B7" s="22" t="s">
        <v>434</v>
      </c>
      <c r="C7" s="22" t="s">
        <v>435</v>
      </c>
    </row>
    <row r="8" spans="2:3" ht="30" customHeight="1" x14ac:dyDescent="0.3">
      <c r="B8" s="22" t="s">
        <v>436</v>
      </c>
      <c r="C8" s="22" t="s">
        <v>437</v>
      </c>
    </row>
    <row r="9" spans="2:3" ht="30" customHeight="1" x14ac:dyDescent="0.3">
      <c r="B9" s="23" t="s">
        <v>438</v>
      </c>
      <c r="C9" s="29" t="s">
        <v>439</v>
      </c>
    </row>
    <row r="10" spans="2:3" ht="30" customHeight="1" x14ac:dyDescent="0.3">
      <c r="B10" s="24" t="s">
        <v>440</v>
      </c>
      <c r="C10" s="24" t="s">
        <v>441</v>
      </c>
    </row>
    <row r="11" spans="2:3" ht="30" customHeight="1" x14ac:dyDescent="0.3">
      <c r="B11" s="23" t="s">
        <v>442</v>
      </c>
      <c r="C11" s="24" t="s">
        <v>443</v>
      </c>
    </row>
    <row r="12" spans="2:3" ht="30" customHeight="1" x14ac:dyDescent="0.3">
      <c r="B12" s="21" t="s">
        <v>444</v>
      </c>
      <c r="C12" s="24" t="s">
        <v>445</v>
      </c>
    </row>
    <row r="13" spans="2:3" ht="30" customHeight="1" x14ac:dyDescent="0.3">
      <c r="B13" s="23"/>
      <c r="C13" s="24"/>
    </row>
    <row r="14" spans="2:3" ht="30" customHeight="1" x14ac:dyDescent="0.3">
      <c r="B14" s="23"/>
      <c r="C14" s="24"/>
    </row>
    <row r="15" spans="2:3" ht="30" customHeight="1" x14ac:dyDescent="0.3">
      <c r="B15" s="23"/>
      <c r="C15" s="22"/>
    </row>
    <row r="16" spans="2:3" ht="30" customHeight="1" x14ac:dyDescent="0.3">
      <c r="B16" s="23"/>
      <c r="C16" s="24"/>
    </row>
    <row r="17" spans="2:3" ht="30" customHeight="1" x14ac:dyDescent="0.3">
      <c r="B17" s="24"/>
      <c r="C17" s="24"/>
    </row>
    <row r="18" spans="2:3" ht="30" customHeight="1" x14ac:dyDescent="0.3">
      <c r="B18" s="22"/>
      <c r="C18" s="24"/>
    </row>
    <row r="19" spans="2:3" ht="30" customHeight="1" x14ac:dyDescent="0.3">
      <c r="B19" s="24"/>
      <c r="C19" s="24"/>
    </row>
    <row r="20" spans="2:3" ht="30" customHeight="1" x14ac:dyDescent="0.3">
      <c r="B20" s="24"/>
      <c r="C20" s="24"/>
    </row>
    <row r="21" spans="2:3" ht="30" customHeight="1" x14ac:dyDescent="0.3">
      <c r="B21" s="24"/>
      <c r="C21" s="24"/>
    </row>
    <row r="22" spans="2:3" ht="30" customHeight="1" x14ac:dyDescent="0.3">
      <c r="B22" s="22"/>
      <c r="C22" s="24"/>
    </row>
    <row r="23" spans="2:3" ht="30" customHeight="1" x14ac:dyDescent="0.3">
      <c r="B23" s="24"/>
      <c r="C23" s="24"/>
    </row>
    <row r="24" spans="2:3" ht="30" customHeight="1" x14ac:dyDescent="0.3">
      <c r="B24" s="30"/>
      <c r="C24" s="30"/>
    </row>
    <row r="25" spans="2:3" ht="16.2" x14ac:dyDescent="0.3">
      <c r="B25" s="25" t="s">
        <v>446</v>
      </c>
      <c r="C25" s="26"/>
    </row>
  </sheetData>
  <phoneticPr fontId="2"/>
  <dataValidations count="1">
    <dataValidation type="textLength" operator="lessThanOrEqual" allowBlank="1" showInputMessage="1" showErrorMessage="1" sqref="B18:B24 B4:C17" xr:uid="{00000000-0002-0000-0200-000000000000}">
      <formula1>40</formula1>
    </dataValidation>
  </dataValidations>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2:D26"/>
  <sheetViews>
    <sheetView showGridLines="0" zoomScaleNormal="100" zoomScaleSheetLayoutView="80" zoomScalePageLayoutView="80" workbookViewId="0"/>
  </sheetViews>
  <sheetFormatPr defaultColWidth="7.36328125" defaultRowHeight="15" x14ac:dyDescent="0.3"/>
  <cols>
    <col min="1" max="1" width="2.08984375" style="15" customWidth="1"/>
    <col min="2" max="3" width="24" style="15" customWidth="1"/>
    <col min="4" max="4" width="80.6328125" style="15" customWidth="1"/>
    <col min="5" max="16384" width="7.36328125" style="15"/>
  </cols>
  <sheetData>
    <row r="2" spans="2:4" x14ac:dyDescent="0.3">
      <c r="B2" s="13" t="s">
        <v>447</v>
      </c>
      <c r="C2" s="13"/>
      <c r="D2" s="14" t="s">
        <v>426</v>
      </c>
    </row>
    <row r="3" spans="2:4" x14ac:dyDescent="0.3">
      <c r="B3" s="16" t="s">
        <v>448</v>
      </c>
      <c r="C3" s="91" t="s">
        <v>449</v>
      </c>
      <c r="D3" s="91"/>
    </row>
    <row r="4" spans="2:4" x14ac:dyDescent="0.3">
      <c r="B4" s="17" t="s">
        <v>41</v>
      </c>
      <c r="C4" s="18" t="s">
        <v>42</v>
      </c>
      <c r="D4" s="19" t="s">
        <v>450</v>
      </c>
    </row>
    <row r="5" spans="2:4" ht="30" customHeight="1" x14ac:dyDescent="0.3">
      <c r="B5" s="34" t="s">
        <v>54</v>
      </c>
      <c r="C5" s="20" t="s">
        <v>451</v>
      </c>
      <c r="D5" s="20" t="s">
        <v>429</v>
      </c>
    </row>
    <row r="6" spans="2:4" ht="30" customHeight="1" x14ac:dyDescent="0.3">
      <c r="B6" s="23" t="s">
        <v>54</v>
      </c>
      <c r="C6" s="29" t="s">
        <v>452</v>
      </c>
      <c r="D6" s="24" t="s">
        <v>453</v>
      </c>
    </row>
    <row r="7" spans="2:4" ht="30" customHeight="1" x14ac:dyDescent="0.3">
      <c r="B7" s="23" t="s">
        <v>54</v>
      </c>
      <c r="C7" s="29" t="s">
        <v>454</v>
      </c>
      <c r="D7" s="24" t="s">
        <v>455</v>
      </c>
    </row>
    <row r="8" spans="2:4" ht="30" customHeight="1" x14ac:dyDescent="0.3">
      <c r="B8" s="23" t="s">
        <v>54</v>
      </c>
      <c r="C8" s="29" t="s">
        <v>456</v>
      </c>
      <c r="D8" s="24" t="s">
        <v>457</v>
      </c>
    </row>
    <row r="9" spans="2:4" ht="30" customHeight="1" x14ac:dyDescent="0.3">
      <c r="B9" s="23" t="s">
        <v>54</v>
      </c>
      <c r="C9" s="22" t="s">
        <v>458</v>
      </c>
      <c r="D9" s="24" t="s">
        <v>459</v>
      </c>
    </row>
    <row r="10" spans="2:4" ht="30" customHeight="1" x14ac:dyDescent="0.3">
      <c r="B10" s="23" t="s">
        <v>54</v>
      </c>
      <c r="C10" s="22" t="s">
        <v>460</v>
      </c>
      <c r="D10" s="24" t="s">
        <v>461</v>
      </c>
    </row>
    <row r="11" spans="2:4" ht="30" customHeight="1" x14ac:dyDescent="0.3">
      <c r="B11" s="23" t="s">
        <v>462</v>
      </c>
      <c r="C11" s="29" t="s">
        <v>463</v>
      </c>
      <c r="D11" s="24" t="s">
        <v>464</v>
      </c>
    </row>
    <row r="12" spans="2:4" ht="30" customHeight="1" x14ac:dyDescent="0.3">
      <c r="B12" s="23" t="s">
        <v>465</v>
      </c>
      <c r="C12" s="22" t="s">
        <v>466</v>
      </c>
      <c r="D12" s="24" t="s">
        <v>467</v>
      </c>
    </row>
    <row r="13" spans="2:4" ht="30" customHeight="1" x14ac:dyDescent="0.3">
      <c r="B13" s="23" t="s">
        <v>468</v>
      </c>
      <c r="C13" s="24" t="s">
        <v>469</v>
      </c>
      <c r="D13" s="24" t="s">
        <v>470</v>
      </c>
    </row>
    <row r="14" spans="2:4" ht="30" customHeight="1" x14ac:dyDescent="0.3">
      <c r="B14" s="23" t="s">
        <v>471</v>
      </c>
      <c r="C14" s="24" t="s">
        <v>472</v>
      </c>
      <c r="D14" s="24" t="s">
        <v>473</v>
      </c>
    </row>
    <row r="15" spans="2:4" ht="30" customHeight="1" x14ac:dyDescent="0.3">
      <c r="B15" s="23" t="s">
        <v>474</v>
      </c>
      <c r="C15" s="24" t="s">
        <v>475</v>
      </c>
      <c r="D15" s="24" t="s">
        <v>476</v>
      </c>
    </row>
    <row r="16" spans="2:4" ht="30" customHeight="1" x14ac:dyDescent="0.3">
      <c r="B16" s="23" t="s">
        <v>477</v>
      </c>
      <c r="C16" s="24" t="s">
        <v>478</v>
      </c>
      <c r="D16" s="24" t="s">
        <v>479</v>
      </c>
    </row>
    <row r="17" spans="2:4" ht="30" customHeight="1" x14ac:dyDescent="0.3">
      <c r="B17" s="23" t="s">
        <v>480</v>
      </c>
      <c r="C17" s="22" t="s">
        <v>481</v>
      </c>
      <c r="D17" s="24" t="s">
        <v>482</v>
      </c>
    </row>
    <row r="18" spans="2:4" ht="30" customHeight="1" x14ac:dyDescent="0.3">
      <c r="B18" s="23" t="s">
        <v>480</v>
      </c>
      <c r="C18" s="24" t="s">
        <v>483</v>
      </c>
      <c r="D18" s="24" t="s">
        <v>484</v>
      </c>
    </row>
    <row r="19" spans="2:4" ht="30" customHeight="1" x14ac:dyDescent="0.3">
      <c r="B19" s="24" t="s">
        <v>485</v>
      </c>
      <c r="C19" s="24" t="s">
        <v>486</v>
      </c>
      <c r="D19" s="24" t="s">
        <v>487</v>
      </c>
    </row>
    <row r="20" spans="2:4" ht="30" customHeight="1" x14ac:dyDescent="0.3">
      <c r="B20" s="22" t="s">
        <v>488</v>
      </c>
      <c r="C20" s="22" t="s">
        <v>489</v>
      </c>
      <c r="D20" s="24" t="s">
        <v>443</v>
      </c>
    </row>
    <row r="21" spans="2:4" ht="30" customHeight="1" x14ac:dyDescent="0.3">
      <c r="B21" s="22" t="s">
        <v>490</v>
      </c>
      <c r="C21" s="22" t="s">
        <v>491</v>
      </c>
      <c r="D21" s="24" t="s">
        <v>492</v>
      </c>
    </row>
    <row r="22" spans="2:4" ht="30" customHeight="1" x14ac:dyDescent="0.3">
      <c r="B22" s="24"/>
      <c r="C22" s="24"/>
      <c r="D22" s="24"/>
    </row>
    <row r="23" spans="2:4" ht="30" customHeight="1" x14ac:dyDescent="0.3">
      <c r="B23" s="22"/>
      <c r="C23" s="22"/>
      <c r="D23" s="24"/>
    </row>
    <row r="24" spans="2:4" ht="30" customHeight="1" x14ac:dyDescent="0.3">
      <c r="B24" s="24"/>
      <c r="C24" s="24"/>
      <c r="D24" s="24"/>
    </row>
    <row r="25" spans="2:4" ht="30" customHeight="1" x14ac:dyDescent="0.3">
      <c r="B25" s="30"/>
      <c r="C25" s="30"/>
      <c r="D25" s="30"/>
    </row>
    <row r="26" spans="2:4" ht="16.2" x14ac:dyDescent="0.3">
      <c r="B26" s="25" t="s">
        <v>446</v>
      </c>
      <c r="C26" s="31"/>
      <c r="D26" s="26"/>
    </row>
  </sheetData>
  <mergeCells count="1">
    <mergeCell ref="C3:D3"/>
  </mergeCells>
  <phoneticPr fontId="2"/>
  <dataValidations count="1">
    <dataValidation type="textLength" operator="lessThanOrEqual" allowBlank="1" showInputMessage="1" showErrorMessage="1" sqref="D20 B5:C25 D5" xr:uid="{00000000-0002-0000-0300-000000000000}">
      <formula1>40</formula1>
    </dataValidation>
  </dataValidations>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44fe4817-1a8c-4f6d-9a7a-15a2f9c2ceea">
      <Terms xmlns="http://schemas.microsoft.com/office/infopath/2007/PartnerControls"/>
    </lcf76f155ced4ddcb4097134ff3c332f>
    <TaxCatchAll xmlns="2ad01a7e-b0cc-482e-be0b-d1161c9cb6dd" xsi:nil="true"/>
  </documentManagement>
</p:properti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08FF3A34676D824697E700815E8AA6A8" ma:contentTypeVersion="13" ma:contentTypeDescription="新しいドキュメントを作成します。" ma:contentTypeScope="" ma:versionID="ddf6ee8e52445465c0a7404d1205d416">
  <xsd:schema xmlns:xsd="http://www.w3.org/2001/XMLSchema" xmlns:xs="http://www.w3.org/2001/XMLSchema" xmlns:p="http://schemas.microsoft.com/office/2006/metadata/properties" xmlns:ns2="44fe4817-1a8c-4f6d-9a7a-15a2f9c2ceea" xmlns:ns3="2ad01a7e-b0cc-482e-be0b-d1161c9cb6dd" targetNamespace="http://schemas.microsoft.com/office/2006/metadata/properties" ma:root="true" ma:fieldsID="f446b65a1e89f5a19241f3a45b467c8a" ns2:_="" ns3:_="">
    <xsd:import namespace="44fe4817-1a8c-4f6d-9a7a-15a2f9c2ceea"/>
    <xsd:import namespace="2ad01a7e-b0cc-482e-be0b-d1161c9cb6d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OCR" minOccurs="0"/>
                <xsd:element ref="ns2:MediaServiceGenerationTime" minOccurs="0"/>
                <xsd:element ref="ns2:MediaServiceEventHashCode"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fe4817-1a8c-4f6d-9a7a-15a2f9c2ce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画像タグ" ma:readOnly="false" ma:fieldId="{5cf76f15-5ced-4ddc-b409-7134ff3c332f}" ma:taxonomyMulti="true" ma:sspId="9af9b40b-1e02-41df-a02a-f7cdeb5c05da"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ad01a7e-b0cc-482e-be0b-d1161c9cb6dd" elementFormDefault="qualified">
    <xsd:import namespace="http://schemas.microsoft.com/office/2006/documentManagement/types"/>
    <xsd:import namespace="http://schemas.microsoft.com/office/infopath/2007/PartnerControls"/>
    <xsd:element name="SharedWithUsers" ma:index="10"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共有相手の詳細情報" ma:internalName="SharedWithDetails" ma:readOnly="true">
      <xsd:simpleType>
        <xsd:restriction base="dms:Note">
          <xsd:maxLength value="255"/>
        </xsd:restriction>
      </xsd:simpleType>
    </xsd:element>
    <xsd:element name="TaxCatchAll" ma:index="14" nillable="true" ma:displayName="Taxonomy Catch All Column" ma:hidden="true" ma:list="{cf23d7e2-ce68-4abd-b181-8ce7ce528754}" ma:internalName="TaxCatchAll" ma:showField="CatchAllData" ma:web="2ad01a7e-b0cc-482e-be0b-d1161c9cb6d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2BFFD2E-9D0D-46DF-9BFC-3133369B5367}">
  <ds:schemaRefs>
    <ds:schemaRef ds:uri="http://schemas.microsoft.com/office/2006/metadata/properties"/>
    <ds:schemaRef ds:uri="http://schemas.microsoft.com/office/infopath/2007/PartnerControls"/>
    <ds:schemaRef ds:uri="44fe4817-1a8c-4f6d-9a7a-15a2f9c2ceea"/>
    <ds:schemaRef ds:uri="2ad01a7e-b0cc-482e-be0b-d1161c9cb6dd"/>
  </ds:schemaRefs>
</ds:datastoreItem>
</file>

<file path=customXml/itemProps2.xml><?xml version="1.0" encoding="utf-8"?>
<ds:datastoreItem xmlns:ds="http://schemas.openxmlformats.org/officeDocument/2006/customXml" ds:itemID="{DA68D994-B149-494D-B3C8-5FEC618E488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fe4817-1a8c-4f6d-9a7a-15a2f9c2ceea"/>
    <ds:schemaRef ds:uri="2ad01a7e-b0cc-482e-be0b-d1161c9cb6d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417E360-9BDB-4D98-A36D-0E33E6E4AD8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6</vt:i4>
      </vt:variant>
    </vt:vector>
  </HeadingPairs>
  <TitlesOfParts>
    <vt:vector size="10" baseType="lpstr">
      <vt:lpstr>レビュー表</vt:lpstr>
      <vt:lpstr>マスタ</vt:lpstr>
      <vt:lpstr>指摘区分</vt:lpstr>
      <vt:lpstr>原因区分</vt:lpstr>
      <vt:lpstr>原因区分!Print_Area</vt:lpstr>
      <vt:lpstr>指摘区分!Print_Area</vt:lpstr>
      <vt:lpstr>レビュー表!Print_Titles</vt:lpstr>
      <vt:lpstr>原因区分!原因一覧_終了</vt:lpstr>
      <vt:lpstr>指摘区分!原因一覧_終了</vt:lpstr>
      <vt:lpstr>最終行</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末永 健治</dc:creator>
  <cp:keywords/>
  <dc:description/>
  <cp:lastModifiedBy>吉本和哉</cp:lastModifiedBy>
  <cp:revision/>
  <dcterms:created xsi:type="dcterms:W3CDTF">2022-11-02T07:26:10Z</dcterms:created>
  <dcterms:modified xsi:type="dcterms:W3CDTF">2023-11-13T05:43:57Z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0x01010008FF3A34676D824697E700815E8AA6A8</vt:lpwstr>
  </property>
  <property fmtid="{D5CDD505-2E9C-101B-9397-08002B2CF9AE}" pid="3" name="MediaServiceImageTags">
    <vt:lpwstr/>
  </property>
</Properties>
</file>