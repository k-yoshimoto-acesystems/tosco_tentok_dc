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365" documentId="11_82CCA1A2D3D3B246573B64A93E3205ECB139A418" xr6:coauthVersionLast="47" xr6:coauthVersionMax="47" xr10:uidLastSave="{26E19D6B-21F8-4A9B-8C02-E389E153FCBC}"/>
  <bookViews>
    <workbookView xWindow="-120" yWindow="-120" windowWidth="20730" windowHeight="11160"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レビュー表!$A$48</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7" i="1" l="1"/>
  <c r="A47" i="1" l="1"/>
  <c r="A46" i="1"/>
  <c r="A45" i="1"/>
  <c r="A44" i="1"/>
  <c r="A43" i="1"/>
  <c r="A42" i="1"/>
  <c r="A41" i="1"/>
  <c r="A40" i="1"/>
  <c r="A39" i="1"/>
  <c r="A38" i="1"/>
  <c r="A37" i="1"/>
  <c r="A36" i="1"/>
  <c r="A35" i="1"/>
  <c r="A34" i="1"/>
  <c r="A33" i="1"/>
  <c r="A32" i="1"/>
  <c r="A31" i="1"/>
  <c r="A30" i="1"/>
  <c r="A29" i="1"/>
  <c r="A28" i="1"/>
  <c r="A27" i="1"/>
  <c r="A26" i="1"/>
  <c r="A25" i="1"/>
  <c r="A24" i="1"/>
  <c r="A10" i="1" l="1"/>
  <c r="A23" i="1" l="1"/>
  <c r="A22" i="1"/>
  <c r="A21" i="1"/>
  <c r="A20" i="1"/>
  <c r="A19" i="1"/>
  <c r="A18" i="1"/>
  <c r="A16" i="1"/>
  <c r="A15" i="1"/>
  <c r="A14" i="1"/>
  <c r="A13" i="1"/>
  <c r="A12" i="1"/>
  <c r="A11" i="1"/>
  <c r="A9" i="1"/>
  <c r="Q5" i="1"/>
  <c r="S5" i="1"/>
  <c r="Z5" i="1"/>
  <c r="W5" i="1"/>
  <c r="J2" i="1" l="1"/>
</calcChain>
</file>

<file path=xl/sharedStrings.xml><?xml version="1.0" encoding="utf-8"?>
<sst xmlns="http://schemas.openxmlformats.org/spreadsheetml/2006/main" count="586" uniqueCount="471">
  <si>
    <t>レビュードキュメント</t>
    <phoneticPr fontId="2"/>
  </si>
  <si>
    <t>業務分類</t>
    <rPh sb="0" eb="2">
      <t>ギョウム</t>
    </rPh>
    <rPh sb="2" eb="4">
      <t>ブンルイ</t>
    </rPh>
    <phoneticPr fontId="2"/>
  </si>
  <si>
    <t>機能ID</t>
    <rPh sb="0" eb="2">
      <t>キノウ</t>
    </rPh>
    <phoneticPr fontId="2"/>
  </si>
  <si>
    <t>機能名</t>
    <rPh sb="0" eb="3">
      <t>キノウメイ</t>
    </rPh>
    <phoneticPr fontId="2"/>
  </si>
  <si>
    <t>基本設計</t>
    <rPh sb="0" eb="2">
      <t>キホン</t>
    </rPh>
    <rPh sb="2" eb="4">
      <t>セッケイ</t>
    </rPh>
    <phoneticPr fontId="2"/>
  </si>
  <si>
    <t>C.生産実績</t>
  </si>
  <si>
    <t>C1401</t>
  </si>
  <si>
    <t>レビューア①</t>
    <phoneticPr fontId="2"/>
  </si>
  <si>
    <t>下井</t>
  </si>
  <si>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</si>
  <si>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</si>
  <si>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</si>
  <si>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</si>
  <si>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</si>
  <si>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</si>
  <si>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</si>
  <si>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</si>
  <si>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</si>
  <si>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</si>
  <si>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</si>
  <si>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</si>
  <si>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</si>
  <si>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</si>
  <si>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</si>
  <si>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</si>
  <si>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</si>
  <si>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</si>
  <si>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</si>
  <si>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</si>
  <si>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</si>
  <si>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</si>
  <si>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</si>
  <si>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</si>
  <si>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</si>
  <si>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</si>
  <si>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</si>
  <si>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</si>
  <si>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</si>
  <si>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</si>
  <si>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</si>
  <si>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</si>
  <si>
    <t>6:処理検討不足</t>
  </si>
  <si>
    <t>1初期表示 1検索条件初期表示 3)設備.チェックボックス設定
設備チェックボックス作成処理（対象データ検索→データ数分のチェックボックス生成）は機能個別仕様でなく画面関数として共通化する。
共通仕様を作成し、共通関数を呼び出す記載とする。</t>
  </si>
  <si>
    <t>プロセス仕様書</t>
    <phoneticPr fontId="2"/>
  </si>
  <si>
    <t>2検索条件 生産計画　品名　入力
3検索条件 仕上実績　品名　入力
ラジオボタンに変更されているため、未入力時チェックOFFのロジックは不要。
（入力を行った方にラジオボタン切替する仕様とする）</t>
  </si>
  <si>
    <t xml:space="preserve">2)の未入力の記載をグレーアウト。
</t>
    <rPh sb="3" eb="6">
      <t>ミニュウリョク</t>
    </rPh>
    <rPh sb="7" eb="9">
      <t>キサイ</t>
    </rPh>
    <phoneticPr fontId="2"/>
  </si>
  <si>
    <t>3:詳細設計</t>
    <rPh sb="2" eb="4">
      <t>ショウサイ</t>
    </rPh>
    <rPh sb="4" eb="6">
      <t>セッケイ</t>
    </rPh>
    <phoneticPr fontId="2"/>
  </si>
  <si>
    <t>1:設計ﾐｽ</t>
    <phoneticPr fontId="2"/>
  </si>
  <si>
    <t>12:記載漏れ（処理）</t>
    <phoneticPr fontId="2"/>
  </si>
  <si>
    <t>1:記載ミス</t>
  </si>
  <si>
    <t>４検索ボタン押下　２検索
１の処理が無い。
１入力チェックを行ごとグレーアウトにして
２検索（１検索に修正する）の行に検索ボタン押下を記載した方が良い。</t>
    <rPh sb="1" eb="3">
      <t>ケンサク</t>
    </rPh>
    <rPh sb="6" eb="8">
      <t>オウカ</t>
    </rPh>
    <rPh sb="10" eb="12">
      <t>ケンサク</t>
    </rPh>
    <rPh sb="15" eb="17">
      <t>ショリ</t>
    </rPh>
    <rPh sb="18" eb="19">
      <t>ナ</t>
    </rPh>
    <rPh sb="23" eb="25">
      <t>ニュウリョク</t>
    </rPh>
    <rPh sb="30" eb="31">
      <t>ギョウ</t>
    </rPh>
    <rPh sb="44" eb="46">
      <t>ケンサク</t>
    </rPh>
    <rPh sb="48" eb="50">
      <t>ケンサク</t>
    </rPh>
    <rPh sb="51" eb="53">
      <t>シュウセイ</t>
    </rPh>
    <rPh sb="57" eb="58">
      <t>ギョウ</t>
    </rPh>
    <rPh sb="59" eb="61">
      <t>ケンサク</t>
    </rPh>
    <rPh sb="64" eb="66">
      <t>オウカ</t>
    </rPh>
    <rPh sb="67" eb="69">
      <t>キサイ</t>
    </rPh>
    <rPh sb="71" eb="72">
      <t>ホウ</t>
    </rPh>
    <rPh sb="73" eb="74">
      <t>ヨ</t>
    </rPh>
    <phoneticPr fontId="2"/>
  </si>
  <si>
    <t xml:space="preserve">１入力チェックを行ごとグレーアウトにして
２検索（１検索に修正する）の行に検索ボタン押下
3 検索件数チェック～の連番も変更
</t>
    <rPh sb="47" eb="49">
      <t>ケンサク</t>
    </rPh>
    <rPh sb="49" eb="51">
      <t>ケンスウ</t>
    </rPh>
    <rPh sb="57" eb="59">
      <t>レンバン</t>
    </rPh>
    <rPh sb="60" eb="62">
      <t>ヘンコウ</t>
    </rPh>
    <phoneticPr fontId="2"/>
  </si>
  <si>
    <t>10:記載ミス</t>
    <phoneticPr fontId="2"/>
  </si>
  <si>
    <t>COMC1401001S</t>
  </si>
  <si>
    <t>9:設計問合せ</t>
  </si>
  <si>
    <t>3 リクエストパラメータより、一覧のヘッダデータを取得する
緑の枠が何を示しているか不明。</t>
    <rPh sb="30" eb="31">
      <t>ミドリ</t>
    </rPh>
    <rPh sb="32" eb="33">
      <t>ワク</t>
    </rPh>
    <rPh sb="34" eb="35">
      <t>ナニ</t>
    </rPh>
    <rPh sb="36" eb="37">
      <t>シメ</t>
    </rPh>
    <rPh sb="42" eb="44">
      <t>フメイ</t>
    </rPh>
    <phoneticPr fontId="2"/>
  </si>
  <si>
    <t xml:space="preserve">緑の枠を削除。
</t>
    <rPh sb="0" eb="1">
      <t>ミドリ</t>
    </rPh>
    <rPh sb="2" eb="3">
      <t>ワク</t>
    </rPh>
    <rPh sb="4" eb="6">
      <t>サクジョ</t>
    </rPh>
    <phoneticPr fontId="2"/>
  </si>
  <si>
    <t>13:記載不要</t>
    <phoneticPr fontId="2"/>
  </si>
  <si>
    <t>COMC1401001S</t>
    <phoneticPr fontId="2"/>
  </si>
  <si>
    <t>3 リクエストパラメータより、一覧のヘッダデータを取得する
抄紙実績情報のみ内部結合する場合、作業開始した生産計画情報しか一覧に表示されないため、生産実績一覧で完全新規の実績登録ができない。
問題ないか確認が必要。</t>
  </si>
  <si>
    <t>加工実績情報（抄紙）を外部結合から内部結合に修正。
PGも修正。</t>
  </si>
  <si>
    <t>3 リクエストパラメータより、一覧のヘッダデータを取得する
WITH句_対象データ取得のクエリでSELECT句に記載のない項目のテーブルがLEFT JOINされている。</t>
  </si>
  <si>
    <t>内部結合やwhere句で抽出条件としているため正しい。</t>
  </si>
  <si>
    <t>3:詳細設計</t>
  </si>
  <si>
    <t>A.指摘誤り</t>
  </si>
  <si>
    <t>A1:指摘誤り</t>
  </si>
  <si>
    <t>3 リクエストパラメータより、一覧のヘッダデータを取得する
WITH句_集計データ取得のクエリでSELECT句に「仕上実績_抄紙.生産計画№」を指定しているが、GROUP BY句にない（テーブルが違う）のでエラーが発生すると思われる。</t>
    <rPh sb="36" eb="38">
      <t>シュウケイ</t>
    </rPh>
    <rPh sb="54" eb="55">
      <t>ク</t>
    </rPh>
    <rPh sb="57" eb="61">
      <t>シアゲジッセキ</t>
    </rPh>
    <rPh sb="62" eb="64">
      <t>ショウシ</t>
    </rPh>
    <rPh sb="65" eb="69">
      <t>セイサンケイカク</t>
    </rPh>
    <rPh sb="72" eb="74">
      <t>シテイ</t>
    </rPh>
    <rPh sb="88" eb="89">
      <t>ク</t>
    </rPh>
    <rPh sb="98" eb="99">
      <t>チガ</t>
    </rPh>
    <rPh sb="107" eb="109">
      <t>ハッセイ</t>
    </rPh>
    <rPh sb="112" eb="113">
      <t>オモ</t>
    </rPh>
    <phoneticPr fontId="2"/>
  </si>
  <si>
    <t>3 リクエストパラメータより、一覧のヘッダデータを取得する
WITH句_集計データ取得のクエリでSELECT句に「仕上実績_抄紙.生産計画№」を指定していたのを、「生産計画情報_抄紙. 生産計画№」に修正。
実装では既に「生産計画情報_抄紙.生産計画№」になっていた。</t>
  </si>
  <si>
    <t>2:設計検討不足</t>
    <phoneticPr fontId="2"/>
  </si>
  <si>
    <t>21:処理検討不足</t>
    <phoneticPr fontId="2"/>
  </si>
  <si>
    <t>3 リクエストパラメータより、一覧のヘッダデータを取得する
WITH句_対象データ取得のクエリで検索条件期間FromToに完全に収まっている生産計画情報しか抽出できない。
検索条件期間と生産計画開始終了で範囲が被っている部分があれば抽出対象とする。</t>
    <rPh sb="34" eb="35">
      <t>ク</t>
    </rPh>
    <rPh sb="36" eb="38">
      <t>タイショウ</t>
    </rPh>
    <rPh sb="41" eb="43">
      <t>シュトク</t>
    </rPh>
    <rPh sb="48" eb="52">
      <t>ケンサクジョウケン</t>
    </rPh>
    <rPh sb="52" eb="54">
      <t>キカン</t>
    </rPh>
    <rPh sb="61" eb="63">
      <t>カンゼン</t>
    </rPh>
    <rPh sb="64" eb="65">
      <t>オサ</t>
    </rPh>
    <rPh sb="70" eb="74">
      <t>セイサンケイカク</t>
    </rPh>
    <rPh sb="74" eb="76">
      <t>ジョウホウ</t>
    </rPh>
    <rPh sb="78" eb="80">
      <t>チュウシュツ</t>
    </rPh>
    <rPh sb="86" eb="90">
      <t>ケンサクジョウケン</t>
    </rPh>
    <rPh sb="90" eb="92">
      <t>キカン</t>
    </rPh>
    <rPh sb="93" eb="97">
      <t>セイサンケイカク</t>
    </rPh>
    <rPh sb="97" eb="101">
      <t>カイシシュウリョウ</t>
    </rPh>
    <rPh sb="102" eb="104">
      <t>ハンイ</t>
    </rPh>
    <rPh sb="105" eb="106">
      <t>カブ</t>
    </rPh>
    <rPh sb="110" eb="112">
      <t>ブブン</t>
    </rPh>
    <rPh sb="116" eb="118">
      <t>チュウシュツ</t>
    </rPh>
    <phoneticPr fontId="2"/>
  </si>
  <si>
    <t>and 生産計画情報_抄紙.開始日時予定 
≦　パラメータ.seisan_keikaku_kikan_from　
and 生産計画情報_抄紙.終了日時予定
≧　パラメータ.seisan_keikaku_kikan_to ＋ 1日　
に設計書を修正。
PGも修正。</t>
  </si>
  <si>
    <t>４検索ボタン押下　3検索件数チェック
表示最大件数の取得はシステム設定ファイルから取得する。
※機能マスタメンテを参考してください。</t>
    <rPh sb="10" eb="14">
      <t>ケンサクケンスウ</t>
    </rPh>
    <rPh sb="19" eb="25">
      <t>ヒョウジサイダイケンスウ</t>
    </rPh>
    <rPh sb="26" eb="28">
      <t>シュトク</t>
    </rPh>
    <rPh sb="33" eb="35">
      <t>セッテイ</t>
    </rPh>
    <rPh sb="41" eb="43">
      <t>シュトク</t>
    </rPh>
    <rPh sb="48" eb="50">
      <t>キノウ</t>
    </rPh>
    <rPh sb="57" eb="59">
      <t>サンコウ</t>
    </rPh>
    <phoneticPr fontId="2"/>
  </si>
  <si>
    <t>取得したデータ件数　&gt;　システムマスタ.最大表示　の場合、エラーメッセージを表示する。
→取得したデータ件数　&gt;　設定ファイル.最大表示　の場合、エラーメッセージを表示する。
表示上限件数（[システムマスタ.最大表示]）を超えました。　上限件数を表示しますか？
→表示上限件数（[設定ファイル.最大表示]）を超えました。　上限件数を表示しますか？
に設計書を修正。</t>
  </si>
  <si>
    <t>3:記載不要</t>
  </si>
  <si>
    <t>４検索ボタン押下　4一覧表示 2)ヘッダデータ表示④⑤
①で編集仕様が記載されているため不要</t>
    <rPh sb="30" eb="34">
      <t>ヘンシュウシヨウ</t>
    </rPh>
    <rPh sb="35" eb="37">
      <t>キサイ</t>
    </rPh>
    <rPh sb="44" eb="46">
      <t>フヨウ</t>
    </rPh>
    <phoneticPr fontId="2"/>
  </si>
  <si>
    <t>④⑤の記載をグレーアウト。
PGも実装済み。</t>
  </si>
  <si>
    <t>6:処理検討不足</t>
    <phoneticPr fontId="2"/>
  </si>
  <si>
    <t>４検索ボタン押下　4一覧表示 2)ヘッダデータ表示⑥
丁取№ボタンの表示有無に関するロジックの記載が無い。</t>
    <rPh sb="27" eb="28">
      <t>チョウ</t>
    </rPh>
    <rPh sb="28" eb="29">
      <t>チョウチョウ</t>
    </rPh>
    <rPh sb="34" eb="36">
      <t>ヒョウジ</t>
    </rPh>
    <rPh sb="36" eb="38">
      <t>ウム</t>
    </rPh>
    <rPh sb="39" eb="40">
      <t>カン</t>
    </rPh>
    <rPh sb="47" eb="49">
      <t>キサイ</t>
    </rPh>
    <rPh sb="50" eb="51">
      <t>ナ</t>
    </rPh>
    <phoneticPr fontId="2"/>
  </si>
  <si>
    <t>４検索ボタン押下　4一覧表示 2)ヘッダデータ表示⑨
設備権限有無が何なのかわからない。権限マスタ？権限詳細マスタ？
マスタ取得する記載も必要。</t>
  </si>
  <si>
    <t>①改定年月日、利用者コード、機能コードを使って権限詳細マスタを検索する。
→データなしと編集権限フラグが0の場合、権限なし。
→編集権限フラグが１の場合、権限あり。
という認識でいいかQAで確認中。
②権限マスタの中に部署工程権限フラグがあり、この項目を使って、制限をする必要があるかQAで確認中。</t>
  </si>
  <si>
    <t>14:表現曖昧</t>
  </si>
  <si>
    <t>2:記載漏れ</t>
    <phoneticPr fontId="2"/>
  </si>
  <si>
    <t>４検索ボタン押下　4一覧表示 3)ソート
丁取№が必要。</t>
    <rPh sb="21" eb="23">
      <t>チョウトリ</t>
    </rPh>
    <rPh sb="25" eb="27">
      <t>ヒツヨウ</t>
    </rPh>
    <phoneticPr fontId="2"/>
  </si>
  <si>
    <t>3)ソート に+丁取No.追記。
PGも実装済み。</t>
  </si>
  <si>
    <t xml:space="preserve">抄紙実績ボタン、仕上実績ボタンの再検索
戻りではなく普通の画面遷移のため、このイベントで再検索の仕様は記載不要。
また、初期表示時イベントに検索条件が保持されているかどうかで検索を行う仕様が必要。
</t>
    <rPh sb="0" eb="4">
      <t>ショウシジッセキ</t>
    </rPh>
    <rPh sb="8" eb="12">
      <t>シアゲジッセキ</t>
    </rPh>
    <rPh sb="16" eb="19">
      <t>サイケンサク</t>
    </rPh>
    <rPh sb="20" eb="21">
      <t>モド</t>
    </rPh>
    <rPh sb="26" eb="28">
      <t>フツウ</t>
    </rPh>
    <rPh sb="29" eb="33">
      <t>ガメンセンイ</t>
    </rPh>
    <rPh sb="44" eb="47">
      <t>サイケンサク</t>
    </rPh>
    <rPh sb="48" eb="50">
      <t>シヨウ</t>
    </rPh>
    <rPh sb="51" eb="55">
      <t>キサイフヨウ</t>
    </rPh>
    <rPh sb="60" eb="65">
      <t>ショキヒョウジジ</t>
    </rPh>
    <rPh sb="70" eb="74">
      <t>ケンサクジョウケン</t>
    </rPh>
    <rPh sb="75" eb="77">
      <t>ホジ</t>
    </rPh>
    <rPh sb="87" eb="89">
      <t>ケンサク</t>
    </rPh>
    <rPh sb="90" eb="91">
      <t>オコナ</t>
    </rPh>
    <rPh sb="92" eb="94">
      <t>シヨウ</t>
    </rPh>
    <rPh sb="95" eb="97">
      <t>ヒツヨウ</t>
    </rPh>
    <phoneticPr fontId="2"/>
  </si>
  <si>
    <t xml:space="preserve">以前の 引継ぎ情報をグレーアウト
2 引継ぎ情報を表にて追記
</t>
    <rPh sb="0" eb="2">
      <t>イゼン</t>
    </rPh>
    <rPh sb="4" eb="6">
      <t>ヒキツ</t>
    </rPh>
    <rPh sb="7" eb="9">
      <t>ジョウホウ</t>
    </rPh>
    <rPh sb="19" eb="21">
      <t>ヒキツ</t>
    </rPh>
    <rPh sb="22" eb="24">
      <t>ジョウホウ</t>
    </rPh>
    <rPh sb="25" eb="26">
      <t>ヒョウ</t>
    </rPh>
    <rPh sb="28" eb="30">
      <t>ツイキ</t>
    </rPh>
    <phoneticPr fontId="2"/>
  </si>
  <si>
    <t>下井</t>
    <phoneticPr fontId="2"/>
  </si>
  <si>
    <t>5:表現統一</t>
  </si>
  <si>
    <t>7仕上実績ボタン押下
処理の連番を１から振りなおす</t>
    <rPh sb="1" eb="5">
      <t>シアゲジッセキ</t>
    </rPh>
    <rPh sb="8" eb="10">
      <t>オウカ</t>
    </rPh>
    <rPh sb="11" eb="13">
      <t>ショリ</t>
    </rPh>
    <rPh sb="14" eb="16">
      <t>レンバン</t>
    </rPh>
    <rPh sb="20" eb="21">
      <t>フ</t>
    </rPh>
    <phoneticPr fontId="2"/>
  </si>
  <si>
    <t>0 チェック処理をグレーアウト。</t>
    <rPh sb="6" eb="8">
      <t>ショリ</t>
    </rPh>
    <phoneticPr fontId="2"/>
  </si>
  <si>
    <t>15:表現統一</t>
    <phoneticPr fontId="2"/>
  </si>
  <si>
    <t>ダウンロード（仕上実績）</t>
    <rPh sb="7" eb="11">
      <t>シアゲジッセキ</t>
    </rPh>
    <phoneticPr fontId="2"/>
  </si>
  <si>
    <t>No14項目名誤り 誤：抄紙区分　正：仕上区分</t>
    <rPh sb="4" eb="8">
      <t>コウモクメイアヤマ</t>
    </rPh>
    <rPh sb="10" eb="11">
      <t>ゴ</t>
    </rPh>
    <rPh sb="12" eb="16">
      <t>ショウシクブン</t>
    </rPh>
    <rPh sb="17" eb="18">
      <t>セイ</t>
    </rPh>
    <rPh sb="19" eb="23">
      <t>シアゲクブン</t>
    </rPh>
    <phoneticPr fontId="2"/>
  </si>
  <si>
    <t>No14項目名　抄紙区分→仕上区分　に修正。</t>
    <rPh sb="19" eb="21">
      <t>シュウセイ</t>
    </rPh>
    <phoneticPr fontId="2"/>
  </si>
  <si>
    <t>COMC1401002S</t>
    <phoneticPr fontId="2"/>
  </si>
  <si>
    <t>１データベースに接続するの記載不要（機能マスタメンテの通信処理には記載なし）</t>
    <rPh sb="8" eb="10">
      <t>セツゾク</t>
    </rPh>
    <rPh sb="13" eb="17">
      <t>キサイフヨウ</t>
    </rPh>
    <rPh sb="18" eb="20">
      <t>キノウ</t>
    </rPh>
    <rPh sb="27" eb="31">
      <t>ツウシンショリ</t>
    </rPh>
    <rPh sb="33" eb="35">
      <t>キサイ</t>
    </rPh>
    <phoneticPr fontId="2"/>
  </si>
  <si>
    <t>1 データベースに接続する
9 データベースを切断する
をグレーアウト</t>
    <rPh sb="9" eb="11">
      <t>セツゾク</t>
    </rPh>
    <rPh sb="23" eb="25">
      <t>セツダン</t>
    </rPh>
    <phoneticPr fontId="2"/>
  </si>
  <si>
    <t>COMC1401002S
COMC1401003S</t>
    <phoneticPr fontId="2"/>
  </si>
  <si>
    <t>SQLの記載を部分的に省略している箇所について
実装自体を共通化する想定なら問題ないが、そうでない場合は省略せずSQL記載する</t>
    <rPh sb="4" eb="6">
      <t>キサイ</t>
    </rPh>
    <rPh sb="7" eb="10">
      <t>ブブンテキ</t>
    </rPh>
    <rPh sb="24" eb="26">
      <t>ジッソウ</t>
    </rPh>
    <rPh sb="26" eb="28">
      <t>ジタイ</t>
    </rPh>
    <rPh sb="29" eb="32">
      <t>キョウツウカ</t>
    </rPh>
    <rPh sb="34" eb="36">
      <t>ソウテイ</t>
    </rPh>
    <rPh sb="38" eb="40">
      <t>モンダイ</t>
    </rPh>
    <rPh sb="49" eb="51">
      <t>バアイ</t>
    </rPh>
    <rPh sb="52" eb="54">
      <t>ショウリャク</t>
    </rPh>
    <rPh sb="59" eb="61">
      <t>キサイ</t>
    </rPh>
    <phoneticPr fontId="2"/>
  </si>
  <si>
    <t>吉本さんと相談した結果、実装自体を共通化する方針になり、PGを修正。
CommonShoshiとCommonKakoを作って共通化。</t>
  </si>
  <si>
    <t>4:共通検討不足</t>
  </si>
  <si>
    <t>42:共通処理検討不足</t>
  </si>
  <si>
    <t>COMC1401010S
（COMC14ZZ010）</t>
    <phoneticPr fontId="2"/>
  </si>
  <si>
    <t>工程間をまたがる共通処理となっている。
処理の共通化は工程ごとに行う想定で見直す。</t>
    <rPh sb="0" eb="3">
      <t>コウテイカン</t>
    </rPh>
    <rPh sb="8" eb="10">
      <t>キョウツウ</t>
    </rPh>
    <rPh sb="10" eb="12">
      <t>ショリ</t>
    </rPh>
    <rPh sb="20" eb="22">
      <t>ショリ</t>
    </rPh>
    <rPh sb="23" eb="26">
      <t>キョウツウカ</t>
    </rPh>
    <rPh sb="27" eb="29">
      <t>コウテイ</t>
    </rPh>
    <rPh sb="32" eb="33">
      <t>オコナ</t>
    </rPh>
    <rPh sb="34" eb="36">
      <t>ソウテイ</t>
    </rPh>
    <rPh sb="37" eb="39">
      <t>ミナオ</t>
    </rPh>
    <phoneticPr fontId="2"/>
  </si>
  <si>
    <t>COMC14ZZ010を各工程の名前に変更。
COMC14ZZ010→COMCZZZZ001
プロセス仕様書の通信処理名も修正。</t>
  </si>
  <si>
    <t>作業一覧、仕上実績登録、生産実績一覧の３機能で使える内容となっているか？（各機能の詳細設計を統一できる内容か）</t>
    <rPh sb="0" eb="4">
      <t>サギョウイチラン</t>
    </rPh>
    <rPh sb="5" eb="11">
      <t>シアゲジッセキトウロク</t>
    </rPh>
    <rPh sb="12" eb="18">
      <t>セイサンジッセキイチラン</t>
    </rPh>
    <rPh sb="20" eb="22">
      <t>キノウ</t>
    </rPh>
    <rPh sb="23" eb="24">
      <t>ツカ</t>
    </rPh>
    <rPh sb="26" eb="28">
      <t>ナイヨウ</t>
    </rPh>
    <rPh sb="37" eb="40">
      <t>カクキノウ</t>
    </rPh>
    <rPh sb="41" eb="45">
      <t>ショウサイセッケイ</t>
    </rPh>
    <rPh sb="46" eb="48">
      <t>トウイツ</t>
    </rPh>
    <rPh sb="51" eb="53">
      <t>ナイヨウ</t>
    </rPh>
    <phoneticPr fontId="2"/>
  </si>
  <si>
    <t>生産実績一覧の計画終了ボタン押下時の処理を基準に共通化。
共通化したCOMCZZZZ001をC共通フォルダに格納。
作業一覧、仕上実績登録のプロセス仕様書の通信処理名も修正。</t>
  </si>
  <si>
    <t>4:表現曖昧</t>
    <phoneticPr fontId="2"/>
  </si>
  <si>
    <t>計画終了ボタン押下,計画終了解除ボタン押下　4抄紙実績一覧再検索
検索後の表示処理に関する記載が無い。</t>
    <rPh sb="0" eb="4">
      <t>ケイカクシュウリョウ</t>
    </rPh>
    <rPh sb="7" eb="9">
      <t>オウカ</t>
    </rPh>
    <rPh sb="10" eb="16">
      <t>ケイカクシュウリョウカイジョ</t>
    </rPh>
    <rPh sb="19" eb="21">
      <t>オウカ</t>
    </rPh>
    <rPh sb="23" eb="29">
      <t>ショウシジッセキイチラン</t>
    </rPh>
    <rPh sb="29" eb="32">
      <t>サイケンサク</t>
    </rPh>
    <rPh sb="33" eb="36">
      <t>ケンサクゴ</t>
    </rPh>
    <rPh sb="37" eb="41">
      <t>ヒョウジショリ</t>
    </rPh>
    <rPh sb="42" eb="43">
      <t>カン</t>
    </rPh>
    <rPh sb="45" eb="47">
      <t>キサイ</t>
    </rPh>
    <rPh sb="48" eb="49">
      <t>ナ</t>
    </rPh>
    <phoneticPr fontId="2"/>
  </si>
  <si>
    <t xml:space="preserve">計画終了ボタン押下、計画終了解除ボタン押下の再検索の項目に
検索条件　4.4で設定した検索条件を保持する
を追記。
</t>
    <rPh sb="0" eb="4">
      <t>ケイカクシュウリョウ</t>
    </rPh>
    <rPh sb="7" eb="9">
      <t>オウカ</t>
    </rPh>
    <rPh sb="10" eb="12">
      <t>ケイカク</t>
    </rPh>
    <rPh sb="12" eb="14">
      <t>シュウリョウ</t>
    </rPh>
    <rPh sb="14" eb="16">
      <t>カイジョ</t>
    </rPh>
    <rPh sb="19" eb="21">
      <t>オウカ</t>
    </rPh>
    <rPh sb="22" eb="23">
      <t>サイ</t>
    </rPh>
    <rPh sb="23" eb="25">
      <t>ケンサク</t>
    </rPh>
    <rPh sb="26" eb="28">
      <t>コウモク</t>
    </rPh>
    <rPh sb="30" eb="34">
      <t>ケンサクジョウケン</t>
    </rPh>
    <rPh sb="39" eb="41">
      <t>セッテイ</t>
    </rPh>
    <rPh sb="43" eb="47">
      <t>ケンサクジョウケン</t>
    </rPh>
    <rPh sb="48" eb="50">
      <t>ホジ</t>
    </rPh>
    <rPh sb="54" eb="56">
      <t>ツイキ</t>
    </rPh>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</si>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</sst>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1"/>
      <color rgb="FF444444"/>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style="thin">
        <color rgb="FF000000"/>
      </right>
      <top style="thin">
        <color indexed="64"/>
      </top>
      <bottom style="thin">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3">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1" fillId="2" borderId="2"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13" fillId="0" borderId="2" xfId="0" applyFont="1" applyBorder="1" applyAlignment="1">
      <alignment horizontal="center" vertical="top" wrapText="1"/>
    </xf>
    <xf numFmtId="0" fontId="0" fillId="0" borderId="20" xfId="0" applyBorder="1" applyAlignment="1">
      <alignment horizontal="left" vertical="top" wrapText="1"/>
    </xf>
    <xf numFmtId="0" fontId="7" fillId="4" borderId="13" xfId="1" applyFont="1" applyFill="1" applyBorder="1" applyAlignment="1">
      <alignment horizontal="center"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48"/>
  <sheetViews>
    <sheetView showGridLines="0" tabSelected="1" topLeftCell="AA1" workbookViewId="0">
      <selection activeCell="BM5" sqref="BM5"/>
    </sheetView>
  </sheetViews>
  <sheetFormatPr defaultColWidth="3.625" defaultRowHeight="15" customHeight="1" x14ac:dyDescent="0.25"/>
  <cols>
    <col min="1" max="1" width="4.625" style="3" customWidth="1"/>
    <col min="2" max="16" width="3.625" style="3" customWidth="1"/>
    <col min="17" max="17" width="3.625" style="3"/>
    <col min="18" max="23" width="3.625" style="3" customWidth="1"/>
    <col min="24" max="16384" width="3.625" style="3"/>
  </cols>
  <sheetData>
    <row r="1" spans="1:71" customFormat="1" ht="15" customHeight="1" x14ac:dyDescent="0.25">
      <c r="A1" s="74" t="s">
        <v>0</v>
      </c>
      <c r="B1" s="77"/>
      <c r="C1" s="77"/>
      <c r="D1" s="75"/>
      <c r="E1" s="76" t="s">
        <v>1</v>
      </c>
      <c r="F1" s="77"/>
      <c r="G1" s="75"/>
      <c r="H1" s="76" t="s">
        <v>2</v>
      </c>
      <c r="I1" s="75"/>
      <c r="J1" s="76" t="s">
        <v>3</v>
      </c>
      <c r="K1" s="77"/>
      <c r="L1" s="77"/>
      <c r="M1" s="77"/>
      <c r="N1" s="77"/>
      <c r="O1" s="75"/>
      <c r="P1" s="12"/>
    </row>
    <row r="2" spans="1:71" customFormat="1" ht="15" customHeight="1" x14ac:dyDescent="0.25">
      <c r="A2" s="84" t="s">
        <v>4</v>
      </c>
      <c r="B2" s="86"/>
      <c r="C2" s="86"/>
      <c r="D2" s="85"/>
      <c r="E2" s="84" t="s">
        <v>5</v>
      </c>
      <c r="F2" s="86"/>
      <c r="G2" s="85"/>
      <c r="H2" s="84" t="s">
        <v>6</v>
      </c>
      <c r="I2" s="85"/>
      <c r="J2" s="4" t="str">
        <f>IF(H2="","",VLOOKUP(H2,マスタ!C:D,2,FALSE))</f>
        <v>生産実績一覧（抄紙）</v>
      </c>
      <c r="K2" s="5"/>
      <c r="L2" s="5"/>
      <c r="M2" s="5"/>
      <c r="N2" s="5"/>
      <c r="O2" s="6"/>
      <c r="AE2" s="10" t="s">
        <v>7</v>
      </c>
      <c r="AF2" s="8"/>
      <c r="AG2" s="9"/>
      <c r="AH2" s="35" t="s">
        <v>8</v>
      </c>
      <c r="AI2" s="36"/>
      <c r="AJ2" s="36"/>
      <c r="AK2" s="37"/>
      <c r="AM2" s="3"/>
      <c r="AN2" s="3"/>
      <c r="AO2" s="3"/>
      <c r="AP2" s="3"/>
      <c r="AQ2" s="3"/>
      <c r="AR2" s="3"/>
      <c r="AS2" s="3"/>
    </row>
    <row r="3" spans="1:71" customFormat="1" ht="15" customHeight="1" x14ac:dyDescent="0.25">
      <c r="AE3" s="10" t="s">
        <v>9</v>
      </c>
      <c r="AF3" s="8"/>
      <c r="AG3" s="9"/>
      <c r="AH3" s="35"/>
      <c r="AI3" s="36"/>
      <c r="AJ3" s="36"/>
      <c r="AK3" s="37"/>
      <c r="AM3" s="3"/>
      <c r="AN3" s="3"/>
      <c r="AO3" s="3"/>
      <c r="AP3" s="3"/>
      <c r="AQ3" s="3"/>
      <c r="AR3" s="3"/>
      <c r="AS3" s="3"/>
    </row>
    <row r="4" spans="1:71" customFormat="1" ht="15" customHeight="1" x14ac:dyDescent="0.25">
      <c r="A4" s="74" t="s">
        <v>10</v>
      </c>
      <c r="B4" s="77"/>
      <c r="C4" s="75"/>
      <c r="D4" s="76" t="s">
        <v>11</v>
      </c>
      <c r="E4" s="77"/>
      <c r="F4" s="75"/>
      <c r="G4" s="76" t="s">
        <v>12</v>
      </c>
      <c r="H4" s="77"/>
      <c r="I4" s="75"/>
      <c r="J4" s="76" t="s">
        <v>13</v>
      </c>
      <c r="K4" s="77"/>
      <c r="L4" s="75"/>
      <c r="M4" s="76" t="s">
        <v>14</v>
      </c>
      <c r="N4" s="77"/>
      <c r="O4" s="75"/>
      <c r="P4" s="12"/>
      <c r="Q4" s="74" t="s">
        <v>15</v>
      </c>
      <c r="R4" s="75"/>
      <c r="S4" s="76" t="s">
        <v>16</v>
      </c>
      <c r="T4" s="77"/>
      <c r="U4" s="77"/>
      <c r="V4" s="75"/>
      <c r="W4" s="76" t="s">
        <v>17</v>
      </c>
      <c r="X4" s="77"/>
      <c r="Y4" s="75"/>
      <c r="Z4" s="76" t="s">
        <v>18</v>
      </c>
      <c r="AA4" s="77"/>
      <c r="AB4" s="75"/>
      <c r="AE4" s="10" t="s">
        <v>19</v>
      </c>
      <c r="AF4" s="8"/>
      <c r="AG4" s="9"/>
      <c r="AH4" s="35"/>
      <c r="AI4" s="36"/>
      <c r="AJ4" s="36"/>
      <c r="AK4" s="37"/>
      <c r="AM4" s="3"/>
      <c r="AN4" s="3"/>
      <c r="AO4" s="3"/>
      <c r="AP4" s="3"/>
      <c r="AQ4" s="3"/>
      <c r="AR4" s="3"/>
      <c r="AS4" s="3"/>
    </row>
    <row r="5" spans="1:71" customFormat="1" ht="15" customHeight="1" x14ac:dyDescent="0.25">
      <c r="A5" s="87">
        <v>1</v>
      </c>
      <c r="B5" s="88"/>
      <c r="C5" s="89"/>
      <c r="D5" s="78"/>
      <c r="E5" s="79"/>
      <c r="F5" s="80"/>
      <c r="G5" s="81"/>
      <c r="H5" s="82"/>
      <c r="I5" s="83"/>
      <c r="J5" s="81"/>
      <c r="K5" s="82"/>
      <c r="L5" s="83"/>
      <c r="M5" s="81">
        <v>0.29166666666666669</v>
      </c>
      <c r="N5" s="82"/>
      <c r="O5" s="83"/>
      <c r="P5" s="2"/>
      <c r="Q5" s="84">
        <f ca="1">COUNT(INDIRECT("$A9:$A"&amp;ROW(最終行)))</f>
        <v>21</v>
      </c>
      <c r="R5" s="85"/>
      <c r="S5" s="78" t="str">
        <f ca="1">IF(MAX(INDIRECT("$BB9:$BB"&amp;ROW(最終行)))=0,"",MAX(INDIRECT("$BB9:$BB"&amp;ROW(最終行))))</f>
        <v/>
      </c>
      <c r="T5" s="79"/>
      <c r="U5" s="79"/>
      <c r="V5" s="80"/>
      <c r="W5" s="78" t="str">
        <f ca="1">IF(MAX(INDIRECT("$BE9:$BE"&amp;ROW(最終行)))=0,"",MAX(INDIRECT("$BE9:$BE"&amp;ROW(最終行))))</f>
        <v/>
      </c>
      <c r="X5" s="79"/>
      <c r="Y5" s="80"/>
      <c r="Z5" s="78" t="str">
        <f ca="1">IF(MAX(INDIRECT("$BK9:$BK"&amp;ROW(最終行)))=0,"",MAX(INDIRECT("$BK9:$BK"&amp;ROW(最終行))))</f>
        <v/>
      </c>
      <c r="AA5" s="79"/>
      <c r="AB5" s="80"/>
      <c r="AD5" s="11"/>
      <c r="AE5" s="10" t="s">
        <v>20</v>
      </c>
      <c r="AF5" s="8"/>
      <c r="AG5" s="9"/>
      <c r="AH5" s="35"/>
      <c r="AI5" s="36"/>
      <c r="AJ5" s="36"/>
      <c r="AK5" s="37"/>
      <c r="AM5" s="3"/>
      <c r="AN5" s="3"/>
      <c r="AO5" s="3"/>
      <c r="AP5" s="3"/>
      <c r="AQ5" s="3"/>
      <c r="AR5" s="3"/>
      <c r="AS5" s="3"/>
    </row>
    <row r="6" spans="1:71" customFormat="1" ht="15" customHeight="1" x14ac:dyDescent="0.25"/>
    <row r="7" spans="1:71" s="1" customFormat="1" ht="15" customHeight="1" x14ac:dyDescent="0.25">
      <c r="A7" s="68" t="s">
        <v>21</v>
      </c>
      <c r="B7" s="62" t="s">
        <v>22</v>
      </c>
      <c r="C7" s="63"/>
      <c r="D7" s="62" t="s">
        <v>23</v>
      </c>
      <c r="E7" s="66"/>
      <c r="F7" s="66"/>
      <c r="G7" s="66"/>
      <c r="H7" s="63"/>
      <c r="I7" s="62" t="s">
        <v>24</v>
      </c>
      <c r="J7" s="66"/>
      <c r="K7" s="66"/>
      <c r="L7" s="63"/>
      <c r="M7" s="62" t="s">
        <v>25</v>
      </c>
      <c r="N7" s="66"/>
      <c r="O7" s="66"/>
      <c r="P7" s="66"/>
      <c r="Q7" s="66"/>
      <c r="R7" s="66"/>
      <c r="S7" s="66"/>
      <c r="T7" s="66"/>
      <c r="U7" s="66"/>
      <c r="V7" s="66"/>
      <c r="W7" s="66"/>
      <c r="X7" s="66"/>
      <c r="Y7" s="63"/>
      <c r="Z7" s="62" t="s">
        <v>26</v>
      </c>
      <c r="AA7" s="66"/>
      <c r="AB7" s="66"/>
      <c r="AC7" s="66"/>
      <c r="AD7" s="66"/>
      <c r="AE7" s="66"/>
      <c r="AF7" s="66"/>
      <c r="AG7" s="66"/>
      <c r="AH7" s="66"/>
      <c r="AI7" s="66"/>
      <c r="AJ7" s="66"/>
      <c r="AK7" s="66"/>
      <c r="AL7" s="63"/>
      <c r="AM7" s="62" t="s">
        <v>27</v>
      </c>
      <c r="AN7" s="66"/>
      <c r="AO7" s="63"/>
      <c r="AP7" s="70" t="s">
        <v>28</v>
      </c>
      <c r="AQ7" s="70"/>
      <c r="AR7" s="70"/>
      <c r="AS7" s="70"/>
      <c r="AT7" s="70"/>
      <c r="AU7" s="70"/>
      <c r="AV7" s="70"/>
      <c r="AW7" s="70"/>
      <c r="AX7" s="70"/>
      <c r="AY7" s="56" t="s">
        <v>29</v>
      </c>
      <c r="AZ7" s="57"/>
      <c r="BA7" s="57"/>
      <c r="BB7" s="57"/>
      <c r="BC7" s="57"/>
      <c r="BD7" s="57"/>
      <c r="BE7" s="57"/>
      <c r="BF7" s="57"/>
      <c r="BG7" s="58"/>
      <c r="BH7" s="70" t="s">
        <v>30</v>
      </c>
      <c r="BI7" s="70"/>
      <c r="BJ7" s="70"/>
      <c r="BK7" s="70"/>
      <c r="BL7" s="70"/>
      <c r="BM7" s="70"/>
      <c r="BN7" s="56" t="s">
        <v>31</v>
      </c>
      <c r="BO7" s="57"/>
      <c r="BP7" s="57"/>
      <c r="BQ7" s="57"/>
      <c r="BR7" s="57"/>
      <c r="BS7" s="58"/>
    </row>
    <row r="8" spans="1:71" s="1" customFormat="1" ht="15" customHeight="1" x14ac:dyDescent="0.25">
      <c r="A8" s="69"/>
      <c r="B8" s="64"/>
      <c r="C8" s="65"/>
      <c r="D8" s="64"/>
      <c r="E8" s="67"/>
      <c r="F8" s="67"/>
      <c r="G8" s="67"/>
      <c r="H8" s="65"/>
      <c r="I8" s="64"/>
      <c r="J8" s="67"/>
      <c r="K8" s="67"/>
      <c r="L8" s="65"/>
      <c r="M8" s="64"/>
      <c r="N8" s="67"/>
      <c r="O8" s="67"/>
      <c r="P8" s="67"/>
      <c r="Q8" s="67"/>
      <c r="R8" s="67"/>
      <c r="S8" s="67"/>
      <c r="T8" s="67"/>
      <c r="U8" s="67"/>
      <c r="V8" s="67"/>
      <c r="W8" s="67"/>
      <c r="X8" s="67"/>
      <c r="Y8" s="65"/>
      <c r="Z8" s="64"/>
      <c r="AA8" s="67"/>
      <c r="AB8" s="67"/>
      <c r="AC8" s="67"/>
      <c r="AD8" s="67"/>
      <c r="AE8" s="67"/>
      <c r="AF8" s="67"/>
      <c r="AG8" s="67"/>
      <c r="AH8" s="67"/>
      <c r="AI8" s="67"/>
      <c r="AJ8" s="67"/>
      <c r="AK8" s="67"/>
      <c r="AL8" s="65"/>
      <c r="AM8" s="64"/>
      <c r="AN8" s="67"/>
      <c r="AO8" s="65"/>
      <c r="AP8" s="59" t="s">
        <v>32</v>
      </c>
      <c r="AQ8" s="60"/>
      <c r="AR8" s="61"/>
      <c r="AS8" s="59" t="s">
        <v>33</v>
      </c>
      <c r="AT8" s="60"/>
      <c r="AU8" s="61"/>
      <c r="AV8" s="59" t="s">
        <v>34</v>
      </c>
      <c r="AW8" s="60"/>
      <c r="AX8" s="61"/>
      <c r="AY8" s="71" t="s">
        <v>35</v>
      </c>
      <c r="AZ8" s="72"/>
      <c r="BA8" s="73"/>
      <c r="BB8" s="71" t="s">
        <v>36</v>
      </c>
      <c r="BC8" s="72"/>
      <c r="BD8" s="73"/>
      <c r="BE8" s="71" t="s">
        <v>37</v>
      </c>
      <c r="BF8" s="72"/>
      <c r="BG8" s="73"/>
      <c r="BH8" s="59" t="s">
        <v>38</v>
      </c>
      <c r="BI8" s="60"/>
      <c r="BJ8" s="61"/>
      <c r="BK8" s="71" t="s">
        <v>39</v>
      </c>
      <c r="BL8" s="72"/>
      <c r="BM8" s="73"/>
      <c r="BN8" s="59"/>
      <c r="BO8" s="60"/>
      <c r="BP8" s="60"/>
      <c r="BQ8" s="60"/>
      <c r="BR8" s="60"/>
      <c r="BS8" s="61"/>
    </row>
    <row r="9" spans="1:71" ht="93.75" customHeight="1" x14ac:dyDescent="0.25">
      <c r="A9" s="7">
        <f>IF(M9="","",COUNTA($M$9:M9))</f>
        <v>1</v>
      </c>
      <c r="B9" s="38" t="s">
        <v>8</v>
      </c>
      <c r="C9" s="40"/>
      <c r="D9" s="53" t="s">
        <v>40</v>
      </c>
      <c r="E9" s="54"/>
      <c r="F9" s="54"/>
      <c r="G9" s="54"/>
      <c r="H9" s="55"/>
      <c r="I9" s="42" t="s">
        <v>41</v>
      </c>
      <c r="J9" s="42"/>
      <c r="K9" s="42"/>
      <c r="L9" s="42"/>
      <c r="M9" s="41" t="s">
        <v>42</v>
      </c>
      <c r="N9" s="42"/>
      <c r="O9" s="42"/>
      <c r="P9" s="42"/>
      <c r="Q9" s="42"/>
      <c r="R9" s="42"/>
      <c r="S9" s="42"/>
      <c r="T9" s="42"/>
      <c r="U9" s="42"/>
      <c r="V9" s="42"/>
      <c r="W9" s="42"/>
      <c r="X9" s="42"/>
      <c r="Y9" s="43"/>
      <c r="Z9" s="41"/>
      <c r="AA9" s="42"/>
      <c r="AB9" s="42"/>
      <c r="AC9" s="42"/>
      <c r="AD9" s="42"/>
      <c r="AE9" s="42"/>
      <c r="AF9" s="42"/>
      <c r="AG9" s="42"/>
      <c r="AH9" s="42"/>
      <c r="AI9" s="42"/>
      <c r="AJ9" s="42"/>
      <c r="AK9" s="42"/>
      <c r="AL9" s="43"/>
      <c r="AM9" s="41"/>
      <c r="AN9" s="42"/>
      <c r="AO9" s="43"/>
      <c r="AP9" s="47"/>
      <c r="AQ9" s="48"/>
      <c r="AR9" s="49"/>
      <c r="AS9" s="47"/>
      <c r="AT9" s="48"/>
      <c r="AU9" s="49"/>
      <c r="AV9" s="47"/>
      <c r="AW9" s="48"/>
      <c r="AX9" s="49"/>
      <c r="AY9" s="38"/>
      <c r="AZ9" s="39"/>
      <c r="BA9" s="40"/>
      <c r="BB9" s="50"/>
      <c r="BC9" s="51"/>
      <c r="BD9" s="52"/>
      <c r="BE9" s="50"/>
      <c r="BF9" s="51"/>
      <c r="BG9" s="52"/>
      <c r="BH9" s="38"/>
      <c r="BI9" s="39"/>
      <c r="BJ9" s="40"/>
      <c r="BK9" s="50"/>
      <c r="BL9" s="51"/>
      <c r="BM9" s="52"/>
      <c r="BN9" s="41"/>
      <c r="BO9" s="42"/>
      <c r="BP9" s="42"/>
      <c r="BQ9" s="42"/>
      <c r="BR9" s="42"/>
      <c r="BS9" s="43"/>
    </row>
    <row r="10" spans="1:71" ht="93.75" customHeight="1" x14ac:dyDescent="0.25">
      <c r="A10" s="7">
        <f>IF(M10="","",COUNTA($M$9:M10))</f>
        <v>2</v>
      </c>
      <c r="B10" s="38" t="s">
        <v>8</v>
      </c>
      <c r="C10" s="40"/>
      <c r="D10" s="53" t="s">
        <v>43</v>
      </c>
      <c r="E10" s="54"/>
      <c r="F10" s="54"/>
      <c r="G10" s="54"/>
      <c r="H10" s="55"/>
      <c r="I10" s="42" t="s">
        <v>41</v>
      </c>
      <c r="J10" s="42"/>
      <c r="K10" s="42"/>
      <c r="L10" s="42"/>
      <c r="M10" s="44" t="s">
        <v>44</v>
      </c>
      <c r="N10" s="45"/>
      <c r="O10" s="45"/>
      <c r="P10" s="45"/>
      <c r="Q10" s="45"/>
      <c r="R10" s="45"/>
      <c r="S10" s="45"/>
      <c r="T10" s="45"/>
      <c r="U10" s="45"/>
      <c r="V10" s="45"/>
      <c r="W10" s="45"/>
      <c r="X10" s="45"/>
      <c r="Y10" s="46"/>
      <c r="Z10" s="44" t="s">
        <v>45</v>
      </c>
      <c r="AA10" s="45"/>
      <c r="AB10" s="45"/>
      <c r="AC10" s="45"/>
      <c r="AD10" s="45"/>
      <c r="AE10" s="45"/>
      <c r="AF10" s="45"/>
      <c r="AG10" s="45"/>
      <c r="AH10" s="45"/>
      <c r="AI10" s="45"/>
      <c r="AJ10" s="45"/>
      <c r="AK10" s="45"/>
      <c r="AL10" s="46"/>
      <c r="AM10" s="41"/>
      <c r="AN10" s="42"/>
      <c r="AO10" s="43"/>
      <c r="AP10" s="47" t="s">
        <v>46</v>
      </c>
      <c r="AQ10" s="48"/>
      <c r="AR10" s="49"/>
      <c r="AS10" s="47" t="s">
        <v>47</v>
      </c>
      <c r="AT10" s="48"/>
      <c r="AU10" s="49"/>
      <c r="AV10" s="47" t="s">
        <v>48</v>
      </c>
      <c r="AW10" s="48"/>
      <c r="AX10" s="49"/>
      <c r="AY10" s="38"/>
      <c r="AZ10" s="39"/>
      <c r="BA10" s="40"/>
      <c r="BB10" s="50"/>
      <c r="BC10" s="51"/>
      <c r="BD10" s="52"/>
      <c r="BE10" s="50"/>
      <c r="BF10" s="51"/>
      <c r="BG10" s="52"/>
      <c r="BH10" s="38"/>
      <c r="BI10" s="39"/>
      <c r="BJ10" s="40"/>
      <c r="BK10" s="50"/>
      <c r="BL10" s="51"/>
      <c r="BM10" s="52"/>
      <c r="BN10" s="41"/>
      <c r="BO10" s="42"/>
      <c r="BP10" s="42"/>
      <c r="BQ10" s="42"/>
      <c r="BR10" s="42"/>
      <c r="BS10" s="43"/>
    </row>
    <row r="11" spans="1:71" ht="103.5" customHeight="1" x14ac:dyDescent="0.25">
      <c r="A11" s="7">
        <f>IF(M11="","",COUNTA($M$9:M11))</f>
        <v>3</v>
      </c>
      <c r="B11" s="38" t="s">
        <v>8</v>
      </c>
      <c r="C11" s="40"/>
      <c r="D11" s="53" t="s">
        <v>43</v>
      </c>
      <c r="E11" s="54"/>
      <c r="F11" s="54"/>
      <c r="G11" s="54"/>
      <c r="H11" s="55"/>
      <c r="I11" s="41" t="s">
        <v>49</v>
      </c>
      <c r="J11" s="42"/>
      <c r="K11" s="42"/>
      <c r="L11" s="43"/>
      <c r="M11" s="41" t="s">
        <v>50</v>
      </c>
      <c r="N11" s="42"/>
      <c r="O11" s="42"/>
      <c r="P11" s="42"/>
      <c r="Q11" s="42"/>
      <c r="R11" s="42"/>
      <c r="S11" s="42"/>
      <c r="T11" s="42"/>
      <c r="U11" s="42"/>
      <c r="V11" s="42"/>
      <c r="W11" s="42"/>
      <c r="X11" s="42"/>
      <c r="Y11" s="43"/>
      <c r="Z11" s="41" t="s">
        <v>51</v>
      </c>
      <c r="AA11" s="42"/>
      <c r="AB11" s="42"/>
      <c r="AC11" s="42"/>
      <c r="AD11" s="42"/>
      <c r="AE11" s="42"/>
      <c r="AF11" s="42"/>
      <c r="AG11" s="42"/>
      <c r="AH11" s="42"/>
      <c r="AI11" s="42"/>
      <c r="AJ11" s="42"/>
      <c r="AK11" s="42"/>
      <c r="AL11" s="43"/>
      <c r="AM11" s="41"/>
      <c r="AN11" s="42"/>
      <c r="AO11" s="43"/>
      <c r="AP11" s="47" t="s">
        <v>46</v>
      </c>
      <c r="AQ11" s="48"/>
      <c r="AR11" s="49"/>
      <c r="AS11" s="47" t="s">
        <v>47</v>
      </c>
      <c r="AT11" s="48"/>
      <c r="AU11" s="49"/>
      <c r="AV11" s="47" t="s">
        <v>52</v>
      </c>
      <c r="AW11" s="48"/>
      <c r="AX11" s="49"/>
      <c r="AY11" s="38"/>
      <c r="AZ11" s="39"/>
      <c r="BA11" s="40"/>
      <c r="BB11" s="50"/>
      <c r="BC11" s="51"/>
      <c r="BD11" s="52"/>
      <c r="BE11" s="50"/>
      <c r="BF11" s="51"/>
      <c r="BG11" s="52"/>
      <c r="BH11" s="38"/>
      <c r="BI11" s="39"/>
      <c r="BJ11" s="40"/>
      <c r="BK11" s="50"/>
      <c r="BL11" s="51"/>
      <c r="BM11" s="52"/>
      <c r="BN11" s="41"/>
      <c r="BO11" s="42"/>
      <c r="BP11" s="42"/>
      <c r="BQ11" s="42"/>
      <c r="BR11" s="42"/>
      <c r="BS11" s="43"/>
    </row>
    <row r="12" spans="1:71" ht="60" customHeight="1" x14ac:dyDescent="0.25">
      <c r="A12" s="7">
        <f>IF(M12="","",COUNTA($M$9:M12))</f>
        <v>4</v>
      </c>
      <c r="B12" s="38" t="s">
        <v>8</v>
      </c>
      <c r="C12" s="40"/>
      <c r="D12" s="53" t="s">
        <v>53</v>
      </c>
      <c r="E12" s="54"/>
      <c r="F12" s="54"/>
      <c r="G12" s="54"/>
      <c r="H12" s="55"/>
      <c r="I12" s="41" t="s">
        <v>54</v>
      </c>
      <c r="J12" s="42"/>
      <c r="K12" s="42"/>
      <c r="L12" s="43"/>
      <c r="M12" s="44" t="s">
        <v>55</v>
      </c>
      <c r="N12" s="45"/>
      <c r="O12" s="45"/>
      <c r="P12" s="45"/>
      <c r="Q12" s="45"/>
      <c r="R12" s="45"/>
      <c r="S12" s="45"/>
      <c r="T12" s="45"/>
      <c r="U12" s="45"/>
      <c r="V12" s="45"/>
      <c r="W12" s="45"/>
      <c r="X12" s="45"/>
      <c r="Y12" s="46"/>
      <c r="Z12" s="44" t="s">
        <v>56</v>
      </c>
      <c r="AA12" s="45"/>
      <c r="AB12" s="45"/>
      <c r="AC12" s="45"/>
      <c r="AD12" s="45"/>
      <c r="AE12" s="45"/>
      <c r="AF12" s="45"/>
      <c r="AG12" s="45"/>
      <c r="AH12" s="45"/>
      <c r="AI12" s="45"/>
      <c r="AJ12" s="45"/>
      <c r="AK12" s="45"/>
      <c r="AL12" s="46"/>
      <c r="AM12" s="41"/>
      <c r="AN12" s="42"/>
      <c r="AO12" s="43"/>
      <c r="AP12" s="47" t="s">
        <v>46</v>
      </c>
      <c r="AQ12" s="48"/>
      <c r="AR12" s="49"/>
      <c r="AS12" s="47" t="s">
        <v>47</v>
      </c>
      <c r="AT12" s="48"/>
      <c r="AU12" s="49"/>
      <c r="AV12" s="47" t="s">
        <v>57</v>
      </c>
      <c r="AW12" s="48"/>
      <c r="AX12" s="49"/>
      <c r="AY12" s="38"/>
      <c r="AZ12" s="39"/>
      <c r="BA12" s="40"/>
      <c r="BB12" s="50"/>
      <c r="BC12" s="51"/>
      <c r="BD12" s="52"/>
      <c r="BE12" s="50"/>
      <c r="BF12" s="51"/>
      <c r="BG12" s="52"/>
      <c r="BH12" s="38"/>
      <c r="BI12" s="39"/>
      <c r="BJ12" s="40"/>
      <c r="BK12" s="50"/>
      <c r="BL12" s="51"/>
      <c r="BM12" s="52"/>
      <c r="BN12" s="41"/>
      <c r="BO12" s="42"/>
      <c r="BP12" s="42"/>
      <c r="BQ12" s="42"/>
      <c r="BR12" s="42"/>
      <c r="BS12" s="43"/>
    </row>
    <row r="13" spans="1:71" ht="88.5" customHeight="1" x14ac:dyDescent="0.25">
      <c r="A13" s="7">
        <f>IF(M13="","",COUNTA($M$9:M13))</f>
        <v>5</v>
      </c>
      <c r="B13" s="38" t="s">
        <v>8</v>
      </c>
      <c r="C13" s="40"/>
      <c r="D13" s="53" t="s">
        <v>58</v>
      </c>
      <c r="E13" s="54"/>
      <c r="F13" s="54"/>
      <c r="G13" s="54"/>
      <c r="H13" s="55"/>
      <c r="I13" s="41" t="s">
        <v>54</v>
      </c>
      <c r="J13" s="42"/>
      <c r="K13" s="42"/>
      <c r="L13" s="43"/>
      <c r="M13" s="44" t="s">
        <v>59</v>
      </c>
      <c r="N13" s="45"/>
      <c r="O13" s="45"/>
      <c r="P13" s="45"/>
      <c r="Q13" s="45"/>
      <c r="R13" s="45"/>
      <c r="S13" s="45"/>
      <c r="T13" s="45"/>
      <c r="U13" s="45"/>
      <c r="V13" s="45"/>
      <c r="W13" s="45"/>
      <c r="X13" s="45"/>
      <c r="Y13" s="46"/>
      <c r="Z13" s="41" t="s">
        <v>60</v>
      </c>
      <c r="AA13" s="42"/>
      <c r="AB13" s="42"/>
      <c r="AC13" s="42"/>
      <c r="AD13" s="42"/>
      <c r="AE13" s="42"/>
      <c r="AF13" s="42"/>
      <c r="AG13" s="42"/>
      <c r="AH13" s="42"/>
      <c r="AI13" s="42"/>
      <c r="AJ13" s="42"/>
      <c r="AK13" s="42"/>
      <c r="AL13" s="43"/>
      <c r="AM13" s="41"/>
      <c r="AN13" s="42"/>
      <c r="AO13" s="43"/>
      <c r="AP13" s="47" t="s">
        <v>46</v>
      </c>
      <c r="AQ13" s="48"/>
      <c r="AR13" s="49"/>
      <c r="AS13" s="47" t="s">
        <v>47</v>
      </c>
      <c r="AT13" s="48"/>
      <c r="AU13" s="49"/>
      <c r="AV13" s="47" t="s">
        <v>48</v>
      </c>
      <c r="AW13" s="48"/>
      <c r="AX13" s="49"/>
      <c r="AY13" s="38"/>
      <c r="AZ13" s="39"/>
      <c r="BA13" s="40"/>
      <c r="BB13" s="50"/>
      <c r="BC13" s="51"/>
      <c r="BD13" s="52"/>
      <c r="BE13" s="50"/>
      <c r="BF13" s="51"/>
      <c r="BG13" s="52"/>
      <c r="BH13" s="38"/>
      <c r="BI13" s="39"/>
      <c r="BJ13" s="40"/>
      <c r="BK13" s="50"/>
      <c r="BL13" s="51"/>
      <c r="BM13" s="52"/>
      <c r="BN13" s="41"/>
      <c r="BO13" s="42"/>
      <c r="BP13" s="42"/>
      <c r="BQ13" s="42"/>
      <c r="BR13" s="42"/>
      <c r="BS13" s="43"/>
    </row>
    <row r="14" spans="1:71" ht="60" customHeight="1" x14ac:dyDescent="0.25">
      <c r="A14" s="7">
        <f>IF(M14="","",COUNTA($M$9:M14))</f>
        <v>6</v>
      </c>
      <c r="B14" s="38" t="s">
        <v>8</v>
      </c>
      <c r="C14" s="40"/>
      <c r="D14" s="53" t="s">
        <v>58</v>
      </c>
      <c r="E14" s="54"/>
      <c r="F14" s="54"/>
      <c r="G14" s="54"/>
      <c r="H14" s="55"/>
      <c r="I14" s="42" t="s">
        <v>41</v>
      </c>
      <c r="J14" s="42"/>
      <c r="K14" s="42"/>
      <c r="L14" s="42"/>
      <c r="M14" s="44" t="s">
        <v>61</v>
      </c>
      <c r="N14" s="45"/>
      <c r="O14" s="45"/>
      <c r="P14" s="45"/>
      <c r="Q14" s="45"/>
      <c r="R14" s="45"/>
      <c r="S14" s="45"/>
      <c r="T14" s="45"/>
      <c r="U14" s="45"/>
      <c r="V14" s="45"/>
      <c r="W14" s="45"/>
      <c r="X14" s="45"/>
      <c r="Y14" s="46"/>
      <c r="Z14" s="41" t="s">
        <v>62</v>
      </c>
      <c r="AA14" s="42"/>
      <c r="AB14" s="42"/>
      <c r="AC14" s="42"/>
      <c r="AD14" s="42"/>
      <c r="AE14" s="42"/>
      <c r="AF14" s="42"/>
      <c r="AG14" s="42"/>
      <c r="AH14" s="42"/>
      <c r="AI14" s="42"/>
      <c r="AJ14" s="42"/>
      <c r="AK14" s="42"/>
      <c r="AL14" s="43"/>
      <c r="AM14" s="41"/>
      <c r="AN14" s="42"/>
      <c r="AO14" s="43"/>
      <c r="AP14" s="47" t="s">
        <v>63</v>
      </c>
      <c r="AQ14" s="48"/>
      <c r="AR14" s="49"/>
      <c r="AS14" s="47" t="s">
        <v>64</v>
      </c>
      <c r="AT14" s="48"/>
      <c r="AU14" s="49"/>
      <c r="AV14" s="47" t="s">
        <v>65</v>
      </c>
      <c r="AW14" s="48"/>
      <c r="AX14" s="49"/>
      <c r="AY14" s="38"/>
      <c r="AZ14" s="39"/>
      <c r="BA14" s="40"/>
      <c r="BB14" s="50"/>
      <c r="BC14" s="51"/>
      <c r="BD14" s="52"/>
      <c r="BE14" s="50"/>
      <c r="BF14" s="51"/>
      <c r="BG14" s="52"/>
      <c r="BH14" s="38"/>
      <c r="BI14" s="39"/>
      <c r="BJ14" s="40"/>
      <c r="BK14" s="50"/>
      <c r="BL14" s="51"/>
      <c r="BM14" s="52"/>
      <c r="BN14" s="41"/>
      <c r="BO14" s="42"/>
      <c r="BP14" s="42"/>
      <c r="BQ14" s="42"/>
      <c r="BR14" s="42"/>
      <c r="BS14" s="43"/>
    </row>
    <row r="15" spans="1:71" ht="88.5" customHeight="1" x14ac:dyDescent="0.25">
      <c r="A15" s="7">
        <f>IF(M15="","",COUNTA($M$9:M15))</f>
        <v>7</v>
      </c>
      <c r="B15" s="38" t="s">
        <v>8</v>
      </c>
      <c r="C15" s="40"/>
      <c r="D15" s="53" t="s">
        <v>58</v>
      </c>
      <c r="E15" s="54"/>
      <c r="F15" s="54"/>
      <c r="G15" s="54"/>
      <c r="H15" s="55"/>
      <c r="I15" s="42" t="s">
        <v>41</v>
      </c>
      <c r="J15" s="42"/>
      <c r="K15" s="42"/>
      <c r="L15" s="42"/>
      <c r="M15" s="44" t="s">
        <v>66</v>
      </c>
      <c r="N15" s="45"/>
      <c r="O15" s="45"/>
      <c r="P15" s="45"/>
      <c r="Q15" s="45"/>
      <c r="R15" s="45"/>
      <c r="S15" s="45"/>
      <c r="T15" s="45"/>
      <c r="U15" s="45"/>
      <c r="V15" s="45"/>
      <c r="W15" s="45"/>
      <c r="X15" s="45"/>
      <c r="Y15" s="46"/>
      <c r="Z15" s="44" t="s">
        <v>67</v>
      </c>
      <c r="AA15" s="45"/>
      <c r="AB15" s="45"/>
      <c r="AC15" s="45"/>
      <c r="AD15" s="45"/>
      <c r="AE15" s="45"/>
      <c r="AF15" s="45"/>
      <c r="AG15" s="45"/>
      <c r="AH15" s="45"/>
      <c r="AI15" s="45"/>
      <c r="AJ15" s="45"/>
      <c r="AK15" s="45"/>
      <c r="AL15" s="46"/>
      <c r="AM15" s="41"/>
      <c r="AN15" s="42"/>
      <c r="AO15" s="43"/>
      <c r="AP15" s="47" t="s">
        <v>46</v>
      </c>
      <c r="AQ15" s="48"/>
      <c r="AR15" s="49"/>
      <c r="AS15" s="47" t="s">
        <v>68</v>
      </c>
      <c r="AT15" s="48"/>
      <c r="AU15" s="49"/>
      <c r="AV15" s="47" t="s">
        <v>69</v>
      </c>
      <c r="AW15" s="48"/>
      <c r="AX15" s="49"/>
      <c r="AY15" s="38"/>
      <c r="AZ15" s="39"/>
      <c r="BA15" s="40"/>
      <c r="BB15" s="50"/>
      <c r="BC15" s="51"/>
      <c r="BD15" s="52"/>
      <c r="BE15" s="50"/>
      <c r="BF15" s="51"/>
      <c r="BG15" s="52"/>
      <c r="BH15" s="38"/>
      <c r="BI15" s="39"/>
      <c r="BJ15" s="40"/>
      <c r="BK15" s="50"/>
      <c r="BL15" s="51"/>
      <c r="BM15" s="52"/>
      <c r="BN15" s="41"/>
      <c r="BO15" s="42"/>
      <c r="BP15" s="42"/>
      <c r="BQ15" s="42"/>
      <c r="BR15" s="42"/>
      <c r="BS15" s="43"/>
    </row>
    <row r="16" spans="1:71" ht="93" customHeight="1" x14ac:dyDescent="0.25">
      <c r="A16" s="7">
        <f>IF(M16="","",COUNTA($M$9:M16))</f>
        <v>8</v>
      </c>
      <c r="B16" s="38" t="s">
        <v>8</v>
      </c>
      <c r="C16" s="40"/>
      <c r="D16" s="53" t="s">
        <v>58</v>
      </c>
      <c r="E16" s="54"/>
      <c r="F16" s="54"/>
      <c r="G16" s="54"/>
      <c r="H16" s="55"/>
      <c r="I16" s="42" t="s">
        <v>41</v>
      </c>
      <c r="J16" s="42"/>
      <c r="K16" s="42"/>
      <c r="L16" s="42"/>
      <c r="M16" s="44" t="s">
        <v>70</v>
      </c>
      <c r="N16" s="45"/>
      <c r="O16" s="45"/>
      <c r="P16" s="45"/>
      <c r="Q16" s="45"/>
      <c r="R16" s="45"/>
      <c r="S16" s="45"/>
      <c r="T16" s="45"/>
      <c r="U16" s="45"/>
      <c r="V16" s="45"/>
      <c r="W16" s="45"/>
      <c r="X16" s="45"/>
      <c r="Y16" s="46"/>
      <c r="Z16" s="44" t="s">
        <v>71</v>
      </c>
      <c r="AA16" s="45"/>
      <c r="AB16" s="45"/>
      <c r="AC16" s="45"/>
      <c r="AD16" s="45"/>
      <c r="AE16" s="45"/>
      <c r="AF16" s="45"/>
      <c r="AG16" s="45"/>
      <c r="AH16" s="45"/>
      <c r="AI16" s="45"/>
      <c r="AJ16" s="45"/>
      <c r="AK16" s="45"/>
      <c r="AL16" s="46"/>
      <c r="AM16" s="41"/>
      <c r="AN16" s="42"/>
      <c r="AO16" s="43"/>
      <c r="AP16" s="47" t="s">
        <v>63</v>
      </c>
      <c r="AQ16" s="48"/>
      <c r="AR16" s="49"/>
      <c r="AS16" s="47" t="s">
        <v>68</v>
      </c>
      <c r="AT16" s="48"/>
      <c r="AU16" s="49"/>
      <c r="AV16" s="47" t="s">
        <v>69</v>
      </c>
      <c r="AW16" s="48"/>
      <c r="AX16" s="49"/>
      <c r="AY16" s="38"/>
      <c r="AZ16" s="39"/>
      <c r="BA16" s="40"/>
      <c r="BB16" s="50"/>
      <c r="BC16" s="51"/>
      <c r="BD16" s="52"/>
      <c r="BE16" s="50"/>
      <c r="BF16" s="51"/>
      <c r="BG16" s="52"/>
      <c r="BH16" s="38"/>
      <c r="BI16" s="39"/>
      <c r="BJ16" s="40"/>
      <c r="BK16" s="50"/>
      <c r="BL16" s="51"/>
      <c r="BM16" s="52"/>
      <c r="BN16" s="41"/>
      <c r="BO16" s="42"/>
      <c r="BP16" s="42"/>
      <c r="BQ16" s="42"/>
      <c r="BR16" s="42"/>
      <c r="BS16" s="43"/>
    </row>
    <row r="17" spans="1:71" ht="144.75" customHeight="1" x14ac:dyDescent="0.25">
      <c r="A17" s="7">
        <f>IF(M17="","",COUNTA($M$9:M17))</f>
        <v>9</v>
      </c>
      <c r="B17" s="38" t="s">
        <v>8</v>
      </c>
      <c r="C17" s="40"/>
      <c r="D17" s="53" t="s">
        <v>43</v>
      </c>
      <c r="E17" s="54"/>
      <c r="F17" s="54"/>
      <c r="G17" s="54"/>
      <c r="H17" s="55"/>
      <c r="I17" s="42" t="s">
        <v>41</v>
      </c>
      <c r="J17" s="42"/>
      <c r="K17" s="42"/>
      <c r="L17" s="42"/>
      <c r="M17" s="44" t="s">
        <v>72</v>
      </c>
      <c r="N17" s="45"/>
      <c r="O17" s="45"/>
      <c r="P17" s="45"/>
      <c r="Q17" s="45"/>
      <c r="R17" s="45"/>
      <c r="S17" s="45"/>
      <c r="T17" s="45"/>
      <c r="U17" s="45"/>
      <c r="V17" s="45"/>
      <c r="W17" s="45"/>
      <c r="X17" s="45"/>
      <c r="Y17" s="46"/>
      <c r="Z17" s="44" t="s">
        <v>73</v>
      </c>
      <c r="AA17" s="45"/>
      <c r="AB17" s="45"/>
      <c r="AC17" s="45"/>
      <c r="AD17" s="45"/>
      <c r="AE17" s="45"/>
      <c r="AF17" s="45"/>
      <c r="AG17" s="45"/>
      <c r="AH17" s="45"/>
      <c r="AI17" s="45"/>
      <c r="AJ17" s="45"/>
      <c r="AK17" s="45"/>
      <c r="AL17" s="46"/>
      <c r="AM17" s="41"/>
      <c r="AN17" s="42"/>
      <c r="AO17" s="43"/>
      <c r="AP17" s="47" t="s">
        <v>46</v>
      </c>
      <c r="AQ17" s="48"/>
      <c r="AR17" s="49"/>
      <c r="AS17" s="47" t="s">
        <v>47</v>
      </c>
      <c r="AT17" s="48"/>
      <c r="AU17" s="49"/>
      <c r="AV17" s="47" t="s">
        <v>48</v>
      </c>
      <c r="AW17" s="48"/>
      <c r="AX17" s="49"/>
      <c r="AY17" s="38"/>
      <c r="AZ17" s="39"/>
      <c r="BA17" s="40"/>
      <c r="BB17" s="50"/>
      <c r="BC17" s="51"/>
      <c r="BD17" s="52"/>
      <c r="BE17" s="50"/>
      <c r="BF17" s="51"/>
      <c r="BG17" s="52"/>
      <c r="BH17" s="38"/>
      <c r="BI17" s="39"/>
      <c r="BJ17" s="40"/>
      <c r="BK17" s="50"/>
      <c r="BL17" s="51"/>
      <c r="BM17" s="52"/>
      <c r="BN17" s="41"/>
      <c r="BO17" s="42"/>
      <c r="BP17" s="42"/>
      <c r="BQ17" s="42"/>
      <c r="BR17" s="42"/>
      <c r="BS17" s="43"/>
    </row>
    <row r="18" spans="1:71" ht="60" customHeight="1" x14ac:dyDescent="0.25">
      <c r="A18" s="7">
        <f>IF(M18="","",COUNTA($M$9:M18))</f>
        <v>10</v>
      </c>
      <c r="B18" s="38" t="s">
        <v>8</v>
      </c>
      <c r="C18" s="40"/>
      <c r="D18" s="53" t="s">
        <v>43</v>
      </c>
      <c r="E18" s="54"/>
      <c r="F18" s="54"/>
      <c r="G18" s="54"/>
      <c r="H18" s="55"/>
      <c r="I18" s="41" t="s">
        <v>74</v>
      </c>
      <c r="J18" s="42"/>
      <c r="K18" s="42"/>
      <c r="L18" s="43"/>
      <c r="M18" s="44" t="s">
        <v>75</v>
      </c>
      <c r="N18" s="45"/>
      <c r="O18" s="45"/>
      <c r="P18" s="45"/>
      <c r="Q18" s="45"/>
      <c r="R18" s="45"/>
      <c r="S18" s="45"/>
      <c r="T18" s="45"/>
      <c r="U18" s="45"/>
      <c r="V18" s="45"/>
      <c r="W18" s="45"/>
      <c r="X18" s="45"/>
      <c r="Y18" s="46"/>
      <c r="Z18" s="44" t="s">
        <v>76</v>
      </c>
      <c r="AA18" s="45"/>
      <c r="AB18" s="45"/>
      <c r="AC18" s="45"/>
      <c r="AD18" s="45"/>
      <c r="AE18" s="45"/>
      <c r="AF18" s="45"/>
      <c r="AG18" s="45"/>
      <c r="AH18" s="45"/>
      <c r="AI18" s="45"/>
      <c r="AJ18" s="45"/>
      <c r="AK18" s="45"/>
      <c r="AL18" s="46"/>
      <c r="AM18" s="41"/>
      <c r="AN18" s="42"/>
      <c r="AO18" s="43"/>
      <c r="AP18" s="47" t="s">
        <v>46</v>
      </c>
      <c r="AQ18" s="48"/>
      <c r="AR18" s="49"/>
      <c r="AS18" s="47" t="s">
        <v>47</v>
      </c>
      <c r="AT18" s="48"/>
      <c r="AU18" s="49"/>
      <c r="AV18" s="47" t="s">
        <v>57</v>
      </c>
      <c r="AW18" s="48"/>
      <c r="AX18" s="49"/>
      <c r="AY18" s="38"/>
      <c r="AZ18" s="39"/>
      <c r="BA18" s="40"/>
      <c r="BB18" s="50"/>
      <c r="BC18" s="51"/>
      <c r="BD18" s="52"/>
      <c r="BE18" s="50"/>
      <c r="BF18" s="51"/>
      <c r="BG18" s="52"/>
      <c r="BH18" s="38"/>
      <c r="BI18" s="39"/>
      <c r="BJ18" s="40"/>
      <c r="BK18" s="50"/>
      <c r="BL18" s="51"/>
      <c r="BM18" s="52"/>
      <c r="BN18" s="41"/>
      <c r="BO18" s="42"/>
      <c r="BP18" s="42"/>
      <c r="BQ18" s="42"/>
      <c r="BR18" s="42"/>
      <c r="BS18" s="43"/>
    </row>
    <row r="19" spans="1:71" ht="60" customHeight="1" x14ac:dyDescent="0.25">
      <c r="A19" s="7">
        <f>IF(M19="","",COUNTA($M$9:M19))</f>
        <v>11</v>
      </c>
      <c r="B19" s="38" t="s">
        <v>8</v>
      </c>
      <c r="C19" s="40"/>
      <c r="D19" s="53" t="s">
        <v>43</v>
      </c>
      <c r="E19" s="54"/>
      <c r="F19" s="54"/>
      <c r="G19" s="54"/>
      <c r="H19" s="55"/>
      <c r="I19" s="41" t="s">
        <v>77</v>
      </c>
      <c r="J19" s="42"/>
      <c r="K19" s="42"/>
      <c r="L19" s="43"/>
      <c r="M19" s="44" t="s">
        <v>78</v>
      </c>
      <c r="N19" s="45"/>
      <c r="O19" s="45"/>
      <c r="P19" s="45"/>
      <c r="Q19" s="45"/>
      <c r="R19" s="45"/>
      <c r="S19" s="45"/>
      <c r="T19" s="45"/>
      <c r="U19" s="45"/>
      <c r="V19" s="45"/>
      <c r="W19" s="45"/>
      <c r="X19" s="45"/>
      <c r="Y19" s="46"/>
      <c r="Z19" s="44"/>
      <c r="AA19" s="45"/>
      <c r="AB19" s="45"/>
      <c r="AC19" s="45"/>
      <c r="AD19" s="45"/>
      <c r="AE19" s="45"/>
      <c r="AF19" s="45"/>
      <c r="AG19" s="45"/>
      <c r="AH19" s="45"/>
      <c r="AI19" s="45"/>
      <c r="AJ19" s="45"/>
      <c r="AK19" s="45"/>
      <c r="AL19" s="46"/>
      <c r="AM19" s="41"/>
      <c r="AN19" s="42"/>
      <c r="AO19" s="43"/>
      <c r="AP19" s="47" t="s">
        <v>63</v>
      </c>
      <c r="AQ19" s="48"/>
      <c r="AR19" s="49"/>
      <c r="AS19" s="47" t="s">
        <v>64</v>
      </c>
      <c r="AT19" s="48"/>
      <c r="AU19" s="49"/>
      <c r="AV19" s="47" t="s">
        <v>65</v>
      </c>
      <c r="AW19" s="48"/>
      <c r="AX19" s="49"/>
      <c r="AY19" s="38"/>
      <c r="AZ19" s="39"/>
      <c r="BA19" s="40"/>
      <c r="BB19" s="50"/>
      <c r="BC19" s="51"/>
      <c r="BD19" s="52"/>
      <c r="BE19" s="50"/>
      <c r="BF19" s="51"/>
      <c r="BG19" s="52"/>
      <c r="BH19" s="38"/>
      <c r="BI19" s="39"/>
      <c r="BJ19" s="40"/>
      <c r="BK19" s="50"/>
      <c r="BL19" s="51"/>
      <c r="BM19" s="52"/>
      <c r="BN19" s="41"/>
      <c r="BO19" s="42"/>
      <c r="BP19" s="42"/>
      <c r="BQ19" s="42"/>
      <c r="BR19" s="42"/>
      <c r="BS19" s="43"/>
    </row>
    <row r="20" spans="1:71" ht="121.5" customHeight="1" x14ac:dyDescent="0.25">
      <c r="A20" s="7">
        <f>IF(M20="","",COUNTA($M$9:M20))</f>
        <v>12</v>
      </c>
      <c r="B20" s="38" t="s">
        <v>8</v>
      </c>
      <c r="C20" s="40"/>
      <c r="D20" s="53" t="s">
        <v>43</v>
      </c>
      <c r="E20" s="54"/>
      <c r="F20" s="54"/>
      <c r="G20" s="54"/>
      <c r="H20" s="55"/>
      <c r="I20" s="41" t="s">
        <v>77</v>
      </c>
      <c r="J20" s="42"/>
      <c r="K20" s="42"/>
      <c r="L20" s="43"/>
      <c r="M20" s="44" t="s">
        <v>79</v>
      </c>
      <c r="N20" s="45"/>
      <c r="O20" s="45"/>
      <c r="P20" s="45"/>
      <c r="Q20" s="45"/>
      <c r="R20" s="45"/>
      <c r="S20" s="45"/>
      <c r="T20" s="45"/>
      <c r="U20" s="45"/>
      <c r="V20" s="45"/>
      <c r="W20" s="45"/>
      <c r="X20" s="45"/>
      <c r="Y20" s="46"/>
      <c r="Z20" s="44" t="s">
        <v>80</v>
      </c>
      <c r="AA20" s="45"/>
      <c r="AB20" s="45"/>
      <c r="AC20" s="45"/>
      <c r="AD20" s="45"/>
      <c r="AE20" s="45"/>
      <c r="AF20" s="45"/>
      <c r="AG20" s="45"/>
      <c r="AH20" s="45"/>
      <c r="AI20" s="45"/>
      <c r="AJ20" s="45"/>
      <c r="AK20" s="45"/>
      <c r="AL20" s="46"/>
      <c r="AM20" s="41"/>
      <c r="AN20" s="42"/>
      <c r="AO20" s="43"/>
      <c r="AP20" s="47" t="s">
        <v>63</v>
      </c>
      <c r="AQ20" s="48"/>
      <c r="AR20" s="49"/>
      <c r="AS20" s="47" t="s">
        <v>47</v>
      </c>
      <c r="AT20" s="48"/>
      <c r="AU20" s="49"/>
      <c r="AV20" s="47" t="s">
        <v>81</v>
      </c>
      <c r="AW20" s="48"/>
      <c r="AX20" s="49"/>
      <c r="AY20" s="38"/>
      <c r="AZ20" s="39"/>
      <c r="BA20" s="40"/>
      <c r="BB20" s="50"/>
      <c r="BC20" s="51"/>
      <c r="BD20" s="52"/>
      <c r="BE20" s="50"/>
      <c r="BF20" s="51"/>
      <c r="BG20" s="52"/>
      <c r="BH20" s="38"/>
      <c r="BI20" s="39"/>
      <c r="BJ20" s="40"/>
      <c r="BK20" s="50"/>
      <c r="BL20" s="51"/>
      <c r="BM20" s="52"/>
      <c r="BN20" s="41"/>
      <c r="BO20" s="42"/>
      <c r="BP20" s="42"/>
      <c r="BQ20" s="42"/>
      <c r="BR20" s="42"/>
      <c r="BS20" s="43"/>
    </row>
    <row r="21" spans="1:71" ht="60" customHeight="1" x14ac:dyDescent="0.25">
      <c r="A21" s="7">
        <f>IF(M21="","",COUNTA($M$9:M21))</f>
        <v>13</v>
      </c>
      <c r="B21" s="38" t="s">
        <v>8</v>
      </c>
      <c r="C21" s="40"/>
      <c r="D21" s="53" t="s">
        <v>43</v>
      </c>
      <c r="E21" s="54"/>
      <c r="F21" s="54"/>
      <c r="G21" s="54"/>
      <c r="H21" s="55"/>
      <c r="I21" s="41" t="s">
        <v>82</v>
      </c>
      <c r="J21" s="42"/>
      <c r="K21" s="42"/>
      <c r="L21" s="43"/>
      <c r="M21" s="44" t="s">
        <v>83</v>
      </c>
      <c r="N21" s="45"/>
      <c r="O21" s="45"/>
      <c r="P21" s="45"/>
      <c r="Q21" s="45"/>
      <c r="R21" s="45"/>
      <c r="S21" s="45"/>
      <c r="T21" s="45"/>
      <c r="U21" s="45"/>
      <c r="V21" s="45"/>
      <c r="W21" s="45"/>
      <c r="X21" s="45"/>
      <c r="Y21" s="46"/>
      <c r="Z21" s="44" t="s">
        <v>84</v>
      </c>
      <c r="AA21" s="45"/>
      <c r="AB21" s="45"/>
      <c r="AC21" s="45"/>
      <c r="AD21" s="45"/>
      <c r="AE21" s="45"/>
      <c r="AF21" s="45"/>
      <c r="AG21" s="45"/>
      <c r="AH21" s="45"/>
      <c r="AI21" s="45"/>
      <c r="AJ21" s="45"/>
      <c r="AK21" s="45"/>
      <c r="AL21" s="46"/>
      <c r="AM21" s="41"/>
      <c r="AN21" s="42"/>
      <c r="AO21" s="43"/>
      <c r="AP21" s="47" t="s">
        <v>46</v>
      </c>
      <c r="AQ21" s="48"/>
      <c r="AR21" s="49"/>
      <c r="AS21" s="47" t="s">
        <v>47</v>
      </c>
      <c r="AT21" s="48"/>
      <c r="AU21" s="49"/>
      <c r="AV21" s="47" t="s">
        <v>48</v>
      </c>
      <c r="AW21" s="48"/>
      <c r="AX21" s="49"/>
      <c r="AY21" s="38"/>
      <c r="AZ21" s="39"/>
      <c r="BA21" s="40"/>
      <c r="BB21" s="50"/>
      <c r="BC21" s="51"/>
      <c r="BD21" s="52"/>
      <c r="BE21" s="50"/>
      <c r="BF21" s="51"/>
      <c r="BG21" s="52"/>
      <c r="BH21" s="38"/>
      <c r="BI21" s="39"/>
      <c r="BJ21" s="40"/>
      <c r="BK21" s="50"/>
      <c r="BL21" s="51"/>
      <c r="BM21" s="52"/>
      <c r="BN21" s="41"/>
      <c r="BO21" s="42"/>
      <c r="BP21" s="42"/>
      <c r="BQ21" s="42"/>
      <c r="BR21" s="42"/>
      <c r="BS21" s="43"/>
    </row>
    <row r="22" spans="1:71" ht="77.25" customHeight="1" x14ac:dyDescent="0.25">
      <c r="A22" s="7">
        <f>IF(M22="","",COUNTA($M$9:M22))</f>
        <v>14</v>
      </c>
      <c r="B22" s="38" t="s">
        <v>8</v>
      </c>
      <c r="C22" s="40"/>
      <c r="D22" s="53" t="s">
        <v>43</v>
      </c>
      <c r="E22" s="54"/>
      <c r="F22" s="54"/>
      <c r="G22" s="54"/>
      <c r="H22" s="55"/>
      <c r="I22" s="41" t="s">
        <v>49</v>
      </c>
      <c r="J22" s="42"/>
      <c r="K22" s="42"/>
      <c r="L22" s="43"/>
      <c r="M22" s="44" t="s">
        <v>85</v>
      </c>
      <c r="N22" s="45"/>
      <c r="O22" s="45"/>
      <c r="P22" s="45"/>
      <c r="Q22" s="45"/>
      <c r="R22" s="45"/>
      <c r="S22" s="45"/>
      <c r="T22" s="45"/>
      <c r="U22" s="45"/>
      <c r="V22" s="45"/>
      <c r="W22" s="45"/>
      <c r="X22" s="45"/>
      <c r="Y22" s="46"/>
      <c r="Z22" s="44" t="s">
        <v>86</v>
      </c>
      <c r="AA22" s="45"/>
      <c r="AB22" s="45"/>
      <c r="AC22" s="45"/>
      <c r="AD22" s="45"/>
      <c r="AE22" s="45"/>
      <c r="AF22" s="45"/>
      <c r="AG22" s="45"/>
      <c r="AH22" s="45"/>
      <c r="AI22" s="45"/>
      <c r="AJ22" s="45"/>
      <c r="AK22" s="45"/>
      <c r="AL22" s="46"/>
      <c r="AM22" s="41"/>
      <c r="AN22" s="42"/>
      <c r="AO22" s="43"/>
      <c r="AP22" s="47" t="s">
        <v>46</v>
      </c>
      <c r="AQ22" s="48"/>
      <c r="AR22" s="49"/>
      <c r="AS22" s="47" t="s">
        <v>47</v>
      </c>
      <c r="AT22" s="48"/>
      <c r="AU22" s="49"/>
      <c r="AV22" s="47" t="s">
        <v>52</v>
      </c>
      <c r="AW22" s="48"/>
      <c r="AX22" s="49"/>
      <c r="AY22" s="38"/>
      <c r="AZ22" s="39"/>
      <c r="BA22" s="40"/>
      <c r="BB22" s="50"/>
      <c r="BC22" s="51"/>
      <c r="BD22" s="52"/>
      <c r="BE22" s="50"/>
      <c r="BF22" s="51"/>
      <c r="BG22" s="52"/>
      <c r="BH22" s="38"/>
      <c r="BI22" s="39"/>
      <c r="BJ22" s="40"/>
      <c r="BK22" s="50"/>
      <c r="BL22" s="51"/>
      <c r="BM22" s="52"/>
      <c r="BN22" s="41"/>
      <c r="BO22" s="42"/>
      <c r="BP22" s="42"/>
      <c r="BQ22" s="42"/>
      <c r="BR22" s="42"/>
      <c r="BS22" s="43"/>
    </row>
    <row r="23" spans="1:71" ht="45" customHeight="1" x14ac:dyDescent="0.25">
      <c r="A23" s="7">
        <f>IF(M23="","",COUNTA($M$9:M23))</f>
        <v>15</v>
      </c>
      <c r="B23" s="38" t="s">
        <v>87</v>
      </c>
      <c r="C23" s="40"/>
      <c r="D23" s="53" t="s">
        <v>43</v>
      </c>
      <c r="E23" s="54"/>
      <c r="F23" s="54"/>
      <c r="G23" s="54"/>
      <c r="H23" s="55"/>
      <c r="I23" s="41" t="s">
        <v>88</v>
      </c>
      <c r="J23" s="42"/>
      <c r="K23" s="42"/>
      <c r="L23" s="43"/>
      <c r="M23" s="44" t="s">
        <v>89</v>
      </c>
      <c r="N23" s="45"/>
      <c r="O23" s="45"/>
      <c r="P23" s="45"/>
      <c r="Q23" s="45"/>
      <c r="R23" s="45"/>
      <c r="S23" s="45"/>
      <c r="T23" s="45"/>
      <c r="U23" s="45"/>
      <c r="V23" s="45"/>
      <c r="W23" s="45"/>
      <c r="X23" s="45"/>
      <c r="Y23" s="46"/>
      <c r="Z23" s="44" t="s">
        <v>90</v>
      </c>
      <c r="AA23" s="45"/>
      <c r="AB23" s="45"/>
      <c r="AC23" s="45"/>
      <c r="AD23" s="45"/>
      <c r="AE23" s="45"/>
      <c r="AF23" s="45"/>
      <c r="AG23" s="45"/>
      <c r="AH23" s="45"/>
      <c r="AI23" s="45"/>
      <c r="AJ23" s="45"/>
      <c r="AK23" s="45"/>
      <c r="AL23" s="46"/>
      <c r="AM23" s="41"/>
      <c r="AN23" s="42"/>
      <c r="AO23" s="43"/>
      <c r="AP23" s="47" t="s">
        <v>46</v>
      </c>
      <c r="AQ23" s="48"/>
      <c r="AR23" s="49"/>
      <c r="AS23" s="47" t="s">
        <v>47</v>
      </c>
      <c r="AT23" s="48"/>
      <c r="AU23" s="49"/>
      <c r="AV23" s="47" t="s">
        <v>91</v>
      </c>
      <c r="AW23" s="48"/>
      <c r="AX23" s="49"/>
      <c r="AY23" s="38"/>
      <c r="AZ23" s="39"/>
      <c r="BA23" s="40"/>
      <c r="BB23" s="50"/>
      <c r="BC23" s="51"/>
      <c r="BD23" s="52"/>
      <c r="BE23" s="50"/>
      <c r="BF23" s="51"/>
      <c r="BG23" s="52"/>
      <c r="BH23" s="38"/>
      <c r="BI23" s="39"/>
      <c r="BJ23" s="40"/>
      <c r="BK23" s="50"/>
      <c r="BL23" s="51"/>
      <c r="BM23" s="52"/>
      <c r="BN23" s="41"/>
      <c r="BO23" s="42"/>
      <c r="BP23" s="42"/>
      <c r="BQ23" s="42"/>
      <c r="BR23" s="42"/>
      <c r="BS23" s="43"/>
    </row>
    <row r="24" spans="1:71" ht="45" customHeight="1" x14ac:dyDescent="0.25">
      <c r="A24" s="7">
        <f>IF(M24="","",COUNTA($M$9:M24))</f>
        <v>16</v>
      </c>
      <c r="B24" s="38" t="s">
        <v>87</v>
      </c>
      <c r="C24" s="40"/>
      <c r="D24" s="53" t="s">
        <v>92</v>
      </c>
      <c r="E24" s="54"/>
      <c r="F24" s="54"/>
      <c r="G24" s="54"/>
      <c r="H24" s="55"/>
      <c r="I24" s="41" t="s">
        <v>49</v>
      </c>
      <c r="J24" s="42"/>
      <c r="K24" s="42"/>
      <c r="L24" s="43"/>
      <c r="M24" s="44" t="s">
        <v>93</v>
      </c>
      <c r="N24" s="45"/>
      <c r="O24" s="45"/>
      <c r="P24" s="45"/>
      <c r="Q24" s="45"/>
      <c r="R24" s="45"/>
      <c r="S24" s="45"/>
      <c r="T24" s="45"/>
      <c r="U24" s="45"/>
      <c r="V24" s="45"/>
      <c r="W24" s="45"/>
      <c r="X24" s="45"/>
      <c r="Y24" s="46"/>
      <c r="Z24" s="44" t="s">
        <v>94</v>
      </c>
      <c r="AA24" s="45"/>
      <c r="AB24" s="45"/>
      <c r="AC24" s="45"/>
      <c r="AD24" s="45"/>
      <c r="AE24" s="45"/>
      <c r="AF24" s="45"/>
      <c r="AG24" s="45"/>
      <c r="AH24" s="45"/>
      <c r="AI24" s="45"/>
      <c r="AJ24" s="45"/>
      <c r="AK24" s="45"/>
      <c r="AL24" s="46"/>
      <c r="AM24" s="41"/>
      <c r="AN24" s="42"/>
      <c r="AO24" s="43"/>
      <c r="AP24" s="47" t="s">
        <v>46</v>
      </c>
      <c r="AQ24" s="48"/>
      <c r="AR24" s="49"/>
      <c r="AS24" s="47" t="s">
        <v>47</v>
      </c>
      <c r="AT24" s="48"/>
      <c r="AU24" s="49"/>
      <c r="AV24" s="47" t="s">
        <v>52</v>
      </c>
      <c r="AW24" s="48"/>
      <c r="AX24" s="49"/>
      <c r="AY24" s="38"/>
      <c r="AZ24" s="39"/>
      <c r="BA24" s="40"/>
      <c r="BB24" s="50"/>
      <c r="BC24" s="51"/>
      <c r="BD24" s="52"/>
      <c r="BE24" s="50"/>
      <c r="BF24" s="51"/>
      <c r="BG24" s="52"/>
      <c r="BH24" s="38"/>
      <c r="BI24" s="39"/>
      <c r="BJ24" s="40"/>
      <c r="BK24" s="50"/>
      <c r="BL24" s="51"/>
      <c r="BM24" s="52"/>
      <c r="BN24" s="41"/>
      <c r="BO24" s="42"/>
      <c r="BP24" s="42"/>
      <c r="BQ24" s="42"/>
      <c r="BR24" s="42"/>
      <c r="BS24" s="43"/>
    </row>
    <row r="25" spans="1:71" ht="45" customHeight="1" x14ac:dyDescent="0.25">
      <c r="A25" s="7">
        <f>IF(M25="","",COUNTA($M$9:M25))</f>
        <v>17</v>
      </c>
      <c r="B25" s="38" t="s">
        <v>87</v>
      </c>
      <c r="C25" s="40"/>
      <c r="D25" s="53" t="s">
        <v>95</v>
      </c>
      <c r="E25" s="54"/>
      <c r="F25" s="54"/>
      <c r="G25" s="54"/>
      <c r="H25" s="55"/>
      <c r="I25" s="41" t="s">
        <v>88</v>
      </c>
      <c r="J25" s="42"/>
      <c r="K25" s="42"/>
      <c r="L25" s="43"/>
      <c r="M25" s="44" t="s">
        <v>96</v>
      </c>
      <c r="N25" s="45"/>
      <c r="O25" s="45"/>
      <c r="P25" s="45"/>
      <c r="Q25" s="45"/>
      <c r="R25" s="45"/>
      <c r="S25" s="45"/>
      <c r="T25" s="45"/>
      <c r="U25" s="45"/>
      <c r="V25" s="45"/>
      <c r="W25" s="45"/>
      <c r="X25" s="45"/>
      <c r="Y25" s="46"/>
      <c r="Z25" s="44" t="s">
        <v>97</v>
      </c>
      <c r="AA25" s="45"/>
      <c r="AB25" s="45"/>
      <c r="AC25" s="45"/>
      <c r="AD25" s="45"/>
      <c r="AE25" s="45"/>
      <c r="AF25" s="45"/>
      <c r="AG25" s="45"/>
      <c r="AH25" s="45"/>
      <c r="AI25" s="45"/>
      <c r="AJ25" s="45"/>
      <c r="AK25" s="45"/>
      <c r="AL25" s="46"/>
      <c r="AM25" s="41"/>
      <c r="AN25" s="42"/>
      <c r="AO25" s="43"/>
      <c r="AP25" s="47" t="s">
        <v>46</v>
      </c>
      <c r="AQ25" s="48"/>
      <c r="AR25" s="49"/>
      <c r="AS25" s="47" t="s">
        <v>47</v>
      </c>
      <c r="AT25" s="48"/>
      <c r="AU25" s="49"/>
      <c r="AV25" s="47" t="s">
        <v>91</v>
      </c>
      <c r="AW25" s="48"/>
      <c r="AX25" s="49"/>
      <c r="AY25" s="38"/>
      <c r="AZ25" s="39"/>
      <c r="BA25" s="40"/>
      <c r="BB25" s="50"/>
      <c r="BC25" s="51"/>
      <c r="BD25" s="52"/>
      <c r="BE25" s="50"/>
      <c r="BF25" s="51"/>
      <c r="BG25" s="52"/>
      <c r="BH25" s="38"/>
      <c r="BI25" s="39"/>
      <c r="BJ25" s="40"/>
      <c r="BK25" s="50"/>
      <c r="BL25" s="51"/>
      <c r="BM25" s="52"/>
      <c r="BN25" s="41"/>
      <c r="BO25" s="42"/>
      <c r="BP25" s="42"/>
      <c r="BQ25" s="42"/>
      <c r="BR25" s="42"/>
      <c r="BS25" s="43"/>
    </row>
    <row r="26" spans="1:71" ht="58.5" customHeight="1" x14ac:dyDescent="0.25">
      <c r="A26" s="7">
        <f>IF(M26="","",COUNTA($M$9:M26))</f>
        <v>18</v>
      </c>
      <c r="B26" s="38" t="s">
        <v>87</v>
      </c>
      <c r="C26" s="40"/>
      <c r="D26" s="41" t="s">
        <v>98</v>
      </c>
      <c r="E26" s="54"/>
      <c r="F26" s="54"/>
      <c r="G26" s="54"/>
      <c r="H26" s="55"/>
      <c r="I26" s="41" t="s">
        <v>54</v>
      </c>
      <c r="J26" s="42"/>
      <c r="K26" s="42"/>
      <c r="L26" s="43"/>
      <c r="M26" s="44" t="s">
        <v>99</v>
      </c>
      <c r="N26" s="45"/>
      <c r="O26" s="45"/>
      <c r="P26" s="45"/>
      <c r="Q26" s="45"/>
      <c r="R26" s="45"/>
      <c r="S26" s="45"/>
      <c r="T26" s="45"/>
      <c r="U26" s="45"/>
      <c r="V26" s="45"/>
      <c r="W26" s="45"/>
      <c r="X26" s="45"/>
      <c r="Y26" s="46"/>
      <c r="Z26" s="44" t="s">
        <v>100</v>
      </c>
      <c r="AA26" s="45"/>
      <c r="AB26" s="45"/>
      <c r="AC26" s="45"/>
      <c r="AD26" s="45"/>
      <c r="AE26" s="45"/>
      <c r="AF26" s="45"/>
      <c r="AG26" s="45"/>
      <c r="AH26" s="45"/>
      <c r="AI26" s="45"/>
      <c r="AJ26" s="45"/>
      <c r="AK26" s="45"/>
      <c r="AL26" s="46"/>
      <c r="AM26" s="41"/>
      <c r="AN26" s="42"/>
      <c r="AO26" s="43"/>
      <c r="AP26" s="47" t="s">
        <v>46</v>
      </c>
      <c r="AQ26" s="48"/>
      <c r="AR26" s="49"/>
      <c r="AS26" s="90" t="s">
        <v>101</v>
      </c>
      <c r="AT26" s="48"/>
      <c r="AU26" s="49"/>
      <c r="AV26" s="90" t="s">
        <v>102</v>
      </c>
      <c r="AW26" s="48"/>
      <c r="AX26" s="49"/>
      <c r="AY26" s="38"/>
      <c r="AZ26" s="39"/>
      <c r="BA26" s="40"/>
      <c r="BB26" s="50"/>
      <c r="BC26" s="51"/>
      <c r="BD26" s="52"/>
      <c r="BE26" s="50"/>
      <c r="BF26" s="51"/>
      <c r="BG26" s="52"/>
      <c r="BH26" s="38"/>
      <c r="BI26" s="39"/>
      <c r="BJ26" s="40"/>
      <c r="BK26" s="50"/>
      <c r="BL26" s="51"/>
      <c r="BM26" s="52"/>
      <c r="BN26" s="41"/>
      <c r="BO26" s="42"/>
      <c r="BP26" s="42"/>
      <c r="BQ26" s="42"/>
      <c r="BR26" s="42"/>
      <c r="BS26" s="43"/>
    </row>
    <row r="27" spans="1:71" ht="45" customHeight="1" x14ac:dyDescent="0.25">
      <c r="A27" s="7">
        <f>IF(M27="","",COUNTA($M$9:M27))</f>
        <v>19</v>
      </c>
      <c r="B27" s="38" t="s">
        <v>87</v>
      </c>
      <c r="C27" s="40"/>
      <c r="D27" s="41" t="s">
        <v>103</v>
      </c>
      <c r="E27" s="54"/>
      <c r="F27" s="54"/>
      <c r="G27" s="54"/>
      <c r="H27" s="55"/>
      <c r="I27" s="41" t="s">
        <v>77</v>
      </c>
      <c r="J27" s="42"/>
      <c r="K27" s="42"/>
      <c r="L27" s="43"/>
      <c r="M27" s="44" t="s">
        <v>104</v>
      </c>
      <c r="N27" s="45"/>
      <c r="O27" s="45"/>
      <c r="P27" s="45"/>
      <c r="Q27" s="45"/>
      <c r="R27" s="45"/>
      <c r="S27" s="45"/>
      <c r="T27" s="45"/>
      <c r="U27" s="45"/>
      <c r="V27" s="45"/>
      <c r="W27" s="45"/>
      <c r="X27" s="45"/>
      <c r="Y27" s="46"/>
      <c r="Z27" s="44" t="s">
        <v>105</v>
      </c>
      <c r="AA27" s="45"/>
      <c r="AB27" s="45"/>
      <c r="AC27" s="45"/>
      <c r="AD27" s="45"/>
      <c r="AE27" s="45"/>
      <c r="AF27" s="45"/>
      <c r="AG27" s="45"/>
      <c r="AH27" s="45"/>
      <c r="AI27" s="45"/>
      <c r="AJ27" s="45"/>
      <c r="AK27" s="45"/>
      <c r="AL27" s="91"/>
      <c r="AM27" s="42"/>
      <c r="AN27" s="42"/>
      <c r="AO27" s="43"/>
      <c r="AP27" s="47" t="s">
        <v>63</v>
      </c>
      <c r="AQ27" s="48"/>
      <c r="AR27" s="49"/>
      <c r="AS27" s="90" t="s">
        <v>101</v>
      </c>
      <c r="AT27" s="48"/>
      <c r="AU27" s="49"/>
      <c r="AV27" s="90" t="s">
        <v>102</v>
      </c>
      <c r="AW27" s="48"/>
      <c r="AX27" s="49"/>
      <c r="AY27" s="38"/>
      <c r="AZ27" s="39"/>
      <c r="BA27" s="40"/>
      <c r="BB27" s="50"/>
      <c r="BC27" s="51"/>
      <c r="BD27" s="52"/>
      <c r="BE27" s="50"/>
      <c r="BF27" s="51"/>
      <c r="BG27" s="52"/>
      <c r="BH27" s="38"/>
      <c r="BI27" s="39"/>
      <c r="BJ27" s="40"/>
      <c r="BK27" s="50"/>
      <c r="BL27" s="51"/>
      <c r="BM27" s="52"/>
      <c r="BN27" s="41"/>
      <c r="BO27" s="42"/>
      <c r="BP27" s="42"/>
      <c r="BQ27" s="42"/>
      <c r="BR27" s="42"/>
      <c r="BS27" s="43"/>
    </row>
    <row r="28" spans="1:71" ht="52.5" customHeight="1" x14ac:dyDescent="0.25">
      <c r="A28" s="7">
        <f>IF(M28="","",COUNTA($M$9:M28))</f>
        <v>20</v>
      </c>
      <c r="B28" s="38" t="s">
        <v>87</v>
      </c>
      <c r="C28" s="40"/>
      <c r="D28" s="41" t="s">
        <v>103</v>
      </c>
      <c r="E28" s="54"/>
      <c r="F28" s="54"/>
      <c r="G28" s="54"/>
      <c r="H28" s="55"/>
      <c r="I28" s="41" t="s">
        <v>54</v>
      </c>
      <c r="J28" s="42"/>
      <c r="K28" s="42"/>
      <c r="L28" s="43"/>
      <c r="M28" s="44" t="s">
        <v>106</v>
      </c>
      <c r="N28" s="45"/>
      <c r="O28" s="45"/>
      <c r="P28" s="45"/>
      <c r="Q28" s="45"/>
      <c r="R28" s="45"/>
      <c r="S28" s="45"/>
      <c r="T28" s="45"/>
      <c r="U28" s="45"/>
      <c r="V28" s="45"/>
      <c r="W28" s="45"/>
      <c r="X28" s="45"/>
      <c r="Y28" s="46"/>
      <c r="Z28" s="44" t="s">
        <v>107</v>
      </c>
      <c r="AA28" s="45"/>
      <c r="AB28" s="45"/>
      <c r="AC28" s="45"/>
      <c r="AD28" s="45"/>
      <c r="AE28" s="45"/>
      <c r="AF28" s="45"/>
      <c r="AG28" s="45"/>
      <c r="AH28" s="45"/>
      <c r="AI28" s="45"/>
      <c r="AJ28" s="45"/>
      <c r="AK28" s="45"/>
      <c r="AL28" s="91"/>
      <c r="AM28" s="42"/>
      <c r="AN28" s="42"/>
      <c r="AO28" s="43"/>
      <c r="AP28" s="47" t="s">
        <v>63</v>
      </c>
      <c r="AQ28" s="48"/>
      <c r="AR28" s="49"/>
      <c r="AS28" s="90" t="s">
        <v>101</v>
      </c>
      <c r="AT28" s="48"/>
      <c r="AU28" s="49"/>
      <c r="AV28" s="90" t="s">
        <v>102</v>
      </c>
      <c r="AW28" s="48"/>
      <c r="AX28" s="49"/>
      <c r="AY28" s="38"/>
      <c r="AZ28" s="39"/>
      <c r="BA28" s="40"/>
      <c r="BB28" s="50"/>
      <c r="BC28" s="51"/>
      <c r="BD28" s="52"/>
      <c r="BE28" s="50"/>
      <c r="BF28" s="51"/>
      <c r="BG28" s="52"/>
      <c r="BH28" s="38"/>
      <c r="BI28" s="39"/>
      <c r="BJ28" s="40"/>
      <c r="BK28" s="50"/>
      <c r="BL28" s="51"/>
      <c r="BM28" s="52"/>
      <c r="BN28" s="41"/>
      <c r="BO28" s="42"/>
      <c r="BP28" s="42"/>
      <c r="BQ28" s="42"/>
      <c r="BR28" s="42"/>
      <c r="BS28" s="43"/>
    </row>
    <row r="29" spans="1:71" ht="45" customHeight="1" x14ac:dyDescent="0.25">
      <c r="A29" s="7">
        <f>IF(M29="","",COUNTA($M$9:M29))</f>
        <v>21</v>
      </c>
      <c r="B29" s="38" t="s">
        <v>87</v>
      </c>
      <c r="C29" s="40"/>
      <c r="D29" s="53" t="s">
        <v>43</v>
      </c>
      <c r="E29" s="54"/>
      <c r="F29" s="54"/>
      <c r="G29" s="54"/>
      <c r="H29" s="55"/>
      <c r="I29" s="41" t="s">
        <v>108</v>
      </c>
      <c r="J29" s="42"/>
      <c r="K29" s="42"/>
      <c r="L29" s="43"/>
      <c r="M29" s="44" t="s">
        <v>109</v>
      </c>
      <c r="N29" s="45"/>
      <c r="O29" s="45"/>
      <c r="P29" s="45"/>
      <c r="Q29" s="45"/>
      <c r="R29" s="45"/>
      <c r="S29" s="45"/>
      <c r="T29" s="45"/>
      <c r="U29" s="45"/>
      <c r="V29" s="45"/>
      <c r="W29" s="45"/>
      <c r="X29" s="45"/>
      <c r="Y29" s="46"/>
      <c r="Z29" s="44" t="s">
        <v>110</v>
      </c>
      <c r="AA29" s="45"/>
      <c r="AB29" s="45"/>
      <c r="AC29" s="45"/>
      <c r="AD29" s="45"/>
      <c r="AE29" s="45"/>
      <c r="AF29" s="45"/>
      <c r="AG29" s="45"/>
      <c r="AH29" s="45"/>
      <c r="AI29" s="45"/>
      <c r="AJ29" s="45"/>
      <c r="AK29" s="45"/>
      <c r="AL29" s="46"/>
      <c r="AM29" s="41"/>
      <c r="AN29" s="42"/>
      <c r="AO29" s="43"/>
      <c r="AP29" s="47" t="s">
        <v>46</v>
      </c>
      <c r="AQ29" s="48"/>
      <c r="AR29" s="49"/>
      <c r="AS29" s="47" t="s">
        <v>47</v>
      </c>
      <c r="AT29" s="48"/>
      <c r="AU29" s="49"/>
      <c r="AV29" s="47" t="s">
        <v>52</v>
      </c>
      <c r="AW29" s="48"/>
      <c r="AX29" s="49"/>
      <c r="AY29" s="38"/>
      <c r="AZ29" s="39"/>
      <c r="BA29" s="40"/>
      <c r="BB29" s="50"/>
      <c r="BC29" s="51"/>
      <c r="BD29" s="52"/>
      <c r="BE29" s="50"/>
      <c r="BF29" s="51"/>
      <c r="BG29" s="52"/>
      <c r="BH29" s="38"/>
      <c r="BI29" s="39"/>
      <c r="BJ29" s="40"/>
      <c r="BK29" s="50"/>
      <c r="BL29" s="51"/>
      <c r="BM29" s="52"/>
      <c r="BN29" s="41"/>
      <c r="BO29" s="42"/>
      <c r="BP29" s="42"/>
      <c r="BQ29" s="42"/>
      <c r="BR29" s="42"/>
      <c r="BS29" s="43"/>
    </row>
    <row r="30" spans="1:71" ht="45" customHeight="1" x14ac:dyDescent="0.25">
      <c r="A30" s="7" t="str">
        <f>IF(M30="","",COUNTA($M$9:M30))</f>
        <v/>
      </c>
      <c r="B30" s="38"/>
      <c r="C30" s="40"/>
      <c r="D30" s="53"/>
      <c r="E30" s="54"/>
      <c r="F30" s="54"/>
      <c r="G30" s="54"/>
      <c r="H30" s="55"/>
      <c r="I30" s="41"/>
      <c r="J30" s="42"/>
      <c r="K30" s="42"/>
      <c r="L30" s="43"/>
      <c r="M30" s="44"/>
      <c r="N30" s="45"/>
      <c r="O30" s="45"/>
      <c r="P30" s="45"/>
      <c r="Q30" s="45"/>
      <c r="R30" s="45"/>
      <c r="S30" s="45"/>
      <c r="T30" s="45"/>
      <c r="U30" s="45"/>
      <c r="V30" s="45"/>
      <c r="W30" s="45"/>
      <c r="X30" s="45"/>
      <c r="Y30" s="46"/>
      <c r="Z30" s="44"/>
      <c r="AA30" s="45"/>
      <c r="AB30" s="45"/>
      <c r="AC30" s="45"/>
      <c r="AD30" s="45"/>
      <c r="AE30" s="45"/>
      <c r="AF30" s="45"/>
      <c r="AG30" s="45"/>
      <c r="AH30" s="45"/>
      <c r="AI30" s="45"/>
      <c r="AJ30" s="45"/>
      <c r="AK30" s="45"/>
      <c r="AL30" s="46"/>
      <c r="AM30" s="41"/>
      <c r="AN30" s="42"/>
      <c r="AO30" s="43"/>
      <c r="AP30" s="47"/>
      <c r="AQ30" s="48"/>
      <c r="AR30" s="49"/>
      <c r="AS30" s="47"/>
      <c r="AT30" s="48"/>
      <c r="AU30" s="49"/>
      <c r="AV30" s="47"/>
      <c r="AW30" s="48"/>
      <c r="AX30" s="49"/>
      <c r="AY30" s="38"/>
      <c r="AZ30" s="39"/>
      <c r="BA30" s="40"/>
      <c r="BB30" s="50"/>
      <c r="BC30" s="51"/>
      <c r="BD30" s="52"/>
      <c r="BE30" s="50"/>
      <c r="BF30" s="51"/>
      <c r="BG30" s="52"/>
      <c r="BH30" s="38"/>
      <c r="BI30" s="39"/>
      <c r="BJ30" s="40"/>
      <c r="BK30" s="50"/>
      <c r="BL30" s="51"/>
      <c r="BM30" s="52"/>
      <c r="BN30" s="41"/>
      <c r="BO30" s="42"/>
      <c r="BP30" s="42"/>
      <c r="BQ30" s="42"/>
      <c r="BR30" s="42"/>
      <c r="BS30" s="43"/>
    </row>
    <row r="31" spans="1:71" ht="45" customHeight="1" x14ac:dyDescent="0.25">
      <c r="A31" s="7" t="str">
        <f>IF(M31="","",COUNTA($M$9:M31))</f>
        <v/>
      </c>
      <c r="B31" s="38"/>
      <c r="C31" s="40"/>
      <c r="D31" s="53"/>
      <c r="E31" s="54"/>
      <c r="F31" s="54"/>
      <c r="G31" s="54"/>
      <c r="H31" s="55"/>
      <c r="I31" s="41"/>
      <c r="J31" s="42"/>
      <c r="K31" s="42"/>
      <c r="L31" s="43"/>
      <c r="M31" s="44"/>
      <c r="N31" s="45"/>
      <c r="O31" s="45"/>
      <c r="P31" s="45"/>
      <c r="Q31" s="45"/>
      <c r="R31" s="45"/>
      <c r="S31" s="45"/>
      <c r="T31" s="45"/>
      <c r="U31" s="45"/>
      <c r="V31" s="45"/>
      <c r="W31" s="45"/>
      <c r="X31" s="45"/>
      <c r="Y31" s="46"/>
      <c r="Z31" s="44"/>
      <c r="AA31" s="45"/>
      <c r="AB31" s="45"/>
      <c r="AC31" s="45"/>
      <c r="AD31" s="45"/>
      <c r="AE31" s="45"/>
      <c r="AF31" s="45"/>
      <c r="AG31" s="45"/>
      <c r="AH31" s="45"/>
      <c r="AI31" s="45"/>
      <c r="AJ31" s="45"/>
      <c r="AK31" s="45"/>
      <c r="AL31" s="46"/>
      <c r="AM31" s="41"/>
      <c r="AN31" s="42"/>
      <c r="AO31" s="43"/>
      <c r="AP31" s="47"/>
      <c r="AQ31" s="48"/>
      <c r="AR31" s="49"/>
      <c r="AS31" s="47"/>
      <c r="AT31" s="48"/>
      <c r="AU31" s="49"/>
      <c r="AV31" s="47"/>
      <c r="AW31" s="48"/>
      <c r="AX31" s="49"/>
      <c r="AY31" s="38"/>
      <c r="AZ31" s="39"/>
      <c r="BA31" s="40"/>
      <c r="BB31" s="50"/>
      <c r="BC31" s="51"/>
      <c r="BD31" s="52"/>
      <c r="BE31" s="50"/>
      <c r="BF31" s="51"/>
      <c r="BG31" s="52"/>
      <c r="BH31" s="38"/>
      <c r="BI31" s="39"/>
      <c r="BJ31" s="40"/>
      <c r="BK31" s="50"/>
      <c r="BL31" s="51"/>
      <c r="BM31" s="52"/>
      <c r="BN31" s="41"/>
      <c r="BO31" s="42"/>
      <c r="BP31" s="42"/>
      <c r="BQ31" s="42"/>
      <c r="BR31" s="42"/>
      <c r="BS31" s="43"/>
    </row>
    <row r="32" spans="1:71" ht="45" customHeight="1" x14ac:dyDescent="0.25">
      <c r="A32" s="7" t="str">
        <f>IF(M32="","",COUNTA($M$9:M32))</f>
        <v/>
      </c>
      <c r="B32" s="38"/>
      <c r="C32" s="40"/>
      <c r="D32" s="53"/>
      <c r="E32" s="54"/>
      <c r="F32" s="54"/>
      <c r="G32" s="54"/>
      <c r="H32" s="55"/>
      <c r="I32" s="41"/>
      <c r="J32" s="42"/>
      <c r="K32" s="42"/>
      <c r="L32" s="43"/>
      <c r="M32" s="44"/>
      <c r="N32" s="45"/>
      <c r="O32" s="45"/>
      <c r="P32" s="45"/>
      <c r="Q32" s="45"/>
      <c r="R32" s="45"/>
      <c r="S32" s="45"/>
      <c r="T32" s="45"/>
      <c r="U32" s="45"/>
      <c r="V32" s="45"/>
      <c r="W32" s="45"/>
      <c r="X32" s="45"/>
      <c r="Y32" s="46"/>
      <c r="Z32" s="44"/>
      <c r="AA32" s="45"/>
      <c r="AB32" s="45"/>
      <c r="AC32" s="45"/>
      <c r="AD32" s="45"/>
      <c r="AE32" s="45"/>
      <c r="AF32" s="45"/>
      <c r="AG32" s="45"/>
      <c r="AH32" s="45"/>
      <c r="AI32" s="45"/>
      <c r="AJ32" s="45"/>
      <c r="AK32" s="45"/>
      <c r="AL32" s="46"/>
      <c r="AM32" s="41"/>
      <c r="AN32" s="42"/>
      <c r="AO32" s="43"/>
      <c r="AP32" s="47"/>
      <c r="AQ32" s="48"/>
      <c r="AR32" s="49"/>
      <c r="AS32" s="47"/>
      <c r="AT32" s="48"/>
      <c r="AU32" s="49"/>
      <c r="AV32" s="47"/>
      <c r="AW32" s="48"/>
      <c r="AX32" s="49"/>
      <c r="AY32" s="38"/>
      <c r="AZ32" s="39"/>
      <c r="BA32" s="40"/>
      <c r="BB32" s="50"/>
      <c r="BC32" s="51"/>
      <c r="BD32" s="52"/>
      <c r="BE32" s="50"/>
      <c r="BF32" s="51"/>
      <c r="BG32" s="52"/>
      <c r="BH32" s="38"/>
      <c r="BI32" s="39"/>
      <c r="BJ32" s="40"/>
      <c r="BK32" s="50"/>
      <c r="BL32" s="51"/>
      <c r="BM32" s="52"/>
      <c r="BN32" s="41"/>
      <c r="BO32" s="42"/>
      <c r="BP32" s="42"/>
      <c r="BQ32" s="42"/>
      <c r="BR32" s="42"/>
      <c r="BS32" s="43"/>
    </row>
    <row r="33" spans="1:71" ht="45" customHeight="1" x14ac:dyDescent="0.25">
      <c r="A33" s="7" t="str">
        <f>IF(M33="","",COUNTA($M$9:M33))</f>
        <v/>
      </c>
      <c r="B33" s="38"/>
      <c r="C33" s="40"/>
      <c r="D33" s="53"/>
      <c r="E33" s="54"/>
      <c r="F33" s="54"/>
      <c r="G33" s="54"/>
      <c r="H33" s="55"/>
      <c r="I33" s="41"/>
      <c r="J33" s="42"/>
      <c r="K33" s="42"/>
      <c r="L33" s="43"/>
      <c r="M33" s="44"/>
      <c r="N33" s="45"/>
      <c r="O33" s="45"/>
      <c r="P33" s="45"/>
      <c r="Q33" s="45"/>
      <c r="R33" s="45"/>
      <c r="S33" s="45"/>
      <c r="T33" s="45"/>
      <c r="U33" s="45"/>
      <c r="V33" s="45"/>
      <c r="W33" s="45"/>
      <c r="X33" s="45"/>
      <c r="Y33" s="46"/>
      <c r="Z33" s="44"/>
      <c r="AA33" s="45"/>
      <c r="AB33" s="45"/>
      <c r="AC33" s="45"/>
      <c r="AD33" s="45"/>
      <c r="AE33" s="45"/>
      <c r="AF33" s="45"/>
      <c r="AG33" s="45"/>
      <c r="AH33" s="45"/>
      <c r="AI33" s="45"/>
      <c r="AJ33" s="45"/>
      <c r="AK33" s="45"/>
      <c r="AL33" s="46"/>
      <c r="AM33" s="41"/>
      <c r="AN33" s="42"/>
      <c r="AO33" s="43"/>
      <c r="AP33" s="47"/>
      <c r="AQ33" s="48"/>
      <c r="AR33" s="49"/>
      <c r="AS33" s="47"/>
      <c r="AT33" s="48"/>
      <c r="AU33" s="49"/>
      <c r="AV33" s="47"/>
      <c r="AW33" s="48"/>
      <c r="AX33" s="49"/>
      <c r="AY33" s="38"/>
      <c r="AZ33" s="39"/>
      <c r="BA33" s="40"/>
      <c r="BB33" s="50"/>
      <c r="BC33" s="51"/>
      <c r="BD33" s="52"/>
      <c r="BE33" s="50"/>
      <c r="BF33" s="51"/>
      <c r="BG33" s="52"/>
      <c r="BH33" s="38"/>
      <c r="BI33" s="39"/>
      <c r="BJ33" s="40"/>
      <c r="BK33" s="50"/>
      <c r="BL33" s="51"/>
      <c r="BM33" s="52"/>
      <c r="BN33" s="41"/>
      <c r="BO33" s="42"/>
      <c r="BP33" s="42"/>
      <c r="BQ33" s="42"/>
      <c r="BR33" s="42"/>
      <c r="BS33" s="43"/>
    </row>
    <row r="34" spans="1:71" ht="45" customHeight="1" x14ac:dyDescent="0.25">
      <c r="A34" s="7" t="str">
        <f>IF(M34="","",COUNTA($M$9:M34))</f>
        <v/>
      </c>
      <c r="B34" s="38"/>
      <c r="C34" s="40"/>
      <c r="D34" s="53"/>
      <c r="E34" s="54"/>
      <c r="F34" s="54"/>
      <c r="G34" s="54"/>
      <c r="H34" s="55"/>
      <c r="I34" s="41"/>
      <c r="J34" s="42"/>
      <c r="K34" s="42"/>
      <c r="L34" s="43"/>
      <c r="M34" s="44"/>
      <c r="N34" s="45"/>
      <c r="O34" s="45"/>
      <c r="P34" s="45"/>
      <c r="Q34" s="45"/>
      <c r="R34" s="45"/>
      <c r="S34" s="45"/>
      <c r="T34" s="45"/>
      <c r="U34" s="45"/>
      <c r="V34" s="45"/>
      <c r="W34" s="45"/>
      <c r="X34" s="45"/>
      <c r="Y34" s="46"/>
      <c r="Z34" s="44"/>
      <c r="AA34" s="45"/>
      <c r="AB34" s="45"/>
      <c r="AC34" s="45"/>
      <c r="AD34" s="45"/>
      <c r="AE34" s="45"/>
      <c r="AF34" s="45"/>
      <c r="AG34" s="45"/>
      <c r="AH34" s="45"/>
      <c r="AI34" s="45"/>
      <c r="AJ34" s="45"/>
      <c r="AK34" s="45"/>
      <c r="AL34" s="46"/>
      <c r="AM34" s="41"/>
      <c r="AN34" s="42"/>
      <c r="AO34" s="43"/>
      <c r="AP34" s="47"/>
      <c r="AQ34" s="48"/>
      <c r="AR34" s="49"/>
      <c r="AS34" s="47"/>
      <c r="AT34" s="48"/>
      <c r="AU34" s="49"/>
      <c r="AV34" s="47"/>
      <c r="AW34" s="48"/>
      <c r="AX34" s="49"/>
      <c r="AY34" s="38"/>
      <c r="AZ34" s="39"/>
      <c r="BA34" s="40"/>
      <c r="BB34" s="50"/>
      <c r="BC34" s="51"/>
      <c r="BD34" s="52"/>
      <c r="BE34" s="50"/>
      <c r="BF34" s="51"/>
      <c r="BG34" s="52"/>
      <c r="BH34" s="38"/>
      <c r="BI34" s="39"/>
      <c r="BJ34" s="40"/>
      <c r="BK34" s="50"/>
      <c r="BL34" s="51"/>
      <c r="BM34" s="52"/>
      <c r="BN34" s="41"/>
      <c r="BO34" s="42"/>
      <c r="BP34" s="42"/>
      <c r="BQ34" s="42"/>
      <c r="BR34" s="42"/>
      <c r="BS34" s="43"/>
    </row>
    <row r="35" spans="1:71" ht="45" customHeight="1" x14ac:dyDescent="0.25">
      <c r="A35" s="7" t="str">
        <f>IF(M35="","",COUNTA($M$9:M35))</f>
        <v/>
      </c>
      <c r="B35" s="38"/>
      <c r="C35" s="40"/>
      <c r="D35" s="53"/>
      <c r="E35" s="54"/>
      <c r="F35" s="54"/>
      <c r="G35" s="54"/>
      <c r="H35" s="55"/>
      <c r="I35" s="41"/>
      <c r="J35" s="42"/>
      <c r="K35" s="42"/>
      <c r="L35" s="43"/>
      <c r="M35" s="44"/>
      <c r="N35" s="45"/>
      <c r="O35" s="45"/>
      <c r="P35" s="45"/>
      <c r="Q35" s="45"/>
      <c r="R35" s="45"/>
      <c r="S35" s="45"/>
      <c r="T35" s="45"/>
      <c r="U35" s="45"/>
      <c r="V35" s="45"/>
      <c r="W35" s="45"/>
      <c r="X35" s="45"/>
      <c r="Y35" s="46"/>
      <c r="Z35" s="44"/>
      <c r="AA35" s="45"/>
      <c r="AB35" s="45"/>
      <c r="AC35" s="45"/>
      <c r="AD35" s="45"/>
      <c r="AE35" s="45"/>
      <c r="AF35" s="45"/>
      <c r="AG35" s="45"/>
      <c r="AH35" s="45"/>
      <c r="AI35" s="45"/>
      <c r="AJ35" s="45"/>
      <c r="AK35" s="45"/>
      <c r="AL35" s="46"/>
      <c r="AM35" s="41"/>
      <c r="AN35" s="42"/>
      <c r="AO35" s="43"/>
      <c r="AP35" s="47"/>
      <c r="AQ35" s="48"/>
      <c r="AR35" s="49"/>
      <c r="AS35" s="47"/>
      <c r="AT35" s="48"/>
      <c r="AU35" s="49"/>
      <c r="AV35" s="47"/>
      <c r="AW35" s="48"/>
      <c r="AX35" s="49"/>
      <c r="AY35" s="38"/>
      <c r="AZ35" s="39"/>
      <c r="BA35" s="40"/>
      <c r="BB35" s="50"/>
      <c r="BC35" s="51"/>
      <c r="BD35" s="52"/>
      <c r="BE35" s="50"/>
      <c r="BF35" s="51"/>
      <c r="BG35" s="52"/>
      <c r="BH35" s="38"/>
      <c r="BI35" s="39"/>
      <c r="BJ35" s="40"/>
      <c r="BK35" s="50"/>
      <c r="BL35" s="51"/>
      <c r="BM35" s="52"/>
      <c r="BN35" s="41"/>
      <c r="BO35" s="42"/>
      <c r="BP35" s="42"/>
      <c r="BQ35" s="42"/>
      <c r="BR35" s="42"/>
      <c r="BS35" s="43"/>
    </row>
    <row r="36" spans="1:71" ht="45" customHeight="1" x14ac:dyDescent="0.25">
      <c r="A36" s="7" t="str">
        <f>IF(M36="","",COUNTA($M$9:M36))</f>
        <v/>
      </c>
      <c r="B36" s="38"/>
      <c r="C36" s="40"/>
      <c r="D36" s="53"/>
      <c r="E36" s="54"/>
      <c r="F36" s="54"/>
      <c r="G36" s="54"/>
      <c r="H36" s="55"/>
      <c r="I36" s="41"/>
      <c r="J36" s="42"/>
      <c r="K36" s="42"/>
      <c r="L36" s="43"/>
      <c r="M36" s="44"/>
      <c r="N36" s="45"/>
      <c r="O36" s="45"/>
      <c r="P36" s="45"/>
      <c r="Q36" s="45"/>
      <c r="R36" s="45"/>
      <c r="S36" s="45"/>
      <c r="T36" s="45"/>
      <c r="U36" s="45"/>
      <c r="V36" s="45"/>
      <c r="W36" s="45"/>
      <c r="X36" s="45"/>
      <c r="Y36" s="46"/>
      <c r="Z36" s="44"/>
      <c r="AA36" s="45"/>
      <c r="AB36" s="45"/>
      <c r="AC36" s="45"/>
      <c r="AD36" s="45"/>
      <c r="AE36" s="45"/>
      <c r="AF36" s="45"/>
      <c r="AG36" s="45"/>
      <c r="AH36" s="45"/>
      <c r="AI36" s="45"/>
      <c r="AJ36" s="45"/>
      <c r="AK36" s="45"/>
      <c r="AL36" s="46"/>
      <c r="AM36" s="41"/>
      <c r="AN36" s="42"/>
      <c r="AO36" s="43"/>
      <c r="AP36" s="47"/>
      <c r="AQ36" s="48"/>
      <c r="AR36" s="49"/>
      <c r="AS36" s="47"/>
      <c r="AT36" s="48"/>
      <c r="AU36" s="49"/>
      <c r="AV36" s="47"/>
      <c r="AW36" s="48"/>
      <c r="AX36" s="49"/>
      <c r="AY36" s="38"/>
      <c r="AZ36" s="39"/>
      <c r="BA36" s="40"/>
      <c r="BB36" s="50"/>
      <c r="BC36" s="51"/>
      <c r="BD36" s="52"/>
      <c r="BE36" s="50"/>
      <c r="BF36" s="51"/>
      <c r="BG36" s="52"/>
      <c r="BH36" s="38"/>
      <c r="BI36" s="39"/>
      <c r="BJ36" s="40"/>
      <c r="BK36" s="50"/>
      <c r="BL36" s="51"/>
      <c r="BM36" s="52"/>
      <c r="BN36" s="41"/>
      <c r="BO36" s="42"/>
      <c r="BP36" s="42"/>
      <c r="BQ36" s="42"/>
      <c r="BR36" s="42"/>
      <c r="BS36" s="43"/>
    </row>
    <row r="37" spans="1:71" ht="45" customHeight="1" x14ac:dyDescent="0.25">
      <c r="A37" s="7" t="str">
        <f>IF(M37="","",COUNTA($M$9:M37))</f>
        <v/>
      </c>
      <c r="B37" s="38"/>
      <c r="C37" s="40"/>
      <c r="D37" s="53"/>
      <c r="E37" s="54"/>
      <c r="F37" s="54"/>
      <c r="G37" s="54"/>
      <c r="H37" s="55"/>
      <c r="I37" s="41"/>
      <c r="J37" s="42"/>
      <c r="K37" s="42"/>
      <c r="L37" s="43"/>
      <c r="M37" s="44"/>
      <c r="N37" s="45"/>
      <c r="O37" s="45"/>
      <c r="P37" s="45"/>
      <c r="Q37" s="45"/>
      <c r="R37" s="45"/>
      <c r="S37" s="45"/>
      <c r="T37" s="45"/>
      <c r="U37" s="45"/>
      <c r="V37" s="45"/>
      <c r="W37" s="45"/>
      <c r="X37" s="45"/>
      <c r="Y37" s="46"/>
      <c r="Z37" s="44"/>
      <c r="AA37" s="45"/>
      <c r="AB37" s="45"/>
      <c r="AC37" s="45"/>
      <c r="AD37" s="45"/>
      <c r="AE37" s="45"/>
      <c r="AF37" s="45"/>
      <c r="AG37" s="45"/>
      <c r="AH37" s="45"/>
      <c r="AI37" s="45"/>
      <c r="AJ37" s="45"/>
      <c r="AK37" s="45"/>
      <c r="AL37" s="46"/>
      <c r="AM37" s="41"/>
      <c r="AN37" s="42"/>
      <c r="AO37" s="43"/>
      <c r="AP37" s="47"/>
      <c r="AQ37" s="48"/>
      <c r="AR37" s="49"/>
      <c r="AS37" s="47"/>
      <c r="AT37" s="48"/>
      <c r="AU37" s="49"/>
      <c r="AV37" s="47"/>
      <c r="AW37" s="48"/>
      <c r="AX37" s="49"/>
      <c r="AY37" s="38"/>
      <c r="AZ37" s="39"/>
      <c r="BA37" s="40"/>
      <c r="BB37" s="50"/>
      <c r="BC37" s="51"/>
      <c r="BD37" s="52"/>
      <c r="BE37" s="50"/>
      <c r="BF37" s="51"/>
      <c r="BG37" s="52"/>
      <c r="BH37" s="38"/>
      <c r="BI37" s="39"/>
      <c r="BJ37" s="40"/>
      <c r="BK37" s="50"/>
      <c r="BL37" s="51"/>
      <c r="BM37" s="52"/>
      <c r="BN37" s="41"/>
      <c r="BO37" s="42"/>
      <c r="BP37" s="42"/>
      <c r="BQ37" s="42"/>
      <c r="BR37" s="42"/>
      <c r="BS37" s="43"/>
    </row>
    <row r="38" spans="1:71" ht="45" customHeight="1" x14ac:dyDescent="0.25">
      <c r="A38" s="7" t="str">
        <f>IF(M38="","",COUNTA($M$9:M38))</f>
        <v/>
      </c>
      <c r="B38" s="38"/>
      <c r="C38" s="40"/>
      <c r="D38" s="53"/>
      <c r="E38" s="54"/>
      <c r="F38" s="54"/>
      <c r="G38" s="54"/>
      <c r="H38" s="55"/>
      <c r="I38" s="41"/>
      <c r="J38" s="42"/>
      <c r="K38" s="42"/>
      <c r="L38" s="43"/>
      <c r="M38" s="44"/>
      <c r="N38" s="45"/>
      <c r="O38" s="45"/>
      <c r="P38" s="45"/>
      <c r="Q38" s="45"/>
      <c r="R38" s="45"/>
      <c r="S38" s="45"/>
      <c r="T38" s="45"/>
      <c r="U38" s="45"/>
      <c r="V38" s="45"/>
      <c r="W38" s="45"/>
      <c r="X38" s="45"/>
      <c r="Y38" s="46"/>
      <c r="Z38" s="44"/>
      <c r="AA38" s="45"/>
      <c r="AB38" s="45"/>
      <c r="AC38" s="45"/>
      <c r="AD38" s="45"/>
      <c r="AE38" s="45"/>
      <c r="AF38" s="45"/>
      <c r="AG38" s="45"/>
      <c r="AH38" s="45"/>
      <c r="AI38" s="45"/>
      <c r="AJ38" s="45"/>
      <c r="AK38" s="45"/>
      <c r="AL38" s="46"/>
      <c r="AM38" s="41"/>
      <c r="AN38" s="42"/>
      <c r="AO38" s="43"/>
      <c r="AP38" s="47"/>
      <c r="AQ38" s="48"/>
      <c r="AR38" s="49"/>
      <c r="AS38" s="47"/>
      <c r="AT38" s="48"/>
      <c r="AU38" s="49"/>
      <c r="AV38" s="47"/>
      <c r="AW38" s="48"/>
      <c r="AX38" s="49"/>
      <c r="AY38" s="38"/>
      <c r="AZ38" s="39"/>
      <c r="BA38" s="40"/>
      <c r="BB38" s="50"/>
      <c r="BC38" s="51"/>
      <c r="BD38" s="52"/>
      <c r="BE38" s="50"/>
      <c r="BF38" s="51"/>
      <c r="BG38" s="52"/>
      <c r="BH38" s="38"/>
      <c r="BI38" s="39"/>
      <c r="BJ38" s="40"/>
      <c r="BK38" s="50"/>
      <c r="BL38" s="51"/>
      <c r="BM38" s="52"/>
      <c r="BN38" s="41"/>
      <c r="BO38" s="42"/>
      <c r="BP38" s="42"/>
      <c r="BQ38" s="42"/>
      <c r="BR38" s="42"/>
      <c r="BS38" s="43"/>
    </row>
    <row r="39" spans="1:71" ht="45" customHeight="1" x14ac:dyDescent="0.25">
      <c r="A39" s="7" t="str">
        <f>IF(M39="","",COUNTA($M$9:M39))</f>
        <v/>
      </c>
      <c r="B39" s="38"/>
      <c r="C39" s="40"/>
      <c r="D39" s="53"/>
      <c r="E39" s="54"/>
      <c r="F39" s="54"/>
      <c r="G39" s="54"/>
      <c r="H39" s="55"/>
      <c r="I39" s="41"/>
      <c r="J39" s="42"/>
      <c r="K39" s="42"/>
      <c r="L39" s="43"/>
      <c r="M39" s="44"/>
      <c r="N39" s="45"/>
      <c r="O39" s="45"/>
      <c r="P39" s="45"/>
      <c r="Q39" s="45"/>
      <c r="R39" s="45"/>
      <c r="S39" s="45"/>
      <c r="T39" s="45"/>
      <c r="U39" s="45"/>
      <c r="V39" s="45"/>
      <c r="W39" s="45"/>
      <c r="X39" s="45"/>
      <c r="Y39" s="46"/>
      <c r="Z39" s="44"/>
      <c r="AA39" s="45"/>
      <c r="AB39" s="45"/>
      <c r="AC39" s="45"/>
      <c r="AD39" s="45"/>
      <c r="AE39" s="45"/>
      <c r="AF39" s="45"/>
      <c r="AG39" s="45"/>
      <c r="AH39" s="45"/>
      <c r="AI39" s="45"/>
      <c r="AJ39" s="45"/>
      <c r="AK39" s="45"/>
      <c r="AL39" s="46"/>
      <c r="AM39" s="41"/>
      <c r="AN39" s="42"/>
      <c r="AO39" s="43"/>
      <c r="AP39" s="47"/>
      <c r="AQ39" s="48"/>
      <c r="AR39" s="49"/>
      <c r="AS39" s="47"/>
      <c r="AT39" s="48"/>
      <c r="AU39" s="49"/>
      <c r="AV39" s="47"/>
      <c r="AW39" s="48"/>
      <c r="AX39" s="49"/>
      <c r="AY39" s="38"/>
      <c r="AZ39" s="39"/>
      <c r="BA39" s="40"/>
      <c r="BB39" s="50"/>
      <c r="BC39" s="51"/>
      <c r="BD39" s="52"/>
      <c r="BE39" s="50"/>
      <c r="BF39" s="51"/>
      <c r="BG39" s="52"/>
      <c r="BH39" s="38"/>
      <c r="BI39" s="39"/>
      <c r="BJ39" s="40"/>
      <c r="BK39" s="50"/>
      <c r="BL39" s="51"/>
      <c r="BM39" s="52"/>
      <c r="BN39" s="41"/>
      <c r="BO39" s="42"/>
      <c r="BP39" s="42"/>
      <c r="BQ39" s="42"/>
      <c r="BR39" s="42"/>
      <c r="BS39" s="43"/>
    </row>
    <row r="40" spans="1:71" ht="45" customHeight="1" x14ac:dyDescent="0.25">
      <c r="A40" s="7" t="str">
        <f>IF(M40="","",COUNTA($M$9:M40))</f>
        <v/>
      </c>
      <c r="B40" s="38"/>
      <c r="C40" s="40"/>
      <c r="D40" s="53"/>
      <c r="E40" s="54"/>
      <c r="F40" s="54"/>
      <c r="G40" s="54"/>
      <c r="H40" s="55"/>
      <c r="I40" s="41"/>
      <c r="J40" s="42"/>
      <c r="K40" s="42"/>
      <c r="L40" s="43"/>
      <c r="M40" s="44"/>
      <c r="N40" s="45"/>
      <c r="O40" s="45"/>
      <c r="P40" s="45"/>
      <c r="Q40" s="45"/>
      <c r="R40" s="45"/>
      <c r="S40" s="45"/>
      <c r="T40" s="45"/>
      <c r="U40" s="45"/>
      <c r="V40" s="45"/>
      <c r="W40" s="45"/>
      <c r="X40" s="45"/>
      <c r="Y40" s="46"/>
      <c r="Z40" s="44"/>
      <c r="AA40" s="45"/>
      <c r="AB40" s="45"/>
      <c r="AC40" s="45"/>
      <c r="AD40" s="45"/>
      <c r="AE40" s="45"/>
      <c r="AF40" s="45"/>
      <c r="AG40" s="45"/>
      <c r="AH40" s="45"/>
      <c r="AI40" s="45"/>
      <c r="AJ40" s="45"/>
      <c r="AK40" s="45"/>
      <c r="AL40" s="46"/>
      <c r="AM40" s="41"/>
      <c r="AN40" s="42"/>
      <c r="AO40" s="43"/>
      <c r="AP40" s="47"/>
      <c r="AQ40" s="48"/>
      <c r="AR40" s="49"/>
      <c r="AS40" s="47"/>
      <c r="AT40" s="48"/>
      <c r="AU40" s="49"/>
      <c r="AV40" s="47"/>
      <c r="AW40" s="48"/>
      <c r="AX40" s="49"/>
      <c r="AY40" s="38"/>
      <c r="AZ40" s="39"/>
      <c r="BA40" s="40"/>
      <c r="BB40" s="50"/>
      <c r="BC40" s="51"/>
      <c r="BD40" s="52"/>
      <c r="BE40" s="50"/>
      <c r="BF40" s="51"/>
      <c r="BG40" s="52"/>
      <c r="BH40" s="38"/>
      <c r="BI40" s="39"/>
      <c r="BJ40" s="40"/>
      <c r="BK40" s="50"/>
      <c r="BL40" s="51"/>
      <c r="BM40" s="52"/>
      <c r="BN40" s="41"/>
      <c r="BO40" s="42"/>
      <c r="BP40" s="42"/>
      <c r="BQ40" s="42"/>
      <c r="BR40" s="42"/>
      <c r="BS40" s="43"/>
    </row>
    <row r="41" spans="1:71" ht="45" customHeight="1" x14ac:dyDescent="0.25">
      <c r="A41" s="7" t="str">
        <f>IF(M41="","",COUNTA($M$9:M41))</f>
        <v/>
      </c>
      <c r="B41" s="38"/>
      <c r="C41" s="40"/>
      <c r="D41" s="53"/>
      <c r="E41" s="54"/>
      <c r="F41" s="54"/>
      <c r="G41" s="54"/>
      <c r="H41" s="55"/>
      <c r="I41" s="41"/>
      <c r="J41" s="42"/>
      <c r="K41" s="42"/>
      <c r="L41" s="43"/>
      <c r="M41" s="44"/>
      <c r="N41" s="45"/>
      <c r="O41" s="45"/>
      <c r="P41" s="45"/>
      <c r="Q41" s="45"/>
      <c r="R41" s="45"/>
      <c r="S41" s="45"/>
      <c r="T41" s="45"/>
      <c r="U41" s="45"/>
      <c r="V41" s="45"/>
      <c r="W41" s="45"/>
      <c r="X41" s="45"/>
      <c r="Y41" s="46"/>
      <c r="Z41" s="44"/>
      <c r="AA41" s="45"/>
      <c r="AB41" s="45"/>
      <c r="AC41" s="45"/>
      <c r="AD41" s="45"/>
      <c r="AE41" s="45"/>
      <c r="AF41" s="45"/>
      <c r="AG41" s="45"/>
      <c r="AH41" s="45"/>
      <c r="AI41" s="45"/>
      <c r="AJ41" s="45"/>
      <c r="AK41" s="45"/>
      <c r="AL41" s="46"/>
      <c r="AM41" s="41"/>
      <c r="AN41" s="42"/>
      <c r="AO41" s="43"/>
      <c r="AP41" s="47"/>
      <c r="AQ41" s="48"/>
      <c r="AR41" s="49"/>
      <c r="AS41" s="47"/>
      <c r="AT41" s="48"/>
      <c r="AU41" s="49"/>
      <c r="AV41" s="47"/>
      <c r="AW41" s="48"/>
      <c r="AX41" s="49"/>
      <c r="AY41" s="38"/>
      <c r="AZ41" s="39"/>
      <c r="BA41" s="40"/>
      <c r="BB41" s="50"/>
      <c r="BC41" s="51"/>
      <c r="BD41" s="52"/>
      <c r="BE41" s="50"/>
      <c r="BF41" s="51"/>
      <c r="BG41" s="52"/>
      <c r="BH41" s="38"/>
      <c r="BI41" s="39"/>
      <c r="BJ41" s="40"/>
      <c r="BK41" s="50"/>
      <c r="BL41" s="51"/>
      <c r="BM41" s="52"/>
      <c r="BN41" s="41"/>
      <c r="BO41" s="42"/>
      <c r="BP41" s="42"/>
      <c r="BQ41" s="42"/>
      <c r="BR41" s="42"/>
      <c r="BS41" s="43"/>
    </row>
    <row r="42" spans="1:71" ht="45" customHeight="1" x14ac:dyDescent="0.25">
      <c r="A42" s="7" t="str">
        <f>IF(M42="","",COUNTA($M$9:M42))</f>
        <v/>
      </c>
      <c r="B42" s="38"/>
      <c r="C42" s="40"/>
      <c r="D42" s="53"/>
      <c r="E42" s="54"/>
      <c r="F42" s="54"/>
      <c r="G42" s="54"/>
      <c r="H42" s="55"/>
      <c r="I42" s="41"/>
      <c r="J42" s="42"/>
      <c r="K42" s="42"/>
      <c r="L42" s="43"/>
      <c r="M42" s="44"/>
      <c r="N42" s="45"/>
      <c r="O42" s="45"/>
      <c r="P42" s="45"/>
      <c r="Q42" s="45"/>
      <c r="R42" s="45"/>
      <c r="S42" s="45"/>
      <c r="T42" s="45"/>
      <c r="U42" s="45"/>
      <c r="V42" s="45"/>
      <c r="W42" s="45"/>
      <c r="X42" s="45"/>
      <c r="Y42" s="46"/>
      <c r="Z42" s="44"/>
      <c r="AA42" s="45"/>
      <c r="AB42" s="45"/>
      <c r="AC42" s="45"/>
      <c r="AD42" s="45"/>
      <c r="AE42" s="45"/>
      <c r="AF42" s="45"/>
      <c r="AG42" s="45"/>
      <c r="AH42" s="45"/>
      <c r="AI42" s="45"/>
      <c r="AJ42" s="45"/>
      <c r="AK42" s="45"/>
      <c r="AL42" s="46"/>
      <c r="AM42" s="41"/>
      <c r="AN42" s="42"/>
      <c r="AO42" s="43"/>
      <c r="AP42" s="47"/>
      <c r="AQ42" s="48"/>
      <c r="AR42" s="49"/>
      <c r="AS42" s="47"/>
      <c r="AT42" s="48"/>
      <c r="AU42" s="49"/>
      <c r="AV42" s="47"/>
      <c r="AW42" s="48"/>
      <c r="AX42" s="49"/>
      <c r="AY42" s="38"/>
      <c r="AZ42" s="39"/>
      <c r="BA42" s="40"/>
      <c r="BB42" s="50"/>
      <c r="BC42" s="51"/>
      <c r="BD42" s="52"/>
      <c r="BE42" s="50"/>
      <c r="BF42" s="51"/>
      <c r="BG42" s="52"/>
      <c r="BH42" s="38"/>
      <c r="BI42" s="39"/>
      <c r="BJ42" s="40"/>
      <c r="BK42" s="50"/>
      <c r="BL42" s="51"/>
      <c r="BM42" s="52"/>
      <c r="BN42" s="41"/>
      <c r="BO42" s="42"/>
      <c r="BP42" s="42"/>
      <c r="BQ42" s="42"/>
      <c r="BR42" s="42"/>
      <c r="BS42" s="43"/>
    </row>
    <row r="43" spans="1:71" ht="45" customHeight="1" x14ac:dyDescent="0.25">
      <c r="A43" s="7" t="str">
        <f>IF(M43="","",COUNTA($M$9:M43))</f>
        <v/>
      </c>
      <c r="B43" s="38"/>
      <c r="C43" s="40"/>
      <c r="D43" s="53"/>
      <c r="E43" s="54"/>
      <c r="F43" s="54"/>
      <c r="G43" s="54"/>
      <c r="H43" s="55"/>
      <c r="I43" s="41"/>
      <c r="J43" s="42"/>
      <c r="K43" s="42"/>
      <c r="L43" s="43"/>
      <c r="M43" s="44"/>
      <c r="N43" s="45"/>
      <c r="O43" s="45"/>
      <c r="P43" s="45"/>
      <c r="Q43" s="45"/>
      <c r="R43" s="45"/>
      <c r="S43" s="45"/>
      <c r="T43" s="45"/>
      <c r="U43" s="45"/>
      <c r="V43" s="45"/>
      <c r="W43" s="45"/>
      <c r="X43" s="45"/>
      <c r="Y43" s="46"/>
      <c r="Z43" s="44"/>
      <c r="AA43" s="45"/>
      <c r="AB43" s="45"/>
      <c r="AC43" s="45"/>
      <c r="AD43" s="45"/>
      <c r="AE43" s="45"/>
      <c r="AF43" s="45"/>
      <c r="AG43" s="45"/>
      <c r="AH43" s="45"/>
      <c r="AI43" s="45"/>
      <c r="AJ43" s="45"/>
      <c r="AK43" s="45"/>
      <c r="AL43" s="46"/>
      <c r="AM43" s="41"/>
      <c r="AN43" s="42"/>
      <c r="AO43" s="43"/>
      <c r="AP43" s="47"/>
      <c r="AQ43" s="48"/>
      <c r="AR43" s="49"/>
      <c r="AS43" s="47"/>
      <c r="AT43" s="48"/>
      <c r="AU43" s="49"/>
      <c r="AV43" s="47"/>
      <c r="AW43" s="48"/>
      <c r="AX43" s="49"/>
      <c r="AY43" s="38"/>
      <c r="AZ43" s="39"/>
      <c r="BA43" s="40"/>
      <c r="BB43" s="50"/>
      <c r="BC43" s="51"/>
      <c r="BD43" s="52"/>
      <c r="BE43" s="50"/>
      <c r="BF43" s="51"/>
      <c r="BG43" s="52"/>
      <c r="BH43" s="38"/>
      <c r="BI43" s="39"/>
      <c r="BJ43" s="40"/>
      <c r="BK43" s="50"/>
      <c r="BL43" s="51"/>
      <c r="BM43" s="52"/>
      <c r="BN43" s="41"/>
      <c r="BO43" s="42"/>
      <c r="BP43" s="42"/>
      <c r="BQ43" s="42"/>
      <c r="BR43" s="42"/>
      <c r="BS43" s="43"/>
    </row>
    <row r="44" spans="1:71" ht="45" customHeight="1" x14ac:dyDescent="0.25">
      <c r="A44" s="7" t="str">
        <f>IF(M44="","",COUNTA($M$9:M44))</f>
        <v/>
      </c>
      <c r="B44" s="38"/>
      <c r="C44" s="40"/>
      <c r="D44" s="53"/>
      <c r="E44" s="54"/>
      <c r="F44" s="54"/>
      <c r="G44" s="54"/>
      <c r="H44" s="55"/>
      <c r="I44" s="41"/>
      <c r="J44" s="42"/>
      <c r="K44" s="42"/>
      <c r="L44" s="43"/>
      <c r="M44" s="44"/>
      <c r="N44" s="45"/>
      <c r="O44" s="45"/>
      <c r="P44" s="45"/>
      <c r="Q44" s="45"/>
      <c r="R44" s="45"/>
      <c r="S44" s="45"/>
      <c r="T44" s="45"/>
      <c r="U44" s="45"/>
      <c r="V44" s="45"/>
      <c r="W44" s="45"/>
      <c r="X44" s="45"/>
      <c r="Y44" s="46"/>
      <c r="Z44" s="44"/>
      <c r="AA44" s="45"/>
      <c r="AB44" s="45"/>
      <c r="AC44" s="45"/>
      <c r="AD44" s="45"/>
      <c r="AE44" s="45"/>
      <c r="AF44" s="45"/>
      <c r="AG44" s="45"/>
      <c r="AH44" s="45"/>
      <c r="AI44" s="45"/>
      <c r="AJ44" s="45"/>
      <c r="AK44" s="45"/>
      <c r="AL44" s="46"/>
      <c r="AM44" s="41"/>
      <c r="AN44" s="42"/>
      <c r="AO44" s="43"/>
      <c r="AP44" s="47"/>
      <c r="AQ44" s="48"/>
      <c r="AR44" s="49"/>
      <c r="AS44" s="47"/>
      <c r="AT44" s="48"/>
      <c r="AU44" s="49"/>
      <c r="AV44" s="47"/>
      <c r="AW44" s="48"/>
      <c r="AX44" s="49"/>
      <c r="AY44" s="38"/>
      <c r="AZ44" s="39"/>
      <c r="BA44" s="40"/>
      <c r="BB44" s="50"/>
      <c r="BC44" s="51"/>
      <c r="BD44" s="52"/>
      <c r="BE44" s="50"/>
      <c r="BF44" s="51"/>
      <c r="BG44" s="52"/>
      <c r="BH44" s="38"/>
      <c r="BI44" s="39"/>
      <c r="BJ44" s="40"/>
      <c r="BK44" s="50"/>
      <c r="BL44" s="51"/>
      <c r="BM44" s="52"/>
      <c r="BN44" s="41"/>
      <c r="BO44" s="42"/>
      <c r="BP44" s="42"/>
      <c r="BQ44" s="42"/>
      <c r="BR44" s="42"/>
      <c r="BS44" s="43"/>
    </row>
    <row r="45" spans="1:71" ht="45" customHeight="1" x14ac:dyDescent="0.25">
      <c r="A45" s="7" t="str">
        <f>IF(M45="","",COUNTA($M$9:M45))</f>
        <v/>
      </c>
      <c r="B45" s="38"/>
      <c r="C45" s="40"/>
      <c r="D45" s="53"/>
      <c r="E45" s="54"/>
      <c r="F45" s="54"/>
      <c r="G45" s="54"/>
      <c r="H45" s="55"/>
      <c r="I45" s="41"/>
      <c r="J45" s="42"/>
      <c r="K45" s="42"/>
      <c r="L45" s="43"/>
      <c r="M45" s="44"/>
      <c r="N45" s="45"/>
      <c r="O45" s="45"/>
      <c r="P45" s="45"/>
      <c r="Q45" s="45"/>
      <c r="R45" s="45"/>
      <c r="S45" s="45"/>
      <c r="T45" s="45"/>
      <c r="U45" s="45"/>
      <c r="V45" s="45"/>
      <c r="W45" s="45"/>
      <c r="X45" s="45"/>
      <c r="Y45" s="46"/>
      <c r="Z45" s="44"/>
      <c r="AA45" s="45"/>
      <c r="AB45" s="45"/>
      <c r="AC45" s="45"/>
      <c r="AD45" s="45"/>
      <c r="AE45" s="45"/>
      <c r="AF45" s="45"/>
      <c r="AG45" s="45"/>
      <c r="AH45" s="45"/>
      <c r="AI45" s="45"/>
      <c r="AJ45" s="45"/>
      <c r="AK45" s="45"/>
      <c r="AL45" s="46"/>
      <c r="AM45" s="41"/>
      <c r="AN45" s="42"/>
      <c r="AO45" s="43"/>
      <c r="AP45" s="47"/>
      <c r="AQ45" s="48"/>
      <c r="AR45" s="49"/>
      <c r="AS45" s="47"/>
      <c r="AT45" s="48"/>
      <c r="AU45" s="49"/>
      <c r="AV45" s="47"/>
      <c r="AW45" s="48"/>
      <c r="AX45" s="49"/>
      <c r="AY45" s="38"/>
      <c r="AZ45" s="39"/>
      <c r="BA45" s="40"/>
      <c r="BB45" s="50"/>
      <c r="BC45" s="51"/>
      <c r="BD45" s="52"/>
      <c r="BE45" s="50"/>
      <c r="BF45" s="51"/>
      <c r="BG45" s="52"/>
      <c r="BH45" s="38"/>
      <c r="BI45" s="39"/>
      <c r="BJ45" s="40"/>
      <c r="BK45" s="50"/>
      <c r="BL45" s="51"/>
      <c r="BM45" s="52"/>
      <c r="BN45" s="41"/>
      <c r="BO45" s="42"/>
      <c r="BP45" s="42"/>
      <c r="BQ45" s="42"/>
      <c r="BR45" s="42"/>
      <c r="BS45" s="43"/>
    </row>
    <row r="46" spans="1:71" ht="45" customHeight="1" x14ac:dyDescent="0.25">
      <c r="A46" s="7" t="str">
        <f>IF(M46="","",COUNTA($M$9:M46))</f>
        <v/>
      </c>
      <c r="B46" s="38"/>
      <c r="C46" s="40"/>
      <c r="D46" s="53"/>
      <c r="E46" s="54"/>
      <c r="F46" s="54"/>
      <c r="G46" s="54"/>
      <c r="H46" s="55"/>
      <c r="I46" s="41"/>
      <c r="J46" s="42"/>
      <c r="K46" s="42"/>
      <c r="L46" s="43"/>
      <c r="M46" s="44"/>
      <c r="N46" s="45"/>
      <c r="O46" s="45"/>
      <c r="P46" s="45"/>
      <c r="Q46" s="45"/>
      <c r="R46" s="45"/>
      <c r="S46" s="45"/>
      <c r="T46" s="45"/>
      <c r="U46" s="45"/>
      <c r="V46" s="45"/>
      <c r="W46" s="45"/>
      <c r="X46" s="45"/>
      <c r="Y46" s="46"/>
      <c r="Z46" s="44"/>
      <c r="AA46" s="45"/>
      <c r="AB46" s="45"/>
      <c r="AC46" s="45"/>
      <c r="AD46" s="45"/>
      <c r="AE46" s="45"/>
      <c r="AF46" s="45"/>
      <c r="AG46" s="45"/>
      <c r="AH46" s="45"/>
      <c r="AI46" s="45"/>
      <c r="AJ46" s="45"/>
      <c r="AK46" s="45"/>
      <c r="AL46" s="46"/>
      <c r="AM46" s="41"/>
      <c r="AN46" s="42"/>
      <c r="AO46" s="43"/>
      <c r="AP46" s="47"/>
      <c r="AQ46" s="48"/>
      <c r="AR46" s="49"/>
      <c r="AS46" s="47"/>
      <c r="AT46" s="48"/>
      <c r="AU46" s="49"/>
      <c r="AV46" s="47"/>
      <c r="AW46" s="48"/>
      <c r="AX46" s="49"/>
      <c r="AY46" s="38"/>
      <c r="AZ46" s="39"/>
      <c r="BA46" s="40"/>
      <c r="BB46" s="50"/>
      <c r="BC46" s="51"/>
      <c r="BD46" s="52"/>
      <c r="BE46" s="50"/>
      <c r="BF46" s="51"/>
      <c r="BG46" s="52"/>
      <c r="BH46" s="38"/>
      <c r="BI46" s="39"/>
      <c r="BJ46" s="40"/>
      <c r="BK46" s="50"/>
      <c r="BL46" s="51"/>
      <c r="BM46" s="52"/>
      <c r="BN46" s="41"/>
      <c r="BO46" s="42"/>
      <c r="BP46" s="42"/>
      <c r="BQ46" s="42"/>
      <c r="BR46" s="42"/>
      <c r="BS46" s="43"/>
    </row>
    <row r="47" spans="1:71" ht="45" customHeight="1" x14ac:dyDescent="0.25">
      <c r="A47" s="7" t="str">
        <f>IF(M47="","",COUNTA($M$9:M47))</f>
        <v/>
      </c>
      <c r="B47" s="38"/>
      <c r="C47" s="40"/>
      <c r="D47" s="53"/>
      <c r="E47" s="54"/>
      <c r="F47" s="54"/>
      <c r="G47" s="54"/>
      <c r="H47" s="55"/>
      <c r="I47" s="41"/>
      <c r="J47" s="42"/>
      <c r="K47" s="42"/>
      <c r="L47" s="43"/>
      <c r="M47" s="44"/>
      <c r="N47" s="45"/>
      <c r="O47" s="45"/>
      <c r="P47" s="45"/>
      <c r="Q47" s="45"/>
      <c r="R47" s="45"/>
      <c r="S47" s="45"/>
      <c r="T47" s="45"/>
      <c r="U47" s="45"/>
      <c r="V47" s="45"/>
      <c r="W47" s="45"/>
      <c r="X47" s="45"/>
      <c r="Y47" s="46"/>
      <c r="Z47" s="44"/>
      <c r="AA47" s="45"/>
      <c r="AB47" s="45"/>
      <c r="AC47" s="45"/>
      <c r="AD47" s="45"/>
      <c r="AE47" s="45"/>
      <c r="AF47" s="45"/>
      <c r="AG47" s="45"/>
      <c r="AH47" s="45"/>
      <c r="AI47" s="45"/>
      <c r="AJ47" s="45"/>
      <c r="AK47" s="45"/>
      <c r="AL47" s="46"/>
      <c r="AM47" s="41"/>
      <c r="AN47" s="42"/>
      <c r="AO47" s="43"/>
      <c r="AP47" s="47"/>
      <c r="AQ47" s="48"/>
      <c r="AR47" s="49"/>
      <c r="AS47" s="47"/>
      <c r="AT47" s="48"/>
      <c r="AU47" s="49"/>
      <c r="AV47" s="47"/>
      <c r="AW47" s="48"/>
      <c r="AX47" s="49"/>
      <c r="AY47" s="38"/>
      <c r="AZ47" s="39"/>
      <c r="BA47" s="40"/>
      <c r="BB47" s="50"/>
      <c r="BC47" s="51"/>
      <c r="BD47" s="52"/>
      <c r="BE47" s="50"/>
      <c r="BF47" s="51"/>
      <c r="BG47" s="52"/>
      <c r="BH47" s="38"/>
      <c r="BI47" s="39"/>
      <c r="BJ47" s="40"/>
      <c r="BK47" s="50"/>
      <c r="BL47" s="51"/>
      <c r="BM47" s="52"/>
      <c r="BN47" s="41"/>
      <c r="BO47" s="42"/>
      <c r="BP47" s="42"/>
      <c r="BQ47" s="42"/>
      <c r="BR47" s="42"/>
      <c r="BS47" s="43"/>
    </row>
    <row r="48" spans="1:71" ht="15" customHeight="1" x14ac:dyDescent="0.25">
      <c r="A48" s="33" t="s">
        <v>111</v>
      </c>
      <c r="B48" s="32"/>
      <c r="C48" s="32"/>
      <c r="D48" s="32"/>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c r="AK48" s="32"/>
      <c r="AL48" s="32"/>
      <c r="AM48" s="32"/>
      <c r="AN48" s="32"/>
      <c r="AO48" s="32"/>
      <c r="AP48" s="32"/>
      <c r="AQ48" s="32"/>
      <c r="AR48" s="32"/>
      <c r="AS48" s="32"/>
      <c r="AT48" s="32"/>
      <c r="AU48" s="32"/>
      <c r="AV48" s="32"/>
      <c r="AW48" s="32"/>
      <c r="AX48" s="32"/>
      <c r="AY48" s="32"/>
      <c r="AZ48" s="32"/>
      <c r="BA48" s="32"/>
      <c r="BB48" s="32"/>
      <c r="BC48" s="32"/>
      <c r="BD48" s="32"/>
      <c r="BE48" s="32"/>
      <c r="BF48" s="32"/>
      <c r="BG48" s="32"/>
      <c r="BH48" s="32"/>
      <c r="BI48" s="32"/>
      <c r="BJ48" s="32"/>
      <c r="BK48" s="32"/>
      <c r="BL48" s="32"/>
      <c r="BM48" s="32"/>
      <c r="BN48" s="32"/>
      <c r="BO48" s="32"/>
      <c r="BP48" s="32"/>
      <c r="BQ48" s="32"/>
      <c r="BR48" s="32"/>
      <c r="BS48" s="32"/>
    </row>
  </sheetData>
  <mergeCells count="633">
    <mergeCell ref="AY17:BA17"/>
    <mergeCell ref="BB17:BD17"/>
    <mergeCell ref="BE17:BG17"/>
    <mergeCell ref="BH17:BJ17"/>
    <mergeCell ref="BK17:BM17"/>
    <mergeCell ref="BN17:BS17"/>
    <mergeCell ref="B17:C17"/>
    <mergeCell ref="D17:H17"/>
    <mergeCell ref="I17:L17"/>
    <mergeCell ref="M17:Y17"/>
    <mergeCell ref="Z17:AL17"/>
    <mergeCell ref="AM17:AO17"/>
    <mergeCell ref="AP17:AR17"/>
    <mergeCell ref="AS17:AU17"/>
    <mergeCell ref="AV17:AX17"/>
    <mergeCell ref="BH46:BJ46"/>
    <mergeCell ref="BK46:BM46"/>
    <mergeCell ref="BN46:BS46"/>
    <mergeCell ref="B47:C47"/>
    <mergeCell ref="D47:H47"/>
    <mergeCell ref="I47:L47"/>
    <mergeCell ref="M47:Y47"/>
    <mergeCell ref="Z47:AL47"/>
    <mergeCell ref="AM47:AO47"/>
    <mergeCell ref="AP47:AR47"/>
    <mergeCell ref="AS47:AU47"/>
    <mergeCell ref="AV47:AX47"/>
    <mergeCell ref="AY47:BA47"/>
    <mergeCell ref="BB47:BD47"/>
    <mergeCell ref="BE47:BG47"/>
    <mergeCell ref="BH47:BJ47"/>
    <mergeCell ref="BK47:BM47"/>
    <mergeCell ref="BN47:BS47"/>
    <mergeCell ref="B46:C46"/>
    <mergeCell ref="D46:H46"/>
    <mergeCell ref="I46:L46"/>
    <mergeCell ref="M46:Y46"/>
    <mergeCell ref="Z46:AL46"/>
    <mergeCell ref="AM46:AO46"/>
    <mergeCell ref="AP46:AR46"/>
    <mergeCell ref="AS46:AU46"/>
    <mergeCell ref="AV46:AX46"/>
    <mergeCell ref="AY44:BA44"/>
    <mergeCell ref="BB44:BD44"/>
    <mergeCell ref="BE44:BG44"/>
    <mergeCell ref="AP44:AR44"/>
    <mergeCell ref="AS44:AU44"/>
    <mergeCell ref="AV44:AX44"/>
    <mergeCell ref="AY46:BA46"/>
    <mergeCell ref="BB46:BD46"/>
    <mergeCell ref="BE46:BG46"/>
    <mergeCell ref="BH44:BJ44"/>
    <mergeCell ref="BK44:BM44"/>
    <mergeCell ref="BN44:BS44"/>
    <mergeCell ref="B45:C45"/>
    <mergeCell ref="D45:H45"/>
    <mergeCell ref="I45:L45"/>
    <mergeCell ref="M45:Y45"/>
    <mergeCell ref="Z45:AL45"/>
    <mergeCell ref="AM45:AO45"/>
    <mergeCell ref="AP45:AR45"/>
    <mergeCell ref="AS45:AU45"/>
    <mergeCell ref="AV45:AX45"/>
    <mergeCell ref="AY45:BA45"/>
    <mergeCell ref="BB45:BD45"/>
    <mergeCell ref="BE45:BG45"/>
    <mergeCell ref="BH45:BJ45"/>
    <mergeCell ref="BK45:BM45"/>
    <mergeCell ref="BN45:BS45"/>
    <mergeCell ref="B44:C44"/>
    <mergeCell ref="D44:H44"/>
    <mergeCell ref="I44:L44"/>
    <mergeCell ref="M44:Y44"/>
    <mergeCell ref="Z44:AL44"/>
    <mergeCell ref="AM44:AO44"/>
    <mergeCell ref="BH42:BJ42"/>
    <mergeCell ref="BK42:BM42"/>
    <mergeCell ref="BN42:BS42"/>
    <mergeCell ref="B43:C43"/>
    <mergeCell ref="D43:H43"/>
    <mergeCell ref="I43:L43"/>
    <mergeCell ref="M43:Y43"/>
    <mergeCell ref="Z43:AL43"/>
    <mergeCell ref="AM43:AO43"/>
    <mergeCell ref="AP43:AR43"/>
    <mergeCell ref="AS43:AU43"/>
    <mergeCell ref="AV43:AX43"/>
    <mergeCell ref="AY43:BA43"/>
    <mergeCell ref="BB43:BD43"/>
    <mergeCell ref="BE43:BG43"/>
    <mergeCell ref="BH43:BJ43"/>
    <mergeCell ref="BK43:BM43"/>
    <mergeCell ref="BN43:BS43"/>
    <mergeCell ref="B42:C42"/>
    <mergeCell ref="D42:H42"/>
    <mergeCell ref="I42:L42"/>
    <mergeCell ref="M42:Y42"/>
    <mergeCell ref="Z42:AL42"/>
    <mergeCell ref="AM42:AO42"/>
    <mergeCell ref="AP42:AR42"/>
    <mergeCell ref="AS42:AU42"/>
    <mergeCell ref="AV42:AX42"/>
    <mergeCell ref="AY40:BA40"/>
    <mergeCell ref="BB40:BD40"/>
    <mergeCell ref="BE40:BG40"/>
    <mergeCell ref="AP40:AR40"/>
    <mergeCell ref="AS40:AU40"/>
    <mergeCell ref="AV40:AX40"/>
    <mergeCell ref="AY42:BA42"/>
    <mergeCell ref="BB42:BD42"/>
    <mergeCell ref="BE42:BG42"/>
    <mergeCell ref="BH40:BJ40"/>
    <mergeCell ref="BK40:BM40"/>
    <mergeCell ref="BN40:BS40"/>
    <mergeCell ref="B41:C41"/>
    <mergeCell ref="D41:H41"/>
    <mergeCell ref="I41:L41"/>
    <mergeCell ref="M41:Y41"/>
    <mergeCell ref="Z41:AL41"/>
    <mergeCell ref="AM41:AO41"/>
    <mergeCell ref="AP41:AR41"/>
    <mergeCell ref="AS41:AU41"/>
    <mergeCell ref="AV41:AX41"/>
    <mergeCell ref="AY41:BA41"/>
    <mergeCell ref="BB41:BD41"/>
    <mergeCell ref="BE41:BG41"/>
    <mergeCell ref="BH41:BJ41"/>
    <mergeCell ref="BK41:BM41"/>
    <mergeCell ref="BN41:BS41"/>
    <mergeCell ref="B40:C40"/>
    <mergeCell ref="D40:H40"/>
    <mergeCell ref="I40:L40"/>
    <mergeCell ref="M40:Y40"/>
    <mergeCell ref="Z40:AL40"/>
    <mergeCell ref="AM40:AO40"/>
    <mergeCell ref="BH38:BJ38"/>
    <mergeCell ref="BK38:BM38"/>
    <mergeCell ref="BN38:BS38"/>
    <mergeCell ref="B39:C39"/>
    <mergeCell ref="D39:H39"/>
    <mergeCell ref="I39:L39"/>
    <mergeCell ref="M39:Y39"/>
    <mergeCell ref="Z39:AL39"/>
    <mergeCell ref="AM39:AO39"/>
    <mergeCell ref="AP39:AR39"/>
    <mergeCell ref="AS39:AU39"/>
    <mergeCell ref="AV39:AX39"/>
    <mergeCell ref="AY39:BA39"/>
    <mergeCell ref="BB39:BD39"/>
    <mergeCell ref="BE39:BG39"/>
    <mergeCell ref="BH39:BJ39"/>
    <mergeCell ref="BK39:BM39"/>
    <mergeCell ref="BN39:BS39"/>
    <mergeCell ref="B38:C38"/>
    <mergeCell ref="D38:H38"/>
    <mergeCell ref="I38:L38"/>
    <mergeCell ref="M38:Y38"/>
    <mergeCell ref="Z38:AL38"/>
    <mergeCell ref="AM38:AO38"/>
    <mergeCell ref="AP38:AR38"/>
    <mergeCell ref="AS38:AU38"/>
    <mergeCell ref="AV38:AX38"/>
    <mergeCell ref="AY36:BA36"/>
    <mergeCell ref="BB36:BD36"/>
    <mergeCell ref="BE36:BG36"/>
    <mergeCell ref="AP36:AR36"/>
    <mergeCell ref="AS36:AU36"/>
    <mergeCell ref="AV36:AX36"/>
    <mergeCell ref="AY38:BA38"/>
    <mergeCell ref="BB38:BD38"/>
    <mergeCell ref="BE38:BG38"/>
    <mergeCell ref="BH36:BJ36"/>
    <mergeCell ref="BK36:BM36"/>
    <mergeCell ref="BN36:BS36"/>
    <mergeCell ref="B37:C37"/>
    <mergeCell ref="D37:H37"/>
    <mergeCell ref="I37:L37"/>
    <mergeCell ref="M37:Y37"/>
    <mergeCell ref="Z37:AL37"/>
    <mergeCell ref="AM37:AO37"/>
    <mergeCell ref="AP37:AR37"/>
    <mergeCell ref="AS37:AU37"/>
    <mergeCell ref="AV37:AX37"/>
    <mergeCell ref="AY37:BA37"/>
    <mergeCell ref="BB37:BD37"/>
    <mergeCell ref="BE37:BG37"/>
    <mergeCell ref="BH37:BJ37"/>
    <mergeCell ref="BK37:BM37"/>
    <mergeCell ref="BN37:BS37"/>
    <mergeCell ref="B36:C36"/>
    <mergeCell ref="D36:H36"/>
    <mergeCell ref="I36:L36"/>
    <mergeCell ref="M36:Y36"/>
    <mergeCell ref="Z36:AL36"/>
    <mergeCell ref="AM36:AO36"/>
    <mergeCell ref="BH34:BJ34"/>
    <mergeCell ref="BK34:BM34"/>
    <mergeCell ref="BN34:BS34"/>
    <mergeCell ref="B35:C35"/>
    <mergeCell ref="D35:H35"/>
    <mergeCell ref="I35:L35"/>
    <mergeCell ref="M35:Y35"/>
    <mergeCell ref="Z35:AL35"/>
    <mergeCell ref="AM35:AO35"/>
    <mergeCell ref="AP35:AR35"/>
    <mergeCell ref="AS35:AU35"/>
    <mergeCell ref="AV35:AX35"/>
    <mergeCell ref="AY35:BA35"/>
    <mergeCell ref="BB35:BD35"/>
    <mergeCell ref="BE35:BG35"/>
    <mergeCell ref="BH35:BJ35"/>
    <mergeCell ref="BK35:BM35"/>
    <mergeCell ref="BN35:BS35"/>
    <mergeCell ref="B34:C34"/>
    <mergeCell ref="D34:H34"/>
    <mergeCell ref="I34:L34"/>
    <mergeCell ref="M34:Y34"/>
    <mergeCell ref="Z34:AL34"/>
    <mergeCell ref="AM34:AO34"/>
    <mergeCell ref="AP34:AR34"/>
    <mergeCell ref="AS34:AU34"/>
    <mergeCell ref="AV34:AX34"/>
    <mergeCell ref="AY32:BA32"/>
    <mergeCell ref="BB32:BD32"/>
    <mergeCell ref="BE32:BG32"/>
    <mergeCell ref="AP32:AR32"/>
    <mergeCell ref="AS32:AU32"/>
    <mergeCell ref="AV32:AX32"/>
    <mergeCell ref="AY34:BA34"/>
    <mergeCell ref="BB34:BD34"/>
    <mergeCell ref="BE34:BG34"/>
    <mergeCell ref="BH32:BJ32"/>
    <mergeCell ref="BK32:BM32"/>
    <mergeCell ref="BN32:BS32"/>
    <mergeCell ref="B33:C33"/>
    <mergeCell ref="D33:H33"/>
    <mergeCell ref="I33:L33"/>
    <mergeCell ref="M33:Y33"/>
    <mergeCell ref="Z33:AL33"/>
    <mergeCell ref="AM33:AO33"/>
    <mergeCell ref="AP33:AR33"/>
    <mergeCell ref="AS33:AU33"/>
    <mergeCell ref="AV33:AX33"/>
    <mergeCell ref="AY33:BA33"/>
    <mergeCell ref="BB33:BD33"/>
    <mergeCell ref="BE33:BG33"/>
    <mergeCell ref="BH33:BJ33"/>
    <mergeCell ref="BK33:BM33"/>
    <mergeCell ref="BN33:BS33"/>
    <mergeCell ref="B32:C32"/>
    <mergeCell ref="D32:H32"/>
    <mergeCell ref="I32:L32"/>
    <mergeCell ref="M32:Y32"/>
    <mergeCell ref="Z32:AL32"/>
    <mergeCell ref="AM32:AO32"/>
    <mergeCell ref="BH30:BJ30"/>
    <mergeCell ref="BK30:BM30"/>
    <mergeCell ref="BN30:BS30"/>
    <mergeCell ref="B31:C31"/>
    <mergeCell ref="D31:H31"/>
    <mergeCell ref="I31:L31"/>
    <mergeCell ref="M31:Y31"/>
    <mergeCell ref="Z31:AL31"/>
    <mergeCell ref="AM31:AO31"/>
    <mergeCell ref="AP31:AR31"/>
    <mergeCell ref="AS31:AU31"/>
    <mergeCell ref="AV31:AX31"/>
    <mergeCell ref="AY31:BA31"/>
    <mergeCell ref="BB31:BD31"/>
    <mergeCell ref="BE31:BG31"/>
    <mergeCell ref="BH31:BJ31"/>
    <mergeCell ref="BK31:BM31"/>
    <mergeCell ref="BN31:BS31"/>
    <mergeCell ref="B30:C30"/>
    <mergeCell ref="D30:H30"/>
    <mergeCell ref="I30:L30"/>
    <mergeCell ref="M30:Y30"/>
    <mergeCell ref="Z30:AL30"/>
    <mergeCell ref="AM30:AO30"/>
    <mergeCell ref="AP30:AR30"/>
    <mergeCell ref="AS30:AU30"/>
    <mergeCell ref="AV30:AX30"/>
    <mergeCell ref="AY28:BA28"/>
    <mergeCell ref="BB28:BD28"/>
    <mergeCell ref="BE28:BG28"/>
    <mergeCell ref="AP28:AR28"/>
    <mergeCell ref="AS28:AU28"/>
    <mergeCell ref="AV28:AX28"/>
    <mergeCell ref="AY30:BA30"/>
    <mergeCell ref="BB30:BD30"/>
    <mergeCell ref="BE30:BG30"/>
    <mergeCell ref="BH28:BJ28"/>
    <mergeCell ref="BK28:BM28"/>
    <mergeCell ref="BN28:BS28"/>
    <mergeCell ref="B29:C29"/>
    <mergeCell ref="D29:H29"/>
    <mergeCell ref="I29:L29"/>
    <mergeCell ref="M29:Y29"/>
    <mergeCell ref="Z29:AL29"/>
    <mergeCell ref="AM29:AO29"/>
    <mergeCell ref="AP29:AR29"/>
    <mergeCell ref="AS29:AU29"/>
    <mergeCell ref="AV29:AX29"/>
    <mergeCell ref="AY29:BA29"/>
    <mergeCell ref="BB29:BD29"/>
    <mergeCell ref="BE29:BG29"/>
    <mergeCell ref="BH29:BJ29"/>
    <mergeCell ref="BK29:BM29"/>
    <mergeCell ref="BN29:BS29"/>
    <mergeCell ref="B28:C28"/>
    <mergeCell ref="D28:H28"/>
    <mergeCell ref="I28:L28"/>
    <mergeCell ref="M28:Y28"/>
    <mergeCell ref="Z28:AL28"/>
    <mergeCell ref="AM28:AO28"/>
    <mergeCell ref="BH26:BJ26"/>
    <mergeCell ref="BK26:BM26"/>
    <mergeCell ref="BN26:BS26"/>
    <mergeCell ref="B27:C27"/>
    <mergeCell ref="D27:H27"/>
    <mergeCell ref="I27:L27"/>
    <mergeCell ref="M27:Y27"/>
    <mergeCell ref="Z27:AL27"/>
    <mergeCell ref="AM27:AO27"/>
    <mergeCell ref="AP27:AR27"/>
    <mergeCell ref="AS27:AU27"/>
    <mergeCell ref="AV27:AX27"/>
    <mergeCell ref="AY27:BA27"/>
    <mergeCell ref="BB27:BD27"/>
    <mergeCell ref="BE27:BG27"/>
    <mergeCell ref="BH27:BJ27"/>
    <mergeCell ref="BK27:BM27"/>
    <mergeCell ref="BN27:BS27"/>
    <mergeCell ref="B26:C26"/>
    <mergeCell ref="D26:H26"/>
    <mergeCell ref="I26:L26"/>
    <mergeCell ref="M26:Y26"/>
    <mergeCell ref="Z26:AL26"/>
    <mergeCell ref="AM26:AO26"/>
    <mergeCell ref="AP26:AR26"/>
    <mergeCell ref="AS26:AU26"/>
    <mergeCell ref="AV26:AX26"/>
    <mergeCell ref="AY24:BA24"/>
    <mergeCell ref="BB24:BD24"/>
    <mergeCell ref="BE24:BG24"/>
    <mergeCell ref="AP24:AR24"/>
    <mergeCell ref="AS24:AU24"/>
    <mergeCell ref="AV24:AX24"/>
    <mergeCell ref="AY26:BA26"/>
    <mergeCell ref="BB26:BD26"/>
    <mergeCell ref="BE26:BG26"/>
    <mergeCell ref="BH24:BJ24"/>
    <mergeCell ref="BK24:BM24"/>
    <mergeCell ref="BN24:BS24"/>
    <mergeCell ref="B25:C25"/>
    <mergeCell ref="D25:H25"/>
    <mergeCell ref="I25:L25"/>
    <mergeCell ref="M25:Y25"/>
    <mergeCell ref="Z25:AL25"/>
    <mergeCell ref="AM25:AO25"/>
    <mergeCell ref="AP25:AR25"/>
    <mergeCell ref="AS25:AU25"/>
    <mergeCell ref="AV25:AX25"/>
    <mergeCell ref="AY25:BA25"/>
    <mergeCell ref="BB25:BD25"/>
    <mergeCell ref="BE25:BG25"/>
    <mergeCell ref="BH25:BJ25"/>
    <mergeCell ref="BK25:BM25"/>
    <mergeCell ref="BN25:BS25"/>
    <mergeCell ref="B24:C24"/>
    <mergeCell ref="D24:H24"/>
    <mergeCell ref="I24:L24"/>
    <mergeCell ref="M24:Y24"/>
    <mergeCell ref="Z24:AL24"/>
    <mergeCell ref="AM24:AO24"/>
    <mergeCell ref="AP10:AR10"/>
    <mergeCell ref="AS10:AU10"/>
    <mergeCell ref="AV10:AX10"/>
    <mergeCell ref="AY10:BA10"/>
    <mergeCell ref="BB10:BD10"/>
    <mergeCell ref="BE10:BG10"/>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B14:C14"/>
    <mergeCell ref="D14:H14"/>
    <mergeCell ref="I14:L14"/>
    <mergeCell ref="M14:Y14"/>
    <mergeCell ref="Z14:AL14"/>
    <mergeCell ref="AM14:AO14"/>
    <mergeCell ref="AP14:AR14"/>
    <mergeCell ref="AS14:AU14"/>
    <mergeCell ref="AS13:AU13"/>
    <mergeCell ref="BN16:BS16"/>
    <mergeCell ref="AV16:AX16"/>
    <mergeCell ref="AY16:BA16"/>
    <mergeCell ref="BB16:BD16"/>
    <mergeCell ref="BE16:BG16"/>
    <mergeCell ref="BH16:BJ16"/>
    <mergeCell ref="BN14:BS14"/>
    <mergeCell ref="AV14:AX14"/>
    <mergeCell ref="AY14:BA14"/>
    <mergeCell ref="BB14:BD14"/>
    <mergeCell ref="BE14:BG14"/>
    <mergeCell ref="BH14:BJ14"/>
    <mergeCell ref="BK14:BM14"/>
    <mergeCell ref="AS16:AU16"/>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K19:BM19"/>
    <mergeCell ref="BN19:BS19"/>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D18:H18"/>
    <mergeCell ref="I18:L18"/>
    <mergeCell ref="M18:Y18"/>
    <mergeCell ref="Z18:AL18"/>
    <mergeCell ref="AS21:AU21"/>
    <mergeCell ref="BH20:BJ20"/>
    <mergeCell ref="BK20:BM20"/>
    <mergeCell ref="BN20:BS20"/>
    <mergeCell ref="B21:C21"/>
    <mergeCell ref="D21:H21"/>
    <mergeCell ref="I21:L21"/>
    <mergeCell ref="M21:Y21"/>
    <mergeCell ref="Z21:AL21"/>
    <mergeCell ref="AM21:AO21"/>
    <mergeCell ref="AP21:AR21"/>
    <mergeCell ref="AP20:AR20"/>
    <mergeCell ref="AS20:AU20"/>
    <mergeCell ref="AV20:AX20"/>
    <mergeCell ref="AY20:BA20"/>
    <mergeCell ref="BB20:BD20"/>
    <mergeCell ref="BE20:BG20"/>
    <mergeCell ref="B20:C20"/>
    <mergeCell ref="D20:H20"/>
    <mergeCell ref="I20:L20"/>
    <mergeCell ref="BN21:BS21"/>
    <mergeCell ref="B22:C22"/>
    <mergeCell ref="D22:H22"/>
    <mergeCell ref="I22:L22"/>
    <mergeCell ref="M22:Y22"/>
    <mergeCell ref="M20:Y20"/>
    <mergeCell ref="Z20:AL20"/>
    <mergeCell ref="AM20:AO20"/>
    <mergeCell ref="BK21:BM21"/>
    <mergeCell ref="AV21:AX21"/>
    <mergeCell ref="AY21:BA21"/>
    <mergeCell ref="BB21:BD21"/>
    <mergeCell ref="BE21:BG21"/>
    <mergeCell ref="BH21:BJ21"/>
    <mergeCell ref="B23:C23"/>
    <mergeCell ref="D23:H23"/>
    <mergeCell ref="I23:L23"/>
    <mergeCell ref="M23:Y23"/>
    <mergeCell ref="Z23:AL23"/>
    <mergeCell ref="AM23:AO23"/>
    <mergeCell ref="AP23:AR23"/>
    <mergeCell ref="AS23:AU23"/>
    <mergeCell ref="AV23:AX23"/>
    <mergeCell ref="AH2:AK2"/>
    <mergeCell ref="AH3:AK3"/>
    <mergeCell ref="AH4:AK4"/>
    <mergeCell ref="AY23:BA23"/>
    <mergeCell ref="BN23:BS23"/>
    <mergeCell ref="Z22:AL22"/>
    <mergeCell ref="AM22:AO22"/>
    <mergeCell ref="AP22:AR22"/>
    <mergeCell ref="AS22:AU22"/>
    <mergeCell ref="BB23:BD23"/>
    <mergeCell ref="BE23:BG23"/>
    <mergeCell ref="BH23:BJ23"/>
    <mergeCell ref="BK23:BM23"/>
    <mergeCell ref="BN22:BS22"/>
    <mergeCell ref="AV22:AX22"/>
    <mergeCell ref="AY22:BA22"/>
    <mergeCell ref="BB22:BD22"/>
    <mergeCell ref="BE22:BG22"/>
    <mergeCell ref="BH22:BJ22"/>
    <mergeCell ref="BK22:BM22"/>
    <mergeCell ref="AY19:BA19"/>
    <mergeCell ref="BB19:BD19"/>
    <mergeCell ref="BE19:BG19"/>
    <mergeCell ref="BH19:BJ19"/>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&amp;P&amp;L基本設計 - 生産実績一覧（抄紙）</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25" x14ac:dyDescent="0.25"/>
  <cols>
    <col min="4" max="4" width="30.625" customWidth="1"/>
  </cols>
  <sheetData>
    <row r="1" spans="1:6" x14ac:dyDescent="0.25">
      <c r="A1" t="s">
        <v>112</v>
      </c>
      <c r="B1" t="s">
        <v>113</v>
      </c>
      <c r="C1" t="s">
        <v>2</v>
      </c>
      <c r="D1" t="s">
        <v>114</v>
      </c>
      <c r="E1" t="s">
        <v>115</v>
      </c>
    </row>
    <row r="2" spans="1:6" x14ac:dyDescent="0.25">
      <c r="A2" t="s">
        <v>4</v>
      </c>
      <c r="B2" t="s">
        <v>116</v>
      </c>
      <c r="C2" t="s">
        <v>117</v>
      </c>
      <c r="D2" t="s">
        <v>118</v>
      </c>
      <c r="E2" t="s">
        <v>119</v>
      </c>
    </row>
    <row r="3" spans="1:6" x14ac:dyDescent="0.25">
      <c r="A3" t="s">
        <v>120</v>
      </c>
      <c r="B3" t="s">
        <v>121</v>
      </c>
      <c r="C3" t="s">
        <v>122</v>
      </c>
      <c r="D3" t="s">
        <v>123</v>
      </c>
      <c r="E3" t="s">
        <v>124</v>
      </c>
    </row>
    <row r="4" spans="1:6" x14ac:dyDescent="0.25">
      <c r="A4" t="s">
        <v>125</v>
      </c>
      <c r="B4" t="s">
        <v>5</v>
      </c>
      <c r="C4" t="s">
        <v>126</v>
      </c>
      <c r="D4" t="s">
        <v>127</v>
      </c>
      <c r="E4" t="s">
        <v>46</v>
      </c>
    </row>
    <row r="5" spans="1:6" x14ac:dyDescent="0.25">
      <c r="A5" t="s">
        <v>128</v>
      </c>
      <c r="B5" t="s">
        <v>129</v>
      </c>
      <c r="C5" t="s">
        <v>130</v>
      </c>
      <c r="D5" t="s">
        <v>131</v>
      </c>
      <c r="E5" t="s">
        <v>132</v>
      </c>
      <c r="F5" t="s">
        <v>133</v>
      </c>
    </row>
    <row r="6" spans="1:6" x14ac:dyDescent="0.25">
      <c r="A6" t="s">
        <v>134</v>
      </c>
      <c r="B6" t="s">
        <v>135</v>
      </c>
      <c r="C6" t="s">
        <v>136</v>
      </c>
      <c r="D6" t="s">
        <v>137</v>
      </c>
      <c r="E6" t="s">
        <v>138</v>
      </c>
    </row>
    <row r="7" spans="1:6" x14ac:dyDescent="0.25">
      <c r="A7" t="s">
        <v>139</v>
      </c>
      <c r="B7" t="s">
        <v>140</v>
      </c>
      <c r="C7" t="s">
        <v>141</v>
      </c>
      <c r="D7" t="s">
        <v>142</v>
      </c>
      <c r="E7" t="s">
        <v>143</v>
      </c>
    </row>
    <row r="8" spans="1:6" x14ac:dyDescent="0.25">
      <c r="B8" t="s">
        <v>144</v>
      </c>
      <c r="C8" t="s">
        <v>145</v>
      </c>
      <c r="D8" t="s">
        <v>146</v>
      </c>
      <c r="E8" t="s">
        <v>147</v>
      </c>
    </row>
    <row r="9" spans="1:6" x14ac:dyDescent="0.25">
      <c r="B9" t="s">
        <v>148</v>
      </c>
      <c r="C9" t="s">
        <v>149</v>
      </c>
      <c r="D9" t="s">
        <v>150</v>
      </c>
      <c r="E9" t="s">
        <v>151</v>
      </c>
    </row>
    <row r="10" spans="1:6" x14ac:dyDescent="0.25">
      <c r="B10" t="s">
        <v>152</v>
      </c>
      <c r="C10" t="s">
        <v>153</v>
      </c>
      <c r="D10" t="s">
        <v>154</v>
      </c>
    </row>
    <row r="11" spans="1:6" x14ac:dyDescent="0.25">
      <c r="B11" t="s">
        <v>155</v>
      </c>
      <c r="C11" t="s">
        <v>156</v>
      </c>
      <c r="D11" t="s">
        <v>157</v>
      </c>
    </row>
    <row r="12" spans="1:6" x14ac:dyDescent="0.25">
      <c r="B12" t="s">
        <v>158</v>
      </c>
      <c r="C12" t="s">
        <v>159</v>
      </c>
      <c r="D12" t="s">
        <v>160</v>
      </c>
    </row>
    <row r="13" spans="1:6" x14ac:dyDescent="0.25">
      <c r="B13" t="s">
        <v>161</v>
      </c>
      <c r="C13" t="s">
        <v>162</v>
      </c>
      <c r="D13" t="s">
        <v>163</v>
      </c>
    </row>
    <row r="14" spans="1:6" x14ac:dyDescent="0.25">
      <c r="C14" t="s">
        <v>164</v>
      </c>
      <c r="D14" t="s">
        <v>165</v>
      </c>
    </row>
    <row r="15" spans="1:6" x14ac:dyDescent="0.25">
      <c r="C15" t="s">
        <v>166</v>
      </c>
      <c r="D15" t="s">
        <v>167</v>
      </c>
    </row>
    <row r="16" spans="1:6" x14ac:dyDescent="0.25">
      <c r="C16" t="s">
        <v>168</v>
      </c>
      <c r="D16" t="s">
        <v>169</v>
      </c>
    </row>
    <row r="17" spans="3:4" x14ac:dyDescent="0.25">
      <c r="C17" t="s">
        <v>170</v>
      </c>
      <c r="D17" t="s">
        <v>171</v>
      </c>
    </row>
    <row r="18" spans="3:4" x14ac:dyDescent="0.25">
      <c r="C18" t="s">
        <v>172</v>
      </c>
      <c r="D18" t="s">
        <v>173</v>
      </c>
    </row>
    <row r="19" spans="3:4" x14ac:dyDescent="0.25">
      <c r="C19" t="s">
        <v>174</v>
      </c>
      <c r="D19" t="s">
        <v>175</v>
      </c>
    </row>
    <row r="20" spans="3:4" x14ac:dyDescent="0.25">
      <c r="C20" t="s">
        <v>176</v>
      </c>
      <c r="D20" t="s">
        <v>177</v>
      </c>
    </row>
    <row r="21" spans="3:4" x14ac:dyDescent="0.25">
      <c r="C21" t="s">
        <v>178</v>
      </c>
      <c r="D21" t="s">
        <v>179</v>
      </c>
    </row>
    <row r="22" spans="3:4" x14ac:dyDescent="0.25">
      <c r="C22" t="s">
        <v>180</v>
      </c>
      <c r="D22" t="s">
        <v>181</v>
      </c>
    </row>
    <row r="23" spans="3:4" x14ac:dyDescent="0.25">
      <c r="C23" t="s">
        <v>182</v>
      </c>
      <c r="D23" t="s">
        <v>183</v>
      </c>
    </row>
    <row r="24" spans="3:4" x14ac:dyDescent="0.25">
      <c r="C24" t="s">
        <v>184</v>
      </c>
      <c r="D24" t="s">
        <v>185</v>
      </c>
    </row>
    <row r="25" spans="3:4" x14ac:dyDescent="0.25">
      <c r="C25" t="s">
        <v>186</v>
      </c>
      <c r="D25" t="s">
        <v>187</v>
      </c>
    </row>
    <row r="26" spans="3:4" x14ac:dyDescent="0.25">
      <c r="C26" t="s">
        <v>188</v>
      </c>
      <c r="D26" t="s">
        <v>189</v>
      </c>
    </row>
    <row r="27" spans="3:4" x14ac:dyDescent="0.25">
      <c r="C27" t="s">
        <v>190</v>
      </c>
      <c r="D27" t="s">
        <v>191</v>
      </c>
    </row>
    <row r="28" spans="3:4" x14ac:dyDescent="0.25">
      <c r="C28" t="s">
        <v>192</v>
      </c>
      <c r="D28" t="s">
        <v>193</v>
      </c>
    </row>
    <row r="29" spans="3:4" x14ac:dyDescent="0.25">
      <c r="C29" t="s">
        <v>194</v>
      </c>
      <c r="D29" t="s">
        <v>195</v>
      </c>
    </row>
    <row r="30" spans="3:4" x14ac:dyDescent="0.25">
      <c r="C30" t="s">
        <v>196</v>
      </c>
      <c r="D30" t="s">
        <v>197</v>
      </c>
    </row>
    <row r="31" spans="3:4" x14ac:dyDescent="0.25">
      <c r="C31" t="s">
        <v>198</v>
      </c>
      <c r="D31" t="s">
        <v>199</v>
      </c>
    </row>
    <row r="32" spans="3:4" x14ac:dyDescent="0.25">
      <c r="C32" t="s">
        <v>200</v>
      </c>
      <c r="D32" t="s">
        <v>201</v>
      </c>
    </row>
    <row r="33" spans="3:4" x14ac:dyDescent="0.25">
      <c r="C33" t="s">
        <v>202</v>
      </c>
      <c r="D33" t="s">
        <v>203</v>
      </c>
    </row>
    <row r="34" spans="3:4" x14ac:dyDescent="0.25">
      <c r="C34" t="s">
        <v>204</v>
      </c>
      <c r="D34" t="s">
        <v>205</v>
      </c>
    </row>
    <row r="35" spans="3:4" x14ac:dyDescent="0.25">
      <c r="C35" t="s">
        <v>206</v>
      </c>
      <c r="D35" t="s">
        <v>207</v>
      </c>
    </row>
    <row r="36" spans="3:4" x14ac:dyDescent="0.25">
      <c r="C36" t="s">
        <v>208</v>
      </c>
      <c r="D36" t="s">
        <v>209</v>
      </c>
    </row>
    <row r="37" spans="3:4" x14ac:dyDescent="0.25">
      <c r="C37" t="s">
        <v>210</v>
      </c>
      <c r="D37" t="s">
        <v>211</v>
      </c>
    </row>
    <row r="38" spans="3:4" x14ac:dyDescent="0.25">
      <c r="C38" t="s">
        <v>212</v>
      </c>
      <c r="D38" t="s">
        <v>213</v>
      </c>
    </row>
    <row r="39" spans="3:4" x14ac:dyDescent="0.25">
      <c r="C39" t="s">
        <v>214</v>
      </c>
      <c r="D39" t="s">
        <v>215</v>
      </c>
    </row>
    <row r="40" spans="3:4" x14ac:dyDescent="0.25">
      <c r="C40" t="s">
        <v>216</v>
      </c>
      <c r="D40" t="s">
        <v>217</v>
      </c>
    </row>
    <row r="41" spans="3:4" x14ac:dyDescent="0.25">
      <c r="C41" t="s">
        <v>218</v>
      </c>
      <c r="D41" t="s">
        <v>219</v>
      </c>
    </row>
    <row r="42" spans="3:4" x14ac:dyDescent="0.25">
      <c r="C42" t="s">
        <v>220</v>
      </c>
      <c r="D42" t="s">
        <v>221</v>
      </c>
    </row>
    <row r="43" spans="3:4" x14ac:dyDescent="0.25">
      <c r="C43" t="s">
        <v>222</v>
      </c>
      <c r="D43" t="s">
        <v>223</v>
      </c>
    </row>
    <row r="44" spans="3:4" x14ac:dyDescent="0.25">
      <c r="C44" t="s">
        <v>224</v>
      </c>
      <c r="D44" t="s">
        <v>225</v>
      </c>
    </row>
    <row r="45" spans="3:4" x14ac:dyDescent="0.25">
      <c r="C45" t="s">
        <v>226</v>
      </c>
      <c r="D45" t="s">
        <v>227</v>
      </c>
    </row>
    <row r="46" spans="3:4" x14ac:dyDescent="0.25">
      <c r="C46" t="s">
        <v>228</v>
      </c>
      <c r="D46" t="s">
        <v>229</v>
      </c>
    </row>
    <row r="47" spans="3:4" x14ac:dyDescent="0.25">
      <c r="C47" t="s">
        <v>230</v>
      </c>
      <c r="D47" t="s">
        <v>231</v>
      </c>
    </row>
    <row r="48" spans="3:4" x14ac:dyDescent="0.25">
      <c r="C48" t="s">
        <v>232</v>
      </c>
      <c r="D48" t="s">
        <v>233</v>
      </c>
    </row>
    <row r="49" spans="3:4" x14ac:dyDescent="0.25">
      <c r="C49" t="s">
        <v>234</v>
      </c>
      <c r="D49" t="s">
        <v>235</v>
      </c>
    </row>
    <row r="50" spans="3:4" x14ac:dyDescent="0.25">
      <c r="C50" t="s">
        <v>236</v>
      </c>
      <c r="D50" t="s">
        <v>237</v>
      </c>
    </row>
    <row r="51" spans="3:4" x14ac:dyDescent="0.25">
      <c r="C51" t="s">
        <v>6</v>
      </c>
      <c r="D51" t="s">
        <v>238</v>
      </c>
    </row>
    <row r="52" spans="3:4" x14ac:dyDescent="0.25">
      <c r="C52" t="s">
        <v>239</v>
      </c>
      <c r="D52" t="s">
        <v>240</v>
      </c>
    </row>
    <row r="53" spans="3:4" x14ac:dyDescent="0.25">
      <c r="C53" t="s">
        <v>241</v>
      </c>
      <c r="D53" t="s">
        <v>242</v>
      </c>
    </row>
    <row r="54" spans="3:4" x14ac:dyDescent="0.25">
      <c r="C54" t="s">
        <v>243</v>
      </c>
      <c r="D54" t="s">
        <v>244</v>
      </c>
    </row>
    <row r="55" spans="3:4" x14ac:dyDescent="0.25">
      <c r="C55" t="s">
        <v>245</v>
      </c>
      <c r="D55" t="s">
        <v>246</v>
      </c>
    </row>
    <row r="56" spans="3:4" x14ac:dyDescent="0.25">
      <c r="C56" t="s">
        <v>247</v>
      </c>
      <c r="D56" t="s">
        <v>248</v>
      </c>
    </row>
    <row r="57" spans="3:4" x14ac:dyDescent="0.25">
      <c r="C57" t="s">
        <v>249</v>
      </c>
      <c r="D57" t="s">
        <v>250</v>
      </c>
    </row>
    <row r="58" spans="3:4" x14ac:dyDescent="0.25">
      <c r="C58" t="s">
        <v>251</v>
      </c>
      <c r="D58" t="s">
        <v>252</v>
      </c>
    </row>
    <row r="59" spans="3:4" x14ac:dyDescent="0.25">
      <c r="C59" t="s">
        <v>253</v>
      </c>
      <c r="D59" t="s">
        <v>254</v>
      </c>
    </row>
    <row r="60" spans="3:4" x14ac:dyDescent="0.25">
      <c r="C60" t="s">
        <v>255</v>
      </c>
      <c r="D60" t="s">
        <v>256</v>
      </c>
    </row>
    <row r="61" spans="3:4" x14ac:dyDescent="0.25">
      <c r="C61" t="s">
        <v>257</v>
      </c>
      <c r="D61" t="s">
        <v>258</v>
      </c>
    </row>
    <row r="62" spans="3:4" x14ac:dyDescent="0.25">
      <c r="C62" t="s">
        <v>259</v>
      </c>
      <c r="D62" t="s">
        <v>260</v>
      </c>
    </row>
    <row r="63" spans="3:4" x14ac:dyDescent="0.25">
      <c r="C63" t="s">
        <v>261</v>
      </c>
      <c r="D63" t="s">
        <v>262</v>
      </c>
    </row>
    <row r="64" spans="3:4" x14ac:dyDescent="0.25">
      <c r="C64" t="s">
        <v>263</v>
      </c>
      <c r="D64" t="s">
        <v>264</v>
      </c>
    </row>
    <row r="65" spans="3:4" x14ac:dyDescent="0.25">
      <c r="C65" t="s">
        <v>265</v>
      </c>
      <c r="D65" t="s">
        <v>266</v>
      </c>
    </row>
    <row r="66" spans="3:4" x14ac:dyDescent="0.25">
      <c r="C66" t="s">
        <v>267</v>
      </c>
      <c r="D66" t="s">
        <v>268</v>
      </c>
    </row>
    <row r="67" spans="3:4" x14ac:dyDescent="0.25">
      <c r="C67" t="s">
        <v>269</v>
      </c>
      <c r="D67" t="s">
        <v>270</v>
      </c>
    </row>
    <row r="68" spans="3:4" x14ac:dyDescent="0.25">
      <c r="C68" t="s">
        <v>271</v>
      </c>
      <c r="D68" t="s">
        <v>272</v>
      </c>
    </row>
    <row r="69" spans="3:4" x14ac:dyDescent="0.25">
      <c r="C69" t="s">
        <v>273</v>
      </c>
      <c r="D69" t="s">
        <v>274</v>
      </c>
    </row>
    <row r="70" spans="3:4" x14ac:dyDescent="0.25">
      <c r="C70" t="s">
        <v>275</v>
      </c>
      <c r="D70" t="s">
        <v>276</v>
      </c>
    </row>
    <row r="71" spans="3:4" x14ac:dyDescent="0.25">
      <c r="C71" t="s">
        <v>277</v>
      </c>
      <c r="D71" t="s">
        <v>278</v>
      </c>
    </row>
    <row r="72" spans="3:4" x14ac:dyDescent="0.25">
      <c r="C72" t="s">
        <v>279</v>
      </c>
      <c r="D72" t="s">
        <v>280</v>
      </c>
    </row>
    <row r="73" spans="3:4" x14ac:dyDescent="0.25">
      <c r="C73" t="s">
        <v>281</v>
      </c>
      <c r="D73" t="s">
        <v>282</v>
      </c>
    </row>
    <row r="74" spans="3:4" x14ac:dyDescent="0.25">
      <c r="C74" t="s">
        <v>283</v>
      </c>
      <c r="D74" t="s">
        <v>284</v>
      </c>
    </row>
    <row r="75" spans="3:4" x14ac:dyDescent="0.25">
      <c r="C75" t="s">
        <v>285</v>
      </c>
      <c r="D75" t="s">
        <v>286</v>
      </c>
    </row>
    <row r="76" spans="3:4" x14ac:dyDescent="0.25">
      <c r="C76" t="s">
        <v>287</v>
      </c>
      <c r="D76" t="s">
        <v>288</v>
      </c>
    </row>
    <row r="77" spans="3:4" x14ac:dyDescent="0.25">
      <c r="C77" t="s">
        <v>289</v>
      </c>
      <c r="D77" t="s">
        <v>290</v>
      </c>
    </row>
    <row r="78" spans="3:4" x14ac:dyDescent="0.25">
      <c r="C78" t="s">
        <v>291</v>
      </c>
      <c r="D78" t="s">
        <v>292</v>
      </c>
    </row>
    <row r="79" spans="3:4" x14ac:dyDescent="0.25">
      <c r="C79" t="s">
        <v>293</v>
      </c>
      <c r="D79" t="s">
        <v>294</v>
      </c>
    </row>
    <row r="80" spans="3:4" x14ac:dyDescent="0.25">
      <c r="C80" t="s">
        <v>295</v>
      </c>
      <c r="D80" t="s">
        <v>296</v>
      </c>
    </row>
    <row r="81" spans="3:4" x14ac:dyDescent="0.25">
      <c r="C81" t="s">
        <v>297</v>
      </c>
      <c r="D81" t="s">
        <v>298</v>
      </c>
    </row>
    <row r="82" spans="3:4" x14ac:dyDescent="0.25">
      <c r="C82" t="s">
        <v>299</v>
      </c>
      <c r="D82" t="s">
        <v>300</v>
      </c>
    </row>
    <row r="83" spans="3:4" x14ac:dyDescent="0.25">
      <c r="C83" t="s">
        <v>301</v>
      </c>
      <c r="D83" t="s">
        <v>302</v>
      </c>
    </row>
    <row r="84" spans="3:4" x14ac:dyDescent="0.25">
      <c r="C84" t="s">
        <v>303</v>
      </c>
      <c r="D84" t="s">
        <v>304</v>
      </c>
    </row>
    <row r="85" spans="3:4" x14ac:dyDescent="0.25">
      <c r="C85" t="s">
        <v>305</v>
      </c>
      <c r="D85" t="s">
        <v>306</v>
      </c>
    </row>
    <row r="86" spans="3:4" x14ac:dyDescent="0.25">
      <c r="C86" t="s">
        <v>307</v>
      </c>
      <c r="D86" t="s">
        <v>308</v>
      </c>
    </row>
    <row r="87" spans="3:4" x14ac:dyDescent="0.25">
      <c r="C87" t="s">
        <v>309</v>
      </c>
      <c r="D87" t="s">
        <v>310</v>
      </c>
    </row>
    <row r="88" spans="3:4" x14ac:dyDescent="0.25">
      <c r="C88" t="s">
        <v>311</v>
      </c>
      <c r="D88" t="s">
        <v>312</v>
      </c>
    </row>
    <row r="89" spans="3:4" x14ac:dyDescent="0.25">
      <c r="C89" t="s">
        <v>313</v>
      </c>
      <c r="D89" t="s">
        <v>314</v>
      </c>
    </row>
    <row r="90" spans="3:4" x14ac:dyDescent="0.25">
      <c r="C90" t="s">
        <v>315</v>
      </c>
      <c r="D90" t="s">
        <v>316</v>
      </c>
    </row>
    <row r="91" spans="3:4" x14ac:dyDescent="0.25">
      <c r="C91" t="s">
        <v>313</v>
      </c>
      <c r="D91" t="s">
        <v>317</v>
      </c>
    </row>
    <row r="92" spans="3:4" x14ac:dyDescent="0.25">
      <c r="C92" t="s">
        <v>318</v>
      </c>
      <c r="D92" t="s">
        <v>319</v>
      </c>
    </row>
    <row r="93" spans="3:4" x14ac:dyDescent="0.25">
      <c r="C93" t="s">
        <v>320</v>
      </c>
      <c r="D93" t="s">
        <v>321</v>
      </c>
    </row>
    <row r="94" spans="3:4" x14ac:dyDescent="0.25">
      <c r="C94" t="s">
        <v>322</v>
      </c>
      <c r="D94" t="s">
        <v>323</v>
      </c>
    </row>
    <row r="95" spans="3:4" x14ac:dyDescent="0.25">
      <c r="C95" t="s">
        <v>324</v>
      </c>
      <c r="D95" t="s">
        <v>325</v>
      </c>
    </row>
    <row r="96" spans="3:4" x14ac:dyDescent="0.25">
      <c r="C96" t="s">
        <v>326</v>
      </c>
      <c r="D96" t="s">
        <v>327</v>
      </c>
    </row>
    <row r="97" spans="3:4" x14ac:dyDescent="0.25">
      <c r="C97" t="s">
        <v>328</v>
      </c>
      <c r="D97" t="s">
        <v>329</v>
      </c>
    </row>
    <row r="98" spans="3:4" x14ac:dyDescent="0.25">
      <c r="C98" t="s">
        <v>330</v>
      </c>
      <c r="D98" t="s">
        <v>331</v>
      </c>
    </row>
    <row r="99" spans="3:4" x14ac:dyDescent="0.25">
      <c r="C99" t="s">
        <v>332</v>
      </c>
      <c r="D99" t="s">
        <v>333</v>
      </c>
    </row>
    <row r="100" spans="3:4" x14ac:dyDescent="0.25">
      <c r="C100" t="s">
        <v>334</v>
      </c>
      <c r="D100" t="s">
        <v>335</v>
      </c>
    </row>
    <row r="101" spans="3:4" x14ac:dyDescent="0.25">
      <c r="C101" t="s">
        <v>336</v>
      </c>
      <c r="D101" t="s">
        <v>337</v>
      </c>
    </row>
    <row r="102" spans="3:4" x14ac:dyDescent="0.25">
      <c r="C102" t="s">
        <v>338</v>
      </c>
      <c r="D102" t="s">
        <v>339</v>
      </c>
    </row>
    <row r="103" spans="3:4" x14ac:dyDescent="0.25">
      <c r="C103" t="s">
        <v>340</v>
      </c>
      <c r="D103" t="s">
        <v>341</v>
      </c>
    </row>
    <row r="104" spans="3:4" x14ac:dyDescent="0.25">
      <c r="C104" t="s">
        <v>342</v>
      </c>
      <c r="D104" t="s">
        <v>343</v>
      </c>
    </row>
    <row r="105" spans="3:4" x14ac:dyDescent="0.25">
      <c r="C105" t="s">
        <v>344</v>
      </c>
      <c r="D105" t="s">
        <v>345</v>
      </c>
    </row>
    <row r="106" spans="3:4" x14ac:dyDescent="0.25">
      <c r="C106" t="s">
        <v>346</v>
      </c>
      <c r="D106" t="s">
        <v>347</v>
      </c>
    </row>
    <row r="107" spans="3:4" x14ac:dyDescent="0.25">
      <c r="C107" t="s">
        <v>348</v>
      </c>
      <c r="D107" t="s">
        <v>349</v>
      </c>
    </row>
    <row r="108" spans="3:4" x14ac:dyDescent="0.25">
      <c r="C108" t="s">
        <v>350</v>
      </c>
      <c r="D108" t="s">
        <v>351</v>
      </c>
    </row>
    <row r="109" spans="3:4" x14ac:dyDescent="0.25">
      <c r="C109" t="s">
        <v>352</v>
      </c>
      <c r="D109" t="s">
        <v>353</v>
      </c>
    </row>
    <row r="110" spans="3:4" x14ac:dyDescent="0.25">
      <c r="C110" t="s">
        <v>354</v>
      </c>
      <c r="D110" t="s">
        <v>355</v>
      </c>
    </row>
    <row r="111" spans="3:4" x14ac:dyDescent="0.25">
      <c r="C111" t="s">
        <v>356</v>
      </c>
      <c r="D111" t="s">
        <v>357</v>
      </c>
    </row>
    <row r="112" spans="3:4" x14ac:dyDescent="0.25">
      <c r="C112" t="s">
        <v>358</v>
      </c>
      <c r="D112" t="s">
        <v>359</v>
      </c>
    </row>
    <row r="113" spans="3:4" x14ac:dyDescent="0.25">
      <c r="C113" t="s">
        <v>360</v>
      </c>
      <c r="D113" t="s">
        <v>361</v>
      </c>
    </row>
    <row r="114" spans="3:4" x14ac:dyDescent="0.25">
      <c r="C114" t="s">
        <v>362</v>
      </c>
      <c r="D114" t="s">
        <v>363</v>
      </c>
    </row>
    <row r="115" spans="3:4" x14ac:dyDescent="0.25">
      <c r="C115" t="s">
        <v>364</v>
      </c>
      <c r="D115" t="s">
        <v>365</v>
      </c>
    </row>
    <row r="116" spans="3:4" x14ac:dyDescent="0.25">
      <c r="C116" t="s">
        <v>366</v>
      </c>
      <c r="D116" t="s">
        <v>367</v>
      </c>
    </row>
    <row r="117" spans="3:4" x14ac:dyDescent="0.25">
      <c r="C117" t="s">
        <v>368</v>
      </c>
      <c r="D117" t="s">
        <v>369</v>
      </c>
    </row>
    <row r="118" spans="3:4" x14ac:dyDescent="0.25">
      <c r="C118" t="s">
        <v>370</v>
      </c>
      <c r="D118" t="s">
        <v>371</v>
      </c>
    </row>
    <row r="119" spans="3:4" x14ac:dyDescent="0.25">
      <c r="C119" t="s">
        <v>372</v>
      </c>
      <c r="D119" t="s">
        <v>373</v>
      </c>
    </row>
    <row r="120" spans="3:4" x14ac:dyDescent="0.25">
      <c r="C120" t="s">
        <v>374</v>
      </c>
      <c r="D120" t="s">
        <v>375</v>
      </c>
    </row>
    <row r="121" spans="3:4" x14ac:dyDescent="0.25">
      <c r="C121" t="s">
        <v>376</v>
      </c>
      <c r="D121" t="s">
        <v>377</v>
      </c>
    </row>
    <row r="122" spans="3:4" x14ac:dyDescent="0.25">
      <c r="C122" t="s">
        <v>378</v>
      </c>
      <c r="D122" t="s">
        <v>379</v>
      </c>
    </row>
    <row r="123" spans="3:4" x14ac:dyDescent="0.25">
      <c r="C123" t="s">
        <v>380</v>
      </c>
      <c r="D123" t="s">
        <v>381</v>
      </c>
    </row>
    <row r="124" spans="3:4" x14ac:dyDescent="0.25">
      <c r="C124" t="s">
        <v>382</v>
      </c>
      <c r="D124" t="s">
        <v>383</v>
      </c>
    </row>
    <row r="125" spans="3:4" x14ac:dyDescent="0.25">
      <c r="C125" t="s">
        <v>384</v>
      </c>
      <c r="D125" t="s">
        <v>385</v>
      </c>
    </row>
    <row r="126" spans="3:4" x14ac:dyDescent="0.25">
      <c r="C126" t="s">
        <v>386</v>
      </c>
      <c r="D126" t="s">
        <v>387</v>
      </c>
    </row>
    <row r="127" spans="3:4" x14ac:dyDescent="0.25">
      <c r="C127" t="s">
        <v>388</v>
      </c>
      <c r="D127" t="s">
        <v>389</v>
      </c>
    </row>
    <row r="128" spans="3:4" x14ac:dyDescent="0.25">
      <c r="C128" t="s">
        <v>390</v>
      </c>
      <c r="D128" t="s">
        <v>391</v>
      </c>
    </row>
    <row r="129" spans="3:4" x14ac:dyDescent="0.25">
      <c r="C129" t="s">
        <v>392</v>
      </c>
      <c r="D129" t="s">
        <v>393</v>
      </c>
    </row>
    <row r="130" spans="3:4" x14ac:dyDescent="0.25">
      <c r="C130" t="s">
        <v>394</v>
      </c>
      <c r="D130" t="s">
        <v>395</v>
      </c>
    </row>
    <row r="131" spans="3:4" x14ac:dyDescent="0.25">
      <c r="C131" t="s">
        <v>396</v>
      </c>
      <c r="D131" t="s">
        <v>397</v>
      </c>
    </row>
    <row r="132" spans="3:4" x14ac:dyDescent="0.25">
      <c r="C132" t="s">
        <v>398</v>
      </c>
      <c r="D132" t="s">
        <v>399</v>
      </c>
    </row>
    <row r="133" spans="3:4" x14ac:dyDescent="0.25">
      <c r="C133" t="s">
        <v>400</v>
      </c>
      <c r="D133" t="s">
        <v>401</v>
      </c>
    </row>
    <row r="134" spans="3:4" x14ac:dyDescent="0.25">
      <c r="C134" t="s">
        <v>402</v>
      </c>
      <c r="D134" t="s">
        <v>403</v>
      </c>
    </row>
    <row r="135" spans="3:4" x14ac:dyDescent="0.25">
      <c r="C135" t="s">
        <v>404</v>
      </c>
      <c r="D135" t="s">
        <v>405</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heetViews>
  <sheetFormatPr defaultColWidth="7.375" defaultRowHeight="15.75" x14ac:dyDescent="0.25"/>
  <cols>
    <col min="1" max="1" width="2.125" style="15" customWidth="1"/>
    <col min="2" max="2" width="24" style="15" customWidth="1"/>
    <col min="3" max="3" width="80.625" style="15" customWidth="1"/>
    <col min="4" max="16384" width="7.375" style="15"/>
  </cols>
  <sheetData>
    <row r="2" spans="2:3" x14ac:dyDescent="0.25">
      <c r="B2" s="13" t="s">
        <v>406</v>
      </c>
      <c r="C2" s="14" t="s">
        <v>407</v>
      </c>
    </row>
    <row r="3" spans="2:3" x14ac:dyDescent="0.25">
      <c r="B3" s="27" t="s">
        <v>406</v>
      </c>
      <c r="C3" s="28" t="s">
        <v>408</v>
      </c>
    </row>
    <row r="4" spans="2:3" ht="30" customHeight="1" x14ac:dyDescent="0.25">
      <c r="B4" s="34" t="s">
        <v>409</v>
      </c>
      <c r="C4" s="20" t="s">
        <v>410</v>
      </c>
    </row>
    <row r="5" spans="2:3" ht="30" customHeight="1" x14ac:dyDescent="0.25">
      <c r="B5" s="23" t="s">
        <v>411</v>
      </c>
      <c r="C5" s="29" t="s">
        <v>412</v>
      </c>
    </row>
    <row r="6" spans="2:3" ht="30" customHeight="1" x14ac:dyDescent="0.25">
      <c r="B6" s="23" t="s">
        <v>413</v>
      </c>
      <c r="C6" s="29" t="s">
        <v>414</v>
      </c>
    </row>
    <row r="7" spans="2:3" ht="30" customHeight="1" x14ac:dyDescent="0.25">
      <c r="B7" s="22" t="s">
        <v>415</v>
      </c>
      <c r="C7" s="22" t="s">
        <v>416</v>
      </c>
    </row>
    <row r="8" spans="2:3" ht="30" customHeight="1" x14ac:dyDescent="0.25">
      <c r="B8" s="22" t="s">
        <v>417</v>
      </c>
      <c r="C8" s="22" t="s">
        <v>418</v>
      </c>
    </row>
    <row r="9" spans="2:3" ht="30" customHeight="1" x14ac:dyDescent="0.25">
      <c r="B9" s="23" t="s">
        <v>419</v>
      </c>
      <c r="C9" s="29" t="s">
        <v>420</v>
      </c>
    </row>
    <row r="10" spans="2:3" ht="30" customHeight="1" x14ac:dyDescent="0.25">
      <c r="B10" s="24" t="s">
        <v>421</v>
      </c>
      <c r="C10" s="24" t="s">
        <v>422</v>
      </c>
    </row>
    <row r="11" spans="2:3" ht="30" customHeight="1" x14ac:dyDescent="0.25">
      <c r="B11" s="23" t="s">
        <v>423</v>
      </c>
      <c r="C11" s="24" t="s">
        <v>424</v>
      </c>
    </row>
    <row r="12" spans="2:3" ht="30" customHeight="1" x14ac:dyDescent="0.25">
      <c r="B12" s="21" t="s">
        <v>425</v>
      </c>
      <c r="C12" s="24" t="s">
        <v>426</v>
      </c>
    </row>
    <row r="13" spans="2:3" ht="30" customHeight="1" x14ac:dyDescent="0.25">
      <c r="B13" s="23"/>
      <c r="C13" s="24"/>
    </row>
    <row r="14" spans="2:3" ht="30" customHeight="1" x14ac:dyDescent="0.25">
      <c r="B14" s="23"/>
      <c r="C14" s="24"/>
    </row>
    <row r="15" spans="2:3" ht="30" customHeight="1" x14ac:dyDescent="0.25">
      <c r="B15" s="23"/>
      <c r="C15" s="22"/>
    </row>
    <row r="16" spans="2:3" ht="30" customHeight="1" x14ac:dyDescent="0.25">
      <c r="B16" s="23"/>
      <c r="C16" s="24"/>
    </row>
    <row r="17" spans="2:3" ht="30" customHeight="1" x14ac:dyDescent="0.25">
      <c r="B17" s="24"/>
      <c r="C17" s="24"/>
    </row>
    <row r="18" spans="2:3" ht="30" customHeight="1" x14ac:dyDescent="0.25">
      <c r="B18" s="22"/>
      <c r="C18" s="24"/>
    </row>
    <row r="19" spans="2:3" ht="30" customHeight="1" x14ac:dyDescent="0.25">
      <c r="B19" s="24"/>
      <c r="C19" s="24"/>
    </row>
    <row r="20" spans="2:3" ht="30" customHeight="1" x14ac:dyDescent="0.25">
      <c r="B20" s="24"/>
      <c r="C20" s="24"/>
    </row>
    <row r="21" spans="2:3" ht="30" customHeight="1" x14ac:dyDescent="0.25">
      <c r="B21" s="24"/>
      <c r="C21" s="24"/>
    </row>
    <row r="22" spans="2:3" ht="30" customHeight="1" x14ac:dyDescent="0.25">
      <c r="B22" s="22"/>
      <c r="C22" s="24"/>
    </row>
    <row r="23" spans="2:3" ht="30" customHeight="1" x14ac:dyDescent="0.25">
      <c r="B23" s="24"/>
      <c r="C23" s="24"/>
    </row>
    <row r="24" spans="2:3" ht="30" customHeight="1" x14ac:dyDescent="0.25">
      <c r="B24" s="30"/>
      <c r="C24" s="30"/>
    </row>
    <row r="25" spans="2:3" ht="16.5" x14ac:dyDescent="0.25">
      <c r="B25" s="25" t="s">
        <v>427</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topLeftCell="A4" zoomScaleNormal="100" zoomScaleSheetLayoutView="80" zoomScalePageLayoutView="80" workbookViewId="0">
      <selection activeCell="C9" sqref="C9"/>
    </sheetView>
  </sheetViews>
  <sheetFormatPr defaultColWidth="7.375" defaultRowHeight="15.75" x14ac:dyDescent="0.25"/>
  <cols>
    <col min="1" max="1" width="2.125" style="15" customWidth="1"/>
    <col min="2" max="3" width="24" style="15" customWidth="1"/>
    <col min="4" max="4" width="80.625" style="15" customWidth="1"/>
    <col min="5" max="16384" width="7.375" style="15"/>
  </cols>
  <sheetData>
    <row r="2" spans="2:4" x14ac:dyDescent="0.25">
      <c r="B2" s="13" t="s">
        <v>428</v>
      </c>
      <c r="C2" s="13"/>
      <c r="D2" s="14" t="s">
        <v>407</v>
      </c>
    </row>
    <row r="3" spans="2:4" x14ac:dyDescent="0.25">
      <c r="B3" s="16" t="s">
        <v>429</v>
      </c>
      <c r="C3" s="92" t="s">
        <v>430</v>
      </c>
      <c r="D3" s="92"/>
    </row>
    <row r="4" spans="2:4" x14ac:dyDescent="0.25">
      <c r="B4" s="17" t="s">
        <v>33</v>
      </c>
      <c r="C4" s="18" t="s">
        <v>34</v>
      </c>
      <c r="D4" s="19" t="s">
        <v>431</v>
      </c>
    </row>
    <row r="5" spans="2:4" ht="30" customHeight="1" x14ac:dyDescent="0.25">
      <c r="B5" s="34" t="s">
        <v>47</v>
      </c>
      <c r="C5" s="20" t="s">
        <v>432</v>
      </c>
      <c r="D5" s="20" t="s">
        <v>410</v>
      </c>
    </row>
    <row r="6" spans="2:4" ht="30" customHeight="1" x14ac:dyDescent="0.25">
      <c r="B6" s="23" t="s">
        <v>47</v>
      </c>
      <c r="C6" s="29" t="s">
        <v>433</v>
      </c>
      <c r="D6" s="24" t="s">
        <v>434</v>
      </c>
    </row>
    <row r="7" spans="2:4" ht="30" customHeight="1" x14ac:dyDescent="0.25">
      <c r="B7" s="23" t="s">
        <v>47</v>
      </c>
      <c r="C7" s="29" t="s">
        <v>435</v>
      </c>
      <c r="D7" s="24" t="s">
        <v>436</v>
      </c>
    </row>
    <row r="8" spans="2:4" ht="30" customHeight="1" x14ac:dyDescent="0.25">
      <c r="B8" s="23" t="s">
        <v>47</v>
      </c>
      <c r="C8" s="29" t="s">
        <v>437</v>
      </c>
      <c r="D8" s="24" t="s">
        <v>438</v>
      </c>
    </row>
    <row r="9" spans="2:4" ht="30" customHeight="1" x14ac:dyDescent="0.25">
      <c r="B9" s="23" t="s">
        <v>47</v>
      </c>
      <c r="C9" s="22" t="s">
        <v>81</v>
      </c>
      <c r="D9" s="24" t="s">
        <v>439</v>
      </c>
    </row>
    <row r="10" spans="2:4" ht="30" customHeight="1" x14ac:dyDescent="0.25">
      <c r="B10" s="23" t="s">
        <v>47</v>
      </c>
      <c r="C10" s="22" t="s">
        <v>440</v>
      </c>
      <c r="D10" s="24" t="s">
        <v>441</v>
      </c>
    </row>
    <row r="11" spans="2:4" ht="30" customHeight="1" x14ac:dyDescent="0.25">
      <c r="B11" s="23" t="s">
        <v>442</v>
      </c>
      <c r="C11" s="29" t="s">
        <v>443</v>
      </c>
      <c r="D11" s="24" t="s">
        <v>444</v>
      </c>
    </row>
    <row r="12" spans="2:4" ht="30" customHeight="1" x14ac:dyDescent="0.25">
      <c r="B12" s="23" t="s">
        <v>445</v>
      </c>
      <c r="C12" s="22" t="s">
        <v>446</v>
      </c>
      <c r="D12" s="24" t="s">
        <v>447</v>
      </c>
    </row>
    <row r="13" spans="2:4" ht="30" customHeight="1" x14ac:dyDescent="0.25">
      <c r="B13" s="23" t="s">
        <v>448</v>
      </c>
      <c r="C13" s="24" t="s">
        <v>449</v>
      </c>
      <c r="D13" s="24" t="s">
        <v>450</v>
      </c>
    </row>
    <row r="14" spans="2:4" ht="30" customHeight="1" x14ac:dyDescent="0.25">
      <c r="B14" s="23" t="s">
        <v>101</v>
      </c>
      <c r="C14" s="24" t="s">
        <v>102</v>
      </c>
      <c r="D14" s="24" t="s">
        <v>451</v>
      </c>
    </row>
    <row r="15" spans="2:4" ht="30" customHeight="1" x14ac:dyDescent="0.25">
      <c r="B15" s="23" t="s">
        <v>452</v>
      </c>
      <c r="C15" s="24" t="s">
        <v>453</v>
      </c>
      <c r="D15" s="24" t="s">
        <v>454</v>
      </c>
    </row>
    <row r="16" spans="2:4" ht="30" customHeight="1" x14ac:dyDescent="0.25">
      <c r="B16" s="23" t="s">
        <v>455</v>
      </c>
      <c r="C16" s="24" t="s">
        <v>456</v>
      </c>
      <c r="D16" s="24" t="s">
        <v>457</v>
      </c>
    </row>
    <row r="17" spans="2:4" ht="30" customHeight="1" x14ac:dyDescent="0.25">
      <c r="B17" s="23" t="s">
        <v>458</v>
      </c>
      <c r="C17" s="22" t="s">
        <v>459</v>
      </c>
      <c r="D17" s="24" t="s">
        <v>460</v>
      </c>
    </row>
    <row r="18" spans="2:4" ht="30" customHeight="1" x14ac:dyDescent="0.25">
      <c r="B18" s="23" t="s">
        <v>458</v>
      </c>
      <c r="C18" s="24" t="s">
        <v>461</v>
      </c>
      <c r="D18" s="24" t="s">
        <v>462</v>
      </c>
    </row>
    <row r="19" spans="2:4" ht="30" customHeight="1" x14ac:dyDescent="0.25">
      <c r="B19" s="24" t="s">
        <v>463</v>
      </c>
      <c r="C19" s="24" t="s">
        <v>464</v>
      </c>
      <c r="D19" s="24" t="s">
        <v>465</v>
      </c>
    </row>
    <row r="20" spans="2:4" ht="30" customHeight="1" x14ac:dyDescent="0.25">
      <c r="B20" s="22" t="s">
        <v>466</v>
      </c>
      <c r="C20" s="22" t="s">
        <v>467</v>
      </c>
      <c r="D20" s="24" t="s">
        <v>424</v>
      </c>
    </row>
    <row r="21" spans="2:4" ht="30" customHeight="1" x14ac:dyDescent="0.25">
      <c r="B21" s="22" t="s">
        <v>468</v>
      </c>
      <c r="C21" s="22" t="s">
        <v>469</v>
      </c>
      <c r="D21" s="24" t="s">
        <v>470</v>
      </c>
    </row>
    <row r="22" spans="2:4" ht="30" customHeight="1" x14ac:dyDescent="0.25">
      <c r="B22" s="24"/>
      <c r="C22" s="24"/>
      <c r="D22" s="24"/>
    </row>
    <row r="23" spans="2:4" ht="30" customHeight="1" x14ac:dyDescent="0.25">
      <c r="B23" s="22"/>
      <c r="C23" s="22"/>
      <c r="D23" s="24"/>
    </row>
    <row r="24" spans="2:4" ht="30" customHeight="1" x14ac:dyDescent="0.25">
      <c r="B24" s="24"/>
      <c r="C24" s="24"/>
      <c r="D24" s="24"/>
    </row>
    <row r="25" spans="2:4" ht="30" customHeight="1" x14ac:dyDescent="0.25">
      <c r="B25" s="30"/>
      <c r="C25" s="30"/>
      <c r="D25" s="30"/>
    </row>
    <row r="26" spans="2:4" ht="16.5" x14ac:dyDescent="0.25">
      <c r="B26" s="25" t="s">
        <v>427</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B7A8F42-679C-4848-84EC-A3D21000D0D5}">
  <ds:schemaRefs>
    <ds:schemaRef ds:uri="http://schemas.microsoft.com/sharepoint/v3/contenttype/forms"/>
  </ds:schemaRefs>
</ds:datastoreItem>
</file>

<file path=customXml/itemProps2.xml><?xml version="1.0" encoding="utf-8"?>
<ds:datastoreItem xmlns:ds="http://schemas.openxmlformats.org/officeDocument/2006/customXml" ds:itemID="{7FD7BA04-5D88-476E-8567-B8455B2DC71A}">
  <ds:schemaRefs>
    <ds:schemaRef ds:uri="http://purl.org/dc/terms/"/>
    <ds:schemaRef ds:uri="http://purl.org/dc/dcmitype/"/>
    <ds:schemaRef ds:uri="http://schemas.microsoft.com/office/2006/metadata/properties"/>
    <ds:schemaRef ds:uri="http://schemas.microsoft.com/office/2006/documentManagement/types"/>
    <ds:schemaRef ds:uri="http://purl.org/dc/elements/1.1/"/>
    <ds:schemaRef ds:uri="44fe4817-1a8c-4f6d-9a7a-15a2f9c2ceea"/>
    <ds:schemaRef ds:uri="http://schemas.openxmlformats.org/package/2006/metadata/core-properties"/>
    <ds:schemaRef ds:uri="2ad01a7e-b0cc-482e-be0b-d1161c9cb6dd"/>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59A60F02-E069-48EF-B123-F6F360B6D05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戸田 慎介</cp:lastModifiedBy>
  <cp:revision/>
  <dcterms:created xsi:type="dcterms:W3CDTF">2022-11-02T07:26:10Z</dcterms:created>
  <dcterms:modified xsi:type="dcterms:W3CDTF">2023-09-28T00:54:06Z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