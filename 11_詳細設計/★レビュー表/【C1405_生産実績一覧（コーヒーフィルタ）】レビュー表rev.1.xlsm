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127" codeName="{00000000-0000-0000-0000-000000000000}"/>
  <workbookPr codeName="ThisWorkbook"/>
  <mc:AlternateContent xmlns:mc="http://schemas.openxmlformats.org/markup-compatibility/2006">
    <mc:Choice Requires="x15">
      <x15ac:absPath xmlns:x15ac="http://schemas.microsoft.com/office/spreadsheetml/2010/11/ac" url="https://msdnacesystems.sharepoint.com/sites/22A1106-00/Shared Documents/General/11_詳細設計/★レビュー表/"/>
    </mc:Choice>
  </mc:AlternateContent>
  <xr:revisionPtr revIDLastSave="263" documentId="13_ncr:1_{4C85BDBC-5A74-43AA-A904-16A3D00402AE}" xr6:coauthVersionLast="47" xr6:coauthVersionMax="47" xr10:uidLastSave="{36E0C93E-EB50-43FC-8075-F8DF765BA5FF}"/>
  <bookViews>
    <workbookView xWindow="-120" yWindow="-16320" windowWidth="29040" windowHeight="15990" xr2:uid="{00000000-000D-0000-FFFF-FFFF00000000}"/>
  </bookViews>
  <sheets>
    <sheet name="レビュー表" sheetId="1" r:id="rId1"/>
    <sheet name="マスタ" sheetId="2" r:id="rId2"/>
    <sheet name="指摘区分" sheetId="4" r:id="rId3"/>
    <sheet name="原因区分" sheetId="5" r:id="rId4"/>
  </sheets>
  <externalReferences>
    <externalReference r:id="rId5"/>
  </externalReferences>
  <definedNames>
    <definedName name="ＰＧ指摘件数">[1]表紙!$B$28</definedName>
    <definedName name="_xlnm.Print_Area" localSheetId="3">原因区分!$A$1:$D$26</definedName>
    <definedName name="_xlnm.Print_Area" localSheetId="2">指摘区分!$A$1:$C$25</definedName>
    <definedName name="_xlnm.Print_Titles" localSheetId="0">レビュー表!$7:$8</definedName>
    <definedName name="ＰＳ指摘件数">[1]表紙!$B$16</definedName>
    <definedName name="ＰＴ仕様書">[1]表紙!$B$3</definedName>
    <definedName name="ＰＴ仕様書指摘件数">[1]表紙!$B$22</definedName>
    <definedName name="サブシステム名">[1]表紙!$I$6</definedName>
    <definedName name="サブシステム名リスト">[1]プロセス!$D$2</definedName>
    <definedName name="プロセス範囲">[1]プロセス!$J$3:$L$21</definedName>
    <definedName name="会社名リスト範囲">[1]コード表!$G$2</definedName>
    <definedName name="開発規模">[1]表紙!$I$12</definedName>
    <definedName name="管理単位_管理単位１">[1]設定シート!$E$2</definedName>
    <definedName name="管理単位_管理単位２">[1]設定シート!$F$2</definedName>
    <definedName name="基本テスト項目数">[1]表紙!$AA$16</definedName>
    <definedName name="基本原因区分１">[1]表紙!$O$62</definedName>
    <definedName name="基本原因区分１０">[1]表紙!$O$71</definedName>
    <definedName name="基本原因区分１１">[1]表紙!$O$72</definedName>
    <definedName name="基本原因区分１２">[1]表紙!$O$73</definedName>
    <definedName name="基本原因区分１３">[1]表紙!$O$74</definedName>
    <definedName name="基本原因区分１４">[1]表紙!$O$75</definedName>
    <definedName name="基本原因区分１５">[1]表紙!$O$76</definedName>
    <definedName name="基本原因区分１６">[1]表紙!$O$77</definedName>
    <definedName name="基本原因区分１７">[1]表紙!$O$78</definedName>
    <definedName name="基本原因区分１８">[1]表紙!$O$79</definedName>
    <definedName name="基本原因区分１９">[1]表紙!$O$80</definedName>
    <definedName name="基本原因区分２">[1]表紙!$O$63</definedName>
    <definedName name="基本原因区分２０">[1]表紙!$O$81</definedName>
    <definedName name="基本原因区分２１">[1]表紙!$O$82</definedName>
    <definedName name="基本原因区分２２">[1]表紙!$O$83</definedName>
    <definedName name="基本原因区分２３">[1]表紙!$O$84</definedName>
    <definedName name="基本原因区分２４">[1]表紙!$O$85</definedName>
    <definedName name="基本原因区分２５">[1]表紙!$O$86</definedName>
    <definedName name="基本原因区分２６">[1]表紙!$O$87</definedName>
    <definedName name="基本原因区分２７">[1]表紙!$O$88</definedName>
    <definedName name="基本原因区分２８">[1]表紙!$O$89</definedName>
    <definedName name="基本原因区分２９">[1]表紙!$O$90</definedName>
    <definedName name="基本原因区分３">[1]表紙!$O$64</definedName>
    <definedName name="基本原因区分３０">[1]表紙!$O$91</definedName>
    <definedName name="基本原因区分３１">[1]表紙!$O$92</definedName>
    <definedName name="基本原因区分３２">[1]表紙!$O$93</definedName>
    <definedName name="基本原因区分３３">[1]表紙!$O$94</definedName>
    <definedName name="基本原因区分３４">[1]表紙!$O$95</definedName>
    <definedName name="基本原因区分３５">[1]表紙!$O$96</definedName>
    <definedName name="基本原因区分３６">[1]表紙!$O$97</definedName>
    <definedName name="基本原因区分３７">[1]表紙!$O$98</definedName>
    <definedName name="基本原因区分３８">[1]表紙!$O$99</definedName>
    <definedName name="基本原因区分３９">[1]表紙!$O$100</definedName>
    <definedName name="基本原因区分４">[1]表紙!$O$65</definedName>
    <definedName name="基本原因区分４０">[1]表紙!$O$101</definedName>
    <definedName name="基本原因区分５">[1]表紙!$O$66</definedName>
    <definedName name="基本原因区分６">[1]表紙!$O$67</definedName>
    <definedName name="基本原因区分７">[1]表紙!$O$68</definedName>
    <definedName name="基本原因区分８">[1]表紙!$O$69</definedName>
    <definedName name="基本原因区分９">[1]表紙!$O$70</definedName>
    <definedName name="基本原因工程１">[1]表紙!$AA$22</definedName>
    <definedName name="基本原因工程１０">[1]表紙!$AA$31</definedName>
    <definedName name="基本原因工程２">[1]表紙!$AA$23</definedName>
    <definedName name="基本原因工程３">[1]表紙!$AA$24</definedName>
    <definedName name="基本原因工程４">[1]表紙!$AA$25</definedName>
    <definedName name="基本原因工程５">[1]表紙!$AA$26</definedName>
    <definedName name="基本原因工程６">[1]表紙!$AA$27</definedName>
    <definedName name="基本原因工程７">[1]表紙!$AA$28</definedName>
    <definedName name="基本原因工程８">[1]表紙!$AA$29</definedName>
    <definedName name="基本原因工程９">[1]表紙!$AA$30</definedName>
    <definedName name="基本障害件数">[1]表紙!$AA$19</definedName>
    <definedName name="共通設定_規模">[1]【変更不可】共通設定!$B$1</definedName>
    <definedName name="業務テスト項目数">[1]表紙!$AG$16</definedName>
    <definedName name="業務プロセス範囲">[1]プロセス!$F$3:$H$9</definedName>
    <definedName name="業務プロセス名">[1]表紙!$I$7</definedName>
    <definedName name="業務原因区分１">[1]表紙!$U$62</definedName>
    <definedName name="業務原因区分１０">[1]表紙!$U$71</definedName>
    <definedName name="業務原因区分１１">[1]表紙!$U$72</definedName>
    <definedName name="業務原因区分１２">[1]表紙!$U$73</definedName>
    <definedName name="業務原因区分１３">[1]表紙!$U$74</definedName>
    <definedName name="業務原因区分１４">[1]表紙!$U$75</definedName>
    <definedName name="業務原因区分１５">[1]表紙!$U$76</definedName>
    <definedName name="業務原因区分１６">[1]表紙!$U$77</definedName>
    <definedName name="業務原因区分１７">[1]表紙!$U$78</definedName>
    <definedName name="業務原因区分１８">[1]表紙!$U$79</definedName>
    <definedName name="業務原因区分１９">[1]表紙!$U$80</definedName>
    <definedName name="業務原因区分２">[1]表紙!$U$63</definedName>
    <definedName name="業務原因区分２０">[1]表紙!$U$81</definedName>
    <definedName name="業務原因区分２１">[1]表紙!$U$82</definedName>
    <definedName name="業務原因区分２２">[1]表紙!$U$83</definedName>
    <definedName name="業務原因区分２３">[1]表紙!$U$84</definedName>
    <definedName name="業務原因区分２４">[1]表紙!$U$85</definedName>
    <definedName name="業務原因区分２５">[1]表紙!$U$86</definedName>
    <definedName name="業務原因区分２６">[1]表紙!$U$87</definedName>
    <definedName name="業務原因区分２７">[1]表紙!$U$88</definedName>
    <definedName name="業務原因区分２８">[1]表紙!$U$89</definedName>
    <definedName name="業務原因区分２９">[1]表紙!$U$90</definedName>
    <definedName name="業務原因区分３">[1]表紙!$U$64</definedName>
    <definedName name="業務原因区分３０">[1]表紙!$U$91</definedName>
    <definedName name="業務原因区分３１">[1]表紙!$U$92</definedName>
    <definedName name="業務原因区分３２">[1]表紙!$U$93</definedName>
    <definedName name="業務原因区分３３">[1]表紙!$U$94</definedName>
    <definedName name="業務原因区分３４">[1]表紙!$U$95</definedName>
    <definedName name="業務原因区分３５">[1]表紙!$U$96</definedName>
    <definedName name="業務原因区分３６">[1]表紙!$U$97</definedName>
    <definedName name="業務原因区分３７">[1]表紙!$U$98</definedName>
    <definedName name="業務原因区分３８">[1]表紙!$U$99</definedName>
    <definedName name="業務原因区分３９">[1]表紙!$U$100</definedName>
    <definedName name="業務原因区分４">[1]表紙!$U$65</definedName>
    <definedName name="業務原因区分４０">[1]表紙!$U$101</definedName>
    <definedName name="業務原因区分５">[1]表紙!$U$66</definedName>
    <definedName name="業務原因区分６">[1]表紙!$U$67</definedName>
    <definedName name="業務原因区分７">[1]表紙!$U$68</definedName>
    <definedName name="業務原因区分８">[1]表紙!$U$69</definedName>
    <definedName name="業務原因区分９">[1]表紙!$U$70</definedName>
    <definedName name="業務原因工程１">[1]表紙!$AG$22</definedName>
    <definedName name="業務原因工程１０">[1]表紙!$AG$31</definedName>
    <definedName name="業務原因工程２">[1]表紙!$AG$23</definedName>
    <definedName name="業務原因工程３">[1]表紙!$AG$24</definedName>
    <definedName name="業務原因工程４">[1]表紙!$AG$25</definedName>
    <definedName name="業務原因工程５">[1]表紙!$AG$26</definedName>
    <definedName name="業務原因工程６">[1]表紙!$AG$27</definedName>
    <definedName name="業務原因工程７">[1]表紙!$AG$28</definedName>
    <definedName name="業務原因工程８">[1]表紙!$AG$29</definedName>
    <definedName name="業務原因工程９">[1]表紙!$AG$30</definedName>
    <definedName name="業務障害件数">[1]表紙!$AG$19</definedName>
    <definedName name="原因一覧_開始" localSheetId="3">原因区分!#REF!</definedName>
    <definedName name="原因一覧_開始" localSheetId="2">指摘区分!#REF!</definedName>
    <definedName name="原因一覧_開始">#REF!</definedName>
    <definedName name="原因一覧_終了" localSheetId="3">原因区分!$B$26</definedName>
    <definedName name="原因一覧_終了" localSheetId="2">指摘区分!$B$25</definedName>
    <definedName name="原因一覧_終了">#REF!</definedName>
    <definedName name="原因区分名１">[1]表紙!$C$62</definedName>
    <definedName name="原因区分名１０">[1]表紙!$C$71</definedName>
    <definedName name="原因区分名１１">[1]表紙!$C$72</definedName>
    <definedName name="原因区分名１２">[1]表紙!$C$73</definedName>
    <definedName name="原因区分名１３">[1]表紙!$C$74</definedName>
    <definedName name="原因区分名１４">[1]表紙!$C$75</definedName>
    <definedName name="原因区分名１５">[1]表紙!$C$76</definedName>
    <definedName name="原因区分名１６">[1]表紙!$C$77</definedName>
    <definedName name="原因区分名１７">[1]表紙!$C$78</definedName>
    <definedName name="原因区分名１８">[1]表紙!$C$79</definedName>
    <definedName name="原因区分名１９">[1]表紙!$C$80</definedName>
    <definedName name="原因区分名２">[1]表紙!$C$63</definedName>
    <definedName name="原因区分名２０">[1]表紙!$C$81</definedName>
    <definedName name="原因区分名２１">[1]表紙!$C$82</definedName>
    <definedName name="原因区分名２２">[1]表紙!$C$83</definedName>
    <definedName name="原因区分名２３">[1]表紙!$C$84</definedName>
    <definedName name="原因区分名２４">[1]表紙!$C$85</definedName>
    <definedName name="原因区分名２５">[1]表紙!$C$86</definedName>
    <definedName name="原因区分名２６">[1]表紙!$C$87</definedName>
    <definedName name="原因区分名２７">[1]表紙!$C$88</definedName>
    <definedName name="原因区分名２８">[1]表紙!$C$89</definedName>
    <definedName name="原因区分名２９">[1]表紙!$C$90</definedName>
    <definedName name="原因区分名３">[1]表紙!$C$64</definedName>
    <definedName name="原因区分名３０">[1]表紙!$C$91</definedName>
    <definedName name="原因区分名３１">[1]表紙!$C$92</definedName>
    <definedName name="原因区分名３２">[1]表紙!$C$93</definedName>
    <definedName name="原因区分名３３">[1]表紙!$C$94</definedName>
    <definedName name="原因区分名３４">[1]表紙!$C$95</definedName>
    <definedName name="原因区分名３５">[1]表紙!$C$96</definedName>
    <definedName name="原因区分名３６">[1]表紙!$C$97</definedName>
    <definedName name="原因区分名３７">[1]表紙!$C$98</definedName>
    <definedName name="原因区分名３８">[1]表紙!$C$99</definedName>
    <definedName name="原因区分名３９">[1]表紙!$C$100</definedName>
    <definedName name="原因区分名４">[1]表紙!$C$65</definedName>
    <definedName name="原因区分名４０">[1]表紙!$C$101</definedName>
    <definedName name="原因区分名５">[1]表紙!$C$66</definedName>
    <definedName name="原因区分名６">[1]表紙!$C$67</definedName>
    <definedName name="原因区分名７">[1]表紙!$C$68</definedName>
    <definedName name="原因区分名８">[1]表紙!$C$69</definedName>
    <definedName name="原因区分名９">[1]表紙!$C$70</definedName>
    <definedName name="原因工程名１">[1]表紙!$U$22</definedName>
    <definedName name="原因工程名１０">[1]表紙!$U$31</definedName>
    <definedName name="原因工程名２">[1]表紙!$U$23</definedName>
    <definedName name="原因工程名３">[1]表紙!$U$24</definedName>
    <definedName name="原因工程名４">[1]表紙!$U$25</definedName>
    <definedName name="原因工程名５">[1]表紙!$U$26</definedName>
    <definedName name="原因工程名６">[1]表紙!$U$27</definedName>
    <definedName name="原因工程名７">[1]表紙!$U$28</definedName>
    <definedName name="原因工程名８">[1]表紙!$U$29</definedName>
    <definedName name="原因工程名９">[1]表紙!$U$30</definedName>
    <definedName name="工程リスト範囲">[1]コード表!$C$2</definedName>
    <definedName name="合計テスト項目数">[1]表紙!$AM$16</definedName>
    <definedName name="合計障害件数">[1]表紙!$AM$19</definedName>
    <definedName name="最終行">レビュー表!$A$29</definedName>
    <definedName name="担当者名リスト範囲">[1]コード表!$I$2</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7" i="1" l="1"/>
  <c r="A26" i="1"/>
  <c r="A25" i="1"/>
  <c r="A24" i="1"/>
  <c r="A23" i="1"/>
  <c r="A10" i="1"/>
  <c r="A28" i="1" l="1"/>
  <c r="A22" i="1"/>
  <c r="A21" i="1"/>
  <c r="A20" i="1"/>
  <c r="A19" i="1"/>
  <c r="A18" i="1"/>
  <c r="A16" i="1"/>
  <c r="A15" i="1"/>
  <c r="A17" i="1"/>
  <c r="A14" i="1"/>
  <c r="A13" i="1"/>
  <c r="A12" i="1"/>
  <c r="A11" i="1"/>
  <c r="A9" i="1"/>
  <c r="W5" i="1"/>
  <c r="Q5" i="1"/>
  <c r="Z5" i="1"/>
  <c r="S5" i="1"/>
  <c r="J2" i="1" l="1"/>
</calcChain>
</file>

<file path=xl/sharedStrings.xml><?xml version="1.0" encoding="utf-8"?>
<sst xmlns="http://schemas.openxmlformats.org/spreadsheetml/2006/main" count="633" uniqueCount="482">
  <si>
    <t>レビュードキュメント</t>
  </si>
  <si>
    <t>業務分類</t>
    <rPh sb="0" eb="2">
      <t>ギョウム</t>
    </rPh>
    <rPh sb="2" eb="4">
      <t>ブンルイ</t>
    </rPh>
    <phoneticPr fontId="2"/>
  </si>
  <si>
    <t>機能ID</t>
    <rPh sb="0" eb="2">
      <t>キノウ</t>
    </rPh>
    <phoneticPr fontId="2"/>
  </si>
  <si>
    <t>機能名</t>
    <rPh sb="0" eb="3">
      <t>キノウメイ</t>
    </rPh>
    <phoneticPr fontId="2"/>
  </si>
  <si>
    <t>頁数</t>
  </si>
  <si>
    <t>詳細設計</t>
  </si>
  <si>
    <t>C.生産実績</t>
  </si>
  <si>
    <t>C1405</t>
    <phoneticPr fontId="2"/>
  </si>
  <si>
    <t>レビューア①</t>
    <phoneticPr fontId="2"/>
  </si>
  <si>
    <t>岡本</t>
    <rPh sb="0" eb="2">
      <t>オカモト</t>
    </rPh>
    <phoneticPr fontId="2"/>
  </si>
  <si>
    <t>レビューア②</t>
    <phoneticPr fontId="2"/>
  </si>
  <si>
    <t>レビュー回数</t>
    <rPh sb="4" eb="6">
      <t>カイスウ</t>
    </rPh>
    <phoneticPr fontId="2"/>
  </si>
  <si>
    <t>レビュー開催日</t>
    <rPh sb="4" eb="6">
      <t>カイサイ</t>
    </rPh>
    <rPh sb="6" eb="7">
      <t>ヒ</t>
    </rPh>
    <phoneticPr fontId="2"/>
  </si>
  <si>
    <t>開始時間</t>
    <rPh sb="0" eb="2">
      <t>カイシ</t>
    </rPh>
    <rPh sb="2" eb="4">
      <t>ジカン</t>
    </rPh>
    <phoneticPr fontId="2"/>
  </si>
  <si>
    <t>終了時間</t>
    <rPh sb="0" eb="2">
      <t>シュウリョウ</t>
    </rPh>
    <rPh sb="2" eb="4">
      <t>ジカン</t>
    </rPh>
    <phoneticPr fontId="2"/>
  </si>
  <si>
    <t>レビュー時間</t>
    <rPh sb="4" eb="6">
      <t>ジカン</t>
    </rPh>
    <phoneticPr fontId="2"/>
  </si>
  <si>
    <t>指摘件数</t>
    <rPh sb="0" eb="2">
      <t>シテキ</t>
    </rPh>
    <rPh sb="2" eb="4">
      <t>ケンスウ</t>
    </rPh>
    <phoneticPr fontId="2"/>
  </si>
  <si>
    <t>修正予定完了日</t>
    <rPh sb="0" eb="2">
      <t>シュウセイ</t>
    </rPh>
    <rPh sb="2" eb="4">
      <t>ヨテイ</t>
    </rPh>
    <rPh sb="4" eb="6">
      <t>カンリョウ</t>
    </rPh>
    <rPh sb="6" eb="7">
      <t>ヒ</t>
    </rPh>
    <phoneticPr fontId="2"/>
  </si>
  <si>
    <t>修正完了日</t>
    <rPh sb="0" eb="2">
      <t>シュウセイ</t>
    </rPh>
    <rPh sb="2" eb="4">
      <t>カンリョウ</t>
    </rPh>
    <rPh sb="4" eb="5">
      <t>ヒ</t>
    </rPh>
    <phoneticPr fontId="2"/>
  </si>
  <si>
    <t>修正確認日</t>
    <rPh sb="0" eb="2">
      <t>シュウセイ</t>
    </rPh>
    <rPh sb="2" eb="4">
      <t>カクニン</t>
    </rPh>
    <rPh sb="4" eb="5">
      <t>ヒ</t>
    </rPh>
    <phoneticPr fontId="2"/>
  </si>
  <si>
    <t>レビューア③</t>
    <phoneticPr fontId="2"/>
  </si>
  <si>
    <t>レビューア④</t>
    <phoneticPr fontId="2"/>
  </si>
  <si>
    <t>指摘№</t>
    <rPh sb="0" eb="2">
      <t>シテキ</t>
    </rPh>
    <phoneticPr fontId="2"/>
  </si>
  <si>
    <t>指摘者</t>
    <rPh sb="0" eb="2">
      <t>シテキ</t>
    </rPh>
    <rPh sb="2" eb="3">
      <t>シャ</t>
    </rPh>
    <phoneticPr fontId="2"/>
  </si>
  <si>
    <t>指摘シート・ドキュメント</t>
    <rPh sb="0" eb="2">
      <t>シテキ</t>
    </rPh>
    <phoneticPr fontId="2"/>
  </si>
  <si>
    <t>指摘区分</t>
    <rPh sb="0" eb="2">
      <t>シテキ</t>
    </rPh>
    <rPh sb="2" eb="4">
      <t>クブン</t>
    </rPh>
    <phoneticPr fontId="2"/>
  </si>
  <si>
    <t>指摘内容</t>
    <rPh sb="0" eb="2">
      <t>シテキ</t>
    </rPh>
    <rPh sb="2" eb="4">
      <t>ナイヨウ</t>
    </rPh>
    <phoneticPr fontId="2"/>
  </si>
  <si>
    <t>修正内容</t>
    <rPh sb="0" eb="2">
      <t>シュウセイ</t>
    </rPh>
    <rPh sb="2" eb="4">
      <t>ナイヨウ</t>
    </rPh>
    <phoneticPr fontId="2"/>
  </si>
  <si>
    <t>修正箇所情報</t>
    <rPh sb="0" eb="2">
      <t>シュウセイ</t>
    </rPh>
    <rPh sb="2" eb="4">
      <t>カショ</t>
    </rPh>
    <rPh sb="4" eb="6">
      <t>ジョウホウ</t>
    </rPh>
    <phoneticPr fontId="2"/>
  </si>
  <si>
    <t>原因</t>
    <rPh sb="0" eb="2">
      <t>ゲンイン</t>
    </rPh>
    <phoneticPr fontId="4"/>
  </si>
  <si>
    <t>修正</t>
    <rPh sb="0" eb="2">
      <t>シュウセイ</t>
    </rPh>
    <phoneticPr fontId="4"/>
  </si>
  <si>
    <t>確認</t>
    <rPh sb="0" eb="2">
      <t>カクニン</t>
    </rPh>
    <phoneticPr fontId="4"/>
  </si>
  <si>
    <t>備考</t>
    <rPh sb="0" eb="2">
      <t>ビコウ</t>
    </rPh>
    <phoneticPr fontId="4"/>
  </si>
  <si>
    <t>原因工程</t>
    <rPh sb="0" eb="2">
      <t>ゲンイン</t>
    </rPh>
    <rPh sb="2" eb="4">
      <t>コウテイ</t>
    </rPh>
    <phoneticPr fontId="4"/>
  </si>
  <si>
    <t>原因分類</t>
    <rPh sb="0" eb="2">
      <t>ゲンイン</t>
    </rPh>
    <rPh sb="2" eb="4">
      <t>ブンルイ</t>
    </rPh>
    <phoneticPr fontId="4"/>
  </si>
  <si>
    <t>原因区分</t>
    <rPh sb="0" eb="2">
      <t>ゲンイン</t>
    </rPh>
    <rPh sb="2" eb="4">
      <t>クブン</t>
    </rPh>
    <phoneticPr fontId="4"/>
  </si>
  <si>
    <t>修正担当者</t>
    <rPh sb="0" eb="2">
      <t>シュウセイ</t>
    </rPh>
    <rPh sb="2" eb="5">
      <t>タントウシャ</t>
    </rPh>
    <phoneticPr fontId="4"/>
  </si>
  <si>
    <t>修正予定日</t>
    <rPh sb="0" eb="2">
      <t>シュウセイ</t>
    </rPh>
    <rPh sb="2" eb="5">
      <t>ヨテイビ</t>
    </rPh>
    <phoneticPr fontId="4"/>
  </si>
  <si>
    <t>修正完了日</t>
    <rPh sb="0" eb="2">
      <t>シュウセイ</t>
    </rPh>
    <rPh sb="2" eb="4">
      <t>カンリョウ</t>
    </rPh>
    <rPh sb="4" eb="5">
      <t>ヒ</t>
    </rPh>
    <phoneticPr fontId="4"/>
  </si>
  <si>
    <t>確認担当者</t>
    <rPh sb="0" eb="2">
      <t>カクニン</t>
    </rPh>
    <rPh sb="2" eb="4">
      <t>タントウ</t>
    </rPh>
    <rPh sb="4" eb="5">
      <t>シャ</t>
    </rPh>
    <phoneticPr fontId="4"/>
  </si>
  <si>
    <t>確認日</t>
    <rPh sb="0" eb="2">
      <t>カクニン</t>
    </rPh>
    <rPh sb="2" eb="3">
      <t>ヒ</t>
    </rPh>
    <phoneticPr fontId="4"/>
  </si>
  <si>
    <t>プロセス仕様書</t>
    <rPh sb="4" eb="7">
      <t>シヨウショ</t>
    </rPh>
    <phoneticPr fontId="2"/>
  </si>
  <si>
    <t>8:設計規約ミス</t>
    <phoneticPr fontId="2"/>
  </si>
  <si>
    <t>A4横で出力したときに、一部はみ出す列があるので、印字領域を調整する。</t>
    <rPh sb="2" eb="3">
      <t>ヨコ</t>
    </rPh>
    <rPh sb="4" eb="6">
      <t>シュツリョク</t>
    </rPh>
    <rPh sb="12" eb="14">
      <t>イチブ</t>
    </rPh>
    <rPh sb="16" eb="17">
      <t>ダ</t>
    </rPh>
    <rPh sb="18" eb="19">
      <t>レツ</t>
    </rPh>
    <rPh sb="25" eb="29">
      <t>インジリョウイキ</t>
    </rPh>
    <rPh sb="30" eb="32">
      <t>チョウセイ</t>
    </rPh>
    <phoneticPr fontId="2"/>
  </si>
  <si>
    <t>印字領域を調整。</t>
    <rPh sb="0" eb="4">
      <t>インジリョウイキ</t>
    </rPh>
    <rPh sb="5" eb="7">
      <t>チョウセイ</t>
    </rPh>
    <phoneticPr fontId="2"/>
  </si>
  <si>
    <t>設計書
COMC1405001
COMC1405002
COMC1405003
COMC1405004</t>
    <rPh sb="0" eb="3">
      <t>セッケイショ</t>
    </rPh>
    <phoneticPr fontId="2"/>
  </si>
  <si>
    <t>3:詳細設計</t>
    <rPh sb="2" eb="4">
      <t>ショウサイ</t>
    </rPh>
    <rPh sb="4" eb="6">
      <t>セッケイ</t>
    </rPh>
    <phoneticPr fontId="2"/>
  </si>
  <si>
    <t>9.設計規約ミス</t>
  </si>
  <si>
    <t>91.設計規約ミス</t>
  </si>
  <si>
    <t>早川</t>
    <rPh sb="0" eb="2">
      <t>ハヤカワ</t>
    </rPh>
    <phoneticPr fontId="2"/>
  </si>
  <si>
    <t>1:記載ミス</t>
    <phoneticPr fontId="2"/>
  </si>
  <si>
    <t>1 初期表示 - 2 - 1)
期間の FROM、TO にセットする値が逆ではないか？
（FROM ＞ TO　になる）</t>
    <rPh sb="2" eb="6">
      <t>ショキヒョウジ</t>
    </rPh>
    <rPh sb="16" eb="18">
      <t>キカン</t>
    </rPh>
    <rPh sb="34" eb="35">
      <t>アタイ</t>
    </rPh>
    <rPh sb="36" eb="37">
      <t>ギャク</t>
    </rPh>
    <phoneticPr fontId="2"/>
  </si>
  <si>
    <t>左記通りに修正。</t>
    <rPh sb="0" eb="2">
      <t>ヒダリキ</t>
    </rPh>
    <rPh sb="2" eb="3">
      <t>ドオ</t>
    </rPh>
    <rPh sb="5" eb="7">
      <t>シュウセイ</t>
    </rPh>
    <phoneticPr fontId="2"/>
  </si>
  <si>
    <t>プロセス仕様書
1 初期表示 - 2 - 1)</t>
    <rPh sb="4" eb="7">
      <t>シヨウショ</t>
    </rPh>
    <phoneticPr fontId="2"/>
  </si>
  <si>
    <t>1:設計ﾐｽ</t>
  </si>
  <si>
    <t>10:記載ミス</t>
  </si>
  <si>
    <r>
      <t>2 検索ボタン押下 - 1 - 2)
API名が　COMC1401004　となっているが、　COMC140</t>
    </r>
    <r>
      <rPr>
        <sz val="10"/>
        <color rgb="FFFF0000"/>
        <rFont val="Meiryo UI"/>
        <family val="3"/>
        <charset val="128"/>
      </rPr>
      <t>5</t>
    </r>
    <r>
      <rPr>
        <sz val="10"/>
        <color theme="1"/>
        <rFont val="Meiryo UI"/>
        <family val="2"/>
        <charset val="128"/>
      </rPr>
      <t>004　ではないか。
→　他にも同様の誤記があるので、すべて確認・訂正する。</t>
    </r>
    <rPh sb="2" eb="4">
      <t>ケンサク</t>
    </rPh>
    <rPh sb="7" eb="9">
      <t>オウカ</t>
    </rPh>
    <rPh sb="22" eb="23">
      <t>メイ</t>
    </rPh>
    <rPh sb="67" eb="68">
      <t>タ</t>
    </rPh>
    <rPh sb="70" eb="72">
      <t>ドウヨウ</t>
    </rPh>
    <rPh sb="73" eb="75">
      <t>ゴキ</t>
    </rPh>
    <rPh sb="84" eb="86">
      <t>カクニン</t>
    </rPh>
    <rPh sb="87" eb="89">
      <t>テイセイ</t>
    </rPh>
    <phoneticPr fontId="2"/>
  </si>
  <si>
    <t>プロセス仕様書
全パラメーター</t>
    <rPh sb="4" eb="7">
      <t>シヨウショ</t>
    </rPh>
    <rPh sb="8" eb="9">
      <t>ゼン</t>
    </rPh>
    <phoneticPr fontId="2"/>
  </si>
  <si>
    <t>2 検索ボタン押下 - 1 - 2)
No1 期間区分　の設定値に「画面．期間区分」とあるが、画面項目定義にそのような項目は定義されていない。
"画面．期間区分（「生産計画　選択」「成型実績　選択」「包装実績　選択」）よりセット"　とする。
→　4) も同じ記述があるので、合わせて修正する。
　　　なお、リクエスト値として何をセットするのかも明記する。
　　　（No16　で、値について見直しの指摘があるので注意）</t>
    <rPh sb="2" eb="4">
      <t>ケンサク</t>
    </rPh>
    <rPh sb="7" eb="9">
      <t>オウカ</t>
    </rPh>
    <rPh sb="23" eb="27">
      <t>キカンクブン</t>
    </rPh>
    <rPh sb="29" eb="32">
      <t>セッテイチ</t>
    </rPh>
    <rPh sb="34" eb="36">
      <t>ガメン</t>
    </rPh>
    <rPh sb="37" eb="41">
      <t>キカンクブン</t>
    </rPh>
    <rPh sb="47" eb="53">
      <t>ガメンコウモクテイギ</t>
    </rPh>
    <rPh sb="59" eb="61">
      <t>コウモク</t>
    </rPh>
    <rPh sb="62" eb="64">
      <t>テイギ</t>
    </rPh>
    <rPh sb="127" eb="128">
      <t>オナ</t>
    </rPh>
    <rPh sb="129" eb="131">
      <t>キジュツ</t>
    </rPh>
    <rPh sb="137" eb="138">
      <t>ア</t>
    </rPh>
    <rPh sb="141" eb="143">
      <t>シュウセイ</t>
    </rPh>
    <rPh sb="158" eb="159">
      <t>チ</t>
    </rPh>
    <rPh sb="162" eb="163">
      <t>ナニ</t>
    </rPh>
    <rPh sb="172" eb="174">
      <t>メイキ</t>
    </rPh>
    <rPh sb="189" eb="190">
      <t>アタイ</t>
    </rPh>
    <rPh sb="194" eb="196">
      <t>ミナオ</t>
    </rPh>
    <rPh sb="198" eb="200">
      <t>シテキ</t>
    </rPh>
    <rPh sb="205" eb="207">
      <t>チュウイ</t>
    </rPh>
    <phoneticPr fontId="2"/>
  </si>
  <si>
    <t>画面．期間区分（「生産計画　選択」「成型実績　選択」「包装実績　選択」）よりセット
※選択した生産計画の場合、１をセット、成型実績の場合は２をセット、包装実績の場合は3をセット、それ以外は4をセット。
に記述を修正。</t>
    <rPh sb="102" eb="104">
      <t>キジュツ</t>
    </rPh>
    <rPh sb="105" eb="107">
      <t>シュウセイ</t>
    </rPh>
    <phoneticPr fontId="2"/>
  </si>
  <si>
    <t xml:space="preserve">プロセス仕様書
2 検索ボタン押下 - 1 - 2)
2 検索ボタン押下 - 1 - 4) </t>
    <rPh sb="4" eb="7">
      <t>シヨウショ</t>
    </rPh>
    <phoneticPr fontId="2"/>
  </si>
  <si>
    <t>6:処理検討不足</t>
    <phoneticPr fontId="2"/>
  </si>
  <si>
    <t>2 検索ボタン押下 - 3 - 1)
「レスポンスの件数を　検索結果件数　に表示する。」　とあるが、2 - 2) で上限件数を超えている場合は、上限件数をセットすべきではないか。</t>
    <rPh sb="2" eb="4">
      <t>ケンサク</t>
    </rPh>
    <rPh sb="7" eb="9">
      <t>オウカ</t>
    </rPh>
    <rPh sb="58" eb="62">
      <t>ジョウゲンケンスウ</t>
    </rPh>
    <rPh sb="63" eb="64">
      <t>コ</t>
    </rPh>
    <rPh sb="68" eb="70">
      <t>バアイ</t>
    </rPh>
    <rPh sb="72" eb="76">
      <t>ジョウゲンケンスウ</t>
    </rPh>
    <phoneticPr fontId="2"/>
  </si>
  <si>
    <t>レスポンスのデータ件数 &gt; 設定ファイル.MAX_VIEW_COUNT_C1405_HEADER　の場合、件数超過分のデータを削除する。
上記の記述を追記。</t>
    <rPh sb="69" eb="71">
      <t>ジョウキ</t>
    </rPh>
    <rPh sb="72" eb="74">
      <t>キジュツ</t>
    </rPh>
    <rPh sb="75" eb="77">
      <t>ツイキ</t>
    </rPh>
    <phoneticPr fontId="2"/>
  </si>
  <si>
    <t>プロセス仕様書
2 検索ボタン押下 - 3 - 1)</t>
    <rPh sb="4" eb="7">
      <t>シヨウショ</t>
    </rPh>
    <phoneticPr fontId="2"/>
  </si>
  <si>
    <t>2:設計検討不足</t>
  </si>
  <si>
    <t>21:処理検討不足</t>
  </si>
  <si>
    <t>3:記載不要</t>
    <phoneticPr fontId="2"/>
  </si>
  <si>
    <t>2 検索ボタン押下 - 3 - 3)
項目 No3 他の設定値欄に　"(*1)" と記載されているが、注記らしきものがない。
不要なら削除する。</t>
    <rPh sb="19" eb="21">
      <t>コウモク</t>
    </rPh>
    <rPh sb="26" eb="27">
      <t>ホカ</t>
    </rPh>
    <rPh sb="28" eb="31">
      <t>セッテイチ</t>
    </rPh>
    <rPh sb="31" eb="32">
      <t>ラン</t>
    </rPh>
    <rPh sb="42" eb="44">
      <t>キサイ</t>
    </rPh>
    <rPh sb="51" eb="53">
      <t>チュウキ</t>
    </rPh>
    <rPh sb="63" eb="65">
      <t>フヨウ</t>
    </rPh>
    <rPh sb="67" eb="69">
      <t>サクジョ</t>
    </rPh>
    <phoneticPr fontId="2"/>
  </si>
  <si>
    <t>不要なため、削除。</t>
    <rPh sb="0" eb="2">
      <t>フヨウ</t>
    </rPh>
    <rPh sb="6" eb="8">
      <t>サクジョ</t>
    </rPh>
    <phoneticPr fontId="2"/>
  </si>
  <si>
    <t>プロセス仕様書
2 検索ボタン押下 - 3 - 3)</t>
    <rPh sb="4" eb="7">
      <t>シヨウショ</t>
    </rPh>
    <phoneticPr fontId="2"/>
  </si>
  <si>
    <t>2 検索ボタン押下 - 3 - 3)
COMC1405001　のレスポンス値だが、ヘッダーデータ　と　成型実績・包装実績　が関連付けられていないのではないか。
成型実績・包装実績　はヘッダーデータの子レコードという扱いになるはずなので、API側でそのように編集する必要があるのではないか。
→　COMC1405001　と合わせて修正する。</t>
    <rPh sb="37" eb="38">
      <t>チ</t>
    </rPh>
    <rPh sb="56" eb="60">
      <t>ホウソウジッセキ</t>
    </rPh>
    <rPh sb="62" eb="65">
      <t>カンレンヅ</t>
    </rPh>
    <rPh sb="99" eb="100">
      <t>コ</t>
    </rPh>
    <rPh sb="107" eb="108">
      <t>アツカ</t>
    </rPh>
    <rPh sb="121" eb="122">
      <t>ガワ</t>
    </rPh>
    <rPh sb="128" eb="130">
      <t>ヘンシュウ</t>
    </rPh>
    <rPh sb="132" eb="134">
      <t>ヒツヨウ</t>
    </rPh>
    <rPh sb="160" eb="161">
      <t>ア</t>
    </rPh>
    <rPh sb="164" eb="166">
      <t>シュウセイ</t>
    </rPh>
    <phoneticPr fontId="2"/>
  </si>
  <si>
    <t>設計書をヘッダレコードの子レコードになるように、記載を修正。
COMC1405001についても同様に修正。</t>
    <rPh sb="0" eb="3">
      <t>セッケイショ</t>
    </rPh>
    <rPh sb="12" eb="13">
      <t>コ</t>
    </rPh>
    <rPh sb="24" eb="26">
      <t>キサイ</t>
    </rPh>
    <rPh sb="27" eb="29">
      <t>シュウセイ</t>
    </rPh>
    <rPh sb="47" eb="49">
      <t>ドウヨウ</t>
    </rPh>
    <rPh sb="50" eb="52">
      <t>シュウセイ</t>
    </rPh>
    <phoneticPr fontId="2"/>
  </si>
  <si>
    <t>プロセス仕様書
2 検索ボタン押下 - 3 - 3)
COMC1405001C
COMC1405001S</t>
    <rPh sb="4" eb="7">
      <t>シヨウショ</t>
    </rPh>
    <phoneticPr fontId="2"/>
  </si>
  <si>
    <t>2 検索ボタン押下 - 3 - 3)
COMC1405001　のレスポンス値の定義と、画面へセットする項目との定義に、違いがある。
必要な項目を過不足なく定義、記載する。</t>
    <rPh sb="39" eb="41">
      <t>テイギ</t>
    </rPh>
    <rPh sb="43" eb="45">
      <t>ガメン</t>
    </rPh>
    <rPh sb="51" eb="53">
      <t>コウモク</t>
    </rPh>
    <rPh sb="55" eb="57">
      <t>テイギ</t>
    </rPh>
    <rPh sb="59" eb="60">
      <t>チガ</t>
    </rPh>
    <rPh sb="66" eb="68">
      <t>ヒツヨウ</t>
    </rPh>
    <rPh sb="69" eb="71">
      <t>コウモク</t>
    </rPh>
    <rPh sb="72" eb="75">
      <t>カブソク</t>
    </rPh>
    <rPh sb="77" eb="79">
      <t>テイギ</t>
    </rPh>
    <rPh sb="80" eb="82">
      <t>キサイ</t>
    </rPh>
    <phoneticPr fontId="2"/>
  </si>
  <si>
    <t>COMC1405001　のレスポンス値の定義と、画面へセットする項目との定義を同様に記載。</t>
    <rPh sb="39" eb="41">
      <t>ドウヨウ</t>
    </rPh>
    <rPh sb="42" eb="44">
      <t>キサイ</t>
    </rPh>
    <phoneticPr fontId="2"/>
  </si>
  <si>
    <t>3 計画外ボタン押下
4 成型実績ボタン押下
5 包装実績ボタン押下
当画面に戻ってきたら、再検索が必要ではないか。</t>
    <rPh sb="25" eb="27">
      <t>ホウソウ</t>
    </rPh>
    <rPh sb="35" eb="38">
      <t>トウガメン</t>
    </rPh>
    <rPh sb="39" eb="40">
      <t>モド</t>
    </rPh>
    <rPh sb="46" eb="49">
      <t>サイケンサク</t>
    </rPh>
    <rPh sb="50" eb="52">
      <t>ヒツヨウ</t>
    </rPh>
    <phoneticPr fontId="2"/>
  </si>
  <si>
    <t>一覧再検索の処理を追加。</t>
    <rPh sb="0" eb="5">
      <t>イチランサイケンサク</t>
    </rPh>
    <rPh sb="6" eb="8">
      <t>ショリ</t>
    </rPh>
    <rPh sb="9" eb="11">
      <t>ツイカ</t>
    </rPh>
    <phoneticPr fontId="2"/>
  </si>
  <si>
    <t>プロセス仕様書
3 計画外ボタン押下-3
4 成型実績ボタン押下-3
5 包装実績ボタン押下-3</t>
    <rPh sb="4" eb="7">
      <t>シヨウショ</t>
    </rPh>
    <phoneticPr fontId="2"/>
  </si>
  <si>
    <t>6 成型実績ダウンロードボタン押下
7 包装実績ダウンロードボタン押下
APIに渡す検索条件は、画面の入力値ではなく、検索処理後に変数に保存しておいた値ではないか。
→　検索処理実行後、画面の検索条件の値を変えたが検索処理は
　　行わなかった場合、一覧表示データと検索条件にズレができる。</t>
    <rPh sb="15" eb="17">
      <t>オウカ</t>
    </rPh>
    <rPh sb="20" eb="22">
      <t>ホウソウ</t>
    </rPh>
    <rPh sb="40" eb="41">
      <t>ワタ</t>
    </rPh>
    <rPh sb="42" eb="46">
      <t>ケンサクジョウケン</t>
    </rPh>
    <rPh sb="48" eb="50">
      <t>ガメン</t>
    </rPh>
    <rPh sb="51" eb="53">
      <t>ニュウリョク</t>
    </rPh>
    <rPh sb="53" eb="54">
      <t>アタイ</t>
    </rPh>
    <rPh sb="59" eb="64">
      <t>ケンサクショリゴ</t>
    </rPh>
    <rPh sb="65" eb="67">
      <t>ヘンスウ</t>
    </rPh>
    <rPh sb="68" eb="70">
      <t>ホゾン</t>
    </rPh>
    <rPh sb="75" eb="76">
      <t>アタイ</t>
    </rPh>
    <rPh sb="93" eb="95">
      <t>ガメン</t>
    </rPh>
    <rPh sb="96" eb="100">
      <t>ケンサクジョウケン</t>
    </rPh>
    <rPh sb="101" eb="102">
      <t>アタイ</t>
    </rPh>
    <rPh sb="103" eb="104">
      <t>カ</t>
    </rPh>
    <rPh sb="107" eb="111">
      <t>ケンサクショリ</t>
    </rPh>
    <rPh sb="115" eb="116">
      <t>オコナ</t>
    </rPh>
    <rPh sb="121" eb="123">
      <t>バアイ</t>
    </rPh>
    <rPh sb="124" eb="128">
      <t>イチランヒョウジ</t>
    </rPh>
    <rPh sb="132" eb="136">
      <t>ケンサクジョウケン</t>
    </rPh>
    <phoneticPr fontId="2"/>
  </si>
  <si>
    <t>検索条件をリスト化。</t>
    <rPh sb="0" eb="4">
      <t>ケンサクジョウケン</t>
    </rPh>
    <rPh sb="8" eb="9">
      <t>カ</t>
    </rPh>
    <phoneticPr fontId="2"/>
  </si>
  <si>
    <t>プロセス仕様書
2 検索ボタン押下 - 5
6 成型実績ダウンロードボタン押下-2-1)
7 包装実績ダウンロードボタン押下-2-1)</t>
    <rPh sb="4" eb="7">
      <t>シヨウショ</t>
    </rPh>
    <phoneticPr fontId="2"/>
  </si>
  <si>
    <t>2:記載漏れ</t>
    <phoneticPr fontId="2"/>
  </si>
  <si>
    <t>6 成型実績ダウンロードボタン押下
7 包装実績ダウンロードボタン押下
操作ログ出力後、ファイルのダウンロード処理が必要ではないか？
（トスコ仕様確認中か？）
→　APIのレスポンス値で作成したファイル名が返され、
　　そのファイル名をもとにダウンロードを行う、という流れに
　　なると思われる。</t>
    <rPh sb="36" eb="38">
      <t>ソウサ</t>
    </rPh>
    <rPh sb="40" eb="43">
      <t>シュツリョクゴ</t>
    </rPh>
    <rPh sb="55" eb="57">
      <t>ショリ</t>
    </rPh>
    <rPh sb="58" eb="60">
      <t>ヒツヨウ</t>
    </rPh>
    <rPh sb="71" eb="76">
      <t>シヨウカクニンチュウ</t>
    </rPh>
    <rPh sb="91" eb="92">
      <t>アタイ</t>
    </rPh>
    <rPh sb="93" eb="95">
      <t>サクセイ</t>
    </rPh>
    <rPh sb="101" eb="102">
      <t>メイ</t>
    </rPh>
    <rPh sb="103" eb="104">
      <t>カエ</t>
    </rPh>
    <rPh sb="116" eb="117">
      <t>メイ</t>
    </rPh>
    <rPh sb="128" eb="129">
      <t>オコナ</t>
    </rPh>
    <rPh sb="134" eb="135">
      <t>ナガ</t>
    </rPh>
    <rPh sb="143" eb="144">
      <t>オモ</t>
    </rPh>
    <phoneticPr fontId="2"/>
  </si>
  <si>
    <t>4ファイル出力を行う。
処理を追記。</t>
    <rPh sb="5" eb="7">
      <t>シュツリョク</t>
    </rPh>
    <rPh sb="8" eb="9">
      <t>オコナ</t>
    </rPh>
    <rPh sb="12" eb="14">
      <t>ショリ</t>
    </rPh>
    <rPh sb="15" eb="17">
      <t>ツイキ</t>
    </rPh>
    <phoneticPr fontId="2"/>
  </si>
  <si>
    <t>プロセス仕様書
6 成型実績ダウンロードボタン押下-4
7 包装実績ダウンロードボタン押下-4</t>
    <rPh sb="4" eb="7">
      <t>シヨウショ</t>
    </rPh>
    <phoneticPr fontId="2"/>
  </si>
  <si>
    <t>12:記載漏れ（処理）</t>
  </si>
  <si>
    <t>9 計画終了ボタン押下 - 2 - 2)
メッセージが　"本数" となっているが、"ケース数" ではないか。</t>
    <rPh sb="29" eb="31">
      <t>ホンスウ</t>
    </rPh>
    <rPh sb="45" eb="46">
      <t>スウ</t>
    </rPh>
    <phoneticPr fontId="2"/>
  </si>
  <si>
    <t>"実績本数"を"ケース数"に修正。</t>
    <rPh sb="0" eb="4">
      <t>ジッセキホンスウ</t>
    </rPh>
    <rPh sb="10" eb="11">
      <t>スウ</t>
    </rPh>
    <rPh sb="13" eb="15">
      <t>シュウセイ</t>
    </rPh>
    <phoneticPr fontId="2"/>
  </si>
  <si>
    <t>プロセス仕様書
9 計画終了ボタン押下 - 2 - 2)</t>
    <rPh sb="4" eb="7">
      <t>シヨウショ</t>
    </rPh>
    <phoneticPr fontId="2"/>
  </si>
  <si>
    <t>9 計画終了ボタン押下 - 4 - 1)
COMCZZZZ001のパラメータ、No 2 が飛んでいる。
→ 10 計画終了解除ボタン押下 - 3 - 1) も同じ</t>
    <rPh sb="45" eb="46">
      <t>ト</t>
    </rPh>
    <rPh sb="57" eb="63">
      <t>ケイカクシュウリョウカイジョ</t>
    </rPh>
    <rPh sb="66" eb="68">
      <t>オウカ</t>
    </rPh>
    <rPh sb="79" eb="80">
      <t>オナ</t>
    </rPh>
    <phoneticPr fontId="2"/>
  </si>
  <si>
    <t>連番を修正。</t>
    <rPh sb="0" eb="2">
      <t>レンバン</t>
    </rPh>
    <rPh sb="3" eb="5">
      <t>シュウセイ</t>
    </rPh>
    <phoneticPr fontId="2"/>
  </si>
  <si>
    <t xml:space="preserve">プロセス仕様書
9 計画終了ボタン押下 - 4 - 1)
10 計画終了解除ボタン押下 - 3 - 1) </t>
    <rPh sb="4" eb="7">
      <t>シヨウショ</t>
    </rPh>
    <phoneticPr fontId="2"/>
  </si>
  <si>
    <t>4:表現曖昧</t>
    <phoneticPr fontId="2"/>
  </si>
  <si>
    <t>9 計画終了ボタン押下 - 5
「下記の項目を保持して再検索を行う。」とあるが、何をするのか不明。
検索処理実行時に保存しておいた検索条件の値で、検索処理を行うということか？
→ 10 計画終了解除ボタン押下 - 4 も同じ</t>
    <rPh sb="40" eb="41">
      <t>ナニ</t>
    </rPh>
    <rPh sb="46" eb="48">
      <t>フメイ</t>
    </rPh>
    <rPh sb="50" eb="57">
      <t>ケンサクショリジッコウジ</t>
    </rPh>
    <rPh sb="58" eb="60">
      <t>ホゾン</t>
    </rPh>
    <rPh sb="65" eb="69">
      <t>ケンサクジョウケン</t>
    </rPh>
    <rPh sb="70" eb="71">
      <t>アタイ</t>
    </rPh>
    <rPh sb="73" eb="77">
      <t>ケンサクショリ</t>
    </rPh>
    <rPh sb="78" eb="79">
      <t>オコナ</t>
    </rPh>
    <phoneticPr fontId="2"/>
  </si>
  <si>
    <t>「下記の項目を保持して再検索を行う。」を「保持した検索条件を使用して再検索を行う。」に修正。</t>
    <rPh sb="43" eb="45">
      <t>シュウセイ</t>
    </rPh>
    <phoneticPr fontId="2"/>
  </si>
  <si>
    <t>プロセス仕様書
9 計画終了ボタン押下 - 5
 10 計画終了解除ボタン押下 - 4</t>
    <rPh sb="4" eb="7">
      <t>シヨウショ</t>
    </rPh>
    <phoneticPr fontId="2"/>
  </si>
  <si>
    <t>15:表現統一</t>
  </si>
  <si>
    <t>11 表示項目設定ボタン押下
ポップアップ画面から戻ってきた後で、何か処理が必要なのではないか。</t>
    <rPh sb="21" eb="23">
      <t>ガメン</t>
    </rPh>
    <rPh sb="25" eb="26">
      <t>モド</t>
    </rPh>
    <rPh sb="30" eb="31">
      <t>アト</t>
    </rPh>
    <rPh sb="33" eb="34">
      <t>ナニ</t>
    </rPh>
    <rPh sb="35" eb="37">
      <t>ショリ</t>
    </rPh>
    <rPh sb="38" eb="40">
      <t>ヒツヨウ</t>
    </rPh>
    <phoneticPr fontId="2"/>
  </si>
  <si>
    <t>表示項目設定押下時のポップアップ画面から戻ってきた後の処理を追加。</t>
    <rPh sb="0" eb="8">
      <t>ヒョウジコウモクセッテイオウカ</t>
    </rPh>
    <rPh sb="8" eb="9">
      <t>ジ</t>
    </rPh>
    <rPh sb="16" eb="18">
      <t>ガメン</t>
    </rPh>
    <rPh sb="20" eb="21">
      <t>モド</t>
    </rPh>
    <rPh sb="25" eb="26">
      <t>アト</t>
    </rPh>
    <rPh sb="27" eb="29">
      <t>ショリ</t>
    </rPh>
    <rPh sb="30" eb="32">
      <t>ツイカ</t>
    </rPh>
    <phoneticPr fontId="2"/>
  </si>
  <si>
    <t>プロセス仕様書
11 表示項目設定ボタン押下1~4</t>
    <rPh sb="4" eb="7">
      <t>シヨウショ</t>
    </rPh>
    <phoneticPr fontId="2"/>
  </si>
  <si>
    <t>COMC1405001C</t>
    <phoneticPr fontId="2"/>
  </si>
  <si>
    <t>リクエスト値　期間区分　の値を、'keikaku'、'sekei'、'hoso'　ではなく、'1'、'2'、'3'　にする。
→　他のAPIも同じ。処理内容も修正となるので、漏れないようにする。</t>
    <rPh sb="5" eb="6">
      <t>アタイ</t>
    </rPh>
    <rPh sb="7" eb="11">
      <t>キカンクブン</t>
    </rPh>
    <rPh sb="13" eb="14">
      <t>アタイ</t>
    </rPh>
    <rPh sb="65" eb="66">
      <t>タ</t>
    </rPh>
    <rPh sb="71" eb="72">
      <t>オナ</t>
    </rPh>
    <rPh sb="74" eb="78">
      <t>ショリナイヨウ</t>
    </rPh>
    <rPh sb="79" eb="81">
      <t>シュウセイ</t>
    </rPh>
    <rPh sb="87" eb="88">
      <t>モ</t>
    </rPh>
    <phoneticPr fontId="2"/>
  </si>
  <si>
    <t>リクエスト値　期間区分　の値を、'keikaku'、'sekei'、'hoso'　ではなく、'1'、'2'、'3'　に修正。</t>
    <rPh sb="59" eb="61">
      <t>シュウセイ</t>
    </rPh>
    <phoneticPr fontId="2"/>
  </si>
  <si>
    <t>COMC1405001C～
COMC1405004C</t>
    <phoneticPr fontId="2"/>
  </si>
  <si>
    <t>2:設計検討不足</t>
    <phoneticPr fontId="2"/>
  </si>
  <si>
    <t>21:処理検討不足</t>
    <phoneticPr fontId="2"/>
  </si>
  <si>
    <t>注記　※３　があるが、どの項目にも　※３　が記載されていない</t>
    <rPh sb="0" eb="2">
      <t>チュウキ</t>
    </rPh>
    <rPh sb="13" eb="15">
      <t>コウモク</t>
    </rPh>
    <rPh sb="22" eb="24">
      <t>キサイ</t>
    </rPh>
    <phoneticPr fontId="2"/>
  </si>
  <si>
    <t xml:space="preserve">項目名　成型実績日に※2　包装実績日に※3を追記
</t>
    <rPh sb="0" eb="3">
      <t>コウモクメイ</t>
    </rPh>
    <rPh sb="4" eb="9">
      <t>セイケイジッセキビ</t>
    </rPh>
    <rPh sb="13" eb="18">
      <t>ホウソウジッセキビ</t>
    </rPh>
    <rPh sb="22" eb="24">
      <t>ツイキ</t>
    </rPh>
    <phoneticPr fontId="2"/>
  </si>
  <si>
    <t>COMC1405001C
注記</t>
    <rPh sb="13" eb="15">
      <t>チュウキ</t>
    </rPh>
    <phoneticPr fontId="2"/>
  </si>
  <si>
    <t>COMC1405004C</t>
    <phoneticPr fontId="2"/>
  </si>
  <si>
    <t xml:space="preserve">リクエスト値の　計画期間（From）～顧客　の内容欄に　※１　と書かれているが、注記がない。
</t>
    <rPh sb="5" eb="6">
      <t>チ</t>
    </rPh>
    <rPh sb="8" eb="12">
      <t>ケイカクキカン</t>
    </rPh>
    <rPh sb="19" eb="21">
      <t>コキャク</t>
    </rPh>
    <rPh sb="23" eb="26">
      <t>ナイヨウラン</t>
    </rPh>
    <rPh sb="32" eb="33">
      <t>カ</t>
    </rPh>
    <rPh sb="40" eb="42">
      <t>チュウキ</t>
    </rPh>
    <phoneticPr fontId="2"/>
  </si>
  <si>
    <t>リクエスト値の　計画期間（From）～顧客　の内容欄に　※１　を削除。</t>
    <rPh sb="32" eb="34">
      <t>サクジョ</t>
    </rPh>
    <phoneticPr fontId="2"/>
  </si>
  <si>
    <t>COMC1405004C
リクエスト値</t>
    <rPh sb="18" eb="19">
      <t>アタイ</t>
    </rPh>
    <phoneticPr fontId="2"/>
  </si>
  <si>
    <t>9 計画終了ボタン押下 - 2 - 2)
表示するメッセージ　の　設定値　に、置換文字が指定されていない。
→　getMessage(【メッセージ】, ["生産計画ケース数", "ケース数", "計画終了"])　のように書くのではないか。</t>
    <rPh sb="21" eb="23">
      <t>ヒョウジ</t>
    </rPh>
    <rPh sb="33" eb="36">
      <t>セッテイチ</t>
    </rPh>
    <rPh sb="39" eb="41">
      <t>チカン</t>
    </rPh>
    <rPh sb="41" eb="43">
      <t>モジ</t>
    </rPh>
    <rPh sb="44" eb="46">
      <t>シテイ</t>
    </rPh>
    <rPh sb="78" eb="82">
      <t>セイサンケイカク</t>
    </rPh>
    <rPh sb="85" eb="86">
      <t>スウ</t>
    </rPh>
    <rPh sb="93" eb="94">
      <t>スウ</t>
    </rPh>
    <rPh sb="98" eb="102">
      <t>ケイカクシュウリョウ</t>
    </rPh>
    <rPh sb="110" eb="111">
      <t>カ</t>
    </rPh>
    <phoneticPr fontId="2"/>
  </si>
  <si>
    <t>左記通りに修正。</t>
    <phoneticPr fontId="2"/>
  </si>
  <si>
    <t>End</t>
    <phoneticPr fontId="2"/>
  </si>
  <si>
    <t>ドキュメント</t>
    <phoneticPr fontId="2"/>
  </si>
  <si>
    <t>業務分類名</t>
    <rPh sb="0" eb="2">
      <t>ギョウム</t>
    </rPh>
    <rPh sb="2" eb="4">
      <t>ブンルイ</t>
    </rPh>
    <rPh sb="4" eb="5">
      <t>メイ</t>
    </rPh>
    <phoneticPr fontId="2"/>
  </si>
  <si>
    <t>機能名</t>
    <rPh sb="0" eb="2">
      <t>キノウ</t>
    </rPh>
    <rPh sb="2" eb="3">
      <t>メイ</t>
    </rPh>
    <phoneticPr fontId="2"/>
  </si>
  <si>
    <t>原因工程</t>
    <rPh sb="0" eb="2">
      <t>ゲンイン</t>
    </rPh>
    <rPh sb="2" eb="4">
      <t>コウテイ</t>
    </rPh>
    <phoneticPr fontId="2"/>
  </si>
  <si>
    <t>基本設計</t>
    <rPh sb="0" eb="2">
      <t>キホン</t>
    </rPh>
    <rPh sb="2" eb="4">
      <t>セッケイ</t>
    </rPh>
    <phoneticPr fontId="2"/>
  </si>
  <si>
    <t>A.受注</t>
  </si>
  <si>
    <t>A0101</t>
  </si>
  <si>
    <t>受注登録</t>
  </si>
  <si>
    <t>1:要件定義</t>
    <rPh sb="2" eb="6">
      <t>ヨウケンテイギ</t>
    </rPh>
    <phoneticPr fontId="2"/>
  </si>
  <si>
    <t>詳細設計</t>
    <rPh sb="0" eb="2">
      <t>ショウサイ</t>
    </rPh>
    <rPh sb="2" eb="4">
      <t>セッケイ</t>
    </rPh>
    <phoneticPr fontId="2"/>
  </si>
  <si>
    <t>B.生産計画</t>
  </si>
  <si>
    <t>A1101</t>
  </si>
  <si>
    <t>受注一覧</t>
  </si>
  <si>
    <t>2:基本設計</t>
    <rPh sb="2" eb="4">
      <t>キホン</t>
    </rPh>
    <rPh sb="4" eb="6">
      <t>セッケイ</t>
    </rPh>
    <phoneticPr fontId="2"/>
  </si>
  <si>
    <t>単体試験</t>
    <rPh sb="0" eb="2">
      <t>タンタイ</t>
    </rPh>
    <rPh sb="2" eb="4">
      <t>シケン</t>
    </rPh>
    <phoneticPr fontId="2"/>
  </si>
  <si>
    <t>A3101</t>
  </si>
  <si>
    <t>ラベル発行</t>
  </si>
  <si>
    <t>単体実施</t>
    <rPh sb="0" eb="2">
      <t>タンタイ</t>
    </rPh>
    <rPh sb="2" eb="4">
      <t>ジッシ</t>
    </rPh>
    <phoneticPr fontId="2"/>
  </si>
  <si>
    <t>D.出荷</t>
  </si>
  <si>
    <t>A3202</t>
  </si>
  <si>
    <t>用紙セット確認</t>
  </si>
  <si>
    <t>4:開発</t>
    <rPh sb="2" eb="4">
      <t>カイハツ</t>
    </rPh>
    <phoneticPr fontId="2"/>
  </si>
  <si>
    <t>コードレビュー</t>
    <phoneticPr fontId="2"/>
  </si>
  <si>
    <t>結合試験</t>
    <rPh sb="0" eb="2">
      <t>ケツゴウ</t>
    </rPh>
    <rPh sb="2" eb="4">
      <t>シケン</t>
    </rPh>
    <phoneticPr fontId="2"/>
  </si>
  <si>
    <t>E.資材</t>
  </si>
  <si>
    <t>B0101</t>
  </si>
  <si>
    <t>生産計画登録（抄紙）</t>
  </si>
  <si>
    <t>5:単体試験</t>
    <rPh sb="2" eb="4">
      <t>タンタイ</t>
    </rPh>
    <rPh sb="4" eb="6">
      <t>シケン</t>
    </rPh>
    <phoneticPr fontId="2"/>
  </si>
  <si>
    <t>結合実施</t>
    <rPh sb="0" eb="2">
      <t>ケツゴウ</t>
    </rPh>
    <rPh sb="2" eb="4">
      <t>ジッシ</t>
    </rPh>
    <phoneticPr fontId="2"/>
  </si>
  <si>
    <t>F.請求・入金</t>
  </si>
  <si>
    <t>B0102</t>
  </si>
  <si>
    <t>生産計画登録（熱加工）</t>
  </si>
  <si>
    <t>6:単体実施</t>
    <rPh sb="2" eb="4">
      <t>タンタイ</t>
    </rPh>
    <rPh sb="4" eb="6">
      <t>ジッシ</t>
    </rPh>
    <phoneticPr fontId="2"/>
  </si>
  <si>
    <t>G.売上</t>
  </si>
  <si>
    <t>B0103</t>
  </si>
  <si>
    <t>生産計画登録（加工CM）</t>
  </si>
  <si>
    <t>7:結合試験</t>
    <rPh sb="2" eb="4">
      <t>ケツゴウ</t>
    </rPh>
    <rPh sb="4" eb="6">
      <t>シケン</t>
    </rPh>
    <phoneticPr fontId="2"/>
  </si>
  <si>
    <t>H.支払</t>
  </si>
  <si>
    <t>B0104</t>
  </si>
  <si>
    <t>生産計画登録（加工SC）</t>
  </si>
  <si>
    <t>8:結合実施</t>
    <rPh sb="2" eb="4">
      <t>ケツゴウ</t>
    </rPh>
    <rPh sb="4" eb="6">
      <t>ジッシ</t>
    </rPh>
    <phoneticPr fontId="2"/>
  </si>
  <si>
    <t>I.原価</t>
  </si>
  <si>
    <t>B0105</t>
  </si>
  <si>
    <t>生産計画登録（コーヒーフィルタ）</t>
  </si>
  <si>
    <t>J.製品棚卸</t>
  </si>
  <si>
    <t>B0106</t>
  </si>
  <si>
    <t>生産計画登録（パッケージ工場）</t>
  </si>
  <si>
    <t>K.マスタ管理</t>
  </si>
  <si>
    <t>B0107</t>
  </si>
  <si>
    <t>生産計画登録（W/D工場）</t>
  </si>
  <si>
    <t>L.共通</t>
  </si>
  <si>
    <t>B0108</t>
  </si>
  <si>
    <t>生産計画登録（外注加工）</t>
  </si>
  <si>
    <t>B1101</t>
  </si>
  <si>
    <t>生産計画一覧</t>
  </si>
  <si>
    <t>B1102</t>
  </si>
  <si>
    <t>月間生産計画（設備別）</t>
  </si>
  <si>
    <t>B1103</t>
  </si>
  <si>
    <t>月間生産計画（工程別）①</t>
  </si>
  <si>
    <t>B1104</t>
  </si>
  <si>
    <t>月間生産計画（工程別）②</t>
  </si>
  <si>
    <t>B1201</t>
  </si>
  <si>
    <t>在庫推移一覧</t>
  </si>
  <si>
    <t>B1301</t>
  </si>
  <si>
    <t>在庫一覧</t>
  </si>
  <si>
    <t>B0201</t>
  </si>
  <si>
    <t>生産指示登録（原材料）</t>
  </si>
  <si>
    <t>B0202</t>
  </si>
  <si>
    <t>生産指示登録（調薬）</t>
  </si>
  <si>
    <t>B0203</t>
  </si>
  <si>
    <t>生産指示登録（原反）</t>
  </si>
  <si>
    <t>B2101</t>
  </si>
  <si>
    <t>生産計画表（抄紙）</t>
  </si>
  <si>
    <t>B2102</t>
  </si>
  <si>
    <t>生産計画表（熱加工）</t>
  </si>
  <si>
    <t>B2103</t>
  </si>
  <si>
    <t>生産計画表（加工CM）</t>
  </si>
  <si>
    <t>B2104</t>
  </si>
  <si>
    <t>生産計画表（加工SC）</t>
  </si>
  <si>
    <t>B2105</t>
  </si>
  <si>
    <t>生産計画表（コーヒーフィルタ）</t>
  </si>
  <si>
    <t>B2106</t>
  </si>
  <si>
    <t>生産計画表（パッケージ工場）</t>
  </si>
  <si>
    <t>B2107</t>
  </si>
  <si>
    <t>生産計画表（W/D工場）</t>
  </si>
  <si>
    <t>B2201</t>
  </si>
  <si>
    <t>工程表</t>
  </si>
  <si>
    <t>C0101</t>
  </si>
  <si>
    <t>使用実績登録（原材料）</t>
  </si>
  <si>
    <t>C0102</t>
  </si>
  <si>
    <t>使用実績登録（薬品）</t>
  </si>
  <si>
    <t>C0103</t>
  </si>
  <si>
    <t>使用実績登録（調薬）</t>
  </si>
  <si>
    <t>C0104</t>
  </si>
  <si>
    <t>使用実績登録（調合顔料）</t>
  </si>
  <si>
    <t>C1101</t>
  </si>
  <si>
    <t>使用実績一覧</t>
  </si>
  <si>
    <t>C0201</t>
  </si>
  <si>
    <t>パルプ・化繊・薬品配合登録</t>
  </si>
  <si>
    <t>C1201</t>
  </si>
  <si>
    <t>パルプ・化繊・薬品配合一覧</t>
  </si>
  <si>
    <t>C0401</t>
  </si>
  <si>
    <t>抄紙実績登録（抄紙）</t>
  </si>
  <si>
    <t>C0402</t>
  </si>
  <si>
    <t>仕上実績登録（抄紙）</t>
  </si>
  <si>
    <t>C0403</t>
  </si>
  <si>
    <t>加工実績登録（熱加工）</t>
  </si>
  <si>
    <t>C0404</t>
  </si>
  <si>
    <t>仕上実績登録（熱加工）</t>
  </si>
  <si>
    <t>C0405</t>
  </si>
  <si>
    <t>加工実績登録（加工CM）</t>
  </si>
  <si>
    <t>C0406</t>
  </si>
  <si>
    <t>仕上実績登録（加工CM）</t>
  </si>
  <si>
    <t>C0407</t>
  </si>
  <si>
    <t>加工実績登録（加工SC）</t>
  </si>
  <si>
    <t>C0408</t>
  </si>
  <si>
    <t>仕上実績登録（加工SC）</t>
  </si>
  <si>
    <t>C0409</t>
  </si>
  <si>
    <t>成型実績登録</t>
  </si>
  <si>
    <t>C0410</t>
  </si>
  <si>
    <t>包装実績登録</t>
  </si>
  <si>
    <t>C0411</t>
  </si>
  <si>
    <t>パッケージ実績登録</t>
  </si>
  <si>
    <t>C0412</t>
  </si>
  <si>
    <t>仕上実績登録（W/D工場）</t>
  </si>
  <si>
    <t>C0413</t>
  </si>
  <si>
    <t>仕上実績登録（外注加工）</t>
  </si>
  <si>
    <t>C1401</t>
  </si>
  <si>
    <t>生産実績一覧（抄紙）</t>
  </si>
  <si>
    <t>C1402</t>
  </si>
  <si>
    <t>生産実績一覧（熱加工）</t>
  </si>
  <si>
    <t>C1403</t>
  </si>
  <si>
    <t>生産実績一覧（加工CM）</t>
  </si>
  <si>
    <t>C1404</t>
  </si>
  <si>
    <t>生産実績一覧（加工SC）</t>
  </si>
  <si>
    <t>C1405</t>
  </si>
  <si>
    <t>生産実績一覧（コーヒーフィルタ）</t>
  </si>
  <si>
    <t>C1406</t>
  </si>
  <si>
    <t>生産実績一覧（パッケージ工場）</t>
  </si>
  <si>
    <t>C1407</t>
  </si>
  <si>
    <t>生産実績一覧（W/D工場）</t>
  </si>
  <si>
    <t>C1408</t>
  </si>
  <si>
    <t>生産実績一覧（外注加工）</t>
  </si>
  <si>
    <t>C3401</t>
  </si>
  <si>
    <t>作業一覧（抄紙）</t>
  </si>
  <si>
    <t>C3402</t>
  </si>
  <si>
    <t>作業一覧（熱加工）</t>
  </si>
  <si>
    <t>C3403</t>
  </si>
  <si>
    <t>作業一覧（加工CM）</t>
  </si>
  <si>
    <t>C3404</t>
  </si>
  <si>
    <t>作業一覧（加工SC）</t>
  </si>
  <si>
    <t>C3405</t>
  </si>
  <si>
    <t>作業一覧（W/D工場）</t>
  </si>
  <si>
    <t>C0501</t>
  </si>
  <si>
    <t>在庫移動指示登録</t>
  </si>
  <si>
    <t>C0502</t>
  </si>
  <si>
    <t>在庫移動指示登録（パッケージ工場）</t>
  </si>
  <si>
    <t>C0503</t>
  </si>
  <si>
    <t>在庫移動指示登録（外注加工）</t>
  </si>
  <si>
    <t>C1501</t>
  </si>
  <si>
    <t>在庫移動指示一覧</t>
  </si>
  <si>
    <t>C2101</t>
  </si>
  <si>
    <t>在庫移動指図書</t>
  </si>
  <si>
    <t>C0601</t>
  </si>
  <si>
    <t>引取指示登録</t>
  </si>
  <si>
    <t>C1601</t>
  </si>
  <si>
    <t>引取指示一覧</t>
  </si>
  <si>
    <t>C2201</t>
  </si>
  <si>
    <t>引取依頼書</t>
  </si>
  <si>
    <t>C0701</t>
  </si>
  <si>
    <t>加工指示登録（W/D工場）</t>
  </si>
  <si>
    <t>C0702</t>
  </si>
  <si>
    <t>加工指示登録（外注加工）</t>
  </si>
  <si>
    <t>C2301</t>
  </si>
  <si>
    <t>加工指示書</t>
  </si>
  <si>
    <t>D0101</t>
  </si>
  <si>
    <t>出荷指示登録</t>
  </si>
  <si>
    <t>D0102</t>
  </si>
  <si>
    <t>出荷指示登録（海外）</t>
  </si>
  <si>
    <t>D1101</t>
  </si>
  <si>
    <t>出荷指示一覧</t>
  </si>
  <si>
    <t>D1102</t>
  </si>
  <si>
    <t>出荷指示一覧（海外）</t>
  </si>
  <si>
    <t>D0201</t>
  </si>
  <si>
    <t>出荷実績登録</t>
  </si>
  <si>
    <t>D0202</t>
  </si>
  <si>
    <t>出荷実績登録（海外）</t>
  </si>
  <si>
    <t>D3201</t>
  </si>
  <si>
    <t>出荷実績登録（バーコード読取）</t>
  </si>
  <si>
    <t>D1201</t>
  </si>
  <si>
    <t>出荷実績一覧</t>
  </si>
  <si>
    <t>D1202</t>
  </si>
  <si>
    <t>出荷実績一覧（海外）</t>
  </si>
  <si>
    <t>E0101</t>
  </si>
  <si>
    <t>発注指示登録</t>
  </si>
  <si>
    <t>E1101</t>
  </si>
  <si>
    <t>発注指示一覧</t>
  </si>
  <si>
    <t>E0201</t>
  </si>
  <si>
    <t>発注登録</t>
  </si>
  <si>
    <t>E1201</t>
  </si>
  <si>
    <t>発注一覧</t>
  </si>
  <si>
    <t>E0301</t>
  </si>
  <si>
    <t>発注指示選択</t>
  </si>
  <si>
    <t>E0401</t>
  </si>
  <si>
    <t>注文書出力</t>
  </si>
  <si>
    <t>E2401</t>
  </si>
  <si>
    <t>注文書</t>
  </si>
  <si>
    <t>資材受入登録</t>
  </si>
  <si>
    <t>E1401</t>
  </si>
  <si>
    <t>資材受入一覧</t>
  </si>
  <si>
    <t>E1501</t>
  </si>
  <si>
    <t>資材在庫一覧</t>
  </si>
  <si>
    <t>F0101</t>
  </si>
  <si>
    <t>請求書出力</t>
  </si>
  <si>
    <t>F0102</t>
  </si>
  <si>
    <t>請求書出力（プレビュー）</t>
  </si>
  <si>
    <t>F3101</t>
  </si>
  <si>
    <t>入金一覧</t>
  </si>
  <si>
    <t>G0101</t>
  </si>
  <si>
    <t>その他売上登録</t>
  </si>
  <si>
    <t>G0102</t>
  </si>
  <si>
    <t>その他売上登録（海外）</t>
  </si>
  <si>
    <t>G1101</t>
  </si>
  <si>
    <t>その他売上一覧</t>
  </si>
  <si>
    <t>G1102</t>
  </si>
  <si>
    <t>その他売上一覧（海外）</t>
  </si>
  <si>
    <t>G3101</t>
  </si>
  <si>
    <t>売上連携</t>
  </si>
  <si>
    <t>H0101</t>
  </si>
  <si>
    <t>支払予定データ登録</t>
  </si>
  <si>
    <t>H1101</t>
  </si>
  <si>
    <t>支払予定データ一覧</t>
  </si>
  <si>
    <t>H3101</t>
  </si>
  <si>
    <t>支払予定データ連携</t>
  </si>
  <si>
    <t>I0101</t>
  </si>
  <si>
    <t>原価データ登録</t>
  </si>
  <si>
    <t>I1101</t>
  </si>
  <si>
    <t>原価一覧</t>
  </si>
  <si>
    <t>J0101</t>
  </si>
  <si>
    <t>実地棚卸データ登録</t>
  </si>
  <si>
    <t>J1101</t>
  </si>
  <si>
    <t>実地棚卸データ一覧</t>
  </si>
  <si>
    <t>K0102</t>
  </si>
  <si>
    <t>メニューマスタメンテナンス</t>
  </si>
  <si>
    <t>K0103</t>
  </si>
  <si>
    <t>権限マスタメンテナンス</t>
  </si>
  <si>
    <t>K0104</t>
  </si>
  <si>
    <t>品種マスタメンテナンス</t>
  </si>
  <si>
    <t>K0105</t>
  </si>
  <si>
    <t>業者マスタメンテナンス</t>
  </si>
  <si>
    <t>K0106</t>
  </si>
  <si>
    <t>工程マスタメンテナンス</t>
  </si>
  <si>
    <t>K0107</t>
  </si>
  <si>
    <t>品種大分類マスタメンテナンス</t>
  </si>
  <si>
    <t>K0108</t>
  </si>
  <si>
    <t>品種中分類メンテナンス</t>
  </si>
  <si>
    <t>K0109</t>
  </si>
  <si>
    <t>単位コードマスタメンテナンス</t>
  </si>
  <si>
    <t>K0110</t>
  </si>
  <si>
    <t>通貨コードメンテナンス</t>
  </si>
  <si>
    <t>K0111</t>
  </si>
  <si>
    <t>管轄コードメンテナンス</t>
  </si>
  <si>
    <t>K0112</t>
  </si>
  <si>
    <t>保管場所コードメンテナンス</t>
  </si>
  <si>
    <t>K0113</t>
  </si>
  <si>
    <t>採番マスタメンテナンス</t>
  </si>
  <si>
    <t>K0114</t>
  </si>
  <si>
    <t>製品分類マスタメンテナンス</t>
  </si>
  <si>
    <t>K0115</t>
  </si>
  <si>
    <t>利用者マスタメンテナンス</t>
  </si>
  <si>
    <t>K0116</t>
  </si>
  <si>
    <t>部署マスタメンテナンス</t>
  </si>
  <si>
    <t>K0117</t>
  </si>
  <si>
    <t>カレンダーマスタメンテナンス</t>
  </si>
  <si>
    <t>K0118</t>
  </si>
  <si>
    <t>コード名称マスタメンテナンス</t>
  </si>
  <si>
    <t>K0119</t>
  </si>
  <si>
    <t>区分名称マスタメンテナンス</t>
  </si>
  <si>
    <t>K0120</t>
  </si>
  <si>
    <t>承認経路マスタメンテナンス</t>
  </si>
  <si>
    <t>K0121</t>
  </si>
  <si>
    <t>業者品種マスタメンテナンス</t>
  </si>
  <si>
    <t>K0122</t>
  </si>
  <si>
    <t>科目マスタメンテナンス</t>
  </si>
  <si>
    <t>K0123</t>
  </si>
  <si>
    <t>経費マスタメンテナンス</t>
  </si>
  <si>
    <t>K0124</t>
  </si>
  <si>
    <t>原価計算経費マスタメンテナンス</t>
  </si>
  <si>
    <t>L0101</t>
  </si>
  <si>
    <t>ログイン画面</t>
  </si>
  <si>
    <t>L0201</t>
  </si>
  <si>
    <t>メニュー画面</t>
  </si>
  <si>
    <t>L1101</t>
  </si>
  <si>
    <t>端末利用状況一覧</t>
  </si>
  <si>
    <t>L1201</t>
  </si>
  <si>
    <t>ロットトレース一覧</t>
  </si>
  <si>
    <t>指摘区分</t>
    <rPh sb="0" eb="2">
      <t>シテキ</t>
    </rPh>
    <rPh sb="2" eb="4">
      <t>クブン</t>
    </rPh>
    <phoneticPr fontId="4"/>
  </si>
  <si>
    <t>※選択したい行をダブルクリックしてください。</t>
    <rPh sb="1" eb="3">
      <t>センタク</t>
    </rPh>
    <rPh sb="6" eb="7">
      <t>ギョウ</t>
    </rPh>
    <phoneticPr fontId="4"/>
  </si>
  <si>
    <t>指摘区分内容説明</t>
    <rPh sb="0" eb="2">
      <t>シテキ</t>
    </rPh>
    <rPh sb="2" eb="4">
      <t>クブン</t>
    </rPh>
    <rPh sb="4" eb="6">
      <t>ナイヨウ</t>
    </rPh>
    <rPh sb="6" eb="8">
      <t>セツメイ</t>
    </rPh>
    <phoneticPr fontId="4"/>
  </si>
  <si>
    <t>1:記載ミス</t>
    <rPh sb="2" eb="4">
      <t>キサイ</t>
    </rPh>
    <phoneticPr fontId="2"/>
  </si>
  <si>
    <t>記載ミス（誤記等）</t>
    <rPh sb="0" eb="2">
      <t>キサイ</t>
    </rPh>
    <rPh sb="5" eb="7">
      <t>ゴキ</t>
    </rPh>
    <rPh sb="7" eb="8">
      <t>トウ</t>
    </rPh>
    <phoneticPr fontId="2"/>
  </si>
  <si>
    <t>2:記載漏れ</t>
    <rPh sb="2" eb="4">
      <t>キサイ</t>
    </rPh>
    <rPh sb="4" eb="5">
      <t>モ</t>
    </rPh>
    <phoneticPr fontId="2"/>
  </si>
  <si>
    <t>記載漏れ（処理漏れ等）</t>
    <rPh sb="0" eb="2">
      <t>キサイ</t>
    </rPh>
    <rPh sb="2" eb="3">
      <t>モ</t>
    </rPh>
    <rPh sb="5" eb="7">
      <t>ショリ</t>
    </rPh>
    <rPh sb="7" eb="8">
      <t>モ</t>
    </rPh>
    <rPh sb="9" eb="10">
      <t>トウ</t>
    </rPh>
    <phoneticPr fontId="2"/>
  </si>
  <si>
    <t>3:記載不要</t>
    <rPh sb="2" eb="4">
      <t>キサイ</t>
    </rPh>
    <rPh sb="4" eb="6">
      <t>フヨウ</t>
    </rPh>
    <phoneticPr fontId="2"/>
  </si>
  <si>
    <t>記載不要</t>
    <rPh sb="0" eb="2">
      <t>キサイ</t>
    </rPh>
    <rPh sb="2" eb="4">
      <t>フヨウ</t>
    </rPh>
    <phoneticPr fontId="2"/>
  </si>
  <si>
    <t>4:表現曖昧</t>
    <rPh sb="2" eb="4">
      <t>ヒョウゲン</t>
    </rPh>
    <rPh sb="4" eb="6">
      <t>アイマイ</t>
    </rPh>
    <phoneticPr fontId="2"/>
  </si>
  <si>
    <t>表現曖昧（処理に対する文面・表現曖昧等）</t>
    <rPh sb="0" eb="2">
      <t>ヒョウゲン</t>
    </rPh>
    <rPh sb="2" eb="4">
      <t>アイマイ</t>
    </rPh>
    <rPh sb="5" eb="7">
      <t>ショリ</t>
    </rPh>
    <rPh sb="8" eb="9">
      <t>タイ</t>
    </rPh>
    <rPh sb="11" eb="13">
      <t>ブンメン</t>
    </rPh>
    <rPh sb="14" eb="16">
      <t>ヒョウゲン</t>
    </rPh>
    <rPh sb="16" eb="18">
      <t>アイマイ</t>
    </rPh>
    <rPh sb="18" eb="19">
      <t>トウ</t>
    </rPh>
    <phoneticPr fontId="2"/>
  </si>
  <si>
    <t>5:表現統一</t>
    <rPh sb="2" eb="4">
      <t>ヒョウゲン</t>
    </rPh>
    <rPh sb="4" eb="6">
      <t>トウイツ</t>
    </rPh>
    <phoneticPr fontId="2"/>
  </si>
  <si>
    <t>表現統一（一覧化等処理記載内容が判るように改善）</t>
    <rPh sb="0" eb="2">
      <t>ヒョウゲン</t>
    </rPh>
    <rPh sb="2" eb="4">
      <t>トウイツ</t>
    </rPh>
    <rPh sb="5" eb="7">
      <t>イチラン</t>
    </rPh>
    <rPh sb="7" eb="8">
      <t>カ</t>
    </rPh>
    <rPh sb="8" eb="9">
      <t>トウ</t>
    </rPh>
    <rPh sb="9" eb="11">
      <t>ショリ</t>
    </rPh>
    <rPh sb="11" eb="13">
      <t>キサイ</t>
    </rPh>
    <rPh sb="13" eb="15">
      <t>ナイヨウ</t>
    </rPh>
    <rPh sb="16" eb="17">
      <t>ワカ</t>
    </rPh>
    <rPh sb="21" eb="23">
      <t>カイゼン</t>
    </rPh>
    <phoneticPr fontId="2"/>
  </si>
  <si>
    <t>6:処理検討不足</t>
    <rPh sb="2" eb="4">
      <t>ショリ</t>
    </rPh>
    <rPh sb="4" eb="6">
      <t>ケントウ</t>
    </rPh>
    <rPh sb="6" eb="8">
      <t>フソク</t>
    </rPh>
    <phoneticPr fontId="2"/>
  </si>
  <si>
    <t>処理検討不足</t>
    <rPh sb="0" eb="2">
      <t>ショリ</t>
    </rPh>
    <rPh sb="2" eb="4">
      <t>ケントウ</t>
    </rPh>
    <rPh sb="4" eb="6">
      <t>フソク</t>
    </rPh>
    <phoneticPr fontId="2"/>
  </si>
  <si>
    <t>7:ユーザ確認要</t>
    <rPh sb="5" eb="7">
      <t>カクニン</t>
    </rPh>
    <rPh sb="7" eb="8">
      <t>ヨウ</t>
    </rPh>
    <phoneticPr fontId="2"/>
  </si>
  <si>
    <t>ユーザ確認要</t>
    <rPh sb="3" eb="5">
      <t>カクニン</t>
    </rPh>
    <rPh sb="5" eb="6">
      <t>ヨウ</t>
    </rPh>
    <phoneticPr fontId="2"/>
  </si>
  <si>
    <t>8:設計規約ミス</t>
    <rPh sb="2" eb="4">
      <t>セッケイ</t>
    </rPh>
    <rPh sb="4" eb="6">
      <t>キヤク</t>
    </rPh>
    <phoneticPr fontId="2"/>
  </si>
  <si>
    <t>設計ルールに従っていない等</t>
    <rPh sb="0" eb="2">
      <t>セッケイ</t>
    </rPh>
    <rPh sb="6" eb="7">
      <t>シタガ</t>
    </rPh>
    <rPh sb="12" eb="13">
      <t>トウ</t>
    </rPh>
    <phoneticPr fontId="2"/>
  </si>
  <si>
    <t>9:設計問合せ</t>
    <rPh sb="2" eb="4">
      <t>セッケイ</t>
    </rPh>
    <rPh sb="4" eb="6">
      <t>トイアワ</t>
    </rPh>
    <phoneticPr fontId="2"/>
  </si>
  <si>
    <t>設計者への処理確認</t>
    <rPh sb="0" eb="3">
      <t>セッケイシャ</t>
    </rPh>
    <rPh sb="5" eb="7">
      <t>ショリ</t>
    </rPh>
    <rPh sb="7" eb="9">
      <t>カクニン</t>
    </rPh>
    <phoneticPr fontId="2"/>
  </si>
  <si>
    <t>※最終行です。削除しないでください。行を挿入する場合は、この行より上で実施してください。</t>
    <phoneticPr fontId="4"/>
  </si>
  <si>
    <t>原因分類/原因区分/原因区分詳細一覧</t>
    <rPh sb="16" eb="18">
      <t>イチラン</t>
    </rPh>
    <phoneticPr fontId="4"/>
  </si>
  <si>
    <t>Lv1</t>
    <phoneticPr fontId="4"/>
  </si>
  <si>
    <t>Lv2</t>
    <phoneticPr fontId="4"/>
  </si>
  <si>
    <t>原因区分内容説明</t>
    <rPh sb="0" eb="2">
      <t>ゲンイン</t>
    </rPh>
    <rPh sb="2" eb="4">
      <t>クブン</t>
    </rPh>
    <rPh sb="4" eb="6">
      <t>ナイヨウ</t>
    </rPh>
    <rPh sb="6" eb="8">
      <t>セツメイ</t>
    </rPh>
    <phoneticPr fontId="4"/>
  </si>
  <si>
    <t>1:設計ﾐｽ</t>
    <phoneticPr fontId="2"/>
  </si>
  <si>
    <t>10:記載ミス</t>
    <rPh sb="3" eb="5">
      <t>キサイ</t>
    </rPh>
    <phoneticPr fontId="2"/>
  </si>
  <si>
    <t>11:記載漏れ（画面・帳票）</t>
    <rPh sb="3" eb="5">
      <t>キサイ</t>
    </rPh>
    <rPh sb="5" eb="6">
      <t>モ</t>
    </rPh>
    <rPh sb="8" eb="10">
      <t>ガメン</t>
    </rPh>
    <rPh sb="11" eb="13">
      <t>チョウヒョウ</t>
    </rPh>
    <phoneticPr fontId="2"/>
  </si>
  <si>
    <t>画面/帳票の項目過不足、レイアウト設計ミス</t>
    <phoneticPr fontId="2"/>
  </si>
  <si>
    <t>12:記載漏れ（処理）</t>
    <rPh sb="3" eb="5">
      <t>キサイ</t>
    </rPh>
    <rPh sb="5" eb="6">
      <t>モ</t>
    </rPh>
    <rPh sb="8" eb="10">
      <t>ショリ</t>
    </rPh>
    <phoneticPr fontId="2"/>
  </si>
  <si>
    <t>処理に対するボタン処理・イベント処理等の記載漏れ</t>
    <rPh sb="0" eb="2">
      <t>ショリ</t>
    </rPh>
    <rPh sb="3" eb="4">
      <t>タイ</t>
    </rPh>
    <rPh sb="9" eb="11">
      <t>ショリ</t>
    </rPh>
    <rPh sb="16" eb="18">
      <t>ショリ</t>
    </rPh>
    <rPh sb="18" eb="19">
      <t>トウ</t>
    </rPh>
    <rPh sb="20" eb="22">
      <t>キサイ</t>
    </rPh>
    <rPh sb="22" eb="23">
      <t>モ</t>
    </rPh>
    <phoneticPr fontId="2"/>
  </si>
  <si>
    <t>13:記載不要</t>
    <rPh sb="3" eb="5">
      <t>キサイ</t>
    </rPh>
    <rPh sb="5" eb="7">
      <t>フヨウ</t>
    </rPh>
    <phoneticPr fontId="2"/>
  </si>
  <si>
    <t>記載不要の処理</t>
    <rPh sb="5" eb="7">
      <t>ショリ</t>
    </rPh>
    <phoneticPr fontId="2"/>
  </si>
  <si>
    <t>14:表現曖昧</t>
    <rPh sb="3" eb="5">
      <t>ヒョウゲン</t>
    </rPh>
    <rPh sb="5" eb="7">
      <t>アイマイ</t>
    </rPh>
    <phoneticPr fontId="2"/>
  </si>
  <si>
    <t>処理に対しての表現が曖昧　※処理内容の記載・方針は正しい</t>
    <rPh sb="0" eb="2">
      <t>ショリ</t>
    </rPh>
    <rPh sb="3" eb="4">
      <t>タイ</t>
    </rPh>
    <rPh sb="7" eb="9">
      <t>ヒョウゲン</t>
    </rPh>
    <rPh sb="10" eb="12">
      <t>アイマイ</t>
    </rPh>
    <rPh sb="14" eb="16">
      <t>ショリ</t>
    </rPh>
    <rPh sb="16" eb="18">
      <t>ナイヨウ</t>
    </rPh>
    <rPh sb="19" eb="21">
      <t>キサイ</t>
    </rPh>
    <rPh sb="22" eb="24">
      <t>ホウシン</t>
    </rPh>
    <rPh sb="25" eb="26">
      <t>タダ</t>
    </rPh>
    <phoneticPr fontId="2"/>
  </si>
  <si>
    <t>15:表現統一</t>
    <rPh sb="3" eb="5">
      <t>ヒョウゲン</t>
    </rPh>
    <rPh sb="5" eb="7">
      <t>トウイツ</t>
    </rPh>
    <phoneticPr fontId="2"/>
  </si>
  <si>
    <t>処理に対しての表現の統一化</t>
    <rPh sb="0" eb="2">
      <t>ショリ</t>
    </rPh>
    <rPh sb="3" eb="4">
      <t>タイ</t>
    </rPh>
    <rPh sb="7" eb="9">
      <t>ヒョウゲン</t>
    </rPh>
    <rPh sb="10" eb="13">
      <t>トウイツカ</t>
    </rPh>
    <phoneticPr fontId="2"/>
  </si>
  <si>
    <t>2:設計検討不足</t>
    <rPh sb="2" eb="4">
      <t>セッケイ</t>
    </rPh>
    <rPh sb="4" eb="8">
      <t>ケントウフソク</t>
    </rPh>
    <phoneticPr fontId="2"/>
  </si>
  <si>
    <t>21:処理検討不足</t>
    <rPh sb="3" eb="5">
      <t>ショリ</t>
    </rPh>
    <rPh sb="5" eb="7">
      <t>ケントウ</t>
    </rPh>
    <rPh sb="7" eb="9">
      <t>フソク</t>
    </rPh>
    <phoneticPr fontId="2"/>
  </si>
  <si>
    <t>イベント（ボタン処理・項目処理等）処理検討不足による設計仕様ミス</t>
    <rPh sb="8" eb="10">
      <t>ショリ</t>
    </rPh>
    <rPh sb="11" eb="13">
      <t>コウモク</t>
    </rPh>
    <rPh sb="13" eb="15">
      <t>ショリ</t>
    </rPh>
    <rPh sb="15" eb="16">
      <t>トウ</t>
    </rPh>
    <rPh sb="17" eb="19">
      <t>ショリ</t>
    </rPh>
    <rPh sb="19" eb="21">
      <t>ケントウ</t>
    </rPh>
    <rPh sb="21" eb="23">
      <t>フソク</t>
    </rPh>
    <phoneticPr fontId="2"/>
  </si>
  <si>
    <t>3:他機能連携不足</t>
    <rPh sb="2" eb="7">
      <t>タキノウレンケイ</t>
    </rPh>
    <rPh sb="7" eb="9">
      <t>フソク</t>
    </rPh>
    <phoneticPr fontId="2"/>
  </si>
  <si>
    <t>31:他機能連携不足</t>
    <rPh sb="3" eb="6">
      <t>タキノウ</t>
    </rPh>
    <rPh sb="6" eb="8">
      <t>レンケイ</t>
    </rPh>
    <rPh sb="8" eb="10">
      <t>フソク</t>
    </rPh>
    <phoneticPr fontId="2"/>
  </si>
  <si>
    <t>他機能との処理連携不足による設計仕様ミス</t>
    <rPh sb="0" eb="3">
      <t>タキノウ</t>
    </rPh>
    <rPh sb="5" eb="7">
      <t>ショリ</t>
    </rPh>
    <rPh sb="7" eb="9">
      <t>レンケイ</t>
    </rPh>
    <rPh sb="9" eb="11">
      <t>フソク</t>
    </rPh>
    <phoneticPr fontId="2"/>
  </si>
  <si>
    <t>4:共通設計ﾐｽ</t>
    <rPh sb="2" eb="4">
      <t>キョウツウ</t>
    </rPh>
    <phoneticPr fontId="4"/>
  </si>
  <si>
    <t>41:共通処理漏れ</t>
    <rPh sb="5" eb="7">
      <t>ショリ</t>
    </rPh>
    <rPh sb="7" eb="8">
      <t>モ</t>
    </rPh>
    <phoneticPr fontId="2"/>
  </si>
  <si>
    <t>共通処理（共通イベント処理・共通制御等の処理）の記載漏れによる設計仕様ミス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キサイ</t>
    </rPh>
    <rPh sb="26" eb="27">
      <t>モ</t>
    </rPh>
    <phoneticPr fontId="2"/>
  </si>
  <si>
    <t>4:共通検討不足</t>
    <rPh sb="2" eb="4">
      <t>キョウツウ</t>
    </rPh>
    <rPh sb="4" eb="6">
      <t>ケントウ</t>
    </rPh>
    <rPh sb="6" eb="8">
      <t>フソク</t>
    </rPh>
    <phoneticPr fontId="4"/>
  </si>
  <si>
    <t>42:共通処理検討不足</t>
    <rPh sb="5" eb="7">
      <t>ショリ</t>
    </rPh>
    <rPh sb="7" eb="9">
      <t>ケントウ</t>
    </rPh>
    <rPh sb="9" eb="11">
      <t>フソク</t>
    </rPh>
    <phoneticPr fontId="2"/>
  </si>
  <si>
    <t>共通処理（共通イベント処理・共通制御等の処理）の共通処理検討不足による設計仕様ミス</t>
    <rPh sb="0" eb="2">
      <t>キョウツウ</t>
    </rPh>
    <rPh sb="2" eb="4">
      <t>ショリ</t>
    </rPh>
    <rPh sb="5" eb="7">
      <t>キョウツウ</t>
    </rPh>
    <rPh sb="11" eb="13">
      <t>ショリ</t>
    </rPh>
    <rPh sb="14" eb="16">
      <t>キョウツウ</t>
    </rPh>
    <rPh sb="16" eb="18">
      <t>セイギョ</t>
    </rPh>
    <rPh sb="18" eb="19">
      <t>トウ</t>
    </rPh>
    <rPh sb="20" eb="22">
      <t>ショリ</t>
    </rPh>
    <rPh sb="24" eb="26">
      <t>キョウツウ</t>
    </rPh>
    <rPh sb="26" eb="28">
      <t>ショリ</t>
    </rPh>
    <rPh sb="28" eb="30">
      <t>ケントウ</t>
    </rPh>
    <rPh sb="30" eb="32">
      <t>フソク</t>
    </rPh>
    <phoneticPr fontId="2"/>
  </si>
  <si>
    <t>5:共通部品設計ﾐｽ</t>
    <phoneticPr fontId="2"/>
  </si>
  <si>
    <t>51:共通部品設計ﾐｽ</t>
    <phoneticPr fontId="2"/>
  </si>
  <si>
    <t>システム共通部品、業務共通部品などに関する設計仕様ミス</t>
    <phoneticPr fontId="2"/>
  </si>
  <si>
    <t>6:ｲﾝﾀｰﾌｪｰｽ設計ﾐｽ</t>
    <phoneticPr fontId="2"/>
  </si>
  <si>
    <t>61:ｲﾝﾀｰﾌｪｰｽ設計ﾐｽ</t>
    <phoneticPr fontId="2"/>
  </si>
  <si>
    <t xml:space="preserve">関連する外部システムもしくはサブシステム内のインターフェースに関する設計ミス </t>
  </si>
  <si>
    <t>7:DB/ﾌｧｲﾙ設計ﾐｽ</t>
    <phoneticPr fontId="2"/>
  </si>
  <si>
    <t>71:DB記載漏れ・不測</t>
    <rPh sb="5" eb="7">
      <t>キサイ</t>
    </rPh>
    <rPh sb="7" eb="8">
      <t>モ</t>
    </rPh>
    <rPh sb="10" eb="12">
      <t>フソク</t>
    </rPh>
    <phoneticPr fontId="2"/>
  </si>
  <si>
    <t xml:space="preserve">DB構造、ファイル構造、インデックス・リンクなどに関する設計仕様ミス </t>
    <phoneticPr fontId="2"/>
  </si>
  <si>
    <t>72:DB他機能連携不足</t>
    <rPh sb="5" eb="8">
      <t>タキノウ</t>
    </rPh>
    <rPh sb="8" eb="10">
      <t>レンケイ</t>
    </rPh>
    <rPh sb="10" eb="12">
      <t>フソク</t>
    </rPh>
    <phoneticPr fontId="2"/>
  </si>
  <si>
    <t xml:space="preserve">他機能連携に対するDB構造、ファイル構造、インデックス・リンクなどに関する設計仕様ミス </t>
    <rPh sb="3" eb="5">
      <t>レンケイ</t>
    </rPh>
    <rPh sb="6" eb="7">
      <t>タイ</t>
    </rPh>
    <phoneticPr fontId="2"/>
  </si>
  <si>
    <t>8:ユーザ確認要</t>
    <rPh sb="5" eb="7">
      <t>カクニン</t>
    </rPh>
    <rPh sb="7" eb="8">
      <t>ヨウ</t>
    </rPh>
    <phoneticPr fontId="2"/>
  </si>
  <si>
    <t>81:ユーザ確認要</t>
    <rPh sb="6" eb="8">
      <t>カクニン</t>
    </rPh>
    <rPh sb="8" eb="9">
      <t>ヨウ</t>
    </rPh>
    <phoneticPr fontId="2"/>
  </si>
  <si>
    <t>ユーザに確認する事項をまとめる</t>
    <rPh sb="4" eb="6">
      <t>カクニン</t>
    </rPh>
    <rPh sb="8" eb="10">
      <t>ジコウ</t>
    </rPh>
    <phoneticPr fontId="2"/>
  </si>
  <si>
    <t>9.設計規約ミス</t>
    <rPh sb="2" eb="4">
      <t>セッケイ</t>
    </rPh>
    <rPh sb="4" eb="6">
      <t>キヤク</t>
    </rPh>
    <phoneticPr fontId="2"/>
  </si>
  <si>
    <t>91.設計規約ミス</t>
    <rPh sb="3" eb="5">
      <t>セッケイ</t>
    </rPh>
    <rPh sb="5" eb="7">
      <t>キヤク</t>
    </rPh>
    <phoneticPr fontId="2"/>
  </si>
  <si>
    <t>A.指摘誤り</t>
    <rPh sb="2" eb="4">
      <t>シテキ</t>
    </rPh>
    <rPh sb="4" eb="5">
      <t>アヤマ</t>
    </rPh>
    <phoneticPr fontId="2"/>
  </si>
  <si>
    <t>A1:指摘誤り</t>
    <rPh sb="3" eb="5">
      <t>シテキ</t>
    </rPh>
    <rPh sb="5" eb="6">
      <t>アヤマ</t>
    </rPh>
    <phoneticPr fontId="2"/>
  </si>
  <si>
    <t>指摘誤り</t>
    <rPh sb="0" eb="3">
      <t>シテキアヤマ</t>
    </rPh>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</si>
</sst>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yyyy/mm/dd"/>
    <numFmt numFmtId="177" formatCode="h:mm;@"/>
    <numFmt numFmtId="178" formatCode="&quot;Rev.&quot;\ General"/>
  </numFmts>
  <fonts count="14">
    <font>
      <sz val="10"/>
      <color theme="1"/>
      <name val="Meiryo UI"/>
      <family val="2"/>
      <charset val="128"/>
    </font>
    <font>
      <sz val="10"/>
      <color theme="0"/>
      <name val="Meiryo UI"/>
      <family val="2"/>
      <charset val="128"/>
    </font>
    <font>
      <sz val="6"/>
      <name val="Meiryo UI"/>
      <family val="2"/>
      <charset val="128"/>
    </font>
    <font>
      <sz val="10"/>
      <color theme="0"/>
      <name val="Meiryo UI"/>
      <family val="3"/>
      <charset val="128"/>
    </font>
    <font>
      <sz val="6"/>
      <name val="ＭＳ Ｐゴシック"/>
      <family val="3"/>
      <charset val="128"/>
    </font>
    <font>
      <sz val="10"/>
      <name val="Meiryo UI"/>
      <family val="3"/>
      <charset val="128"/>
    </font>
    <font>
      <sz val="11"/>
      <name val="ＭＳ Ｐゴシック"/>
      <family val="3"/>
      <charset val="128"/>
    </font>
    <font>
      <b/>
      <sz val="11"/>
      <name val="Meiryo UI"/>
      <family val="3"/>
      <charset val="128"/>
    </font>
    <font>
      <sz val="11"/>
      <name val="Meiryo UI"/>
      <family val="3"/>
      <charset val="128"/>
    </font>
    <font>
      <b/>
      <sz val="11"/>
      <color rgb="FFFF0000"/>
      <name val="Meiryo UI"/>
      <family val="3"/>
      <charset val="128"/>
    </font>
    <font>
      <sz val="10"/>
      <name val="ＭＳ Ｐゴシック"/>
      <family val="3"/>
      <charset val="128"/>
    </font>
    <font>
      <b/>
      <i/>
      <sz val="11"/>
      <name val="Meiryo UI"/>
      <family val="3"/>
      <charset val="128"/>
    </font>
    <font>
      <b/>
      <sz val="12"/>
      <color theme="0"/>
      <name val="Meiryo UI"/>
      <family val="3"/>
      <charset val="128"/>
    </font>
    <font>
      <sz val="10"/>
      <color rgb="FFFF0000"/>
      <name val="Meiryo UI"/>
      <family val="3"/>
      <charset val="128"/>
    </font>
  </fonts>
  <fills count="7">
    <fill>
      <patternFill patternType="none"/>
    </fill>
    <fill>
      <patternFill patternType="gray125"/>
    </fill>
    <fill>
      <patternFill patternType="solid">
        <fgColor rgb="FF0066FF"/>
        <bgColor indexed="64"/>
      </patternFill>
    </fill>
    <fill>
      <patternFill patternType="solid">
        <fgColor rgb="FFCCFFCC"/>
        <bgColor indexed="64"/>
      </patternFill>
    </fill>
    <fill>
      <patternFill patternType="solid">
        <fgColor rgb="FFCCFFE0"/>
        <bgColor indexed="64"/>
      </patternFill>
    </fill>
    <fill>
      <patternFill patternType="solid">
        <fgColor rgb="FFF0FFFF"/>
        <bgColor indexed="64"/>
      </patternFill>
    </fill>
    <fill>
      <patternFill patternType="solid">
        <fgColor rgb="FFFF0000"/>
        <bgColor indexed="64"/>
      </patternFill>
    </fill>
  </fills>
  <borders count="20">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hair">
        <color indexed="64"/>
      </bottom>
      <diagonal/>
    </border>
    <border>
      <left style="hair">
        <color indexed="64"/>
      </left>
      <right style="thin">
        <color indexed="64"/>
      </right>
      <top style="hair">
        <color indexed="64"/>
      </top>
      <bottom style="thin">
        <color indexed="64"/>
      </bottom>
      <diagonal/>
    </border>
    <border>
      <left style="thin">
        <color indexed="64"/>
      </left>
      <right/>
      <top/>
      <bottom style="hair">
        <color indexed="64"/>
      </bottom>
      <diagonal/>
    </border>
    <border>
      <left style="thin">
        <color indexed="64"/>
      </left>
      <right style="thin">
        <color indexed="64"/>
      </right>
      <top style="hair">
        <color indexed="64"/>
      </top>
      <bottom style="hair">
        <color indexed="64"/>
      </bottom>
      <diagonal/>
    </border>
    <border>
      <left style="thin">
        <color indexed="64"/>
      </left>
      <right/>
      <top style="hair">
        <color indexed="64"/>
      </top>
      <bottom style="hair">
        <color indexed="64"/>
      </bottom>
      <diagonal/>
    </border>
    <border>
      <left style="thin">
        <color indexed="64"/>
      </left>
      <right style="thin">
        <color indexed="64"/>
      </right>
      <top style="hair">
        <color indexed="64"/>
      </top>
      <bottom style="thin">
        <color indexed="64"/>
      </bottom>
      <diagonal/>
    </border>
    <border>
      <left style="thin">
        <color indexed="64"/>
      </left>
      <right/>
      <top style="thin">
        <color indexed="64"/>
      </top>
      <bottom style="hair">
        <color indexed="64"/>
      </bottom>
      <diagonal/>
    </border>
  </borders>
  <cellStyleXfs count="4">
    <xf numFmtId="0" fontId="0" fillId="0" borderId="0">
      <alignment vertical="center"/>
    </xf>
    <xf numFmtId="0" fontId="6" fillId="0" borderId="0"/>
    <xf numFmtId="0" fontId="10" fillId="0" borderId="0">
      <alignment vertical="center"/>
    </xf>
    <xf numFmtId="0" fontId="6" fillId="0" borderId="0">
      <alignment vertical="center"/>
    </xf>
  </cellStyleXfs>
  <cellXfs count="92">
    <xf numFmtId="0" fontId="0" fillId="0" borderId="0" xfId="0">
      <alignment vertical="center"/>
    </xf>
    <xf numFmtId="0" fontId="0" fillId="0" borderId="0" xfId="0" applyAlignment="1">
      <alignment horizontal="center" vertical="center"/>
    </xf>
    <xf numFmtId="177" fontId="0" fillId="0" borderId="0" xfId="0" applyNumberFormat="1" applyAlignment="1">
      <alignment horizontal="center" vertical="center"/>
    </xf>
    <xf numFmtId="0" fontId="0" fillId="0" borderId="0" xfId="0" applyAlignment="1">
      <alignment vertical="top"/>
    </xf>
    <xf numFmtId="0" fontId="0" fillId="0" borderId="2" xfId="0" applyBorder="1">
      <alignment vertical="center"/>
    </xf>
    <xf numFmtId="0" fontId="0" fillId="0" borderId="3" xfId="0" applyBorder="1">
      <alignment vertical="center"/>
    </xf>
    <xf numFmtId="0" fontId="0" fillId="0" borderId="4" xfId="0" applyBorder="1">
      <alignment vertical="center"/>
    </xf>
    <xf numFmtId="0" fontId="0" fillId="0" borderId="1" xfId="0" applyBorder="1" applyAlignment="1">
      <alignment vertical="top"/>
    </xf>
    <xf numFmtId="0" fontId="3" fillId="2" borderId="3" xfId="0" applyFont="1" applyFill="1" applyBorder="1">
      <alignment vertical="center"/>
    </xf>
    <xf numFmtId="0" fontId="3" fillId="2" borderId="4" xfId="0" applyFont="1" applyFill="1" applyBorder="1">
      <alignment vertical="center"/>
    </xf>
    <xf numFmtId="0" fontId="3" fillId="2" borderId="2" xfId="0" applyFont="1" applyFill="1" applyBorder="1">
      <alignment vertical="center"/>
    </xf>
    <xf numFmtId="176" fontId="0" fillId="0" borderId="0" xfId="0" applyNumberFormat="1" applyAlignment="1">
      <alignment horizontal="center" vertical="center"/>
    </xf>
    <xf numFmtId="0" fontId="3" fillId="0" borderId="0" xfId="0" applyFont="1" applyAlignment="1">
      <alignment horizontal="center" vertical="center"/>
    </xf>
    <xf numFmtId="0" fontId="7" fillId="0" borderId="0" xfId="1" applyFont="1" applyAlignment="1">
      <alignment vertical="center"/>
    </xf>
    <xf numFmtId="0" fontId="9" fillId="0" borderId="0" xfId="1" applyFont="1" applyAlignment="1">
      <alignment vertical="center"/>
    </xf>
    <xf numFmtId="0" fontId="8" fillId="0" borderId="0" xfId="1" applyFont="1"/>
    <xf numFmtId="0" fontId="7" fillId="4" borderId="13" xfId="1" applyFont="1" applyFill="1" applyBorder="1" applyAlignment="1">
      <alignment horizontal="center" vertical="center"/>
    </xf>
    <xf numFmtId="49" fontId="7" fillId="4" borderId="12" xfId="3" applyNumberFormat="1" applyFont="1" applyFill="1" applyBorder="1" applyAlignment="1">
      <alignment horizontal="center" vertical="center"/>
    </xf>
    <xf numFmtId="49" fontId="11" fillId="4" borderId="7" xfId="3" applyNumberFormat="1" applyFont="1" applyFill="1" applyBorder="1" applyAlignment="1">
      <alignment horizontal="center" vertical="center"/>
    </xf>
    <xf numFmtId="49" fontId="11" fillId="4" borderId="14" xfId="3" applyNumberFormat="1" applyFont="1" applyFill="1" applyBorder="1" applyAlignment="1">
      <alignment horizontal="center" vertical="center"/>
    </xf>
    <xf numFmtId="49" fontId="8" fillId="5" borderId="13" xfId="3" applyNumberFormat="1" applyFont="1" applyFill="1" applyBorder="1" applyAlignment="1">
      <alignment horizontal="left" vertical="center" wrapText="1"/>
    </xf>
    <xf numFmtId="49" fontId="8" fillId="5" borderId="15" xfId="3" applyNumberFormat="1" applyFont="1" applyFill="1" applyBorder="1" applyAlignment="1">
      <alignment vertical="center" wrapText="1"/>
    </xf>
    <xf numFmtId="49" fontId="8" fillId="5" borderId="16" xfId="3" applyNumberFormat="1" applyFont="1" applyFill="1" applyBorder="1">
      <alignment vertical="center"/>
    </xf>
    <xf numFmtId="49" fontId="8" fillId="5" borderId="17" xfId="3" applyNumberFormat="1" applyFont="1" applyFill="1" applyBorder="1" applyAlignment="1">
      <alignment vertical="center" wrapText="1"/>
    </xf>
    <xf numFmtId="49" fontId="8" fillId="5" borderId="16" xfId="3" applyNumberFormat="1" applyFont="1" applyFill="1" applyBorder="1" applyAlignment="1">
      <alignment vertical="center" wrapText="1"/>
    </xf>
    <xf numFmtId="0" fontId="12" fillId="6" borderId="7" xfId="2" applyFont="1" applyFill="1" applyBorder="1">
      <alignment vertical="center"/>
    </xf>
    <xf numFmtId="0" fontId="9" fillId="6" borderId="8" xfId="2" applyFont="1" applyFill="1" applyBorder="1">
      <alignment vertical="center"/>
    </xf>
    <xf numFmtId="49" fontId="7" fillId="4" borderId="1" xfId="3" applyNumberFormat="1" applyFont="1" applyFill="1" applyBorder="1" applyAlignment="1">
      <alignment horizontal="center" vertical="center"/>
    </xf>
    <xf numFmtId="49" fontId="11" fillId="4" borderId="1" xfId="3" applyNumberFormat="1" applyFont="1" applyFill="1" applyBorder="1" applyAlignment="1">
      <alignment horizontal="center" vertical="center"/>
    </xf>
    <xf numFmtId="49" fontId="8" fillId="5" borderId="16" xfId="3" applyNumberFormat="1" applyFont="1" applyFill="1" applyBorder="1" applyAlignment="1">
      <alignment horizontal="left" vertical="center" wrapText="1"/>
    </xf>
    <xf numFmtId="49" fontId="8" fillId="5" borderId="18" xfId="3" applyNumberFormat="1" applyFont="1" applyFill="1" applyBorder="1" applyAlignment="1">
      <alignment vertical="center" wrapText="1"/>
    </xf>
    <xf numFmtId="0" fontId="12" fillId="6" borderId="8" xfId="2" applyFont="1" applyFill="1" applyBorder="1">
      <alignment vertical="center"/>
    </xf>
    <xf numFmtId="0" fontId="0" fillId="2" borderId="0" xfId="0" applyFill="1" applyAlignment="1">
      <alignment vertical="top"/>
    </xf>
    <xf numFmtId="0" fontId="1" fillId="2" borderId="0" xfId="0" applyFont="1" applyFill="1" applyAlignment="1">
      <alignment vertical="top"/>
    </xf>
    <xf numFmtId="49" fontId="8" fillId="5" borderId="19" xfId="3" applyNumberFormat="1" applyFont="1" applyFill="1" applyBorder="1" applyAlignment="1">
      <alignment vertical="center" wrapText="1"/>
    </xf>
    <xf numFmtId="0" fontId="0" fillId="0" borderId="2" xfId="0" applyBorder="1" applyAlignment="1">
      <alignment horizontal="center" vertical="top"/>
    </xf>
    <xf numFmtId="0" fontId="0" fillId="0" borderId="3" xfId="0" applyBorder="1" applyAlignment="1">
      <alignment horizontal="center" vertical="top"/>
    </xf>
    <xf numFmtId="0" fontId="0" fillId="0" borderId="4" xfId="0" applyBorder="1" applyAlignment="1">
      <alignment horizontal="center" vertical="top"/>
    </xf>
    <xf numFmtId="0" fontId="0" fillId="0" borderId="2" xfId="0" applyBorder="1" applyAlignment="1">
      <alignment vertical="top" wrapText="1"/>
    </xf>
    <xf numFmtId="0" fontId="0" fillId="0" borderId="3" xfId="0" applyBorder="1" applyAlignment="1">
      <alignment vertical="top" wrapText="1"/>
    </xf>
    <xf numFmtId="0" fontId="0" fillId="0" borderId="4" xfId="0" applyBorder="1" applyAlignment="1">
      <alignment vertical="top" wrapText="1"/>
    </xf>
    <xf numFmtId="0" fontId="0" fillId="0" borderId="2" xfId="0" applyBorder="1" applyAlignment="1">
      <alignment horizontal="left" vertical="top" wrapText="1"/>
    </xf>
    <xf numFmtId="0" fontId="0" fillId="0" borderId="3" xfId="0" applyBorder="1" applyAlignment="1">
      <alignment horizontal="left" vertical="top" wrapText="1"/>
    </xf>
    <xf numFmtId="0" fontId="0" fillId="0" borderId="4" xfId="0" applyBorder="1" applyAlignment="1">
      <alignment horizontal="left" vertical="top" wrapText="1"/>
    </xf>
    <xf numFmtId="0" fontId="0" fillId="0" borderId="2" xfId="0" applyBorder="1" applyAlignment="1">
      <alignment horizontal="center" vertical="top" wrapText="1"/>
    </xf>
    <xf numFmtId="0" fontId="0" fillId="0" borderId="3" xfId="0" applyBorder="1" applyAlignment="1">
      <alignment horizontal="center" vertical="top" wrapText="1"/>
    </xf>
    <xf numFmtId="0" fontId="0" fillId="0" borderId="4" xfId="0" applyBorder="1" applyAlignment="1">
      <alignment horizontal="center" vertical="top" wrapText="1"/>
    </xf>
    <xf numFmtId="176" fontId="0" fillId="0" borderId="2" xfId="0" applyNumberFormat="1" applyBorder="1" applyAlignment="1">
      <alignment horizontal="center" vertical="top"/>
    </xf>
    <xf numFmtId="176" fontId="0" fillId="0" borderId="3" xfId="0" applyNumberFormat="1" applyBorder="1" applyAlignment="1">
      <alignment horizontal="center" vertical="top"/>
    </xf>
    <xf numFmtId="176" fontId="0" fillId="0" borderId="4" xfId="0" applyNumberFormat="1" applyBorder="1" applyAlignment="1">
      <alignment horizontal="center" vertical="top"/>
    </xf>
    <xf numFmtId="0" fontId="0" fillId="0" borderId="2" xfId="0" applyBorder="1" applyAlignment="1">
      <alignment vertical="top"/>
    </xf>
    <xf numFmtId="0" fontId="0" fillId="0" borderId="3" xfId="0" applyBorder="1" applyAlignment="1">
      <alignment vertical="top"/>
    </xf>
    <xf numFmtId="0" fontId="0" fillId="0" borderId="4" xfId="0" applyBorder="1" applyAlignment="1">
      <alignment vertical="top"/>
    </xf>
    <xf numFmtId="0" fontId="0" fillId="0" borderId="2" xfId="0" quotePrefix="1" applyBorder="1" applyAlignment="1">
      <alignment horizontal="left" vertical="top" wrapText="1"/>
    </xf>
    <xf numFmtId="0" fontId="5" fillId="3" borderId="9" xfId="0" applyFont="1" applyFill="1" applyBorder="1" applyAlignment="1">
      <alignment horizontal="center" vertical="center" wrapText="1"/>
    </xf>
    <xf numFmtId="0" fontId="5" fillId="3" borderId="5" xfId="0" applyFont="1" applyFill="1" applyBorder="1" applyAlignment="1">
      <alignment horizontal="center" vertical="center" wrapText="1"/>
    </xf>
    <xf numFmtId="0" fontId="5" fillId="3" borderId="10" xfId="0" applyFont="1" applyFill="1" applyBorder="1" applyAlignment="1">
      <alignment horizontal="center" vertical="center" wrapText="1"/>
    </xf>
    <xf numFmtId="0" fontId="5" fillId="3" borderId="7" xfId="0" applyFont="1" applyFill="1" applyBorder="1" applyAlignment="1">
      <alignment horizontal="center" vertical="center" wrapText="1"/>
    </xf>
    <xf numFmtId="0" fontId="5" fillId="3" borderId="8" xfId="0" applyFont="1" applyFill="1" applyBorder="1" applyAlignment="1">
      <alignment horizontal="center" vertical="center" wrapText="1"/>
    </xf>
    <xf numFmtId="0" fontId="5" fillId="3" borderId="11" xfId="0" applyFont="1" applyFill="1" applyBorder="1" applyAlignment="1">
      <alignment horizontal="center" vertical="center" wrapText="1"/>
    </xf>
    <xf numFmtId="0" fontId="0" fillId="3" borderId="9" xfId="0" applyFill="1" applyBorder="1" applyAlignment="1">
      <alignment horizontal="center" vertical="center"/>
    </xf>
    <xf numFmtId="0" fontId="0" fillId="3" borderId="10" xfId="0" applyFill="1" applyBorder="1" applyAlignment="1">
      <alignment horizontal="center" vertical="center"/>
    </xf>
    <xf numFmtId="0" fontId="0" fillId="3" borderId="7" xfId="0" applyFill="1" applyBorder="1" applyAlignment="1">
      <alignment horizontal="center" vertical="center"/>
    </xf>
    <xf numFmtId="0" fontId="0" fillId="3" borderId="11" xfId="0" applyFill="1" applyBorder="1" applyAlignment="1">
      <alignment horizontal="center" vertical="center"/>
    </xf>
    <xf numFmtId="0" fontId="0" fillId="3" borderId="5" xfId="0" applyFill="1" applyBorder="1" applyAlignment="1">
      <alignment horizontal="center" vertical="center"/>
    </xf>
    <xf numFmtId="0" fontId="0" fillId="3" borderId="8" xfId="0" applyFill="1" applyBorder="1" applyAlignment="1">
      <alignment horizontal="center" vertical="center"/>
    </xf>
    <xf numFmtId="0" fontId="0" fillId="3" borderId="6" xfId="0" applyFill="1" applyBorder="1" applyAlignment="1">
      <alignment horizontal="center" vertical="center" wrapText="1"/>
    </xf>
    <xf numFmtId="0" fontId="0" fillId="3" borderId="12" xfId="0" applyFill="1" applyBorder="1" applyAlignment="1">
      <alignment horizontal="center" vertical="center" wrapText="1"/>
    </xf>
    <xf numFmtId="0" fontId="5" fillId="3" borderId="1" xfId="0" applyFont="1" applyFill="1" applyBorder="1" applyAlignment="1">
      <alignment horizontal="center" vertical="center" wrapText="1"/>
    </xf>
    <xf numFmtId="0" fontId="5" fillId="3" borderId="2" xfId="0" applyFont="1" applyFill="1" applyBorder="1" applyAlignment="1">
      <alignment horizontal="center" vertical="center" wrapText="1"/>
    </xf>
    <xf numFmtId="0" fontId="5" fillId="3" borderId="3" xfId="0" applyFont="1" applyFill="1" applyBorder="1" applyAlignment="1">
      <alignment horizontal="center" vertical="center" wrapText="1"/>
    </xf>
    <xf numFmtId="0" fontId="5" fillId="3" borderId="4" xfId="0" applyFont="1" applyFill="1" applyBorder="1" applyAlignment="1">
      <alignment horizontal="center" vertical="center" wrapText="1"/>
    </xf>
    <xf numFmtId="0" fontId="1" fillId="2" borderId="2" xfId="0" applyFont="1" applyFill="1" applyBorder="1" applyAlignment="1">
      <alignment horizontal="center" vertical="center"/>
    </xf>
    <xf numFmtId="0" fontId="3" fillId="2" borderId="4" xfId="0" applyFont="1" applyFill="1" applyBorder="1" applyAlignment="1">
      <alignment horizontal="center" vertical="center"/>
    </xf>
    <xf numFmtId="0" fontId="3" fillId="2" borderId="2" xfId="0" applyFont="1" applyFill="1" applyBorder="1" applyAlignment="1">
      <alignment horizontal="center" vertical="center"/>
    </xf>
    <xf numFmtId="0" fontId="3" fillId="2" borderId="3" xfId="0" applyFont="1" applyFill="1" applyBorder="1" applyAlignment="1">
      <alignment horizontal="center" vertical="center"/>
    </xf>
    <xf numFmtId="176" fontId="0" fillId="0" borderId="2" xfId="0" applyNumberFormat="1" applyBorder="1" applyAlignment="1">
      <alignment horizontal="center" vertical="center"/>
    </xf>
    <xf numFmtId="176" fontId="0" fillId="0" borderId="3" xfId="0" applyNumberFormat="1" applyBorder="1" applyAlignment="1">
      <alignment horizontal="center" vertical="center"/>
    </xf>
    <xf numFmtId="176" fontId="0" fillId="0" borderId="4" xfId="0" applyNumberFormat="1" applyBorder="1" applyAlignment="1">
      <alignment horizontal="center" vertical="center"/>
    </xf>
    <xf numFmtId="177" fontId="0" fillId="0" borderId="2" xfId="0" applyNumberFormat="1" applyBorder="1" applyAlignment="1">
      <alignment horizontal="center" vertical="center"/>
    </xf>
    <xf numFmtId="177" fontId="0" fillId="0" borderId="3" xfId="0" applyNumberFormat="1" applyBorder="1" applyAlignment="1">
      <alignment horizontal="center" vertical="center"/>
    </xf>
    <xf numFmtId="177" fontId="0" fillId="0" borderId="4" xfId="0" applyNumberFormat="1" applyBorder="1" applyAlignment="1">
      <alignment horizontal="center" vertical="center"/>
    </xf>
    <xf numFmtId="0" fontId="0" fillId="0" borderId="2" xfId="0" applyBorder="1" applyAlignment="1">
      <alignment horizontal="center" vertical="center"/>
    </xf>
    <xf numFmtId="0" fontId="0" fillId="0" borderId="4" xfId="0" applyBorder="1" applyAlignment="1">
      <alignment horizontal="center" vertical="center"/>
    </xf>
    <xf numFmtId="0" fontId="0" fillId="0" borderId="3" xfId="0" applyBorder="1" applyAlignment="1">
      <alignment horizontal="center" vertical="center"/>
    </xf>
    <xf numFmtId="178" fontId="0" fillId="0" borderId="2" xfId="0" applyNumberFormat="1" applyBorder="1" applyAlignment="1">
      <alignment horizontal="center" vertical="center"/>
    </xf>
    <xf numFmtId="178" fontId="0" fillId="0" borderId="3" xfId="0" applyNumberFormat="1" applyBorder="1" applyAlignment="1">
      <alignment horizontal="center" vertical="center"/>
    </xf>
    <xf numFmtId="178" fontId="0" fillId="0" borderId="4" xfId="0" applyNumberFormat="1" applyBorder="1" applyAlignment="1">
      <alignment horizontal="center" vertical="center"/>
    </xf>
    <xf numFmtId="0" fontId="7" fillId="4" borderId="13" xfId="1" applyFont="1" applyFill="1" applyBorder="1" applyAlignment="1">
      <alignment horizontal="center" vertical="center"/>
    </xf>
    <xf numFmtId="0" fontId="0" fillId="0" borderId="2" xfId="0" applyBorder="1" applyAlignment="1">
      <alignment vertical="center"/>
    </xf>
    <xf numFmtId="0" fontId="0" fillId="0" borderId="3" xfId="0" applyBorder="1" applyAlignment="1">
      <alignment vertical="center"/>
    </xf>
    <xf numFmtId="0" fontId="0" fillId="0" borderId="4" xfId="0" applyBorder="1" applyAlignment="1">
      <alignment vertical="center"/>
    </xf>
  </cellXfs>
  <cellStyles count="4">
    <cellStyle name="標準" xfId="0" builtinId="0"/>
    <cellStyle name="標準 2" xfId="1" xr:uid="{00000000-0005-0000-0000-000001000000}"/>
    <cellStyle name="標準 4" xfId="3" xr:uid="{00000000-0005-0000-0000-000002000000}"/>
    <cellStyle name="標準_質問内容結果" xfId="2" xr:uid="{00000000-0005-0000-0000-000003000000}"/>
  </cellStyles>
  <dxfs count="0"/>
  <tableStyles count="0" defaultTableStyle="TableStyleMedium2" defaultPivotStyle="PivotStyleLight16"/>
  <colors>
    <mruColors>
      <color rgb="FFFFCCFF"/>
      <color rgb="FFFFFFCC"/>
      <color rgb="FFCCFFFF"/>
      <color rgb="FF0066FF"/>
      <color rgb="FFCCFF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externalLink" Target="externalLinks/externalLink1.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externalLinks/_rels/externalLink1.xml.rels><?xml version="1.0" encoding="UTF-8" standalone="yes"?>
<Relationships xmlns="http://schemas.openxmlformats.org/package/2006/relationships"><Relationship Id="rId1" Type="http://schemas.openxmlformats.org/officeDocument/2006/relationships/externalLinkPath" Target="file:///D:\01._JOBOld\1901436_&#23500;&#22763;&#36890;&#65295;&#12471;&#12473;&#12513;&#12483;&#12463;&#12473;%20SNICS%20I&#65295;F&#12469;&#12540;&#12496;&#12471;&#12473;&#12486;&#12512;\01_&#21336;&#20307;&#20181;&#27096;&#26360;\SNCS&#20966;&#29702;&#19968;&#35239;_PT&#20181;&#27096;&#26360;&#20860;&#25104;&#32318;&#26360;.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表紙"/>
      <sheetName val="PT仕様書の使用方法"/>
      <sheetName val="基本_start"/>
      <sheetName val="基本_オン_1"/>
      <sheetName val="優先順更新"/>
      <sheetName val="基本_end"/>
      <sheetName val="業務_start"/>
      <sheetName val="業務_end"/>
      <sheetName val="コード表"/>
      <sheetName val="原因区分"/>
      <sheetName val="設定シート"/>
      <sheetName val="プロセス"/>
      <sheetName val="バージョン情報"/>
      <sheetName val="【変更不可】共通設定"/>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sheetData sheetId="9" refreshError="1"/>
      <sheetData sheetId="10"/>
      <sheetData sheetId="11"/>
      <sheetData sheetId="12" refreshError="1"/>
      <sheetData sheetId="13"/>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pageSetUpPr fitToPage="1"/>
  </sheetPr>
  <dimension ref="A1:BS29"/>
  <sheetViews>
    <sheetView showGridLines="0" tabSelected="1" zoomScale="90" zoomScaleNormal="90" workbookViewId="0">
      <selection sqref="A1:D1"/>
    </sheetView>
  </sheetViews>
  <sheetFormatPr defaultColWidth="3.625" defaultRowHeight="15" customHeight="1"/>
  <cols>
    <col min="1" max="1" width="4.625" style="3" customWidth="1"/>
    <col min="2" max="16" width="3.625" style="3" customWidth="1"/>
    <col min="17" max="17" width="3.625" style="3"/>
    <col min="18" max="23" width="3.625" style="3" customWidth="1"/>
    <col min="24" max="16384" width="3.625" style="3"/>
  </cols>
  <sheetData>
    <row r="1" spans="1:71" customFormat="1" ht="15" customHeight="1">
      <c r="A1" s="72" t="s">
        <v>0</v>
      </c>
      <c r="B1" s="75"/>
      <c r="C1" s="75"/>
      <c r="D1" s="73"/>
      <c r="E1" s="74" t="s">
        <v>1</v>
      </c>
      <c r="F1" s="75"/>
      <c r="G1" s="73"/>
      <c r="H1" s="74" t="s">
        <v>2</v>
      </c>
      <c r="I1" s="73"/>
      <c r="J1" s="74" t="s">
        <v>3</v>
      </c>
      <c r="K1" s="75"/>
      <c r="L1" s="75"/>
      <c r="M1" s="75"/>
      <c r="N1" s="75"/>
      <c r="O1" s="73"/>
      <c r="P1" s="74" t="s">
        <v>4</v>
      </c>
      <c r="Q1" s="73"/>
    </row>
    <row r="2" spans="1:71" customFormat="1" ht="15" customHeight="1">
      <c r="A2" s="82" t="s">
        <v>5</v>
      </c>
      <c r="B2" s="84"/>
      <c r="C2" s="84"/>
      <c r="D2" s="83"/>
      <c r="E2" s="82" t="s">
        <v>6</v>
      </c>
      <c r="F2" s="84"/>
      <c r="G2" s="83"/>
      <c r="H2" s="82" t="s">
        <v>7</v>
      </c>
      <c r="I2" s="83"/>
      <c r="J2" s="4" t="str">
        <f>IF(H2="","",VLOOKUP(H2,マスタ!C:D,2,FALSE))</f>
        <v>生産実績一覧（コーヒーフィルタ）</v>
      </c>
      <c r="K2" s="5"/>
      <c r="L2" s="5"/>
      <c r="M2" s="5"/>
      <c r="N2" s="5"/>
      <c r="O2" s="6"/>
      <c r="P2" s="82">
        <v>35</v>
      </c>
      <c r="Q2" s="83"/>
      <c r="AE2" s="10" t="s">
        <v>8</v>
      </c>
      <c r="AF2" s="8"/>
      <c r="AG2" s="9"/>
      <c r="AH2" s="89" t="s">
        <v>9</v>
      </c>
      <c r="AI2" s="90"/>
      <c r="AJ2" s="90"/>
      <c r="AK2" s="91"/>
      <c r="AM2" s="3"/>
      <c r="AN2" s="3"/>
      <c r="AO2" s="3"/>
      <c r="AP2" s="3"/>
      <c r="AQ2" s="3"/>
      <c r="AR2" s="3"/>
      <c r="AS2" s="3"/>
    </row>
    <row r="3" spans="1:71" customFormat="1" ht="15" customHeight="1">
      <c r="AE3" s="10" t="s">
        <v>10</v>
      </c>
      <c r="AF3" s="8"/>
      <c r="AG3" s="9"/>
      <c r="AH3" s="89"/>
      <c r="AI3" s="90"/>
      <c r="AJ3" s="90"/>
      <c r="AK3" s="91"/>
      <c r="AM3" s="3"/>
      <c r="AN3" s="3"/>
      <c r="AO3" s="3"/>
      <c r="AP3" s="3"/>
      <c r="AQ3" s="3"/>
      <c r="AR3" s="3"/>
      <c r="AS3" s="3"/>
    </row>
    <row r="4" spans="1:71" customFormat="1" ht="15" customHeight="1">
      <c r="A4" s="72" t="s">
        <v>11</v>
      </c>
      <c r="B4" s="75"/>
      <c r="C4" s="73"/>
      <c r="D4" s="74" t="s">
        <v>12</v>
      </c>
      <c r="E4" s="75"/>
      <c r="F4" s="73"/>
      <c r="G4" s="74" t="s">
        <v>13</v>
      </c>
      <c r="H4" s="75"/>
      <c r="I4" s="73"/>
      <c r="J4" s="74" t="s">
        <v>14</v>
      </c>
      <c r="K4" s="75"/>
      <c r="L4" s="73"/>
      <c r="M4" s="74" t="s">
        <v>15</v>
      </c>
      <c r="N4" s="75"/>
      <c r="O4" s="73"/>
      <c r="P4" s="12"/>
      <c r="Q4" s="72" t="s">
        <v>16</v>
      </c>
      <c r="R4" s="73"/>
      <c r="S4" s="74" t="s">
        <v>17</v>
      </c>
      <c r="T4" s="75"/>
      <c r="U4" s="75"/>
      <c r="V4" s="73"/>
      <c r="W4" s="74" t="s">
        <v>18</v>
      </c>
      <c r="X4" s="75"/>
      <c r="Y4" s="73"/>
      <c r="Z4" s="74" t="s">
        <v>19</v>
      </c>
      <c r="AA4" s="75"/>
      <c r="AB4" s="73"/>
      <c r="AE4" s="10" t="s">
        <v>20</v>
      </c>
      <c r="AF4" s="8"/>
      <c r="AG4" s="9"/>
      <c r="AH4" s="89"/>
      <c r="AI4" s="90"/>
      <c r="AJ4" s="90"/>
      <c r="AK4" s="91"/>
      <c r="AM4" s="3"/>
      <c r="AN4" s="3"/>
      <c r="AO4" s="3"/>
      <c r="AP4" s="3"/>
      <c r="AQ4" s="3"/>
      <c r="AR4" s="3"/>
      <c r="AS4" s="3"/>
    </row>
    <row r="5" spans="1:71" customFormat="1" ht="15" customHeight="1">
      <c r="A5" s="85">
        <v>1</v>
      </c>
      <c r="B5" s="86"/>
      <c r="C5" s="87"/>
      <c r="D5" s="76">
        <v>45213</v>
      </c>
      <c r="E5" s="77"/>
      <c r="F5" s="78"/>
      <c r="G5" s="79"/>
      <c r="H5" s="80"/>
      <c r="I5" s="81"/>
      <c r="J5" s="79"/>
      <c r="K5" s="80"/>
      <c r="L5" s="81"/>
      <c r="M5" s="79">
        <v>5.2083333333333336E-2</v>
      </c>
      <c r="N5" s="80"/>
      <c r="O5" s="81"/>
      <c r="P5" s="2"/>
      <c r="Q5" s="82">
        <f ca="1">COUNT(INDIRECT("$A9:$A"&amp;ROW(最終行)))</f>
        <v>19</v>
      </c>
      <c r="R5" s="83"/>
      <c r="S5" s="76">
        <f ca="1">IF(MAX(INDIRECT("$BB9:$BB"&amp;ROW(最終行)))=0,"",MAX(INDIRECT("$BB9:$BB"&amp;ROW(最終行))))</f>
        <v>45219</v>
      </c>
      <c r="T5" s="77"/>
      <c r="U5" s="77"/>
      <c r="V5" s="78"/>
      <c r="W5" s="76">
        <f ca="1">IF(MAX(INDIRECT("$BE9:$BE"&amp;ROW(最終行)))=0,"",MAX(INDIRECT("$BE9:$BE"&amp;ROW(最終行))))</f>
        <v>45219</v>
      </c>
      <c r="X5" s="77"/>
      <c r="Y5" s="78"/>
      <c r="Z5" s="76">
        <f ca="1">IF(MAX(INDIRECT("$BK9:$BK"&amp;ROW(最終行)))=0,"",MAX(INDIRECT("$BK9:$BK"&amp;ROW(最終行))))</f>
        <v>45224</v>
      </c>
      <c r="AA5" s="77"/>
      <c r="AB5" s="78"/>
      <c r="AD5" s="11"/>
      <c r="AE5" s="10" t="s">
        <v>21</v>
      </c>
      <c r="AF5" s="8"/>
      <c r="AG5" s="9"/>
      <c r="AH5" s="89"/>
      <c r="AI5" s="90"/>
      <c r="AJ5" s="90"/>
      <c r="AK5" s="91"/>
      <c r="AM5" s="3"/>
      <c r="AN5" s="3"/>
      <c r="AO5" s="3"/>
      <c r="AP5" s="3"/>
      <c r="AQ5" s="3"/>
      <c r="AR5" s="3"/>
      <c r="AS5" s="3"/>
    </row>
    <row r="6" spans="1:71" customFormat="1" ht="15" customHeight="1"/>
    <row r="7" spans="1:71" s="1" customFormat="1" ht="15" customHeight="1">
      <c r="A7" s="66" t="s">
        <v>22</v>
      </c>
      <c r="B7" s="60" t="s">
        <v>23</v>
      </c>
      <c r="C7" s="61"/>
      <c r="D7" s="60" t="s">
        <v>24</v>
      </c>
      <c r="E7" s="64"/>
      <c r="F7" s="64"/>
      <c r="G7" s="64"/>
      <c r="H7" s="61"/>
      <c r="I7" s="60" t="s">
        <v>25</v>
      </c>
      <c r="J7" s="64"/>
      <c r="K7" s="64"/>
      <c r="L7" s="61"/>
      <c r="M7" s="60" t="s">
        <v>26</v>
      </c>
      <c r="N7" s="64"/>
      <c r="O7" s="64"/>
      <c r="P7" s="64"/>
      <c r="Q7" s="64"/>
      <c r="R7" s="64"/>
      <c r="S7" s="64"/>
      <c r="T7" s="64"/>
      <c r="U7" s="64"/>
      <c r="V7" s="64"/>
      <c r="W7" s="64"/>
      <c r="X7" s="64"/>
      <c r="Y7" s="61"/>
      <c r="Z7" s="60" t="s">
        <v>27</v>
      </c>
      <c r="AA7" s="64"/>
      <c r="AB7" s="64"/>
      <c r="AC7" s="64"/>
      <c r="AD7" s="64"/>
      <c r="AE7" s="64"/>
      <c r="AF7" s="64"/>
      <c r="AG7" s="64"/>
      <c r="AH7" s="64"/>
      <c r="AI7" s="64"/>
      <c r="AJ7" s="64"/>
      <c r="AK7" s="64"/>
      <c r="AL7" s="61"/>
      <c r="AM7" s="60" t="s">
        <v>28</v>
      </c>
      <c r="AN7" s="64"/>
      <c r="AO7" s="61"/>
      <c r="AP7" s="68" t="s">
        <v>29</v>
      </c>
      <c r="AQ7" s="68"/>
      <c r="AR7" s="68"/>
      <c r="AS7" s="68"/>
      <c r="AT7" s="68"/>
      <c r="AU7" s="68"/>
      <c r="AV7" s="68"/>
      <c r="AW7" s="68"/>
      <c r="AX7" s="68"/>
      <c r="AY7" s="54" t="s">
        <v>30</v>
      </c>
      <c r="AZ7" s="55"/>
      <c r="BA7" s="55"/>
      <c r="BB7" s="55"/>
      <c r="BC7" s="55"/>
      <c r="BD7" s="55"/>
      <c r="BE7" s="55"/>
      <c r="BF7" s="55"/>
      <c r="BG7" s="56"/>
      <c r="BH7" s="68" t="s">
        <v>31</v>
      </c>
      <c r="BI7" s="68"/>
      <c r="BJ7" s="68"/>
      <c r="BK7" s="68"/>
      <c r="BL7" s="68"/>
      <c r="BM7" s="68"/>
      <c r="BN7" s="54" t="s">
        <v>32</v>
      </c>
      <c r="BO7" s="55"/>
      <c r="BP7" s="55"/>
      <c r="BQ7" s="55"/>
      <c r="BR7" s="55"/>
      <c r="BS7" s="56"/>
    </row>
    <row r="8" spans="1:71" s="1" customFormat="1" ht="15" customHeight="1">
      <c r="A8" s="67"/>
      <c r="B8" s="62"/>
      <c r="C8" s="63"/>
      <c r="D8" s="62"/>
      <c r="E8" s="65"/>
      <c r="F8" s="65"/>
      <c r="G8" s="65"/>
      <c r="H8" s="63"/>
      <c r="I8" s="62"/>
      <c r="J8" s="65"/>
      <c r="K8" s="65"/>
      <c r="L8" s="63"/>
      <c r="M8" s="62"/>
      <c r="N8" s="65"/>
      <c r="O8" s="65"/>
      <c r="P8" s="65"/>
      <c r="Q8" s="65"/>
      <c r="R8" s="65"/>
      <c r="S8" s="65"/>
      <c r="T8" s="65"/>
      <c r="U8" s="65"/>
      <c r="V8" s="65"/>
      <c r="W8" s="65"/>
      <c r="X8" s="65"/>
      <c r="Y8" s="63"/>
      <c r="Z8" s="62"/>
      <c r="AA8" s="65"/>
      <c r="AB8" s="65"/>
      <c r="AC8" s="65"/>
      <c r="AD8" s="65"/>
      <c r="AE8" s="65"/>
      <c r="AF8" s="65"/>
      <c r="AG8" s="65"/>
      <c r="AH8" s="65"/>
      <c r="AI8" s="65"/>
      <c r="AJ8" s="65"/>
      <c r="AK8" s="65"/>
      <c r="AL8" s="63"/>
      <c r="AM8" s="62"/>
      <c r="AN8" s="65"/>
      <c r="AO8" s="63"/>
      <c r="AP8" s="57" t="s">
        <v>33</v>
      </c>
      <c r="AQ8" s="58"/>
      <c r="AR8" s="59"/>
      <c r="AS8" s="57" t="s">
        <v>34</v>
      </c>
      <c r="AT8" s="58"/>
      <c r="AU8" s="59"/>
      <c r="AV8" s="57" t="s">
        <v>35</v>
      </c>
      <c r="AW8" s="58"/>
      <c r="AX8" s="59"/>
      <c r="AY8" s="69" t="s">
        <v>36</v>
      </c>
      <c r="AZ8" s="70"/>
      <c r="BA8" s="71"/>
      <c r="BB8" s="69" t="s">
        <v>37</v>
      </c>
      <c r="BC8" s="70"/>
      <c r="BD8" s="71"/>
      <c r="BE8" s="69" t="s">
        <v>38</v>
      </c>
      <c r="BF8" s="70"/>
      <c r="BG8" s="71"/>
      <c r="BH8" s="57" t="s">
        <v>39</v>
      </c>
      <c r="BI8" s="58"/>
      <c r="BJ8" s="59"/>
      <c r="BK8" s="69" t="s">
        <v>40</v>
      </c>
      <c r="BL8" s="70"/>
      <c r="BM8" s="71"/>
      <c r="BN8" s="57"/>
      <c r="BO8" s="58"/>
      <c r="BP8" s="58"/>
      <c r="BQ8" s="58"/>
      <c r="BR8" s="58"/>
      <c r="BS8" s="59"/>
    </row>
    <row r="9" spans="1:71" ht="138.6" customHeight="1">
      <c r="A9" s="7">
        <f>IF(M9="","",COUNTA($M$9:M9))</f>
        <v>1</v>
      </c>
      <c r="B9" s="35" t="s">
        <v>9</v>
      </c>
      <c r="C9" s="37"/>
      <c r="D9" s="50" t="s">
        <v>41</v>
      </c>
      <c r="E9" s="51"/>
      <c r="F9" s="51"/>
      <c r="G9" s="51"/>
      <c r="H9" s="52"/>
      <c r="I9" s="39" t="s">
        <v>42</v>
      </c>
      <c r="J9" s="39"/>
      <c r="K9" s="39"/>
      <c r="L9" s="39"/>
      <c r="M9" s="38" t="s">
        <v>43</v>
      </c>
      <c r="N9" s="39"/>
      <c r="O9" s="39"/>
      <c r="P9" s="39"/>
      <c r="Q9" s="39"/>
      <c r="R9" s="39"/>
      <c r="S9" s="39"/>
      <c r="T9" s="39"/>
      <c r="U9" s="39"/>
      <c r="V9" s="39"/>
      <c r="W9" s="39"/>
      <c r="X9" s="39"/>
      <c r="Y9" s="40"/>
      <c r="Z9" s="38" t="s">
        <v>44</v>
      </c>
      <c r="AA9" s="39"/>
      <c r="AB9" s="39"/>
      <c r="AC9" s="39"/>
      <c r="AD9" s="39"/>
      <c r="AE9" s="39"/>
      <c r="AF9" s="39"/>
      <c r="AG9" s="39"/>
      <c r="AH9" s="39"/>
      <c r="AI9" s="39"/>
      <c r="AJ9" s="39"/>
      <c r="AK9" s="39"/>
      <c r="AL9" s="40"/>
      <c r="AM9" s="38" t="s">
        <v>45</v>
      </c>
      <c r="AN9" s="39"/>
      <c r="AO9" s="40"/>
      <c r="AP9" s="44" t="s">
        <v>46</v>
      </c>
      <c r="AQ9" s="45"/>
      <c r="AR9" s="46"/>
      <c r="AS9" s="44" t="s">
        <v>47</v>
      </c>
      <c r="AT9" s="45"/>
      <c r="AU9" s="46"/>
      <c r="AV9" s="44" t="s">
        <v>48</v>
      </c>
      <c r="AW9" s="45"/>
      <c r="AX9" s="46"/>
      <c r="AY9" s="35" t="s">
        <v>49</v>
      </c>
      <c r="AZ9" s="36"/>
      <c r="BA9" s="37"/>
      <c r="BB9" s="47">
        <v>45215</v>
      </c>
      <c r="BC9" s="48"/>
      <c r="BD9" s="49"/>
      <c r="BE9" s="47">
        <v>45215</v>
      </c>
      <c r="BF9" s="48"/>
      <c r="BG9" s="49"/>
      <c r="BH9" s="35" t="s">
        <v>9</v>
      </c>
      <c r="BI9" s="36"/>
      <c r="BJ9" s="37"/>
      <c r="BK9" s="47">
        <v>45224</v>
      </c>
      <c r="BL9" s="48"/>
      <c r="BM9" s="49"/>
      <c r="BN9" s="38"/>
      <c r="BO9" s="39"/>
      <c r="BP9" s="39"/>
      <c r="BQ9" s="39"/>
      <c r="BR9" s="39"/>
      <c r="BS9" s="40"/>
    </row>
    <row r="10" spans="1:71" ht="60" customHeight="1">
      <c r="A10" s="7">
        <f>IF(M10="","",COUNTA($M$9:M10))</f>
        <v>2</v>
      </c>
      <c r="B10" s="35" t="s">
        <v>9</v>
      </c>
      <c r="C10" s="37"/>
      <c r="D10" s="50" t="s">
        <v>41</v>
      </c>
      <c r="E10" s="51"/>
      <c r="F10" s="51"/>
      <c r="G10" s="51"/>
      <c r="H10" s="52"/>
      <c r="I10" s="39" t="s">
        <v>50</v>
      </c>
      <c r="J10" s="39"/>
      <c r="K10" s="39"/>
      <c r="L10" s="39"/>
      <c r="M10" s="41" t="s">
        <v>51</v>
      </c>
      <c r="N10" s="42"/>
      <c r="O10" s="42"/>
      <c r="P10" s="42"/>
      <c r="Q10" s="42"/>
      <c r="R10" s="42"/>
      <c r="S10" s="42"/>
      <c r="T10" s="42"/>
      <c r="U10" s="42"/>
      <c r="V10" s="42"/>
      <c r="W10" s="42"/>
      <c r="X10" s="42"/>
      <c r="Y10" s="43"/>
      <c r="Z10" s="41" t="s">
        <v>52</v>
      </c>
      <c r="AA10" s="42"/>
      <c r="AB10" s="42"/>
      <c r="AC10" s="42"/>
      <c r="AD10" s="42"/>
      <c r="AE10" s="42"/>
      <c r="AF10" s="42"/>
      <c r="AG10" s="42"/>
      <c r="AH10" s="42"/>
      <c r="AI10" s="42"/>
      <c r="AJ10" s="42"/>
      <c r="AK10" s="42"/>
      <c r="AL10" s="43"/>
      <c r="AM10" s="38" t="s">
        <v>53</v>
      </c>
      <c r="AN10" s="39"/>
      <c r="AO10" s="40"/>
      <c r="AP10" s="44" t="s">
        <v>46</v>
      </c>
      <c r="AQ10" s="45"/>
      <c r="AR10" s="46"/>
      <c r="AS10" s="44" t="s">
        <v>54</v>
      </c>
      <c r="AT10" s="45"/>
      <c r="AU10" s="46"/>
      <c r="AV10" s="44" t="s">
        <v>55</v>
      </c>
      <c r="AW10" s="45"/>
      <c r="AX10" s="46"/>
      <c r="AY10" s="35" t="s">
        <v>49</v>
      </c>
      <c r="AZ10" s="36"/>
      <c r="BA10" s="37"/>
      <c r="BB10" s="47">
        <v>45215</v>
      </c>
      <c r="BC10" s="48"/>
      <c r="BD10" s="49"/>
      <c r="BE10" s="47">
        <v>45215</v>
      </c>
      <c r="BF10" s="48"/>
      <c r="BG10" s="49"/>
      <c r="BH10" s="35" t="s">
        <v>9</v>
      </c>
      <c r="BI10" s="36"/>
      <c r="BJ10" s="37"/>
      <c r="BK10" s="47">
        <v>45219</v>
      </c>
      <c r="BL10" s="48"/>
      <c r="BM10" s="49"/>
      <c r="BN10" s="38"/>
      <c r="BO10" s="39"/>
      <c r="BP10" s="39"/>
      <c r="BQ10" s="39"/>
      <c r="BR10" s="39"/>
      <c r="BS10" s="40"/>
    </row>
    <row r="11" spans="1:71" ht="60" customHeight="1">
      <c r="A11" s="7">
        <f>IF(M11="","",COUNTA($M$9:M11))</f>
        <v>3</v>
      </c>
      <c r="B11" s="35" t="s">
        <v>9</v>
      </c>
      <c r="C11" s="37"/>
      <c r="D11" s="50" t="s">
        <v>41</v>
      </c>
      <c r="E11" s="51"/>
      <c r="F11" s="51"/>
      <c r="G11" s="51"/>
      <c r="H11" s="52"/>
      <c r="I11" s="38" t="s">
        <v>50</v>
      </c>
      <c r="J11" s="39"/>
      <c r="K11" s="39"/>
      <c r="L11" s="40"/>
      <c r="M11" s="38" t="s">
        <v>56</v>
      </c>
      <c r="N11" s="39"/>
      <c r="O11" s="39"/>
      <c r="P11" s="39"/>
      <c r="Q11" s="39"/>
      <c r="R11" s="39"/>
      <c r="S11" s="39"/>
      <c r="T11" s="39"/>
      <c r="U11" s="39"/>
      <c r="V11" s="39"/>
      <c r="W11" s="39"/>
      <c r="X11" s="39"/>
      <c r="Y11" s="40"/>
      <c r="Z11" s="38" t="s">
        <v>52</v>
      </c>
      <c r="AA11" s="39"/>
      <c r="AB11" s="39"/>
      <c r="AC11" s="39"/>
      <c r="AD11" s="39"/>
      <c r="AE11" s="39"/>
      <c r="AF11" s="39"/>
      <c r="AG11" s="39"/>
      <c r="AH11" s="39"/>
      <c r="AI11" s="39"/>
      <c r="AJ11" s="39"/>
      <c r="AK11" s="39"/>
      <c r="AL11" s="40"/>
      <c r="AM11" s="38" t="s">
        <v>57</v>
      </c>
      <c r="AN11" s="39"/>
      <c r="AO11" s="40"/>
      <c r="AP11" s="44" t="s">
        <v>46</v>
      </c>
      <c r="AQ11" s="45"/>
      <c r="AR11" s="46"/>
      <c r="AS11" s="44" t="s">
        <v>54</v>
      </c>
      <c r="AT11" s="45"/>
      <c r="AU11" s="46"/>
      <c r="AV11" s="44" t="s">
        <v>55</v>
      </c>
      <c r="AW11" s="45"/>
      <c r="AX11" s="46"/>
      <c r="AY11" s="35" t="s">
        <v>49</v>
      </c>
      <c r="AZ11" s="36"/>
      <c r="BA11" s="37"/>
      <c r="BB11" s="47">
        <v>45215</v>
      </c>
      <c r="BC11" s="48"/>
      <c r="BD11" s="49"/>
      <c r="BE11" s="47">
        <v>45215</v>
      </c>
      <c r="BF11" s="48"/>
      <c r="BG11" s="49"/>
      <c r="BH11" s="35" t="s">
        <v>9</v>
      </c>
      <c r="BI11" s="36"/>
      <c r="BJ11" s="37"/>
      <c r="BK11" s="47">
        <v>45219</v>
      </c>
      <c r="BL11" s="48"/>
      <c r="BM11" s="49"/>
      <c r="BN11" s="38"/>
      <c r="BO11" s="39"/>
      <c r="BP11" s="39"/>
      <c r="BQ11" s="39"/>
      <c r="BR11" s="39"/>
      <c r="BS11" s="40"/>
    </row>
    <row r="12" spans="1:71" ht="117.75" customHeight="1">
      <c r="A12" s="7">
        <f>IF(M12="","",COUNTA($M$9:M12))</f>
        <v>4</v>
      </c>
      <c r="B12" s="35" t="s">
        <v>9</v>
      </c>
      <c r="C12" s="37"/>
      <c r="D12" s="50" t="s">
        <v>41</v>
      </c>
      <c r="E12" s="51"/>
      <c r="F12" s="51"/>
      <c r="G12" s="51"/>
      <c r="H12" s="52"/>
      <c r="I12" s="38" t="s">
        <v>50</v>
      </c>
      <c r="J12" s="39"/>
      <c r="K12" s="39"/>
      <c r="L12" s="40"/>
      <c r="M12" s="38" t="s">
        <v>58</v>
      </c>
      <c r="N12" s="39"/>
      <c r="O12" s="39"/>
      <c r="P12" s="39"/>
      <c r="Q12" s="39"/>
      <c r="R12" s="39"/>
      <c r="S12" s="39"/>
      <c r="T12" s="39"/>
      <c r="U12" s="39"/>
      <c r="V12" s="39"/>
      <c r="W12" s="39"/>
      <c r="X12" s="39"/>
      <c r="Y12" s="40"/>
      <c r="Z12" s="38" t="s">
        <v>59</v>
      </c>
      <c r="AA12" s="39"/>
      <c r="AB12" s="39"/>
      <c r="AC12" s="39"/>
      <c r="AD12" s="39"/>
      <c r="AE12" s="39"/>
      <c r="AF12" s="39"/>
      <c r="AG12" s="39"/>
      <c r="AH12" s="39"/>
      <c r="AI12" s="39"/>
      <c r="AJ12" s="39"/>
      <c r="AK12" s="39"/>
      <c r="AL12" s="40"/>
      <c r="AM12" s="38" t="s">
        <v>60</v>
      </c>
      <c r="AN12" s="39"/>
      <c r="AO12" s="40"/>
      <c r="AP12" s="44" t="s">
        <v>46</v>
      </c>
      <c r="AQ12" s="45"/>
      <c r="AR12" s="46"/>
      <c r="AS12" s="44" t="s">
        <v>54</v>
      </c>
      <c r="AT12" s="45"/>
      <c r="AU12" s="46"/>
      <c r="AV12" s="44" t="s">
        <v>55</v>
      </c>
      <c r="AW12" s="45"/>
      <c r="AX12" s="46"/>
      <c r="AY12" s="35" t="s">
        <v>49</v>
      </c>
      <c r="AZ12" s="36"/>
      <c r="BA12" s="37"/>
      <c r="BB12" s="47">
        <v>45217</v>
      </c>
      <c r="BC12" s="48"/>
      <c r="BD12" s="49"/>
      <c r="BE12" s="47">
        <v>45217</v>
      </c>
      <c r="BF12" s="48"/>
      <c r="BG12" s="49"/>
      <c r="BH12" s="35" t="s">
        <v>9</v>
      </c>
      <c r="BI12" s="36"/>
      <c r="BJ12" s="37"/>
      <c r="BK12" s="47">
        <v>45224</v>
      </c>
      <c r="BL12" s="48"/>
      <c r="BM12" s="49"/>
      <c r="BN12" s="38"/>
      <c r="BO12" s="39"/>
      <c r="BP12" s="39"/>
      <c r="BQ12" s="39"/>
      <c r="BR12" s="39"/>
      <c r="BS12" s="40"/>
    </row>
    <row r="13" spans="1:71" ht="105" customHeight="1">
      <c r="A13" s="7">
        <f>IF(M13="","",COUNTA($M$9:M13))</f>
        <v>5</v>
      </c>
      <c r="B13" s="35" t="s">
        <v>9</v>
      </c>
      <c r="C13" s="37"/>
      <c r="D13" s="50" t="s">
        <v>41</v>
      </c>
      <c r="E13" s="51"/>
      <c r="F13" s="51"/>
      <c r="G13" s="51"/>
      <c r="H13" s="52"/>
      <c r="I13" s="38" t="s">
        <v>61</v>
      </c>
      <c r="J13" s="39"/>
      <c r="K13" s="39"/>
      <c r="L13" s="40"/>
      <c r="M13" s="38" t="s">
        <v>62</v>
      </c>
      <c r="N13" s="39"/>
      <c r="O13" s="39"/>
      <c r="P13" s="39"/>
      <c r="Q13" s="39"/>
      <c r="R13" s="39"/>
      <c r="S13" s="39"/>
      <c r="T13" s="39"/>
      <c r="U13" s="39"/>
      <c r="V13" s="39"/>
      <c r="W13" s="39"/>
      <c r="X13" s="39"/>
      <c r="Y13" s="40"/>
      <c r="Z13" s="38" t="s">
        <v>63</v>
      </c>
      <c r="AA13" s="39"/>
      <c r="AB13" s="39"/>
      <c r="AC13" s="39"/>
      <c r="AD13" s="39"/>
      <c r="AE13" s="39"/>
      <c r="AF13" s="39"/>
      <c r="AG13" s="39"/>
      <c r="AH13" s="39"/>
      <c r="AI13" s="39"/>
      <c r="AJ13" s="39"/>
      <c r="AK13" s="39"/>
      <c r="AL13" s="40"/>
      <c r="AM13" s="38" t="s">
        <v>64</v>
      </c>
      <c r="AN13" s="39"/>
      <c r="AO13" s="40"/>
      <c r="AP13" s="44" t="s">
        <v>46</v>
      </c>
      <c r="AQ13" s="45"/>
      <c r="AR13" s="46"/>
      <c r="AS13" s="44" t="s">
        <v>65</v>
      </c>
      <c r="AT13" s="45"/>
      <c r="AU13" s="46"/>
      <c r="AV13" s="44" t="s">
        <v>66</v>
      </c>
      <c r="AW13" s="45"/>
      <c r="AX13" s="46"/>
      <c r="AY13" s="35" t="s">
        <v>49</v>
      </c>
      <c r="AZ13" s="36"/>
      <c r="BA13" s="37"/>
      <c r="BB13" s="47">
        <v>45217</v>
      </c>
      <c r="BC13" s="48"/>
      <c r="BD13" s="49"/>
      <c r="BE13" s="47">
        <v>45217</v>
      </c>
      <c r="BF13" s="48"/>
      <c r="BG13" s="49"/>
      <c r="BH13" s="35" t="s">
        <v>9</v>
      </c>
      <c r="BI13" s="36"/>
      <c r="BJ13" s="37"/>
      <c r="BK13" s="47">
        <v>45219</v>
      </c>
      <c r="BL13" s="48"/>
      <c r="BM13" s="49"/>
      <c r="BN13" s="38"/>
      <c r="BO13" s="39"/>
      <c r="BP13" s="39"/>
      <c r="BQ13" s="39"/>
      <c r="BR13" s="39"/>
      <c r="BS13" s="40"/>
    </row>
    <row r="14" spans="1:71" ht="60" customHeight="1">
      <c r="A14" s="7">
        <f>IF(M14="","",COUNTA($M$9:M14))</f>
        <v>6</v>
      </c>
      <c r="B14" s="35" t="s">
        <v>9</v>
      </c>
      <c r="C14" s="37"/>
      <c r="D14" s="50" t="s">
        <v>41</v>
      </c>
      <c r="E14" s="51"/>
      <c r="F14" s="51"/>
      <c r="G14" s="51"/>
      <c r="H14" s="52"/>
      <c r="I14" s="38" t="s">
        <v>67</v>
      </c>
      <c r="J14" s="39"/>
      <c r="K14" s="39"/>
      <c r="L14" s="40"/>
      <c r="M14" s="41" t="s">
        <v>68</v>
      </c>
      <c r="N14" s="42"/>
      <c r="O14" s="42"/>
      <c r="P14" s="42"/>
      <c r="Q14" s="42"/>
      <c r="R14" s="42"/>
      <c r="S14" s="42"/>
      <c r="T14" s="42"/>
      <c r="U14" s="42"/>
      <c r="V14" s="42"/>
      <c r="W14" s="42"/>
      <c r="X14" s="42"/>
      <c r="Y14" s="43"/>
      <c r="Z14" s="38" t="s">
        <v>69</v>
      </c>
      <c r="AA14" s="39"/>
      <c r="AB14" s="39"/>
      <c r="AC14" s="39"/>
      <c r="AD14" s="39"/>
      <c r="AE14" s="39"/>
      <c r="AF14" s="39"/>
      <c r="AG14" s="39"/>
      <c r="AH14" s="39"/>
      <c r="AI14" s="39"/>
      <c r="AJ14" s="39"/>
      <c r="AK14" s="39"/>
      <c r="AL14" s="40"/>
      <c r="AM14" s="38" t="s">
        <v>70</v>
      </c>
      <c r="AN14" s="39"/>
      <c r="AO14" s="40"/>
      <c r="AP14" s="44" t="s">
        <v>46</v>
      </c>
      <c r="AQ14" s="45"/>
      <c r="AR14" s="46"/>
      <c r="AS14" s="44" t="s">
        <v>54</v>
      </c>
      <c r="AT14" s="45"/>
      <c r="AU14" s="46"/>
      <c r="AV14" s="44" t="s">
        <v>55</v>
      </c>
      <c r="AW14" s="45"/>
      <c r="AX14" s="46"/>
      <c r="AY14" s="35" t="s">
        <v>49</v>
      </c>
      <c r="AZ14" s="36"/>
      <c r="BA14" s="37"/>
      <c r="BB14" s="47">
        <v>45217</v>
      </c>
      <c r="BC14" s="48"/>
      <c r="BD14" s="49"/>
      <c r="BE14" s="47">
        <v>45217</v>
      </c>
      <c r="BF14" s="48"/>
      <c r="BG14" s="49"/>
      <c r="BH14" s="35" t="s">
        <v>9</v>
      </c>
      <c r="BI14" s="36"/>
      <c r="BJ14" s="37"/>
      <c r="BK14" s="47">
        <v>45219</v>
      </c>
      <c r="BL14" s="48"/>
      <c r="BM14" s="49"/>
      <c r="BN14" s="38"/>
      <c r="BO14" s="39"/>
      <c r="BP14" s="39"/>
      <c r="BQ14" s="39"/>
      <c r="BR14" s="39"/>
      <c r="BS14" s="40"/>
    </row>
    <row r="15" spans="1:71" ht="109.9" customHeight="1">
      <c r="A15" s="7">
        <f>IF(M15="","",COUNTA($M$9:M15))</f>
        <v>7</v>
      </c>
      <c r="B15" s="35" t="s">
        <v>9</v>
      </c>
      <c r="C15" s="37"/>
      <c r="D15" s="50" t="s">
        <v>41</v>
      </c>
      <c r="E15" s="51"/>
      <c r="F15" s="51"/>
      <c r="G15" s="51"/>
      <c r="H15" s="52"/>
      <c r="I15" s="38" t="s">
        <v>61</v>
      </c>
      <c r="J15" s="39"/>
      <c r="K15" s="39"/>
      <c r="L15" s="40"/>
      <c r="M15" s="41" t="s">
        <v>71</v>
      </c>
      <c r="N15" s="42"/>
      <c r="O15" s="42"/>
      <c r="P15" s="42"/>
      <c r="Q15" s="42"/>
      <c r="R15" s="42"/>
      <c r="S15" s="42"/>
      <c r="T15" s="42"/>
      <c r="U15" s="42"/>
      <c r="V15" s="42"/>
      <c r="W15" s="42"/>
      <c r="X15" s="42"/>
      <c r="Y15" s="43"/>
      <c r="Z15" s="41" t="s">
        <v>72</v>
      </c>
      <c r="AA15" s="42"/>
      <c r="AB15" s="42"/>
      <c r="AC15" s="42"/>
      <c r="AD15" s="42"/>
      <c r="AE15" s="42"/>
      <c r="AF15" s="42"/>
      <c r="AG15" s="42"/>
      <c r="AH15" s="42"/>
      <c r="AI15" s="42"/>
      <c r="AJ15" s="42"/>
      <c r="AK15" s="42"/>
      <c r="AL15" s="43"/>
      <c r="AM15" s="38" t="s">
        <v>73</v>
      </c>
      <c r="AN15" s="39"/>
      <c r="AO15" s="40"/>
      <c r="AP15" s="44" t="s">
        <v>46</v>
      </c>
      <c r="AQ15" s="45"/>
      <c r="AR15" s="46"/>
      <c r="AS15" s="44" t="s">
        <v>65</v>
      </c>
      <c r="AT15" s="45"/>
      <c r="AU15" s="46"/>
      <c r="AV15" s="44" t="s">
        <v>66</v>
      </c>
      <c r="AW15" s="45"/>
      <c r="AX15" s="46"/>
      <c r="AY15" s="35" t="s">
        <v>49</v>
      </c>
      <c r="AZ15" s="36"/>
      <c r="BA15" s="37"/>
      <c r="BB15" s="47">
        <v>45217</v>
      </c>
      <c r="BC15" s="48"/>
      <c r="BD15" s="49"/>
      <c r="BE15" s="47">
        <v>45218</v>
      </c>
      <c r="BF15" s="48"/>
      <c r="BG15" s="49"/>
      <c r="BH15" s="35" t="s">
        <v>9</v>
      </c>
      <c r="BI15" s="36"/>
      <c r="BJ15" s="37"/>
      <c r="BK15" s="47">
        <v>45219</v>
      </c>
      <c r="BL15" s="48"/>
      <c r="BM15" s="49"/>
      <c r="BN15" s="38"/>
      <c r="BO15" s="39"/>
      <c r="BP15" s="39"/>
      <c r="BQ15" s="39"/>
      <c r="BR15" s="39"/>
      <c r="BS15" s="40"/>
    </row>
    <row r="16" spans="1:71" ht="60" customHeight="1">
      <c r="A16" s="7">
        <f>IF(M16="","",COUNTA($M$9:M16))</f>
        <v>8</v>
      </c>
      <c r="B16" s="35" t="s">
        <v>9</v>
      </c>
      <c r="C16" s="37"/>
      <c r="D16" s="50" t="s">
        <v>41</v>
      </c>
      <c r="E16" s="51"/>
      <c r="F16" s="51"/>
      <c r="G16" s="51"/>
      <c r="H16" s="52"/>
      <c r="I16" s="38" t="s">
        <v>50</v>
      </c>
      <c r="J16" s="39"/>
      <c r="K16" s="39"/>
      <c r="L16" s="40"/>
      <c r="M16" s="41" t="s">
        <v>74</v>
      </c>
      <c r="N16" s="42"/>
      <c r="O16" s="42"/>
      <c r="P16" s="42"/>
      <c r="Q16" s="42"/>
      <c r="R16" s="42"/>
      <c r="S16" s="42"/>
      <c r="T16" s="42"/>
      <c r="U16" s="42"/>
      <c r="V16" s="42"/>
      <c r="W16" s="42"/>
      <c r="X16" s="42"/>
      <c r="Y16" s="43"/>
      <c r="Z16" s="41" t="s">
        <v>75</v>
      </c>
      <c r="AA16" s="42"/>
      <c r="AB16" s="42"/>
      <c r="AC16" s="42"/>
      <c r="AD16" s="42"/>
      <c r="AE16" s="42"/>
      <c r="AF16" s="42"/>
      <c r="AG16" s="42"/>
      <c r="AH16" s="42"/>
      <c r="AI16" s="42"/>
      <c r="AJ16" s="42"/>
      <c r="AK16" s="42"/>
      <c r="AL16" s="43"/>
      <c r="AM16" s="38" t="s">
        <v>70</v>
      </c>
      <c r="AN16" s="39"/>
      <c r="AO16" s="40"/>
      <c r="AP16" s="44" t="s">
        <v>46</v>
      </c>
      <c r="AQ16" s="45"/>
      <c r="AR16" s="46"/>
      <c r="AS16" s="44" t="s">
        <v>54</v>
      </c>
      <c r="AT16" s="45"/>
      <c r="AU16" s="46"/>
      <c r="AV16" s="44" t="s">
        <v>55</v>
      </c>
      <c r="AW16" s="45"/>
      <c r="AX16" s="46"/>
      <c r="AY16" s="35" t="s">
        <v>49</v>
      </c>
      <c r="AZ16" s="36"/>
      <c r="BA16" s="37"/>
      <c r="BB16" s="47">
        <v>45217</v>
      </c>
      <c r="BC16" s="48"/>
      <c r="BD16" s="49"/>
      <c r="BE16" s="47">
        <v>45218</v>
      </c>
      <c r="BF16" s="48"/>
      <c r="BG16" s="49"/>
      <c r="BH16" s="35" t="s">
        <v>9</v>
      </c>
      <c r="BI16" s="36"/>
      <c r="BJ16" s="37"/>
      <c r="BK16" s="47">
        <v>45219</v>
      </c>
      <c r="BL16" s="48"/>
      <c r="BM16" s="49"/>
      <c r="BN16" s="38"/>
      <c r="BO16" s="39"/>
      <c r="BP16" s="39"/>
      <c r="BQ16" s="39"/>
      <c r="BR16" s="39"/>
      <c r="BS16" s="40"/>
    </row>
    <row r="17" spans="1:71" ht="103.9" customHeight="1">
      <c r="A17" s="7">
        <f>IF(M17="","",COUNTA($M$9:M17))</f>
        <v>9</v>
      </c>
      <c r="B17" s="35" t="s">
        <v>9</v>
      </c>
      <c r="C17" s="37"/>
      <c r="D17" s="50" t="s">
        <v>41</v>
      </c>
      <c r="E17" s="51"/>
      <c r="F17" s="51"/>
      <c r="G17" s="51"/>
      <c r="H17" s="52"/>
      <c r="I17" s="38" t="s">
        <v>61</v>
      </c>
      <c r="J17" s="39"/>
      <c r="K17" s="39"/>
      <c r="L17" s="40"/>
      <c r="M17" s="41" t="s">
        <v>76</v>
      </c>
      <c r="N17" s="42"/>
      <c r="O17" s="42"/>
      <c r="P17" s="42"/>
      <c r="Q17" s="42"/>
      <c r="R17" s="42"/>
      <c r="S17" s="42"/>
      <c r="T17" s="42"/>
      <c r="U17" s="42"/>
      <c r="V17" s="42"/>
      <c r="W17" s="42"/>
      <c r="X17" s="42"/>
      <c r="Y17" s="43"/>
      <c r="Z17" s="41" t="s">
        <v>77</v>
      </c>
      <c r="AA17" s="42"/>
      <c r="AB17" s="42"/>
      <c r="AC17" s="42"/>
      <c r="AD17" s="42"/>
      <c r="AE17" s="42"/>
      <c r="AF17" s="42"/>
      <c r="AG17" s="42"/>
      <c r="AH17" s="42"/>
      <c r="AI17" s="42"/>
      <c r="AJ17" s="42"/>
      <c r="AK17" s="42"/>
      <c r="AL17" s="43"/>
      <c r="AM17" s="38" t="s">
        <v>78</v>
      </c>
      <c r="AN17" s="39"/>
      <c r="AO17" s="40"/>
      <c r="AP17" s="44" t="s">
        <v>46</v>
      </c>
      <c r="AQ17" s="45"/>
      <c r="AR17" s="46"/>
      <c r="AS17" s="44" t="s">
        <v>65</v>
      </c>
      <c r="AT17" s="45"/>
      <c r="AU17" s="46"/>
      <c r="AV17" s="44" t="s">
        <v>66</v>
      </c>
      <c r="AW17" s="45"/>
      <c r="AX17" s="46"/>
      <c r="AY17" s="35" t="s">
        <v>49</v>
      </c>
      <c r="AZ17" s="36"/>
      <c r="BA17" s="37"/>
      <c r="BB17" s="47">
        <v>45217</v>
      </c>
      <c r="BC17" s="48"/>
      <c r="BD17" s="49"/>
      <c r="BE17" s="47">
        <v>45218</v>
      </c>
      <c r="BF17" s="48"/>
      <c r="BG17" s="49"/>
      <c r="BH17" s="35" t="s">
        <v>9</v>
      </c>
      <c r="BI17" s="36"/>
      <c r="BJ17" s="37"/>
      <c r="BK17" s="47">
        <v>45219</v>
      </c>
      <c r="BL17" s="48"/>
      <c r="BM17" s="49"/>
      <c r="BN17" s="38"/>
      <c r="BO17" s="39"/>
      <c r="BP17" s="39"/>
      <c r="BQ17" s="39"/>
      <c r="BR17" s="39"/>
      <c r="BS17" s="40"/>
    </row>
    <row r="18" spans="1:71" ht="134.44999999999999" customHeight="1">
      <c r="A18" s="7">
        <f>IF(M18="","",COUNTA($M$9:M18))</f>
        <v>10</v>
      </c>
      <c r="B18" s="35" t="s">
        <v>9</v>
      </c>
      <c r="C18" s="37"/>
      <c r="D18" s="50" t="s">
        <v>41</v>
      </c>
      <c r="E18" s="51"/>
      <c r="F18" s="51"/>
      <c r="G18" s="51"/>
      <c r="H18" s="52"/>
      <c r="I18" s="38" t="s">
        <v>61</v>
      </c>
      <c r="J18" s="39"/>
      <c r="K18" s="39"/>
      <c r="L18" s="40"/>
      <c r="M18" s="41" t="s">
        <v>79</v>
      </c>
      <c r="N18" s="42"/>
      <c r="O18" s="42"/>
      <c r="P18" s="42"/>
      <c r="Q18" s="42"/>
      <c r="R18" s="42"/>
      <c r="S18" s="42"/>
      <c r="T18" s="42"/>
      <c r="U18" s="42"/>
      <c r="V18" s="42"/>
      <c r="W18" s="42"/>
      <c r="X18" s="42"/>
      <c r="Y18" s="43"/>
      <c r="Z18" s="41" t="s">
        <v>80</v>
      </c>
      <c r="AA18" s="42"/>
      <c r="AB18" s="42"/>
      <c r="AC18" s="42"/>
      <c r="AD18" s="42"/>
      <c r="AE18" s="42"/>
      <c r="AF18" s="42"/>
      <c r="AG18" s="42"/>
      <c r="AH18" s="42"/>
      <c r="AI18" s="42"/>
      <c r="AJ18" s="42"/>
      <c r="AK18" s="42"/>
      <c r="AL18" s="43"/>
      <c r="AM18" s="38" t="s">
        <v>81</v>
      </c>
      <c r="AN18" s="39"/>
      <c r="AO18" s="40"/>
      <c r="AP18" s="44" t="s">
        <v>46</v>
      </c>
      <c r="AQ18" s="45"/>
      <c r="AR18" s="46"/>
      <c r="AS18" s="44" t="s">
        <v>65</v>
      </c>
      <c r="AT18" s="45"/>
      <c r="AU18" s="46"/>
      <c r="AV18" s="44" t="s">
        <v>66</v>
      </c>
      <c r="AW18" s="45"/>
      <c r="AX18" s="46"/>
      <c r="AY18" s="35" t="s">
        <v>49</v>
      </c>
      <c r="AZ18" s="36"/>
      <c r="BA18" s="37"/>
      <c r="BB18" s="47">
        <v>45217</v>
      </c>
      <c r="BC18" s="48"/>
      <c r="BD18" s="49"/>
      <c r="BE18" s="47">
        <v>45217</v>
      </c>
      <c r="BF18" s="48"/>
      <c r="BG18" s="49"/>
      <c r="BH18" s="35" t="s">
        <v>9</v>
      </c>
      <c r="BI18" s="36"/>
      <c r="BJ18" s="37"/>
      <c r="BK18" s="47">
        <v>45219</v>
      </c>
      <c r="BL18" s="48"/>
      <c r="BM18" s="49"/>
      <c r="BN18" s="38"/>
      <c r="BO18" s="39"/>
      <c r="BP18" s="39"/>
      <c r="BQ18" s="39"/>
      <c r="BR18" s="39"/>
      <c r="BS18" s="40"/>
    </row>
    <row r="19" spans="1:71" ht="102" customHeight="1">
      <c r="A19" s="7">
        <f>IF(M19="","",COUNTA($M$9:M19))</f>
        <v>11</v>
      </c>
      <c r="B19" s="35" t="s">
        <v>9</v>
      </c>
      <c r="C19" s="37"/>
      <c r="D19" s="50" t="s">
        <v>41</v>
      </c>
      <c r="E19" s="51"/>
      <c r="F19" s="51"/>
      <c r="G19" s="51"/>
      <c r="H19" s="52"/>
      <c r="I19" s="38" t="s">
        <v>82</v>
      </c>
      <c r="J19" s="39"/>
      <c r="K19" s="39"/>
      <c r="L19" s="40"/>
      <c r="M19" s="41" t="s">
        <v>83</v>
      </c>
      <c r="N19" s="42"/>
      <c r="O19" s="42"/>
      <c r="P19" s="42"/>
      <c r="Q19" s="42"/>
      <c r="R19" s="42"/>
      <c r="S19" s="42"/>
      <c r="T19" s="42"/>
      <c r="U19" s="42"/>
      <c r="V19" s="42"/>
      <c r="W19" s="42"/>
      <c r="X19" s="42"/>
      <c r="Y19" s="43"/>
      <c r="Z19" s="41" t="s">
        <v>84</v>
      </c>
      <c r="AA19" s="42"/>
      <c r="AB19" s="42"/>
      <c r="AC19" s="42"/>
      <c r="AD19" s="42"/>
      <c r="AE19" s="42"/>
      <c r="AF19" s="42"/>
      <c r="AG19" s="42"/>
      <c r="AH19" s="42"/>
      <c r="AI19" s="42"/>
      <c r="AJ19" s="42"/>
      <c r="AK19" s="42"/>
      <c r="AL19" s="43"/>
      <c r="AM19" s="38" t="s">
        <v>85</v>
      </c>
      <c r="AN19" s="39"/>
      <c r="AO19" s="40"/>
      <c r="AP19" s="44" t="s">
        <v>46</v>
      </c>
      <c r="AQ19" s="45"/>
      <c r="AR19" s="46"/>
      <c r="AS19" s="44" t="s">
        <v>54</v>
      </c>
      <c r="AT19" s="45"/>
      <c r="AU19" s="46"/>
      <c r="AV19" s="44" t="s">
        <v>86</v>
      </c>
      <c r="AW19" s="45"/>
      <c r="AX19" s="46"/>
      <c r="AY19" s="35" t="s">
        <v>49</v>
      </c>
      <c r="AZ19" s="36"/>
      <c r="BA19" s="37"/>
      <c r="BB19" s="47">
        <v>45217</v>
      </c>
      <c r="BC19" s="48"/>
      <c r="BD19" s="49"/>
      <c r="BE19" s="47">
        <v>45217</v>
      </c>
      <c r="BF19" s="48"/>
      <c r="BG19" s="49"/>
      <c r="BH19" s="35" t="s">
        <v>9</v>
      </c>
      <c r="BI19" s="36"/>
      <c r="BJ19" s="37"/>
      <c r="BK19" s="47">
        <v>45219</v>
      </c>
      <c r="BL19" s="48"/>
      <c r="BM19" s="49"/>
      <c r="BN19" s="38"/>
      <c r="BO19" s="39"/>
      <c r="BP19" s="39"/>
      <c r="BQ19" s="39"/>
      <c r="BR19" s="39"/>
      <c r="BS19" s="40"/>
    </row>
    <row r="20" spans="1:71" ht="60" customHeight="1">
      <c r="A20" s="7">
        <f>IF(M20="","",COUNTA($M$9:M20))</f>
        <v>12</v>
      </c>
      <c r="B20" s="35" t="s">
        <v>9</v>
      </c>
      <c r="C20" s="37"/>
      <c r="D20" s="50" t="s">
        <v>41</v>
      </c>
      <c r="E20" s="51"/>
      <c r="F20" s="51"/>
      <c r="G20" s="51"/>
      <c r="H20" s="52"/>
      <c r="I20" s="38" t="s">
        <v>50</v>
      </c>
      <c r="J20" s="39"/>
      <c r="K20" s="39"/>
      <c r="L20" s="40"/>
      <c r="M20" s="41" t="s">
        <v>87</v>
      </c>
      <c r="N20" s="42"/>
      <c r="O20" s="42"/>
      <c r="P20" s="42"/>
      <c r="Q20" s="42"/>
      <c r="R20" s="42"/>
      <c r="S20" s="42"/>
      <c r="T20" s="42"/>
      <c r="U20" s="42"/>
      <c r="V20" s="42"/>
      <c r="W20" s="42"/>
      <c r="X20" s="42"/>
      <c r="Y20" s="43"/>
      <c r="Z20" s="53" t="s">
        <v>88</v>
      </c>
      <c r="AA20" s="42"/>
      <c r="AB20" s="42"/>
      <c r="AC20" s="42"/>
      <c r="AD20" s="42"/>
      <c r="AE20" s="42"/>
      <c r="AF20" s="42"/>
      <c r="AG20" s="42"/>
      <c r="AH20" s="42"/>
      <c r="AI20" s="42"/>
      <c r="AJ20" s="42"/>
      <c r="AK20" s="42"/>
      <c r="AL20" s="43"/>
      <c r="AM20" s="38" t="s">
        <v>89</v>
      </c>
      <c r="AN20" s="39"/>
      <c r="AO20" s="40"/>
      <c r="AP20" s="44" t="s">
        <v>46</v>
      </c>
      <c r="AQ20" s="45"/>
      <c r="AR20" s="46"/>
      <c r="AS20" s="44" t="s">
        <v>54</v>
      </c>
      <c r="AT20" s="45"/>
      <c r="AU20" s="46"/>
      <c r="AV20" s="44" t="s">
        <v>55</v>
      </c>
      <c r="AW20" s="45"/>
      <c r="AX20" s="46"/>
      <c r="AY20" s="35" t="s">
        <v>49</v>
      </c>
      <c r="AZ20" s="36"/>
      <c r="BA20" s="37"/>
      <c r="BB20" s="47">
        <v>45217</v>
      </c>
      <c r="BC20" s="48"/>
      <c r="BD20" s="49"/>
      <c r="BE20" s="47">
        <v>45217</v>
      </c>
      <c r="BF20" s="48"/>
      <c r="BG20" s="49"/>
      <c r="BH20" s="35" t="s">
        <v>9</v>
      </c>
      <c r="BI20" s="36"/>
      <c r="BJ20" s="37"/>
      <c r="BK20" s="47">
        <v>45219</v>
      </c>
      <c r="BL20" s="48"/>
      <c r="BM20" s="49"/>
      <c r="BN20" s="38"/>
      <c r="BO20" s="39"/>
      <c r="BP20" s="39"/>
      <c r="BQ20" s="39"/>
      <c r="BR20" s="39"/>
      <c r="BS20" s="40"/>
    </row>
    <row r="21" spans="1:71" ht="91.9" customHeight="1">
      <c r="A21" s="7">
        <f>IF(M21="","",COUNTA($M$9:M21))</f>
        <v>13</v>
      </c>
      <c r="B21" s="35" t="s">
        <v>9</v>
      </c>
      <c r="C21" s="37"/>
      <c r="D21" s="50" t="s">
        <v>41</v>
      </c>
      <c r="E21" s="51"/>
      <c r="F21" s="51"/>
      <c r="G21" s="51"/>
      <c r="H21" s="52"/>
      <c r="I21" s="38" t="s">
        <v>50</v>
      </c>
      <c r="J21" s="39"/>
      <c r="K21" s="39"/>
      <c r="L21" s="40"/>
      <c r="M21" s="41" t="s">
        <v>90</v>
      </c>
      <c r="N21" s="42"/>
      <c r="O21" s="42"/>
      <c r="P21" s="42"/>
      <c r="Q21" s="42"/>
      <c r="R21" s="42"/>
      <c r="S21" s="42"/>
      <c r="T21" s="42"/>
      <c r="U21" s="42"/>
      <c r="V21" s="42"/>
      <c r="W21" s="42"/>
      <c r="X21" s="42"/>
      <c r="Y21" s="43"/>
      <c r="Z21" s="41" t="s">
        <v>91</v>
      </c>
      <c r="AA21" s="42"/>
      <c r="AB21" s="42"/>
      <c r="AC21" s="42"/>
      <c r="AD21" s="42"/>
      <c r="AE21" s="42"/>
      <c r="AF21" s="42"/>
      <c r="AG21" s="42"/>
      <c r="AH21" s="42"/>
      <c r="AI21" s="42"/>
      <c r="AJ21" s="42"/>
      <c r="AK21" s="42"/>
      <c r="AL21" s="43"/>
      <c r="AM21" s="38" t="s">
        <v>92</v>
      </c>
      <c r="AN21" s="39"/>
      <c r="AO21" s="40"/>
      <c r="AP21" s="44" t="s">
        <v>46</v>
      </c>
      <c r="AQ21" s="45"/>
      <c r="AR21" s="46"/>
      <c r="AS21" s="44" t="s">
        <v>54</v>
      </c>
      <c r="AT21" s="45"/>
      <c r="AU21" s="46"/>
      <c r="AV21" s="44" t="s">
        <v>55</v>
      </c>
      <c r="AW21" s="45"/>
      <c r="AX21" s="46"/>
      <c r="AY21" s="35" t="s">
        <v>49</v>
      </c>
      <c r="AZ21" s="36"/>
      <c r="BA21" s="37"/>
      <c r="BB21" s="47">
        <v>45217</v>
      </c>
      <c r="BC21" s="48"/>
      <c r="BD21" s="49"/>
      <c r="BE21" s="47">
        <v>45217</v>
      </c>
      <c r="BF21" s="48"/>
      <c r="BG21" s="49"/>
      <c r="BH21" s="35" t="s">
        <v>9</v>
      </c>
      <c r="BI21" s="36"/>
      <c r="BJ21" s="37"/>
      <c r="BK21" s="47">
        <v>45219</v>
      </c>
      <c r="BL21" s="48"/>
      <c r="BM21" s="49"/>
      <c r="BN21" s="38"/>
      <c r="BO21" s="39"/>
      <c r="BP21" s="39"/>
      <c r="BQ21" s="39"/>
      <c r="BR21" s="39"/>
      <c r="BS21" s="40"/>
    </row>
    <row r="22" spans="1:71" ht="78" customHeight="1">
      <c r="A22" s="7">
        <f>IF(M22="","",COUNTA($M$9:M22))</f>
        <v>14</v>
      </c>
      <c r="B22" s="35" t="s">
        <v>9</v>
      </c>
      <c r="C22" s="37"/>
      <c r="D22" s="50" t="s">
        <v>41</v>
      </c>
      <c r="E22" s="51"/>
      <c r="F22" s="51"/>
      <c r="G22" s="51"/>
      <c r="H22" s="52"/>
      <c r="I22" s="38" t="s">
        <v>93</v>
      </c>
      <c r="J22" s="39"/>
      <c r="K22" s="39"/>
      <c r="L22" s="40"/>
      <c r="M22" s="41" t="s">
        <v>94</v>
      </c>
      <c r="N22" s="42"/>
      <c r="O22" s="42"/>
      <c r="P22" s="42"/>
      <c r="Q22" s="42"/>
      <c r="R22" s="42"/>
      <c r="S22" s="42"/>
      <c r="T22" s="42"/>
      <c r="U22" s="42"/>
      <c r="V22" s="42"/>
      <c r="W22" s="42"/>
      <c r="X22" s="42"/>
      <c r="Y22" s="43"/>
      <c r="Z22" s="41" t="s">
        <v>95</v>
      </c>
      <c r="AA22" s="42"/>
      <c r="AB22" s="42"/>
      <c r="AC22" s="42"/>
      <c r="AD22" s="42"/>
      <c r="AE22" s="42"/>
      <c r="AF22" s="42"/>
      <c r="AG22" s="42"/>
      <c r="AH22" s="42"/>
      <c r="AI22" s="42"/>
      <c r="AJ22" s="42"/>
      <c r="AK22" s="42"/>
      <c r="AL22" s="43"/>
      <c r="AM22" s="38" t="s">
        <v>96</v>
      </c>
      <c r="AN22" s="39"/>
      <c r="AO22" s="40"/>
      <c r="AP22" s="44" t="s">
        <v>46</v>
      </c>
      <c r="AQ22" s="45"/>
      <c r="AR22" s="46"/>
      <c r="AS22" s="44" t="s">
        <v>54</v>
      </c>
      <c r="AT22" s="45"/>
      <c r="AU22" s="46"/>
      <c r="AV22" s="44" t="s">
        <v>97</v>
      </c>
      <c r="AW22" s="45"/>
      <c r="AX22" s="46"/>
      <c r="AY22" s="35" t="s">
        <v>49</v>
      </c>
      <c r="AZ22" s="36"/>
      <c r="BA22" s="37"/>
      <c r="BB22" s="47">
        <v>45217</v>
      </c>
      <c r="BC22" s="48"/>
      <c r="BD22" s="49"/>
      <c r="BE22" s="47">
        <v>45217</v>
      </c>
      <c r="BF22" s="48"/>
      <c r="BG22" s="49"/>
      <c r="BH22" s="35" t="s">
        <v>9</v>
      </c>
      <c r="BI22" s="36"/>
      <c r="BJ22" s="37"/>
      <c r="BK22" s="47">
        <v>45219</v>
      </c>
      <c r="BL22" s="48"/>
      <c r="BM22" s="49"/>
      <c r="BN22" s="38"/>
      <c r="BO22" s="39"/>
      <c r="BP22" s="39"/>
      <c r="BQ22" s="39"/>
      <c r="BR22" s="39"/>
      <c r="BS22" s="40"/>
    </row>
    <row r="23" spans="1:71" ht="60" customHeight="1">
      <c r="A23" s="7">
        <f>IF(M23="","",COUNTA($M$9:M23))</f>
        <v>15</v>
      </c>
      <c r="B23" s="35" t="s">
        <v>9</v>
      </c>
      <c r="C23" s="37"/>
      <c r="D23" s="50" t="s">
        <v>41</v>
      </c>
      <c r="E23" s="51"/>
      <c r="F23" s="51"/>
      <c r="G23" s="51"/>
      <c r="H23" s="52"/>
      <c r="I23" s="38" t="s">
        <v>61</v>
      </c>
      <c r="J23" s="39"/>
      <c r="K23" s="39"/>
      <c r="L23" s="40"/>
      <c r="M23" s="41" t="s">
        <v>98</v>
      </c>
      <c r="N23" s="42"/>
      <c r="O23" s="42"/>
      <c r="P23" s="42"/>
      <c r="Q23" s="42"/>
      <c r="R23" s="42"/>
      <c r="S23" s="42"/>
      <c r="T23" s="42"/>
      <c r="U23" s="42"/>
      <c r="V23" s="42"/>
      <c r="W23" s="42"/>
      <c r="X23" s="42"/>
      <c r="Y23" s="43"/>
      <c r="Z23" s="41" t="s">
        <v>99</v>
      </c>
      <c r="AA23" s="42"/>
      <c r="AB23" s="42"/>
      <c r="AC23" s="42"/>
      <c r="AD23" s="42"/>
      <c r="AE23" s="42"/>
      <c r="AF23" s="42"/>
      <c r="AG23" s="42"/>
      <c r="AH23" s="42"/>
      <c r="AI23" s="42"/>
      <c r="AJ23" s="42"/>
      <c r="AK23" s="42"/>
      <c r="AL23" s="43"/>
      <c r="AM23" s="38" t="s">
        <v>100</v>
      </c>
      <c r="AN23" s="39"/>
      <c r="AO23" s="40"/>
      <c r="AP23" s="44" t="s">
        <v>46</v>
      </c>
      <c r="AQ23" s="45"/>
      <c r="AR23" s="46"/>
      <c r="AS23" s="44" t="s">
        <v>65</v>
      </c>
      <c r="AT23" s="45"/>
      <c r="AU23" s="46"/>
      <c r="AV23" s="44" t="s">
        <v>66</v>
      </c>
      <c r="AW23" s="45"/>
      <c r="AX23" s="46"/>
      <c r="AY23" s="35" t="s">
        <v>49</v>
      </c>
      <c r="AZ23" s="36"/>
      <c r="BA23" s="37"/>
      <c r="BB23" s="47">
        <v>45217</v>
      </c>
      <c r="BC23" s="48"/>
      <c r="BD23" s="49"/>
      <c r="BE23" s="47">
        <v>45219</v>
      </c>
      <c r="BF23" s="48"/>
      <c r="BG23" s="49"/>
      <c r="BH23" s="35" t="s">
        <v>9</v>
      </c>
      <c r="BI23" s="36"/>
      <c r="BJ23" s="37"/>
      <c r="BK23" s="47">
        <v>45219</v>
      </c>
      <c r="BL23" s="48"/>
      <c r="BM23" s="49"/>
      <c r="BN23" s="38"/>
      <c r="BO23" s="39"/>
      <c r="BP23" s="39"/>
      <c r="BQ23" s="39"/>
      <c r="BR23" s="39"/>
      <c r="BS23" s="40"/>
    </row>
    <row r="24" spans="1:71" ht="60" customHeight="1">
      <c r="A24" s="7">
        <f>IF(M24="","",COUNTA($M$9:M24))</f>
        <v>16</v>
      </c>
      <c r="B24" s="35" t="s">
        <v>9</v>
      </c>
      <c r="C24" s="37"/>
      <c r="D24" s="50" t="s">
        <v>101</v>
      </c>
      <c r="E24" s="51"/>
      <c r="F24" s="51"/>
      <c r="G24" s="51"/>
      <c r="H24" s="52"/>
      <c r="I24" s="38" t="s">
        <v>61</v>
      </c>
      <c r="J24" s="39"/>
      <c r="K24" s="39"/>
      <c r="L24" s="40"/>
      <c r="M24" s="41" t="s">
        <v>102</v>
      </c>
      <c r="N24" s="42"/>
      <c r="O24" s="42"/>
      <c r="P24" s="42"/>
      <c r="Q24" s="42"/>
      <c r="R24" s="42"/>
      <c r="S24" s="42"/>
      <c r="T24" s="42"/>
      <c r="U24" s="42"/>
      <c r="V24" s="42"/>
      <c r="W24" s="42"/>
      <c r="X24" s="42"/>
      <c r="Y24" s="43"/>
      <c r="Z24" s="41" t="s">
        <v>103</v>
      </c>
      <c r="AA24" s="42"/>
      <c r="AB24" s="42"/>
      <c r="AC24" s="42"/>
      <c r="AD24" s="42"/>
      <c r="AE24" s="42"/>
      <c r="AF24" s="42"/>
      <c r="AG24" s="42"/>
      <c r="AH24" s="42"/>
      <c r="AI24" s="42"/>
      <c r="AJ24" s="42"/>
      <c r="AK24" s="42"/>
      <c r="AL24" s="43"/>
      <c r="AM24" s="38" t="s">
        <v>104</v>
      </c>
      <c r="AN24" s="39"/>
      <c r="AO24" s="40"/>
      <c r="AP24" s="44" t="s">
        <v>46</v>
      </c>
      <c r="AQ24" s="45"/>
      <c r="AR24" s="46"/>
      <c r="AS24" s="44" t="s">
        <v>105</v>
      </c>
      <c r="AT24" s="45"/>
      <c r="AU24" s="46"/>
      <c r="AV24" s="44" t="s">
        <v>106</v>
      </c>
      <c r="AW24" s="45"/>
      <c r="AX24" s="46"/>
      <c r="AY24" s="35" t="s">
        <v>49</v>
      </c>
      <c r="AZ24" s="36"/>
      <c r="BA24" s="37"/>
      <c r="BB24" s="47">
        <v>45217</v>
      </c>
      <c r="BC24" s="48"/>
      <c r="BD24" s="49"/>
      <c r="BE24" s="47">
        <v>45217</v>
      </c>
      <c r="BF24" s="48"/>
      <c r="BG24" s="49"/>
      <c r="BH24" s="35" t="s">
        <v>9</v>
      </c>
      <c r="BI24" s="36"/>
      <c r="BJ24" s="37"/>
      <c r="BK24" s="47">
        <v>45219</v>
      </c>
      <c r="BL24" s="48"/>
      <c r="BM24" s="49"/>
      <c r="BN24" s="38"/>
      <c r="BO24" s="39"/>
      <c r="BP24" s="39"/>
      <c r="BQ24" s="39"/>
      <c r="BR24" s="39"/>
      <c r="BS24" s="40"/>
    </row>
    <row r="25" spans="1:71" ht="60" customHeight="1">
      <c r="A25" s="7">
        <f>IF(M25="","",COUNTA($M$9:M25))</f>
        <v>17</v>
      </c>
      <c r="B25" s="35" t="s">
        <v>9</v>
      </c>
      <c r="C25" s="37"/>
      <c r="D25" s="50" t="s">
        <v>101</v>
      </c>
      <c r="E25" s="51"/>
      <c r="F25" s="51"/>
      <c r="G25" s="51"/>
      <c r="H25" s="52"/>
      <c r="I25" s="38" t="s">
        <v>50</v>
      </c>
      <c r="J25" s="39"/>
      <c r="K25" s="39"/>
      <c r="L25" s="40"/>
      <c r="M25" s="41" t="s">
        <v>107</v>
      </c>
      <c r="N25" s="42"/>
      <c r="O25" s="42"/>
      <c r="P25" s="42"/>
      <c r="Q25" s="42"/>
      <c r="R25" s="42"/>
      <c r="S25" s="42"/>
      <c r="T25" s="42"/>
      <c r="U25" s="42"/>
      <c r="V25" s="42"/>
      <c r="W25" s="42"/>
      <c r="X25" s="42"/>
      <c r="Y25" s="43"/>
      <c r="Z25" s="41" t="s">
        <v>108</v>
      </c>
      <c r="AA25" s="42"/>
      <c r="AB25" s="42"/>
      <c r="AC25" s="42"/>
      <c r="AD25" s="42"/>
      <c r="AE25" s="42"/>
      <c r="AF25" s="42"/>
      <c r="AG25" s="42"/>
      <c r="AH25" s="42"/>
      <c r="AI25" s="42"/>
      <c r="AJ25" s="42"/>
      <c r="AK25" s="42"/>
      <c r="AL25" s="43"/>
      <c r="AM25" s="38" t="s">
        <v>109</v>
      </c>
      <c r="AN25" s="39"/>
      <c r="AO25" s="40"/>
      <c r="AP25" s="44" t="s">
        <v>46</v>
      </c>
      <c r="AQ25" s="45"/>
      <c r="AR25" s="46"/>
      <c r="AS25" s="44" t="s">
        <v>54</v>
      </c>
      <c r="AT25" s="45"/>
      <c r="AU25" s="46"/>
      <c r="AV25" s="44" t="s">
        <v>55</v>
      </c>
      <c r="AW25" s="45"/>
      <c r="AX25" s="46"/>
      <c r="AY25" s="35" t="s">
        <v>49</v>
      </c>
      <c r="AZ25" s="36"/>
      <c r="BA25" s="37"/>
      <c r="BB25" s="47">
        <v>45217</v>
      </c>
      <c r="BC25" s="48"/>
      <c r="BD25" s="49"/>
      <c r="BE25" s="47">
        <v>45217</v>
      </c>
      <c r="BF25" s="48"/>
      <c r="BG25" s="49"/>
      <c r="BH25" s="35" t="s">
        <v>9</v>
      </c>
      <c r="BI25" s="36"/>
      <c r="BJ25" s="37"/>
      <c r="BK25" s="47">
        <v>45219</v>
      </c>
      <c r="BL25" s="48"/>
      <c r="BM25" s="49"/>
      <c r="BN25" s="38"/>
      <c r="BO25" s="39"/>
      <c r="BP25" s="39"/>
      <c r="BQ25" s="39"/>
      <c r="BR25" s="39"/>
      <c r="BS25" s="40"/>
    </row>
    <row r="26" spans="1:71" ht="60" customHeight="1">
      <c r="A26" s="7">
        <f>IF(M26="","",COUNTA($M$9:M26))</f>
        <v>18</v>
      </c>
      <c r="B26" s="35" t="s">
        <v>9</v>
      </c>
      <c r="C26" s="37"/>
      <c r="D26" s="50" t="s">
        <v>110</v>
      </c>
      <c r="E26" s="51"/>
      <c r="F26" s="51"/>
      <c r="G26" s="51"/>
      <c r="H26" s="52"/>
      <c r="I26" s="38" t="s">
        <v>50</v>
      </c>
      <c r="J26" s="39"/>
      <c r="K26" s="39"/>
      <c r="L26" s="40"/>
      <c r="M26" s="41" t="s">
        <v>111</v>
      </c>
      <c r="N26" s="42"/>
      <c r="O26" s="42"/>
      <c r="P26" s="42"/>
      <c r="Q26" s="42"/>
      <c r="R26" s="42"/>
      <c r="S26" s="42"/>
      <c r="T26" s="42"/>
      <c r="U26" s="42"/>
      <c r="V26" s="42"/>
      <c r="W26" s="42"/>
      <c r="X26" s="42"/>
      <c r="Y26" s="43"/>
      <c r="Z26" s="41" t="s">
        <v>112</v>
      </c>
      <c r="AA26" s="42"/>
      <c r="AB26" s="42"/>
      <c r="AC26" s="42"/>
      <c r="AD26" s="42"/>
      <c r="AE26" s="42"/>
      <c r="AF26" s="42"/>
      <c r="AG26" s="42"/>
      <c r="AH26" s="42"/>
      <c r="AI26" s="42"/>
      <c r="AJ26" s="42"/>
      <c r="AK26" s="42"/>
      <c r="AL26" s="43"/>
      <c r="AM26" s="38" t="s">
        <v>113</v>
      </c>
      <c r="AN26" s="39"/>
      <c r="AO26" s="40"/>
      <c r="AP26" s="44" t="s">
        <v>46</v>
      </c>
      <c r="AQ26" s="45"/>
      <c r="AR26" s="46"/>
      <c r="AS26" s="44" t="s">
        <v>54</v>
      </c>
      <c r="AT26" s="45"/>
      <c r="AU26" s="46"/>
      <c r="AV26" s="44" t="s">
        <v>55</v>
      </c>
      <c r="AW26" s="45"/>
      <c r="AX26" s="46"/>
      <c r="AY26" s="35" t="s">
        <v>49</v>
      </c>
      <c r="AZ26" s="36"/>
      <c r="BA26" s="37"/>
      <c r="BB26" s="47">
        <v>45217</v>
      </c>
      <c r="BC26" s="48"/>
      <c r="BD26" s="49"/>
      <c r="BE26" s="47">
        <v>45217</v>
      </c>
      <c r="BF26" s="48"/>
      <c r="BG26" s="49"/>
      <c r="BH26" s="35" t="s">
        <v>9</v>
      </c>
      <c r="BI26" s="36"/>
      <c r="BJ26" s="37"/>
      <c r="BK26" s="47">
        <v>45219</v>
      </c>
      <c r="BL26" s="48"/>
      <c r="BM26" s="49"/>
      <c r="BN26" s="38"/>
      <c r="BO26" s="39"/>
      <c r="BP26" s="39"/>
      <c r="BQ26" s="39"/>
      <c r="BR26" s="39"/>
      <c r="BS26" s="40"/>
    </row>
    <row r="27" spans="1:71" ht="60" customHeight="1">
      <c r="A27" s="7">
        <f>IF(M27="","",COUNTA($M$9:M27))</f>
        <v>19</v>
      </c>
      <c r="B27" s="35" t="s">
        <v>9</v>
      </c>
      <c r="C27" s="37"/>
      <c r="D27" s="50" t="s">
        <v>41</v>
      </c>
      <c r="E27" s="51"/>
      <c r="F27" s="51"/>
      <c r="G27" s="51"/>
      <c r="H27" s="52"/>
      <c r="I27" s="38" t="s">
        <v>50</v>
      </c>
      <c r="J27" s="39"/>
      <c r="K27" s="39"/>
      <c r="L27" s="40"/>
      <c r="M27" s="41" t="s">
        <v>114</v>
      </c>
      <c r="N27" s="42"/>
      <c r="O27" s="42"/>
      <c r="P27" s="42"/>
      <c r="Q27" s="42"/>
      <c r="R27" s="42"/>
      <c r="S27" s="42"/>
      <c r="T27" s="42"/>
      <c r="U27" s="42"/>
      <c r="V27" s="42"/>
      <c r="W27" s="42"/>
      <c r="X27" s="42"/>
      <c r="Y27" s="43"/>
      <c r="Z27" s="41" t="s">
        <v>115</v>
      </c>
      <c r="AA27" s="42"/>
      <c r="AB27" s="42"/>
      <c r="AC27" s="42"/>
      <c r="AD27" s="42"/>
      <c r="AE27" s="42"/>
      <c r="AF27" s="42"/>
      <c r="AG27" s="42"/>
      <c r="AH27" s="42"/>
      <c r="AI27" s="42"/>
      <c r="AJ27" s="42"/>
      <c r="AK27" s="42"/>
      <c r="AL27" s="43"/>
      <c r="AM27" s="38" t="s">
        <v>89</v>
      </c>
      <c r="AN27" s="39"/>
      <c r="AO27" s="40"/>
      <c r="AP27" s="44" t="s">
        <v>46</v>
      </c>
      <c r="AQ27" s="45"/>
      <c r="AR27" s="46"/>
      <c r="AS27" s="44" t="s">
        <v>54</v>
      </c>
      <c r="AT27" s="45"/>
      <c r="AU27" s="46"/>
      <c r="AV27" s="44" t="s">
        <v>55</v>
      </c>
      <c r="AW27" s="45"/>
      <c r="AX27" s="46"/>
      <c r="AY27" s="35" t="s">
        <v>49</v>
      </c>
      <c r="AZ27" s="36"/>
      <c r="BA27" s="37"/>
      <c r="BB27" s="47">
        <v>45219</v>
      </c>
      <c r="BC27" s="48"/>
      <c r="BD27" s="49"/>
      <c r="BE27" s="47">
        <v>45219</v>
      </c>
      <c r="BF27" s="48"/>
      <c r="BG27" s="49"/>
      <c r="BH27" s="35" t="s">
        <v>9</v>
      </c>
      <c r="BI27" s="36"/>
      <c r="BJ27" s="37"/>
      <c r="BK27" s="47">
        <v>45219</v>
      </c>
      <c r="BL27" s="48"/>
      <c r="BM27" s="49"/>
      <c r="BN27" s="38"/>
      <c r="BO27" s="39"/>
      <c r="BP27" s="39"/>
      <c r="BQ27" s="39"/>
      <c r="BR27" s="39"/>
      <c r="BS27" s="40"/>
    </row>
    <row r="28" spans="1:71" ht="60" customHeight="1">
      <c r="A28" s="7" t="str">
        <f>IF(M28="","",COUNTA($M$9:M28))</f>
        <v/>
      </c>
      <c r="B28" s="35"/>
      <c r="C28" s="37"/>
      <c r="D28" s="50"/>
      <c r="E28" s="51"/>
      <c r="F28" s="51"/>
      <c r="G28" s="51"/>
      <c r="H28" s="52"/>
      <c r="I28" s="38"/>
      <c r="J28" s="39"/>
      <c r="K28" s="39"/>
      <c r="L28" s="40"/>
      <c r="M28" s="41"/>
      <c r="N28" s="42"/>
      <c r="O28" s="42"/>
      <c r="P28" s="42"/>
      <c r="Q28" s="42"/>
      <c r="R28" s="42"/>
      <c r="S28" s="42"/>
      <c r="T28" s="42"/>
      <c r="U28" s="42"/>
      <c r="V28" s="42"/>
      <c r="W28" s="42"/>
      <c r="X28" s="42"/>
      <c r="Y28" s="43"/>
      <c r="Z28" s="41"/>
      <c r="AA28" s="42"/>
      <c r="AB28" s="42"/>
      <c r="AC28" s="42"/>
      <c r="AD28" s="42"/>
      <c r="AE28" s="42"/>
      <c r="AF28" s="42"/>
      <c r="AG28" s="42"/>
      <c r="AH28" s="42"/>
      <c r="AI28" s="42"/>
      <c r="AJ28" s="42"/>
      <c r="AK28" s="42"/>
      <c r="AL28" s="43"/>
      <c r="AM28" s="38"/>
      <c r="AN28" s="39"/>
      <c r="AO28" s="40"/>
      <c r="AP28" s="44"/>
      <c r="AQ28" s="45"/>
      <c r="AR28" s="46"/>
      <c r="AS28" s="44"/>
      <c r="AT28" s="45"/>
      <c r="AU28" s="46"/>
      <c r="AV28" s="44"/>
      <c r="AW28" s="45"/>
      <c r="AX28" s="46"/>
      <c r="AY28" s="35"/>
      <c r="AZ28" s="36"/>
      <c r="BA28" s="37"/>
      <c r="BB28" s="47"/>
      <c r="BC28" s="48"/>
      <c r="BD28" s="49"/>
      <c r="BE28" s="47"/>
      <c r="BF28" s="48"/>
      <c r="BG28" s="49"/>
      <c r="BH28" s="35"/>
      <c r="BI28" s="36"/>
      <c r="BJ28" s="37"/>
      <c r="BK28" s="47"/>
      <c r="BL28" s="48"/>
      <c r="BM28" s="49"/>
      <c r="BN28" s="38"/>
      <c r="BO28" s="39"/>
      <c r="BP28" s="39"/>
      <c r="BQ28" s="39"/>
      <c r="BR28" s="39"/>
      <c r="BS28" s="40"/>
    </row>
    <row r="29" spans="1:71" ht="15" customHeight="1">
      <c r="A29" s="33" t="s">
        <v>116</v>
      </c>
      <c r="B29" s="32"/>
      <c r="C29" s="32"/>
      <c r="D29" s="32"/>
      <c r="E29" s="32"/>
      <c r="F29" s="32"/>
      <c r="G29" s="32"/>
      <c r="H29" s="32"/>
      <c r="I29" s="32"/>
      <c r="J29" s="32"/>
      <c r="K29" s="32"/>
      <c r="L29" s="32"/>
      <c r="M29" s="32"/>
      <c r="N29" s="32"/>
      <c r="O29" s="32"/>
      <c r="P29" s="32"/>
      <c r="Q29" s="32"/>
      <c r="R29" s="32"/>
      <c r="S29" s="32"/>
      <c r="T29" s="32"/>
      <c r="U29" s="32"/>
      <c r="V29" s="32"/>
      <c r="W29" s="32"/>
      <c r="X29" s="32"/>
      <c r="Y29" s="32"/>
      <c r="Z29" s="32"/>
      <c r="AA29" s="32"/>
      <c r="AB29" s="32"/>
      <c r="AC29" s="32"/>
      <c r="AD29" s="32"/>
      <c r="AE29" s="32"/>
      <c r="AF29" s="32"/>
      <c r="AG29" s="32"/>
      <c r="AH29" s="32"/>
      <c r="AI29" s="32"/>
      <c r="AJ29" s="32"/>
      <c r="AK29" s="32"/>
      <c r="AL29" s="32"/>
      <c r="AM29" s="32"/>
      <c r="AN29" s="32"/>
      <c r="AO29" s="32"/>
      <c r="AP29" s="32"/>
      <c r="AQ29" s="32"/>
      <c r="AR29" s="32"/>
      <c r="AS29" s="32"/>
      <c r="AT29" s="32"/>
      <c r="AU29" s="32"/>
      <c r="AV29" s="32"/>
      <c r="AW29" s="32"/>
      <c r="AX29" s="32"/>
      <c r="AY29" s="32"/>
      <c r="AZ29" s="32"/>
      <c r="BA29" s="32"/>
      <c r="BB29" s="32"/>
      <c r="BC29" s="32"/>
      <c r="BD29" s="32"/>
      <c r="BE29" s="32"/>
      <c r="BF29" s="32"/>
      <c r="BG29" s="32"/>
      <c r="BH29" s="32"/>
      <c r="BI29" s="32"/>
      <c r="BJ29" s="32"/>
      <c r="BK29" s="32"/>
      <c r="BL29" s="32"/>
      <c r="BM29" s="32"/>
      <c r="BN29" s="32"/>
      <c r="BO29" s="32"/>
      <c r="BP29" s="32"/>
      <c r="BQ29" s="32"/>
      <c r="BR29" s="32"/>
      <c r="BS29" s="32"/>
    </row>
  </sheetData>
  <mergeCells count="350">
    <mergeCell ref="B27:C27"/>
    <mergeCell ref="D27:H27"/>
    <mergeCell ref="I27:L27"/>
    <mergeCell ref="M27:Y27"/>
    <mergeCell ref="Z27:AL27"/>
    <mergeCell ref="AM27:AO27"/>
    <mergeCell ref="AP27:AR27"/>
    <mergeCell ref="AS27:AU27"/>
    <mergeCell ref="AV27:AX27"/>
    <mergeCell ref="AY27:BA27"/>
    <mergeCell ref="BB27:BD27"/>
    <mergeCell ref="BE27:BG27"/>
    <mergeCell ref="BH27:BJ27"/>
    <mergeCell ref="BK27:BM27"/>
    <mergeCell ref="BN27:BS27"/>
    <mergeCell ref="AY26:BA26"/>
    <mergeCell ref="BB26:BD26"/>
    <mergeCell ref="BE26:BG26"/>
    <mergeCell ref="BH26:BJ26"/>
    <mergeCell ref="BK26:BM26"/>
    <mergeCell ref="BN26:BS26"/>
    <mergeCell ref="B26:C26"/>
    <mergeCell ref="D26:H26"/>
    <mergeCell ref="I26:L26"/>
    <mergeCell ref="M26:Y26"/>
    <mergeCell ref="Z26:AL26"/>
    <mergeCell ref="AM26:AO26"/>
    <mergeCell ref="AP26:AR26"/>
    <mergeCell ref="AS26:AU26"/>
    <mergeCell ref="AV26:AX26"/>
    <mergeCell ref="B25:C25"/>
    <mergeCell ref="D25:H25"/>
    <mergeCell ref="I25:L25"/>
    <mergeCell ref="M25:Y25"/>
    <mergeCell ref="Z25:AL25"/>
    <mergeCell ref="AM25:AO25"/>
    <mergeCell ref="AP25:AR25"/>
    <mergeCell ref="AS25:AU25"/>
    <mergeCell ref="AV25:AX25"/>
    <mergeCell ref="AY25:BA25"/>
    <mergeCell ref="BB25:BD25"/>
    <mergeCell ref="BE25:BG25"/>
    <mergeCell ref="BH25:BJ25"/>
    <mergeCell ref="BK25:BM25"/>
    <mergeCell ref="BN25:BS25"/>
    <mergeCell ref="AY23:BA23"/>
    <mergeCell ref="BB23:BD23"/>
    <mergeCell ref="BE23:BG23"/>
    <mergeCell ref="BH23:BJ23"/>
    <mergeCell ref="BK23:BM23"/>
    <mergeCell ref="BN23:BS23"/>
    <mergeCell ref="AY24:BA24"/>
    <mergeCell ref="BB24:BD24"/>
    <mergeCell ref="BE24:BG24"/>
    <mergeCell ref="BH24:BJ24"/>
    <mergeCell ref="BK24:BM24"/>
    <mergeCell ref="BN24:BS24"/>
    <mergeCell ref="B24:C24"/>
    <mergeCell ref="D24:H24"/>
    <mergeCell ref="I24:L24"/>
    <mergeCell ref="M24:Y24"/>
    <mergeCell ref="Z24:AL24"/>
    <mergeCell ref="AM24:AO24"/>
    <mergeCell ref="AP24:AR24"/>
    <mergeCell ref="AS24:AU24"/>
    <mergeCell ref="AV24:AX24"/>
    <mergeCell ref="B23:C23"/>
    <mergeCell ref="D23:H23"/>
    <mergeCell ref="I23:L23"/>
    <mergeCell ref="M23:Y23"/>
    <mergeCell ref="Z23:AL23"/>
    <mergeCell ref="AM23:AO23"/>
    <mergeCell ref="AP23:AR23"/>
    <mergeCell ref="AS23:AU23"/>
    <mergeCell ref="AV23:AX23"/>
    <mergeCell ref="AP10:AR10"/>
    <mergeCell ref="AS10:AU10"/>
    <mergeCell ref="AV10:AX10"/>
    <mergeCell ref="AY10:BA10"/>
    <mergeCell ref="BB10:BD10"/>
    <mergeCell ref="BE10:BG10"/>
    <mergeCell ref="BH10:BJ10"/>
    <mergeCell ref="BK10:BM10"/>
    <mergeCell ref="BN10:BS10"/>
    <mergeCell ref="A1:D1"/>
    <mergeCell ref="E1:G1"/>
    <mergeCell ref="H1:I1"/>
    <mergeCell ref="J1:O1"/>
    <mergeCell ref="A4:C4"/>
    <mergeCell ref="D4:F4"/>
    <mergeCell ref="M4:O4"/>
    <mergeCell ref="D5:F5"/>
    <mergeCell ref="Q5:R5"/>
    <mergeCell ref="J5:L5"/>
    <mergeCell ref="M5:O5"/>
    <mergeCell ref="A2:D2"/>
    <mergeCell ref="H2:I2"/>
    <mergeCell ref="E2:G2"/>
    <mergeCell ref="A5:C5"/>
    <mergeCell ref="P1:Q1"/>
    <mergeCell ref="P2:Q2"/>
    <mergeCell ref="A7:A8"/>
    <mergeCell ref="AP7:AX7"/>
    <mergeCell ref="AY7:BG7"/>
    <mergeCell ref="BH7:BM7"/>
    <mergeCell ref="AP8:AR8"/>
    <mergeCell ref="AS8:AU8"/>
    <mergeCell ref="AV8:AX8"/>
    <mergeCell ref="AY8:BA8"/>
    <mergeCell ref="Q4:R4"/>
    <mergeCell ref="S4:V4"/>
    <mergeCell ref="W4:Y4"/>
    <mergeCell ref="Z5:AB5"/>
    <mergeCell ref="Z4:AB4"/>
    <mergeCell ref="G4:I4"/>
    <mergeCell ref="G5:I5"/>
    <mergeCell ref="J4:L4"/>
    <mergeCell ref="S5:V5"/>
    <mergeCell ref="W5:Y5"/>
    <mergeCell ref="BB8:BD8"/>
    <mergeCell ref="BE8:BG8"/>
    <mergeCell ref="BH8:BJ8"/>
    <mergeCell ref="BK8:BM8"/>
    <mergeCell ref="AM7:AO8"/>
    <mergeCell ref="AH5:AK5"/>
    <mergeCell ref="BN7:BS8"/>
    <mergeCell ref="B7:C8"/>
    <mergeCell ref="D7:H8"/>
    <mergeCell ref="I7:L8"/>
    <mergeCell ref="M7:Y8"/>
    <mergeCell ref="Z7:AL8"/>
    <mergeCell ref="BN9:BS9"/>
    <mergeCell ref="AP11:AR11"/>
    <mergeCell ref="AS11:AU11"/>
    <mergeCell ref="AV11:AX11"/>
    <mergeCell ref="AY11:BA11"/>
    <mergeCell ref="BB11:BD11"/>
    <mergeCell ref="BE11:BG11"/>
    <mergeCell ref="BH11:BJ11"/>
    <mergeCell ref="BK11:BM11"/>
    <mergeCell ref="BN11:BS11"/>
    <mergeCell ref="AV9:AX9"/>
    <mergeCell ref="AY9:BA9"/>
    <mergeCell ref="BB9:BD9"/>
    <mergeCell ref="BE9:BG9"/>
    <mergeCell ref="BH9:BJ9"/>
    <mergeCell ref="BK9:BM9"/>
    <mergeCell ref="AP9:AR9"/>
    <mergeCell ref="AS9:AU9"/>
    <mergeCell ref="AM9:AO9"/>
    <mergeCell ref="AM11:AO11"/>
    <mergeCell ref="B12:C12"/>
    <mergeCell ref="D12:H12"/>
    <mergeCell ref="I12:L12"/>
    <mergeCell ref="M12:Y12"/>
    <mergeCell ref="Z12:AL12"/>
    <mergeCell ref="AM12:AO12"/>
    <mergeCell ref="M9:Y9"/>
    <mergeCell ref="M11:Y11"/>
    <mergeCell ref="Z9:AL9"/>
    <mergeCell ref="Z11:AL11"/>
    <mergeCell ref="B9:C9"/>
    <mergeCell ref="D9:H9"/>
    <mergeCell ref="D11:H11"/>
    <mergeCell ref="B11:C11"/>
    <mergeCell ref="I9:L9"/>
    <mergeCell ref="I11:L11"/>
    <mergeCell ref="B10:C10"/>
    <mergeCell ref="D10:H10"/>
    <mergeCell ref="I10:L10"/>
    <mergeCell ref="M10:Y10"/>
    <mergeCell ref="Z10:AL10"/>
    <mergeCell ref="AM10:AO10"/>
    <mergeCell ref="AS13:AU13"/>
    <mergeCell ref="BH12:BJ12"/>
    <mergeCell ref="BK12:BM12"/>
    <mergeCell ref="BN12:BS12"/>
    <mergeCell ref="B13:C13"/>
    <mergeCell ref="D13:H13"/>
    <mergeCell ref="I13:L13"/>
    <mergeCell ref="M13:Y13"/>
    <mergeCell ref="Z13:AL13"/>
    <mergeCell ref="AM13:AO13"/>
    <mergeCell ref="AP13:AR13"/>
    <mergeCell ref="AP12:AR12"/>
    <mergeCell ref="AS12:AU12"/>
    <mergeCell ref="AV12:AX12"/>
    <mergeCell ref="AY12:BA12"/>
    <mergeCell ref="BB12:BD12"/>
    <mergeCell ref="BE12:BG12"/>
    <mergeCell ref="BK13:BM13"/>
    <mergeCell ref="BN13:BS13"/>
    <mergeCell ref="AV13:AX13"/>
    <mergeCell ref="AY13:BA13"/>
    <mergeCell ref="BB13:BD13"/>
    <mergeCell ref="BE13:BG13"/>
    <mergeCell ref="BH13:BJ13"/>
    <mergeCell ref="BN14:BS14"/>
    <mergeCell ref="B17:C17"/>
    <mergeCell ref="D17:H17"/>
    <mergeCell ref="I17:L17"/>
    <mergeCell ref="M17:Y17"/>
    <mergeCell ref="Z17:AL17"/>
    <mergeCell ref="AM17:AO17"/>
    <mergeCell ref="AP17:AR17"/>
    <mergeCell ref="AS17:AU17"/>
    <mergeCell ref="AV17:AX17"/>
    <mergeCell ref="AV14:AX14"/>
    <mergeCell ref="AY14:BA14"/>
    <mergeCell ref="BB14:BD14"/>
    <mergeCell ref="BE14:BG14"/>
    <mergeCell ref="BH14:BJ14"/>
    <mergeCell ref="BK14:BM14"/>
    <mergeCell ref="B14:C14"/>
    <mergeCell ref="D14:H14"/>
    <mergeCell ref="I14:L14"/>
    <mergeCell ref="M14:Y14"/>
    <mergeCell ref="Z14:AL14"/>
    <mergeCell ref="AM14:AO14"/>
    <mergeCell ref="AP14:AR14"/>
    <mergeCell ref="AS14:AU14"/>
    <mergeCell ref="BK16:BM16"/>
    <mergeCell ref="BN16:BS16"/>
    <mergeCell ref="AY17:BA17"/>
    <mergeCell ref="BB17:BD17"/>
    <mergeCell ref="BE17:BG17"/>
    <mergeCell ref="BH17:BJ17"/>
    <mergeCell ref="BK17:BM17"/>
    <mergeCell ref="BN17:BS17"/>
    <mergeCell ref="AV16:AX16"/>
    <mergeCell ref="AY16:BA16"/>
    <mergeCell ref="BB16:BD16"/>
    <mergeCell ref="BE16:BG16"/>
    <mergeCell ref="BH16:BJ16"/>
    <mergeCell ref="Z18:AL18"/>
    <mergeCell ref="AS16:AU16"/>
    <mergeCell ref="BH15:BJ15"/>
    <mergeCell ref="BK15:BM15"/>
    <mergeCell ref="BN15:BS15"/>
    <mergeCell ref="B16:C16"/>
    <mergeCell ref="D16:H16"/>
    <mergeCell ref="I16:L16"/>
    <mergeCell ref="M16:Y16"/>
    <mergeCell ref="Z16:AL16"/>
    <mergeCell ref="AM16:AO16"/>
    <mergeCell ref="AP16:AR16"/>
    <mergeCell ref="AP15:AR15"/>
    <mergeCell ref="AS15:AU15"/>
    <mergeCell ref="AV15:AX15"/>
    <mergeCell ref="AY15:BA15"/>
    <mergeCell ref="BB15:BD15"/>
    <mergeCell ref="BE15:BG15"/>
    <mergeCell ref="B15:C15"/>
    <mergeCell ref="D15:H15"/>
    <mergeCell ref="I15:L15"/>
    <mergeCell ref="M15:Y15"/>
    <mergeCell ref="Z15:AL15"/>
    <mergeCell ref="AM15:AO15"/>
    <mergeCell ref="BN21:BS21"/>
    <mergeCell ref="BN18:BS18"/>
    <mergeCell ref="B19:C19"/>
    <mergeCell ref="D19:H19"/>
    <mergeCell ref="I19:L19"/>
    <mergeCell ref="M19:Y19"/>
    <mergeCell ref="Z19:AL19"/>
    <mergeCell ref="AM19:AO19"/>
    <mergeCell ref="AP19:AR19"/>
    <mergeCell ref="AS19:AU19"/>
    <mergeCell ref="AV19:AX19"/>
    <mergeCell ref="AV18:AX18"/>
    <mergeCell ref="AY18:BA18"/>
    <mergeCell ref="BB18:BD18"/>
    <mergeCell ref="BE18:BG18"/>
    <mergeCell ref="BH18:BJ18"/>
    <mergeCell ref="BK18:BM18"/>
    <mergeCell ref="B18:C18"/>
    <mergeCell ref="AM18:AO18"/>
    <mergeCell ref="AP18:AR18"/>
    <mergeCell ref="AS18:AU18"/>
    <mergeCell ref="D18:H18"/>
    <mergeCell ref="I18:L18"/>
    <mergeCell ref="M18:Y18"/>
    <mergeCell ref="AM21:AO21"/>
    <mergeCell ref="AP21:AR21"/>
    <mergeCell ref="AP20:AR20"/>
    <mergeCell ref="AS20:AU20"/>
    <mergeCell ref="AV20:AX20"/>
    <mergeCell ref="AY20:BA20"/>
    <mergeCell ref="BB20:BD20"/>
    <mergeCell ref="BE20:BG20"/>
    <mergeCell ref="B20:C20"/>
    <mergeCell ref="D20:H20"/>
    <mergeCell ref="I20:L20"/>
    <mergeCell ref="BK19:BM19"/>
    <mergeCell ref="BN19:BS19"/>
    <mergeCell ref="B22:C22"/>
    <mergeCell ref="D22:H22"/>
    <mergeCell ref="I22:L22"/>
    <mergeCell ref="M22:Y22"/>
    <mergeCell ref="M20:Y20"/>
    <mergeCell ref="Z20:AL20"/>
    <mergeCell ref="AM20:AO20"/>
    <mergeCell ref="BK21:BM21"/>
    <mergeCell ref="AV21:AX21"/>
    <mergeCell ref="AY21:BA21"/>
    <mergeCell ref="BB21:BD21"/>
    <mergeCell ref="BE21:BG21"/>
    <mergeCell ref="BH21:BJ21"/>
    <mergeCell ref="AS21:AU21"/>
    <mergeCell ref="BH20:BJ20"/>
    <mergeCell ref="BK20:BM20"/>
    <mergeCell ref="BN20:BS20"/>
    <mergeCell ref="B21:C21"/>
    <mergeCell ref="D21:H21"/>
    <mergeCell ref="I21:L21"/>
    <mergeCell ref="M21:Y21"/>
    <mergeCell ref="Z21:AL21"/>
    <mergeCell ref="B28:C28"/>
    <mergeCell ref="D28:H28"/>
    <mergeCell ref="I28:L28"/>
    <mergeCell ref="M28:Y28"/>
    <mergeCell ref="Z28:AL28"/>
    <mergeCell ref="AM28:AO28"/>
    <mergeCell ref="AP28:AR28"/>
    <mergeCell ref="AS28:AU28"/>
    <mergeCell ref="AV28:AX28"/>
    <mergeCell ref="AH2:AK2"/>
    <mergeCell ref="AH3:AK3"/>
    <mergeCell ref="AH4:AK4"/>
    <mergeCell ref="AY28:BA28"/>
    <mergeCell ref="BN28:BS28"/>
    <mergeCell ref="Z22:AL22"/>
    <mergeCell ref="AM22:AO22"/>
    <mergeCell ref="AP22:AR22"/>
    <mergeCell ref="AS22:AU22"/>
    <mergeCell ref="BB28:BD28"/>
    <mergeCell ref="BE28:BG28"/>
    <mergeCell ref="BH28:BJ28"/>
    <mergeCell ref="BK28:BM28"/>
    <mergeCell ref="BN22:BS22"/>
    <mergeCell ref="AV22:AX22"/>
    <mergeCell ref="AY22:BA22"/>
    <mergeCell ref="BB22:BD22"/>
    <mergeCell ref="BE22:BG22"/>
    <mergeCell ref="BH22:BJ22"/>
    <mergeCell ref="BK22:BM22"/>
    <mergeCell ref="AY19:BA19"/>
    <mergeCell ref="BB19:BD19"/>
    <mergeCell ref="BE19:BG19"/>
    <mergeCell ref="BH19:BJ19"/>
  </mergeCells>
  <phoneticPr fontId="2"/>
  <pageMargins left="0.19685039370078741" right="0.19685039370078741" top="0.39370078740157483" bottom="0.39370078740157483" header="0.39370078740157483" footer="0.19685039370078741"/>
  <pageSetup paperSize="9" scale="50" fitToHeight="0" orientation="landscape" r:id="rId1"/>
  <headerFooter>
    <oddFooter>&amp;R&amp;11&amp;A - &amp;P&amp;L詳細設計 - 生産実績一覧（コーヒーフィルタ）</oddFooter>
  </headerFooter>
  <extLst>
    <ext xmlns:x14="http://schemas.microsoft.com/office/spreadsheetml/2009/9/main" uri="{CCE6A557-97BC-4b89-ADB6-D9C93CAAB3DF}">
      <x14:dataValidations xmlns:xm="http://schemas.microsoft.com/office/excel/2006/main" count="3">
        <x14:dataValidation type="list" allowBlank="1" showInputMessage="1" showErrorMessage="1" xr:uid="{00000000-0002-0000-0000-000000000000}">
          <x14:formula1>
            <xm:f>マスタ!$B$2:$B$13</xm:f>
          </x14:formula1>
          <xm:sqref>E2</xm:sqref>
        </x14:dataValidation>
        <x14:dataValidation type="list" allowBlank="1" showInputMessage="1" showErrorMessage="1" xr:uid="{00000000-0002-0000-0000-000001000000}">
          <x14:formula1>
            <xm:f>マスタ!$A$2:$A$7</xm:f>
          </x14:formula1>
          <xm:sqref>A2:D2</xm:sqref>
        </x14:dataValidation>
        <x14:dataValidation type="list" allowBlank="1" showInputMessage="1" showErrorMessage="1" xr:uid="{00000000-0002-0000-0000-000002000000}">
          <x14:formula1>
            <xm:f>マスタ!$E$2:$E$9</xm:f>
          </x14:formula1>
          <xm:sqref>AP9:AR27</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F135"/>
  <sheetViews>
    <sheetView workbookViewId="0"/>
  </sheetViews>
  <sheetFormatPr defaultRowHeight="14.25"/>
  <cols>
    <col min="4" max="4" width="30.625" customWidth="1"/>
  </cols>
  <sheetData>
    <row r="1" spans="1:6">
      <c r="A1" t="s">
        <v>117</v>
      </c>
      <c r="B1" t="s">
        <v>118</v>
      </c>
      <c r="C1" t="s">
        <v>2</v>
      </c>
      <c r="D1" t="s">
        <v>119</v>
      </c>
      <c r="E1" t="s">
        <v>120</v>
      </c>
    </row>
    <row r="2" spans="1:6">
      <c r="A2" t="s">
        <v>121</v>
      </c>
      <c r="B2" t="s">
        <v>122</v>
      </c>
      <c r="C2" t="s">
        <v>123</v>
      </c>
      <c r="D2" t="s">
        <v>124</v>
      </c>
      <c r="E2" t="s">
        <v>125</v>
      </c>
    </row>
    <row r="3" spans="1:6">
      <c r="A3" t="s">
        <v>126</v>
      </c>
      <c r="B3" t="s">
        <v>127</v>
      </c>
      <c r="C3" t="s">
        <v>128</v>
      </c>
      <c r="D3" t="s">
        <v>129</v>
      </c>
      <c r="E3" t="s">
        <v>130</v>
      </c>
    </row>
    <row r="4" spans="1:6">
      <c r="A4" t="s">
        <v>131</v>
      </c>
      <c r="B4" t="s">
        <v>6</v>
      </c>
      <c r="C4" t="s">
        <v>132</v>
      </c>
      <c r="D4" t="s">
        <v>133</v>
      </c>
      <c r="E4" t="s">
        <v>46</v>
      </c>
    </row>
    <row r="5" spans="1:6">
      <c r="A5" t="s">
        <v>134</v>
      </c>
      <c r="B5" t="s">
        <v>135</v>
      </c>
      <c r="C5" t="s">
        <v>136</v>
      </c>
      <c r="D5" t="s">
        <v>137</v>
      </c>
      <c r="E5" t="s">
        <v>138</v>
      </c>
      <c r="F5" t="s">
        <v>139</v>
      </c>
    </row>
    <row r="6" spans="1:6">
      <c r="A6" t="s">
        <v>140</v>
      </c>
      <c r="B6" t="s">
        <v>141</v>
      </c>
      <c r="C6" t="s">
        <v>142</v>
      </c>
      <c r="D6" t="s">
        <v>143</v>
      </c>
      <c r="E6" t="s">
        <v>144</v>
      </c>
    </row>
    <row r="7" spans="1:6">
      <c r="A7" t="s">
        <v>145</v>
      </c>
      <c r="B7" t="s">
        <v>146</v>
      </c>
      <c r="C7" t="s">
        <v>147</v>
      </c>
      <c r="D7" t="s">
        <v>148</v>
      </c>
      <c r="E7" t="s">
        <v>149</v>
      </c>
    </row>
    <row r="8" spans="1:6">
      <c r="B8" t="s">
        <v>150</v>
      </c>
      <c r="C8" t="s">
        <v>151</v>
      </c>
      <c r="D8" t="s">
        <v>152</v>
      </c>
      <c r="E8" t="s">
        <v>153</v>
      </c>
    </row>
    <row r="9" spans="1:6">
      <c r="B9" t="s">
        <v>154</v>
      </c>
      <c r="C9" t="s">
        <v>155</v>
      </c>
      <c r="D9" t="s">
        <v>156</v>
      </c>
      <c r="E9" t="s">
        <v>157</v>
      </c>
    </row>
    <row r="10" spans="1:6">
      <c r="B10" t="s">
        <v>158</v>
      </c>
      <c r="C10" t="s">
        <v>159</v>
      </c>
      <c r="D10" t="s">
        <v>160</v>
      </c>
    </row>
    <row r="11" spans="1:6">
      <c r="B11" t="s">
        <v>161</v>
      </c>
      <c r="C11" t="s">
        <v>162</v>
      </c>
      <c r="D11" t="s">
        <v>163</v>
      </c>
    </row>
    <row r="12" spans="1:6">
      <c r="B12" t="s">
        <v>164</v>
      </c>
      <c r="C12" t="s">
        <v>165</v>
      </c>
      <c r="D12" t="s">
        <v>166</v>
      </c>
    </row>
    <row r="13" spans="1:6">
      <c r="B13" t="s">
        <v>167</v>
      </c>
      <c r="C13" t="s">
        <v>168</v>
      </c>
      <c r="D13" t="s">
        <v>169</v>
      </c>
    </row>
    <row r="14" spans="1:6">
      <c r="C14" t="s">
        <v>170</v>
      </c>
      <c r="D14" t="s">
        <v>171</v>
      </c>
    </row>
    <row r="15" spans="1:6">
      <c r="C15" t="s">
        <v>172</v>
      </c>
      <c r="D15" t="s">
        <v>173</v>
      </c>
    </row>
    <row r="16" spans="1:6">
      <c r="C16" t="s">
        <v>174</v>
      </c>
      <c r="D16" t="s">
        <v>175</v>
      </c>
    </row>
    <row r="17" spans="3:4">
      <c r="C17" t="s">
        <v>176</v>
      </c>
      <c r="D17" t="s">
        <v>177</v>
      </c>
    </row>
    <row r="18" spans="3:4">
      <c r="C18" t="s">
        <v>178</v>
      </c>
      <c r="D18" t="s">
        <v>179</v>
      </c>
    </row>
    <row r="19" spans="3:4">
      <c r="C19" t="s">
        <v>180</v>
      </c>
      <c r="D19" t="s">
        <v>181</v>
      </c>
    </row>
    <row r="20" spans="3:4">
      <c r="C20" t="s">
        <v>182</v>
      </c>
      <c r="D20" t="s">
        <v>183</v>
      </c>
    </row>
    <row r="21" spans="3:4">
      <c r="C21" t="s">
        <v>184</v>
      </c>
      <c r="D21" t="s">
        <v>185</v>
      </c>
    </row>
    <row r="22" spans="3:4">
      <c r="C22" t="s">
        <v>186</v>
      </c>
      <c r="D22" t="s">
        <v>187</v>
      </c>
    </row>
    <row r="23" spans="3:4">
      <c r="C23" t="s">
        <v>188</v>
      </c>
      <c r="D23" t="s">
        <v>189</v>
      </c>
    </row>
    <row r="24" spans="3:4">
      <c r="C24" t="s">
        <v>190</v>
      </c>
      <c r="D24" t="s">
        <v>191</v>
      </c>
    </row>
    <row r="25" spans="3:4">
      <c r="C25" t="s">
        <v>192</v>
      </c>
      <c r="D25" t="s">
        <v>193</v>
      </c>
    </row>
    <row r="26" spans="3:4">
      <c r="C26" t="s">
        <v>194</v>
      </c>
      <c r="D26" t="s">
        <v>195</v>
      </c>
    </row>
    <row r="27" spans="3:4">
      <c r="C27" t="s">
        <v>196</v>
      </c>
      <c r="D27" t="s">
        <v>197</v>
      </c>
    </row>
    <row r="28" spans="3:4">
      <c r="C28" t="s">
        <v>198</v>
      </c>
      <c r="D28" t="s">
        <v>199</v>
      </c>
    </row>
    <row r="29" spans="3:4">
      <c r="C29" t="s">
        <v>200</v>
      </c>
      <c r="D29" t="s">
        <v>201</v>
      </c>
    </row>
    <row r="30" spans="3:4">
      <c r="C30" t="s">
        <v>202</v>
      </c>
      <c r="D30" t="s">
        <v>203</v>
      </c>
    </row>
    <row r="31" spans="3:4">
      <c r="C31" t="s">
        <v>204</v>
      </c>
      <c r="D31" t="s">
        <v>205</v>
      </c>
    </row>
    <row r="32" spans="3:4">
      <c r="C32" t="s">
        <v>206</v>
      </c>
      <c r="D32" t="s">
        <v>207</v>
      </c>
    </row>
    <row r="33" spans="3:4">
      <c r="C33" t="s">
        <v>208</v>
      </c>
      <c r="D33" t="s">
        <v>209</v>
      </c>
    </row>
    <row r="34" spans="3:4">
      <c r="C34" t="s">
        <v>210</v>
      </c>
      <c r="D34" t="s">
        <v>211</v>
      </c>
    </row>
    <row r="35" spans="3:4">
      <c r="C35" t="s">
        <v>212</v>
      </c>
      <c r="D35" t="s">
        <v>213</v>
      </c>
    </row>
    <row r="36" spans="3:4">
      <c r="C36" t="s">
        <v>214</v>
      </c>
      <c r="D36" t="s">
        <v>215</v>
      </c>
    </row>
    <row r="37" spans="3:4">
      <c r="C37" t="s">
        <v>216</v>
      </c>
      <c r="D37" t="s">
        <v>217</v>
      </c>
    </row>
    <row r="38" spans="3:4">
      <c r="C38" t="s">
        <v>218</v>
      </c>
      <c r="D38" t="s">
        <v>219</v>
      </c>
    </row>
    <row r="39" spans="3:4">
      <c r="C39" t="s">
        <v>220</v>
      </c>
      <c r="D39" t="s">
        <v>221</v>
      </c>
    </row>
    <row r="40" spans="3:4">
      <c r="C40" t="s">
        <v>222</v>
      </c>
      <c r="D40" t="s">
        <v>223</v>
      </c>
    </row>
    <row r="41" spans="3:4">
      <c r="C41" t="s">
        <v>224</v>
      </c>
      <c r="D41" t="s">
        <v>225</v>
      </c>
    </row>
    <row r="42" spans="3:4">
      <c r="C42" t="s">
        <v>226</v>
      </c>
      <c r="D42" t="s">
        <v>227</v>
      </c>
    </row>
    <row r="43" spans="3:4">
      <c r="C43" t="s">
        <v>228</v>
      </c>
      <c r="D43" t="s">
        <v>229</v>
      </c>
    </row>
    <row r="44" spans="3:4">
      <c r="C44" t="s">
        <v>230</v>
      </c>
      <c r="D44" t="s">
        <v>231</v>
      </c>
    </row>
    <row r="45" spans="3:4">
      <c r="C45" t="s">
        <v>232</v>
      </c>
      <c r="D45" t="s">
        <v>233</v>
      </c>
    </row>
    <row r="46" spans="3:4">
      <c r="C46" t="s">
        <v>234</v>
      </c>
      <c r="D46" t="s">
        <v>235</v>
      </c>
    </row>
    <row r="47" spans="3:4">
      <c r="C47" t="s">
        <v>236</v>
      </c>
      <c r="D47" t="s">
        <v>237</v>
      </c>
    </row>
    <row r="48" spans="3:4">
      <c r="C48" t="s">
        <v>238</v>
      </c>
      <c r="D48" t="s">
        <v>239</v>
      </c>
    </row>
    <row r="49" spans="3:4">
      <c r="C49" t="s">
        <v>240</v>
      </c>
      <c r="D49" t="s">
        <v>241</v>
      </c>
    </row>
    <row r="50" spans="3:4">
      <c r="C50" t="s">
        <v>242</v>
      </c>
      <c r="D50" t="s">
        <v>243</v>
      </c>
    </row>
    <row r="51" spans="3:4">
      <c r="C51" t="s">
        <v>244</v>
      </c>
      <c r="D51" t="s">
        <v>245</v>
      </c>
    </row>
    <row r="52" spans="3:4">
      <c r="C52" t="s">
        <v>246</v>
      </c>
      <c r="D52" t="s">
        <v>247</v>
      </c>
    </row>
    <row r="53" spans="3:4">
      <c r="C53" t="s">
        <v>248</v>
      </c>
      <c r="D53" t="s">
        <v>249</v>
      </c>
    </row>
    <row r="54" spans="3:4">
      <c r="C54" t="s">
        <v>250</v>
      </c>
      <c r="D54" t="s">
        <v>251</v>
      </c>
    </row>
    <row r="55" spans="3:4">
      <c r="C55" t="s">
        <v>252</v>
      </c>
      <c r="D55" t="s">
        <v>253</v>
      </c>
    </row>
    <row r="56" spans="3:4">
      <c r="C56" t="s">
        <v>254</v>
      </c>
      <c r="D56" t="s">
        <v>255</v>
      </c>
    </row>
    <row r="57" spans="3:4">
      <c r="C57" t="s">
        <v>256</v>
      </c>
      <c r="D57" t="s">
        <v>257</v>
      </c>
    </row>
    <row r="58" spans="3:4">
      <c r="C58" t="s">
        <v>258</v>
      </c>
      <c r="D58" t="s">
        <v>259</v>
      </c>
    </row>
    <row r="59" spans="3:4">
      <c r="C59" t="s">
        <v>260</v>
      </c>
      <c r="D59" t="s">
        <v>261</v>
      </c>
    </row>
    <row r="60" spans="3:4">
      <c r="C60" t="s">
        <v>262</v>
      </c>
      <c r="D60" t="s">
        <v>263</v>
      </c>
    </row>
    <row r="61" spans="3:4">
      <c r="C61" t="s">
        <v>264</v>
      </c>
      <c r="D61" t="s">
        <v>265</v>
      </c>
    </row>
    <row r="62" spans="3:4">
      <c r="C62" t="s">
        <v>266</v>
      </c>
      <c r="D62" t="s">
        <v>267</v>
      </c>
    </row>
    <row r="63" spans="3:4">
      <c r="C63" t="s">
        <v>268</v>
      </c>
      <c r="D63" t="s">
        <v>269</v>
      </c>
    </row>
    <row r="64" spans="3:4">
      <c r="C64" t="s">
        <v>270</v>
      </c>
      <c r="D64" t="s">
        <v>271</v>
      </c>
    </row>
    <row r="65" spans="3:4">
      <c r="C65" t="s">
        <v>272</v>
      </c>
      <c r="D65" t="s">
        <v>273</v>
      </c>
    </row>
    <row r="66" spans="3:4">
      <c r="C66" t="s">
        <v>274</v>
      </c>
      <c r="D66" t="s">
        <v>275</v>
      </c>
    </row>
    <row r="67" spans="3:4">
      <c r="C67" t="s">
        <v>276</v>
      </c>
      <c r="D67" t="s">
        <v>277</v>
      </c>
    </row>
    <row r="68" spans="3:4">
      <c r="C68" t="s">
        <v>278</v>
      </c>
      <c r="D68" t="s">
        <v>279</v>
      </c>
    </row>
    <row r="69" spans="3:4">
      <c r="C69" t="s">
        <v>280</v>
      </c>
      <c r="D69" t="s">
        <v>281</v>
      </c>
    </row>
    <row r="70" spans="3:4">
      <c r="C70" t="s">
        <v>282</v>
      </c>
      <c r="D70" t="s">
        <v>283</v>
      </c>
    </row>
    <row r="71" spans="3:4">
      <c r="C71" t="s">
        <v>284</v>
      </c>
      <c r="D71" t="s">
        <v>285</v>
      </c>
    </row>
    <row r="72" spans="3:4">
      <c r="C72" t="s">
        <v>286</v>
      </c>
      <c r="D72" t="s">
        <v>287</v>
      </c>
    </row>
    <row r="73" spans="3:4">
      <c r="C73" t="s">
        <v>288</v>
      </c>
      <c r="D73" t="s">
        <v>289</v>
      </c>
    </row>
    <row r="74" spans="3:4">
      <c r="C74" t="s">
        <v>290</v>
      </c>
      <c r="D74" t="s">
        <v>291</v>
      </c>
    </row>
    <row r="75" spans="3:4">
      <c r="C75" t="s">
        <v>292</v>
      </c>
      <c r="D75" t="s">
        <v>293</v>
      </c>
    </row>
    <row r="76" spans="3:4">
      <c r="C76" t="s">
        <v>294</v>
      </c>
      <c r="D76" t="s">
        <v>295</v>
      </c>
    </row>
    <row r="77" spans="3:4">
      <c r="C77" t="s">
        <v>296</v>
      </c>
      <c r="D77" t="s">
        <v>297</v>
      </c>
    </row>
    <row r="78" spans="3:4">
      <c r="C78" t="s">
        <v>298</v>
      </c>
      <c r="D78" t="s">
        <v>299</v>
      </c>
    </row>
    <row r="79" spans="3:4">
      <c r="C79" t="s">
        <v>300</v>
      </c>
      <c r="D79" t="s">
        <v>301</v>
      </c>
    </row>
    <row r="80" spans="3:4">
      <c r="C80" t="s">
        <v>302</v>
      </c>
      <c r="D80" t="s">
        <v>303</v>
      </c>
    </row>
    <row r="81" spans="3:4">
      <c r="C81" t="s">
        <v>304</v>
      </c>
      <c r="D81" t="s">
        <v>305</v>
      </c>
    </row>
    <row r="82" spans="3:4">
      <c r="C82" t="s">
        <v>306</v>
      </c>
      <c r="D82" t="s">
        <v>307</v>
      </c>
    </row>
    <row r="83" spans="3:4">
      <c r="C83" t="s">
        <v>308</v>
      </c>
      <c r="D83" t="s">
        <v>309</v>
      </c>
    </row>
    <row r="84" spans="3:4">
      <c r="C84" t="s">
        <v>310</v>
      </c>
      <c r="D84" t="s">
        <v>311</v>
      </c>
    </row>
    <row r="85" spans="3:4">
      <c r="C85" t="s">
        <v>312</v>
      </c>
      <c r="D85" t="s">
        <v>313</v>
      </c>
    </row>
    <row r="86" spans="3:4">
      <c r="C86" t="s">
        <v>314</v>
      </c>
      <c r="D86" t="s">
        <v>315</v>
      </c>
    </row>
    <row r="87" spans="3:4">
      <c r="C87" t="s">
        <v>316</v>
      </c>
      <c r="D87" t="s">
        <v>317</v>
      </c>
    </row>
    <row r="88" spans="3:4">
      <c r="C88" t="s">
        <v>318</v>
      </c>
      <c r="D88" t="s">
        <v>319</v>
      </c>
    </row>
    <row r="89" spans="3:4">
      <c r="C89" t="s">
        <v>320</v>
      </c>
      <c r="D89" t="s">
        <v>321</v>
      </c>
    </row>
    <row r="90" spans="3:4">
      <c r="C90" t="s">
        <v>322</v>
      </c>
      <c r="D90" t="s">
        <v>323</v>
      </c>
    </row>
    <row r="91" spans="3:4">
      <c r="C91" t="s">
        <v>320</v>
      </c>
      <c r="D91" t="s">
        <v>324</v>
      </c>
    </row>
    <row r="92" spans="3:4">
      <c r="C92" t="s">
        <v>325</v>
      </c>
      <c r="D92" t="s">
        <v>326</v>
      </c>
    </row>
    <row r="93" spans="3:4">
      <c r="C93" t="s">
        <v>327</v>
      </c>
      <c r="D93" t="s">
        <v>328</v>
      </c>
    </row>
    <row r="94" spans="3:4">
      <c r="C94" t="s">
        <v>329</v>
      </c>
      <c r="D94" t="s">
        <v>330</v>
      </c>
    </row>
    <row r="95" spans="3:4">
      <c r="C95" t="s">
        <v>331</v>
      </c>
      <c r="D95" t="s">
        <v>332</v>
      </c>
    </row>
    <row r="96" spans="3:4">
      <c r="C96" t="s">
        <v>333</v>
      </c>
      <c r="D96" t="s">
        <v>334</v>
      </c>
    </row>
    <row r="97" spans="3:4">
      <c r="C97" t="s">
        <v>335</v>
      </c>
      <c r="D97" t="s">
        <v>336</v>
      </c>
    </row>
    <row r="98" spans="3:4">
      <c r="C98" t="s">
        <v>337</v>
      </c>
      <c r="D98" t="s">
        <v>338</v>
      </c>
    </row>
    <row r="99" spans="3:4">
      <c r="C99" t="s">
        <v>339</v>
      </c>
      <c r="D99" t="s">
        <v>340</v>
      </c>
    </row>
    <row r="100" spans="3:4">
      <c r="C100" t="s">
        <v>341</v>
      </c>
      <c r="D100" t="s">
        <v>342</v>
      </c>
    </row>
    <row r="101" spans="3:4">
      <c r="C101" t="s">
        <v>343</v>
      </c>
      <c r="D101" t="s">
        <v>344</v>
      </c>
    </row>
    <row r="102" spans="3:4">
      <c r="C102" t="s">
        <v>345</v>
      </c>
      <c r="D102" t="s">
        <v>346</v>
      </c>
    </row>
    <row r="103" spans="3:4">
      <c r="C103" t="s">
        <v>347</v>
      </c>
      <c r="D103" t="s">
        <v>348</v>
      </c>
    </row>
    <row r="104" spans="3:4">
      <c r="C104" t="s">
        <v>349</v>
      </c>
      <c r="D104" t="s">
        <v>350</v>
      </c>
    </row>
    <row r="105" spans="3:4">
      <c r="C105" t="s">
        <v>351</v>
      </c>
      <c r="D105" t="s">
        <v>352</v>
      </c>
    </row>
    <row r="106" spans="3:4">
      <c r="C106" t="s">
        <v>353</v>
      </c>
      <c r="D106" t="s">
        <v>354</v>
      </c>
    </row>
    <row r="107" spans="3:4">
      <c r="C107" t="s">
        <v>355</v>
      </c>
      <c r="D107" t="s">
        <v>356</v>
      </c>
    </row>
    <row r="108" spans="3:4">
      <c r="C108" t="s">
        <v>357</v>
      </c>
      <c r="D108" t="s">
        <v>358</v>
      </c>
    </row>
    <row r="109" spans="3:4">
      <c r="C109" t="s">
        <v>359</v>
      </c>
      <c r="D109" t="s">
        <v>360</v>
      </c>
    </row>
    <row r="110" spans="3:4">
      <c r="C110" t="s">
        <v>361</v>
      </c>
      <c r="D110" t="s">
        <v>362</v>
      </c>
    </row>
    <row r="111" spans="3:4">
      <c r="C111" t="s">
        <v>363</v>
      </c>
      <c r="D111" t="s">
        <v>364</v>
      </c>
    </row>
    <row r="112" spans="3:4">
      <c r="C112" t="s">
        <v>365</v>
      </c>
      <c r="D112" t="s">
        <v>366</v>
      </c>
    </row>
    <row r="113" spans="3:4">
      <c r="C113" t="s">
        <v>367</v>
      </c>
      <c r="D113" t="s">
        <v>368</v>
      </c>
    </row>
    <row r="114" spans="3:4">
      <c r="C114" t="s">
        <v>369</v>
      </c>
      <c r="D114" t="s">
        <v>370</v>
      </c>
    </row>
    <row r="115" spans="3:4">
      <c r="C115" t="s">
        <v>371</v>
      </c>
      <c r="D115" t="s">
        <v>372</v>
      </c>
    </row>
    <row r="116" spans="3:4">
      <c r="C116" t="s">
        <v>373</v>
      </c>
      <c r="D116" t="s">
        <v>374</v>
      </c>
    </row>
    <row r="117" spans="3:4">
      <c r="C117" t="s">
        <v>375</v>
      </c>
      <c r="D117" t="s">
        <v>376</v>
      </c>
    </row>
    <row r="118" spans="3:4">
      <c r="C118" t="s">
        <v>377</v>
      </c>
      <c r="D118" t="s">
        <v>378</v>
      </c>
    </row>
    <row r="119" spans="3:4">
      <c r="C119" t="s">
        <v>379</v>
      </c>
      <c r="D119" t="s">
        <v>380</v>
      </c>
    </row>
    <row r="120" spans="3:4">
      <c r="C120" t="s">
        <v>381</v>
      </c>
      <c r="D120" t="s">
        <v>382</v>
      </c>
    </row>
    <row r="121" spans="3:4">
      <c r="C121" t="s">
        <v>383</v>
      </c>
      <c r="D121" t="s">
        <v>384</v>
      </c>
    </row>
    <row r="122" spans="3:4">
      <c r="C122" t="s">
        <v>385</v>
      </c>
      <c r="D122" t="s">
        <v>386</v>
      </c>
    </row>
    <row r="123" spans="3:4">
      <c r="C123" t="s">
        <v>387</v>
      </c>
      <c r="D123" t="s">
        <v>388</v>
      </c>
    </row>
    <row r="124" spans="3:4">
      <c r="C124" t="s">
        <v>389</v>
      </c>
      <c r="D124" t="s">
        <v>390</v>
      </c>
    </row>
    <row r="125" spans="3:4">
      <c r="C125" t="s">
        <v>391</v>
      </c>
      <c r="D125" t="s">
        <v>392</v>
      </c>
    </row>
    <row r="126" spans="3:4">
      <c r="C126" t="s">
        <v>393</v>
      </c>
      <c r="D126" t="s">
        <v>394</v>
      </c>
    </row>
    <row r="127" spans="3:4">
      <c r="C127" t="s">
        <v>395</v>
      </c>
      <c r="D127" t="s">
        <v>396</v>
      </c>
    </row>
    <row r="128" spans="3:4">
      <c r="C128" t="s">
        <v>397</v>
      </c>
      <c r="D128" t="s">
        <v>398</v>
      </c>
    </row>
    <row r="129" spans="3:4">
      <c r="C129" t="s">
        <v>399</v>
      </c>
      <c r="D129" t="s">
        <v>400</v>
      </c>
    </row>
    <row r="130" spans="3:4">
      <c r="C130" t="s">
        <v>401</v>
      </c>
      <c r="D130" t="s">
        <v>402</v>
      </c>
    </row>
    <row r="131" spans="3:4">
      <c r="C131" t="s">
        <v>403</v>
      </c>
      <c r="D131" t="s">
        <v>404</v>
      </c>
    </row>
    <row r="132" spans="3:4">
      <c r="C132" t="s">
        <v>405</v>
      </c>
      <c r="D132" t="s">
        <v>406</v>
      </c>
    </row>
    <row r="133" spans="3:4">
      <c r="C133" t="s">
        <v>407</v>
      </c>
      <c r="D133" t="s">
        <v>408</v>
      </c>
    </row>
    <row r="134" spans="3:4">
      <c r="C134" t="s">
        <v>409</v>
      </c>
      <c r="D134" t="s">
        <v>410</v>
      </c>
    </row>
    <row r="135" spans="3:4">
      <c r="C135" t="s">
        <v>411</v>
      </c>
      <c r="D135" t="s">
        <v>412</v>
      </c>
    </row>
  </sheetData>
  <phoneticPr fontId="2"/>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B2:C25"/>
  <sheetViews>
    <sheetView showGridLines="0" zoomScaleNormal="100" zoomScaleSheetLayoutView="80" zoomScalePageLayoutView="80" workbookViewId="0"/>
  </sheetViews>
  <sheetFormatPr defaultColWidth="7.375" defaultRowHeight="15.75"/>
  <cols>
    <col min="1" max="1" width="2.125" style="15" customWidth="1"/>
    <col min="2" max="2" width="24" style="15" customWidth="1"/>
    <col min="3" max="3" width="80.625" style="15" customWidth="1"/>
    <col min="4" max="16384" width="7.375" style="15"/>
  </cols>
  <sheetData>
    <row r="2" spans="2:3">
      <c r="B2" s="13" t="s">
        <v>413</v>
      </c>
      <c r="C2" s="14" t="s">
        <v>414</v>
      </c>
    </row>
    <row r="3" spans="2:3">
      <c r="B3" s="27" t="s">
        <v>413</v>
      </c>
      <c r="C3" s="28" t="s">
        <v>415</v>
      </c>
    </row>
    <row r="4" spans="2:3" ht="30" customHeight="1">
      <c r="B4" s="34" t="s">
        <v>416</v>
      </c>
      <c r="C4" s="20" t="s">
        <v>417</v>
      </c>
    </row>
    <row r="5" spans="2:3" ht="30" customHeight="1">
      <c r="B5" s="23" t="s">
        <v>418</v>
      </c>
      <c r="C5" s="29" t="s">
        <v>419</v>
      </c>
    </row>
    <row r="6" spans="2:3" ht="30" customHeight="1">
      <c r="B6" s="23" t="s">
        <v>420</v>
      </c>
      <c r="C6" s="29" t="s">
        <v>421</v>
      </c>
    </row>
    <row r="7" spans="2:3" ht="30" customHeight="1">
      <c r="B7" s="22" t="s">
        <v>422</v>
      </c>
      <c r="C7" s="22" t="s">
        <v>423</v>
      </c>
    </row>
    <row r="8" spans="2:3" ht="30" customHeight="1">
      <c r="B8" s="22" t="s">
        <v>424</v>
      </c>
      <c r="C8" s="22" t="s">
        <v>425</v>
      </c>
    </row>
    <row r="9" spans="2:3" ht="30" customHeight="1">
      <c r="B9" s="23" t="s">
        <v>426</v>
      </c>
      <c r="C9" s="29" t="s">
        <v>427</v>
      </c>
    </row>
    <row r="10" spans="2:3" ht="30" customHeight="1">
      <c r="B10" s="24" t="s">
        <v>428</v>
      </c>
      <c r="C10" s="24" t="s">
        <v>429</v>
      </c>
    </row>
    <row r="11" spans="2:3" ht="30" customHeight="1">
      <c r="B11" s="23" t="s">
        <v>430</v>
      </c>
      <c r="C11" s="24" t="s">
        <v>431</v>
      </c>
    </row>
    <row r="12" spans="2:3" ht="30" customHeight="1">
      <c r="B12" s="21" t="s">
        <v>432</v>
      </c>
      <c r="C12" s="24" t="s">
        <v>433</v>
      </c>
    </row>
    <row r="13" spans="2:3" ht="30" customHeight="1">
      <c r="B13" s="23"/>
      <c r="C13" s="24"/>
    </row>
    <row r="14" spans="2:3" ht="30" customHeight="1">
      <c r="B14" s="23"/>
      <c r="C14" s="24"/>
    </row>
    <row r="15" spans="2:3" ht="30" customHeight="1">
      <c r="B15" s="23"/>
      <c r="C15" s="22"/>
    </row>
    <row r="16" spans="2:3" ht="30" customHeight="1">
      <c r="B16" s="23"/>
      <c r="C16" s="24"/>
    </row>
    <row r="17" spans="2:3" ht="30" customHeight="1">
      <c r="B17" s="24"/>
      <c r="C17" s="24"/>
    </row>
    <row r="18" spans="2:3" ht="30" customHeight="1">
      <c r="B18" s="22"/>
      <c r="C18" s="24"/>
    </row>
    <row r="19" spans="2:3" ht="30" customHeight="1">
      <c r="B19" s="24"/>
      <c r="C19" s="24"/>
    </row>
    <row r="20" spans="2:3" ht="30" customHeight="1">
      <c r="B20" s="24"/>
      <c r="C20" s="24"/>
    </row>
    <row r="21" spans="2:3" ht="30" customHeight="1">
      <c r="B21" s="24"/>
      <c r="C21" s="24"/>
    </row>
    <row r="22" spans="2:3" ht="30" customHeight="1">
      <c r="B22" s="22"/>
      <c r="C22" s="24"/>
    </row>
    <row r="23" spans="2:3" ht="30" customHeight="1">
      <c r="B23" s="24"/>
      <c r="C23" s="24"/>
    </row>
    <row r="24" spans="2:3" ht="30" customHeight="1">
      <c r="B24" s="30"/>
      <c r="C24" s="30"/>
    </row>
    <row r="25" spans="2:3" ht="16.5">
      <c r="B25" s="25" t="s">
        <v>434</v>
      </c>
      <c r="C25" s="26"/>
    </row>
  </sheetData>
  <phoneticPr fontId="2"/>
  <dataValidations count="1">
    <dataValidation type="textLength" operator="lessThanOrEqual" allowBlank="1" showInputMessage="1" showErrorMessage="1" sqref="B18:B24 B4:C17" xr:uid="{00000000-0002-0000-02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dimension ref="B2:D26"/>
  <sheetViews>
    <sheetView showGridLines="0" zoomScaleNormal="100" zoomScaleSheetLayoutView="80" zoomScalePageLayoutView="80" workbookViewId="0">
      <selection activeCell="C5" sqref="C5"/>
    </sheetView>
  </sheetViews>
  <sheetFormatPr defaultColWidth="7.375" defaultRowHeight="15.75"/>
  <cols>
    <col min="1" max="1" width="2.125" style="15" customWidth="1"/>
    <col min="2" max="3" width="24" style="15" customWidth="1"/>
    <col min="4" max="4" width="80.625" style="15" customWidth="1"/>
    <col min="5" max="16384" width="7.375" style="15"/>
  </cols>
  <sheetData>
    <row r="2" spans="2:4">
      <c r="B2" s="13" t="s">
        <v>435</v>
      </c>
      <c r="C2" s="13"/>
      <c r="D2" s="14" t="s">
        <v>414</v>
      </c>
    </row>
    <row r="3" spans="2:4">
      <c r="B3" s="16" t="s">
        <v>436</v>
      </c>
      <c r="C3" s="88" t="s">
        <v>437</v>
      </c>
      <c r="D3" s="88"/>
    </row>
    <row r="4" spans="2:4">
      <c r="B4" s="17" t="s">
        <v>34</v>
      </c>
      <c r="C4" s="18" t="s">
        <v>35</v>
      </c>
      <c r="D4" s="19" t="s">
        <v>438</v>
      </c>
    </row>
    <row r="5" spans="2:4" ht="30" customHeight="1">
      <c r="B5" s="34" t="s">
        <v>439</v>
      </c>
      <c r="C5" s="20" t="s">
        <v>440</v>
      </c>
      <c r="D5" s="20" t="s">
        <v>417</v>
      </c>
    </row>
    <row r="6" spans="2:4" ht="30" customHeight="1">
      <c r="B6" s="23" t="s">
        <v>439</v>
      </c>
      <c r="C6" s="29" t="s">
        <v>441</v>
      </c>
      <c r="D6" s="24" t="s">
        <v>442</v>
      </c>
    </row>
    <row r="7" spans="2:4" ht="30" customHeight="1">
      <c r="B7" s="23" t="s">
        <v>439</v>
      </c>
      <c r="C7" s="29" t="s">
        <v>443</v>
      </c>
      <c r="D7" s="24" t="s">
        <v>444</v>
      </c>
    </row>
    <row r="8" spans="2:4" ht="30" customHeight="1">
      <c r="B8" s="23" t="s">
        <v>439</v>
      </c>
      <c r="C8" s="29" t="s">
        <v>445</v>
      </c>
      <c r="D8" s="24" t="s">
        <v>446</v>
      </c>
    </row>
    <row r="9" spans="2:4" ht="30" customHeight="1">
      <c r="B9" s="23" t="s">
        <v>439</v>
      </c>
      <c r="C9" s="22" t="s">
        <v>447</v>
      </c>
      <c r="D9" s="24" t="s">
        <v>448</v>
      </c>
    </row>
    <row r="10" spans="2:4" ht="30" customHeight="1">
      <c r="B10" s="23" t="s">
        <v>439</v>
      </c>
      <c r="C10" s="22" t="s">
        <v>449</v>
      </c>
      <c r="D10" s="24" t="s">
        <v>450</v>
      </c>
    </row>
    <row r="11" spans="2:4" ht="30" customHeight="1">
      <c r="B11" s="23" t="s">
        <v>451</v>
      </c>
      <c r="C11" s="29" t="s">
        <v>452</v>
      </c>
      <c r="D11" s="24" t="s">
        <v>453</v>
      </c>
    </row>
    <row r="12" spans="2:4" ht="30" customHeight="1">
      <c r="B12" s="23" t="s">
        <v>454</v>
      </c>
      <c r="C12" s="22" t="s">
        <v>455</v>
      </c>
      <c r="D12" s="24" t="s">
        <v>456</v>
      </c>
    </row>
    <row r="13" spans="2:4" ht="30" customHeight="1">
      <c r="B13" s="23" t="s">
        <v>457</v>
      </c>
      <c r="C13" s="24" t="s">
        <v>458</v>
      </c>
      <c r="D13" s="24" t="s">
        <v>459</v>
      </c>
    </row>
    <row r="14" spans="2:4" ht="30" customHeight="1">
      <c r="B14" s="23" t="s">
        <v>460</v>
      </c>
      <c r="C14" s="24" t="s">
        <v>461</v>
      </c>
      <c r="D14" s="24" t="s">
        <v>462</v>
      </c>
    </row>
    <row r="15" spans="2:4" ht="30" customHeight="1">
      <c r="B15" s="23" t="s">
        <v>463</v>
      </c>
      <c r="C15" s="24" t="s">
        <v>464</v>
      </c>
      <c r="D15" s="24" t="s">
        <v>465</v>
      </c>
    </row>
    <row r="16" spans="2:4" ht="30" customHeight="1">
      <c r="B16" s="23" t="s">
        <v>466</v>
      </c>
      <c r="C16" s="24" t="s">
        <v>467</v>
      </c>
      <c r="D16" s="24" t="s">
        <v>468</v>
      </c>
    </row>
    <row r="17" spans="2:4" ht="30" customHeight="1">
      <c r="B17" s="23" t="s">
        <v>469</v>
      </c>
      <c r="C17" s="22" t="s">
        <v>470</v>
      </c>
      <c r="D17" s="24" t="s">
        <v>471</v>
      </c>
    </row>
    <row r="18" spans="2:4" ht="30" customHeight="1">
      <c r="B18" s="23" t="s">
        <v>469</v>
      </c>
      <c r="C18" s="24" t="s">
        <v>472</v>
      </c>
      <c r="D18" s="24" t="s">
        <v>473</v>
      </c>
    </row>
    <row r="19" spans="2:4" ht="30" customHeight="1">
      <c r="B19" s="24" t="s">
        <v>474</v>
      </c>
      <c r="C19" s="24" t="s">
        <v>475</v>
      </c>
      <c r="D19" s="24" t="s">
        <v>476</v>
      </c>
    </row>
    <row r="20" spans="2:4" ht="30" customHeight="1">
      <c r="B20" s="22" t="s">
        <v>477</v>
      </c>
      <c r="C20" s="22" t="s">
        <v>478</v>
      </c>
      <c r="D20" s="24" t="s">
        <v>431</v>
      </c>
    </row>
    <row r="21" spans="2:4" ht="30" customHeight="1">
      <c r="B21" s="22" t="s">
        <v>479</v>
      </c>
      <c r="C21" s="22" t="s">
        <v>480</v>
      </c>
      <c r="D21" s="24" t="s">
        <v>481</v>
      </c>
    </row>
    <row r="22" spans="2:4" ht="30" customHeight="1">
      <c r="B22" s="24"/>
      <c r="C22" s="24"/>
      <c r="D22" s="24"/>
    </row>
    <row r="23" spans="2:4" ht="30" customHeight="1">
      <c r="B23" s="22"/>
      <c r="C23" s="22"/>
      <c r="D23" s="24"/>
    </row>
    <row r="24" spans="2:4" ht="30" customHeight="1">
      <c r="B24" s="24"/>
      <c r="C24" s="24"/>
      <c r="D24" s="24"/>
    </row>
    <row r="25" spans="2:4" ht="30" customHeight="1">
      <c r="B25" s="30"/>
      <c r="C25" s="30"/>
      <c r="D25" s="30"/>
    </row>
    <row r="26" spans="2:4" ht="16.5">
      <c r="B26" s="25" t="s">
        <v>434</v>
      </c>
      <c r="C26" s="31"/>
      <c r="D26" s="26"/>
    </row>
  </sheetData>
  <mergeCells count="1">
    <mergeCell ref="C3:D3"/>
  </mergeCells>
  <phoneticPr fontId="2"/>
  <dataValidations count="1">
    <dataValidation type="textLength" operator="lessThanOrEqual" allowBlank="1" showInputMessage="1" showErrorMessage="1" sqref="D20 B5:C25 D5" xr:uid="{00000000-0002-0000-0300-000000000000}">
      <formula1>40</formula1>
    </dataValidation>
  </dataValidations>
  <pageMargins left="0.27559055118110237" right="0.27559055118110237" top="0.39370078740157483" bottom="0.35433070866141736" header="0.39370078740157483" footer="0.39370078740157483"/>
  <pageSetup paperSize="9" scale="75" orientation="landscape" r:id="rId1"/>
  <headerFooter>
    <oddFooter>&amp;L&amp;"Meiryo UI,標準"FUJITSU CONFIDENTIAL&amp;R&amp;"Meiryo UI,標準"All Rights Reserved, Copyright (C) 富士通株式会社 2017</oddFooter>
  </headerFooter>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44fe4817-1a8c-4f6d-9a7a-15a2f9c2ceea">
      <Terms xmlns="http://schemas.microsoft.com/office/infopath/2007/PartnerControls"/>
    </lcf76f155ced4ddcb4097134ff3c332f>
    <TaxCatchAll xmlns="2ad01a7e-b0cc-482e-be0b-d1161c9cb6dd" xsi:nil="true"/>
  </documentManagement>
</p:properties>
</file>

<file path=customXml/item3.xml><?xml version="1.0" encoding="utf-8"?>
<ct:contentTypeSchema xmlns:ct="http://schemas.microsoft.com/office/2006/metadata/contentType" xmlns:ma="http://schemas.microsoft.com/office/2006/metadata/properties/metaAttributes" ct:_="" ma:_="" ma:contentTypeName="ドキュメント" ma:contentTypeID="0x01010008FF3A34676D824697E700815E8AA6A8" ma:contentTypeVersion="13" ma:contentTypeDescription="新しいドキュメントを作成します。" ma:contentTypeScope="" ma:versionID="ddf6ee8e52445465c0a7404d1205d416">
  <xsd:schema xmlns:xsd="http://www.w3.org/2001/XMLSchema" xmlns:xs="http://www.w3.org/2001/XMLSchema" xmlns:p="http://schemas.microsoft.com/office/2006/metadata/properties" xmlns:ns2="44fe4817-1a8c-4f6d-9a7a-15a2f9c2ceea" xmlns:ns3="2ad01a7e-b0cc-482e-be0b-d1161c9cb6dd" targetNamespace="http://schemas.microsoft.com/office/2006/metadata/properties" ma:root="true" ma:fieldsID="f446b65a1e89f5a19241f3a45b467c8a" ns2:_="" ns3:_="">
    <xsd:import namespace="44fe4817-1a8c-4f6d-9a7a-15a2f9c2ceea"/>
    <xsd:import namespace="2ad01a7e-b0cc-482e-be0b-d1161c9cb6dd"/>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lcf76f155ced4ddcb4097134ff3c332f" minOccurs="0"/>
                <xsd:element ref="ns3:TaxCatchAll" minOccurs="0"/>
                <xsd:element ref="ns2:MediaServiceObjectDetectorVersions" minOccurs="0"/>
                <xsd:element ref="ns2:MediaServiceOCR" minOccurs="0"/>
                <xsd:element ref="ns2:MediaServiceGenerationTime" minOccurs="0"/>
                <xsd:element ref="ns2:MediaServiceEventHashCode"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44fe4817-1a8c-4f6d-9a7a-15a2f9c2ceea"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3" nillable="true" ma:taxonomy="true" ma:internalName="lcf76f155ced4ddcb4097134ff3c332f" ma:taxonomyFieldName="MediaServiceImageTags" ma:displayName="画像タグ" ma:readOnly="false" ma:fieldId="{5cf76f15-5ced-4ddc-b409-7134ff3c332f}" ma:taxonomyMulti="true" ma:sspId="9af9b40b-1e02-41df-a02a-f7cdeb5c05da" ma:termSetId="09814cd3-568e-fe90-9814-8d621ff8fb84" ma:anchorId="fba54fb3-c3e1-fe81-a776-ca4b69148c4d" ma:open="true" ma:isKeyword="false">
      <xsd:complexType>
        <xsd:sequence>
          <xsd:element ref="pc:Terms" minOccurs="0" maxOccurs="1"/>
        </xsd:sequence>
      </xsd:complexType>
    </xsd:element>
    <xsd:element name="MediaServiceObjectDetectorVersions" ma:index="15" nillable="true" ma:displayName="MediaServiceObjectDetectorVersions" ma:hidden="true" ma:indexed="true" ma:internalName="MediaServiceObjectDetectorVersions" ma:readOnly="true">
      <xsd:simpleType>
        <xsd:restriction base="dms:Text"/>
      </xsd:simpleType>
    </xsd:element>
    <xsd:element name="MediaServiceOCR" ma:index="16" nillable="true" ma:displayName="Extracted Text" ma:internalName="MediaServiceOCR" ma:readOnly="true">
      <xsd:simpleType>
        <xsd:restriction base="dms:Note">
          <xsd:maxLength value="255"/>
        </xsd:restriction>
      </xsd:simpleType>
    </xsd:element>
    <xsd:element name="MediaServiceGenerationTime" ma:index="17" nillable="true" ma:displayName="MediaServiceGenerationTime" ma:hidden="true" ma:internalName="MediaServiceGenerationTime" ma:readOnly="true">
      <xsd:simpleType>
        <xsd:restriction base="dms:Text"/>
      </xsd:simpleType>
    </xsd:element>
    <xsd:element name="MediaServiceEventHashCode" ma:index="18" nillable="true" ma:displayName="MediaServiceEventHashCode" ma:hidden="true" ma:internalName="MediaServiceEventHashCode" ma:readOnly="true">
      <xsd:simpleType>
        <xsd:restriction base="dms:Text"/>
      </xsd:simpleType>
    </xsd:element>
    <xsd:element name="MediaServiceDateTaken" ma:index="19" nillable="true" ma:displayName="MediaServiceDateTaken" ma:hidden="true" ma:indexed="true" ma:internalName="MediaServiceDateTaken" ma:readOnly="true">
      <xsd:simpleType>
        <xsd:restriction base="dms:Text"/>
      </xsd:simpleType>
    </xsd:element>
    <xsd:element name="MediaLengthInSeconds" ma:index="20" nillable="true" ma:displayName="MediaLengthInSeconds" ma:hidden="true" ma:internalName="MediaLengthInSeconds" ma:readOnly="true">
      <xsd:simpleType>
        <xsd:restriction base="dms:Unknown"/>
      </xsd:simpleType>
    </xsd:element>
  </xsd:schema>
  <xsd:schema xmlns:xsd="http://www.w3.org/2001/XMLSchema" xmlns:xs="http://www.w3.org/2001/XMLSchema" xmlns:dms="http://schemas.microsoft.com/office/2006/documentManagement/types" xmlns:pc="http://schemas.microsoft.com/office/infopath/2007/PartnerControls" targetNamespace="2ad01a7e-b0cc-482e-be0b-d1161c9cb6dd" elementFormDefault="qualified">
    <xsd:import namespace="http://schemas.microsoft.com/office/2006/documentManagement/types"/>
    <xsd:import namespace="http://schemas.microsoft.com/office/infopath/2007/PartnerControls"/>
    <xsd:element name="SharedWithUsers" ma:index="10" nillable="true" ma:displayName="共有相手"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共有相手の詳細情報" ma:internalName="SharedWithDetails" ma:readOnly="true">
      <xsd:simpleType>
        <xsd:restriction base="dms:Note">
          <xsd:maxLength value="255"/>
        </xsd:restriction>
      </xsd:simpleType>
    </xsd:element>
    <xsd:element name="TaxCatchAll" ma:index="14" nillable="true" ma:displayName="Taxonomy Catch All Column" ma:hidden="true" ma:list="{cf23d7e2-ce68-4abd-b181-8ce7ce528754}" ma:internalName="TaxCatchAll" ma:showField="CatchAllData" ma:web="2ad01a7e-b0cc-482e-be0b-d1161c9cb6dd">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コンテンツ タイプ"/>
        <xsd:element ref="dc:title" minOccurs="0" maxOccurs="1" ma:index="4" ma:displayName="タイトル"/>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5417E360-9BDB-4D98-A36D-0E33E6E4AD81}"/>
</file>

<file path=customXml/itemProps2.xml><?xml version="1.0" encoding="utf-8"?>
<ds:datastoreItem xmlns:ds="http://schemas.openxmlformats.org/officeDocument/2006/customXml" ds:itemID="{42BFFD2E-9D0D-46DF-9BFC-3133369B5367}"/>
</file>

<file path=customXml/itemProps3.xml><?xml version="1.0" encoding="utf-8"?>
<ds:datastoreItem xmlns:ds="http://schemas.openxmlformats.org/officeDocument/2006/customXml" ds:itemID="{8D4CDBC7-E39A-4836-ACFB-CDA39BA2C778}"/>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末永 健治</dc:creator>
  <cp:keywords/>
  <dc:description/>
  <cp:lastModifiedBy>下井蓮生</cp:lastModifiedBy>
  <cp:revision/>
  <dcterms:created xsi:type="dcterms:W3CDTF">2022-11-02T07:26:10Z</dcterms:created>
  <dcterms:modified xsi:type="dcterms:W3CDTF">2023-12-04T06:03:26Z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0x01010008FF3A34676D824697E700815E8AA6A8</vt:lpwstr>
  </property>
  <property fmtid="{D5CDD505-2E9C-101B-9397-08002B2CF9AE}" pid="3" name="MediaServiceImageTags">
    <vt:lpwstr/>
  </property>
</Properties>
</file>