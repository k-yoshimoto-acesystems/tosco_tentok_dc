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103" codeName="{00000000-0000-0000-0000-000000000000}"/>
  <workbookPr codeName="ThisWorkbook"/>
  <mc:AlternateContent xmlns:mc="http://schemas.openxmlformats.org/markup-compatibility/2006">
    <mc:Choice Requires="x15">
      <x15ac:absPath xmlns:x15ac="http://schemas.microsoft.com/office/spreadsheetml/2010/11/ac" url="https://msdnacesystems.sharepoint.com/sites/22A1106-00/Shared Documents/General/11_詳細設計/★レビュー表/20231016_レビュー結果/"/>
    </mc:Choice>
  </mc:AlternateContent>
  <xr:revisionPtr revIDLastSave="21" documentId="13_ncr:1_{3FBFAE46-2EA7-4AEF-9DA7-CF716D1D30E0}" xr6:coauthVersionLast="47" xr6:coauthVersionMax="47" xr10:uidLastSave="{FD27C62E-2E7D-4AA5-BB3B-A6499FA025A9}"/>
  <bookViews>
    <workbookView xWindow="-108" yWindow="-108" windowWidth="23256" windowHeight="13176" xr2:uid="{00000000-000D-0000-FFFF-FFFF00000000}"/>
  </bookViews>
  <sheets>
    <sheet name="レビュー表" sheetId="1" r:id="rId1"/>
    <sheet name="マスタ" sheetId="2" r:id="rId2"/>
    <sheet name="指摘区分" sheetId="4" r:id="rId3"/>
    <sheet name="原因区分" sheetId="5" r:id="rId4"/>
  </sheets>
  <externalReferences>
    <externalReference r:id="rId5"/>
  </externalReferences>
  <definedNames>
    <definedName name="ＰＧ指摘件数">[1]表紙!$B$28</definedName>
    <definedName name="_xlnm.Print_Area" localSheetId="3">原因区分!$A$1:$D$26</definedName>
    <definedName name="_xlnm.Print_Area" localSheetId="2">指摘区分!$A$1:$C$25</definedName>
    <definedName name="_xlnm.Print_Titles" localSheetId="0">レビュー表!$7:$8</definedName>
    <definedName name="ＰＳ指摘件数">[1]表紙!$B$16</definedName>
    <definedName name="ＰＴ仕様書">[1]表紙!$B$3</definedName>
    <definedName name="ＰＴ仕様書指摘件数">[1]表紙!$B$22</definedName>
    <definedName name="サブシステム名">[1]表紙!$I$6</definedName>
    <definedName name="サブシステム名リスト">[1]プロセス!$D$2</definedName>
    <definedName name="プロセス範囲">[1]プロセス!$J$3:$L$21</definedName>
    <definedName name="会社名リスト範囲">[1]コード表!$G$2</definedName>
    <definedName name="開発規模">[1]表紙!$I$12</definedName>
    <definedName name="管理単位_管理単位１">[1]設定シート!$E$2</definedName>
    <definedName name="管理単位_管理単位２">[1]設定シート!$F$2</definedName>
    <definedName name="基本テスト項目数">[1]表紙!$AA$16</definedName>
    <definedName name="基本原因区分１">[1]表紙!$O$62</definedName>
    <definedName name="基本原因区分１０">[1]表紙!$O$71</definedName>
    <definedName name="基本原因区分１１">[1]表紙!$O$72</definedName>
    <definedName name="基本原因区分１２">[1]表紙!$O$73</definedName>
    <definedName name="基本原因区分１３">[1]表紙!$O$74</definedName>
    <definedName name="基本原因区分１４">[1]表紙!$O$75</definedName>
    <definedName name="基本原因区分１５">[1]表紙!$O$76</definedName>
    <definedName name="基本原因区分１６">[1]表紙!$O$77</definedName>
    <definedName name="基本原因区分１７">[1]表紙!$O$78</definedName>
    <definedName name="基本原因区分１８">[1]表紙!$O$79</definedName>
    <definedName name="基本原因区分１９">[1]表紙!$O$80</definedName>
    <definedName name="基本原因区分２">[1]表紙!$O$63</definedName>
    <definedName name="基本原因区分２０">[1]表紙!$O$81</definedName>
    <definedName name="基本原因区分２１">[1]表紙!$O$82</definedName>
    <definedName name="基本原因区分２２">[1]表紙!$O$83</definedName>
    <definedName name="基本原因区分２３">[1]表紙!$O$84</definedName>
    <definedName name="基本原因区分２４">[1]表紙!$O$85</definedName>
    <definedName name="基本原因区分２５">[1]表紙!$O$86</definedName>
    <definedName name="基本原因区分２６">[1]表紙!$O$87</definedName>
    <definedName name="基本原因区分２７">[1]表紙!$O$88</definedName>
    <definedName name="基本原因区分２８">[1]表紙!$O$89</definedName>
    <definedName name="基本原因区分２９">[1]表紙!$O$90</definedName>
    <definedName name="基本原因区分３">[1]表紙!$O$64</definedName>
    <definedName name="基本原因区分３０">[1]表紙!$O$91</definedName>
    <definedName name="基本原因区分３１">[1]表紙!$O$92</definedName>
    <definedName name="基本原因区分３２">[1]表紙!$O$93</definedName>
    <definedName name="基本原因区分３３">[1]表紙!$O$94</definedName>
    <definedName name="基本原因区分３４">[1]表紙!$O$95</definedName>
    <definedName name="基本原因区分３５">[1]表紙!$O$96</definedName>
    <definedName name="基本原因区分３６">[1]表紙!$O$97</definedName>
    <definedName name="基本原因区分３７">[1]表紙!$O$98</definedName>
    <definedName name="基本原因区分３８">[1]表紙!$O$99</definedName>
    <definedName name="基本原因区分３９">[1]表紙!$O$100</definedName>
    <definedName name="基本原因区分４">[1]表紙!$O$65</definedName>
    <definedName name="基本原因区分４０">[1]表紙!$O$101</definedName>
    <definedName name="基本原因区分５">[1]表紙!$O$66</definedName>
    <definedName name="基本原因区分６">[1]表紙!$O$67</definedName>
    <definedName name="基本原因区分７">[1]表紙!$O$68</definedName>
    <definedName name="基本原因区分８">[1]表紙!$O$69</definedName>
    <definedName name="基本原因区分９">[1]表紙!$O$70</definedName>
    <definedName name="基本原因工程１">[1]表紙!$AA$22</definedName>
    <definedName name="基本原因工程１０">[1]表紙!$AA$31</definedName>
    <definedName name="基本原因工程２">[1]表紙!$AA$23</definedName>
    <definedName name="基本原因工程３">[1]表紙!$AA$24</definedName>
    <definedName name="基本原因工程４">[1]表紙!$AA$25</definedName>
    <definedName name="基本原因工程５">[1]表紙!$AA$26</definedName>
    <definedName name="基本原因工程６">[1]表紙!$AA$27</definedName>
    <definedName name="基本原因工程７">[1]表紙!$AA$28</definedName>
    <definedName name="基本原因工程８">[1]表紙!$AA$29</definedName>
    <definedName name="基本原因工程９">[1]表紙!$AA$30</definedName>
    <definedName name="基本障害件数">[1]表紙!$AA$19</definedName>
    <definedName name="共通設定_規模">[1]【変更不可】共通設定!$B$1</definedName>
    <definedName name="業務テスト項目数">[1]表紙!$AG$16</definedName>
    <definedName name="業務プロセス範囲">[1]プロセス!$F$3:$H$9</definedName>
    <definedName name="業務プロセス名">[1]表紙!$I$7</definedName>
    <definedName name="業務原因区分１">[1]表紙!$U$62</definedName>
    <definedName name="業務原因区分１０">[1]表紙!$U$71</definedName>
    <definedName name="業務原因区分１１">[1]表紙!$U$72</definedName>
    <definedName name="業務原因区分１２">[1]表紙!$U$73</definedName>
    <definedName name="業務原因区分１３">[1]表紙!$U$74</definedName>
    <definedName name="業務原因区分１４">[1]表紙!$U$75</definedName>
    <definedName name="業務原因区分１５">[1]表紙!$U$76</definedName>
    <definedName name="業務原因区分１６">[1]表紙!$U$77</definedName>
    <definedName name="業務原因区分１７">[1]表紙!$U$78</definedName>
    <definedName name="業務原因区分１８">[1]表紙!$U$79</definedName>
    <definedName name="業務原因区分１９">[1]表紙!$U$80</definedName>
    <definedName name="業務原因区分２">[1]表紙!$U$63</definedName>
    <definedName name="業務原因区分２０">[1]表紙!$U$81</definedName>
    <definedName name="業務原因区分２１">[1]表紙!$U$82</definedName>
    <definedName name="業務原因区分２２">[1]表紙!$U$83</definedName>
    <definedName name="業務原因区分２３">[1]表紙!$U$84</definedName>
    <definedName name="業務原因区分２４">[1]表紙!$U$85</definedName>
    <definedName name="業務原因区分２５">[1]表紙!$U$86</definedName>
    <definedName name="業務原因区分２６">[1]表紙!$U$87</definedName>
    <definedName name="業務原因区分２７">[1]表紙!$U$88</definedName>
    <definedName name="業務原因区分２８">[1]表紙!$U$89</definedName>
    <definedName name="業務原因区分２９">[1]表紙!$U$90</definedName>
    <definedName name="業務原因区分３">[1]表紙!$U$64</definedName>
    <definedName name="業務原因区分３０">[1]表紙!$U$91</definedName>
    <definedName name="業務原因区分３１">[1]表紙!$U$92</definedName>
    <definedName name="業務原因区分３２">[1]表紙!$U$93</definedName>
    <definedName name="業務原因区分３３">[1]表紙!$U$94</definedName>
    <definedName name="業務原因区分３４">[1]表紙!$U$95</definedName>
    <definedName name="業務原因区分３５">[1]表紙!$U$96</definedName>
    <definedName name="業務原因区分３６">[1]表紙!$U$97</definedName>
    <definedName name="業務原因区分３７">[1]表紙!$U$98</definedName>
    <definedName name="業務原因区分３８">[1]表紙!$U$99</definedName>
    <definedName name="業務原因区分３９">[1]表紙!$U$100</definedName>
    <definedName name="業務原因区分４">[1]表紙!$U$65</definedName>
    <definedName name="業務原因区分４０">[1]表紙!$U$101</definedName>
    <definedName name="業務原因区分５">[1]表紙!$U$66</definedName>
    <definedName name="業務原因区分６">[1]表紙!$U$67</definedName>
    <definedName name="業務原因区分７">[1]表紙!$U$68</definedName>
    <definedName name="業務原因区分８">[1]表紙!$U$69</definedName>
    <definedName name="業務原因区分９">[1]表紙!$U$70</definedName>
    <definedName name="業務原因工程１">[1]表紙!$AG$22</definedName>
    <definedName name="業務原因工程１０">[1]表紙!$AG$31</definedName>
    <definedName name="業務原因工程２">[1]表紙!$AG$23</definedName>
    <definedName name="業務原因工程３">[1]表紙!$AG$24</definedName>
    <definedName name="業務原因工程４">[1]表紙!$AG$25</definedName>
    <definedName name="業務原因工程５">[1]表紙!$AG$26</definedName>
    <definedName name="業務原因工程６">[1]表紙!$AG$27</definedName>
    <definedName name="業務原因工程７">[1]表紙!$AG$28</definedName>
    <definedName name="業務原因工程８">[1]表紙!$AG$29</definedName>
    <definedName name="業務原因工程９">[1]表紙!$AG$30</definedName>
    <definedName name="業務障害件数">[1]表紙!$AG$19</definedName>
    <definedName name="原因一覧_開始" localSheetId="3">原因区分!#REF!</definedName>
    <definedName name="原因一覧_開始" localSheetId="2">指摘区分!#REF!</definedName>
    <definedName name="原因一覧_開始">#REF!</definedName>
    <definedName name="原因一覧_終了" localSheetId="3">原因区分!$B$26</definedName>
    <definedName name="原因一覧_終了" localSheetId="2">指摘区分!$B$25</definedName>
    <definedName name="原因一覧_終了">#REF!</definedName>
    <definedName name="原因区分名１">[1]表紙!$C$62</definedName>
    <definedName name="原因区分名１０">[1]表紙!$C$71</definedName>
    <definedName name="原因区分名１１">[1]表紙!$C$72</definedName>
    <definedName name="原因区分名１２">[1]表紙!$C$73</definedName>
    <definedName name="原因区分名１３">[1]表紙!$C$74</definedName>
    <definedName name="原因区分名１４">[1]表紙!$C$75</definedName>
    <definedName name="原因区分名１５">[1]表紙!$C$76</definedName>
    <definedName name="原因区分名１６">[1]表紙!$C$77</definedName>
    <definedName name="原因区分名１７">[1]表紙!$C$78</definedName>
    <definedName name="原因区分名１８">[1]表紙!$C$79</definedName>
    <definedName name="原因区分名１９">[1]表紙!$C$80</definedName>
    <definedName name="原因区分名２">[1]表紙!$C$63</definedName>
    <definedName name="原因区分名２０">[1]表紙!$C$81</definedName>
    <definedName name="原因区分名２１">[1]表紙!$C$82</definedName>
    <definedName name="原因区分名２２">[1]表紙!$C$83</definedName>
    <definedName name="原因区分名２３">[1]表紙!$C$84</definedName>
    <definedName name="原因区分名２４">[1]表紙!$C$85</definedName>
    <definedName name="原因区分名２５">[1]表紙!$C$86</definedName>
    <definedName name="原因区分名２６">[1]表紙!$C$87</definedName>
    <definedName name="原因区分名２７">[1]表紙!$C$88</definedName>
    <definedName name="原因区分名２８">[1]表紙!$C$89</definedName>
    <definedName name="原因区分名２９">[1]表紙!$C$90</definedName>
    <definedName name="原因区分名３">[1]表紙!$C$64</definedName>
    <definedName name="原因区分名３０">[1]表紙!$C$91</definedName>
    <definedName name="原因区分名３１">[1]表紙!$C$92</definedName>
    <definedName name="原因区分名３２">[1]表紙!$C$93</definedName>
    <definedName name="原因区分名３３">[1]表紙!$C$94</definedName>
    <definedName name="原因区分名３４">[1]表紙!$C$95</definedName>
    <definedName name="原因区分名３５">[1]表紙!$C$96</definedName>
    <definedName name="原因区分名３６">[1]表紙!$C$97</definedName>
    <definedName name="原因区分名３７">[1]表紙!$C$98</definedName>
    <definedName name="原因区分名３８">[1]表紙!$C$99</definedName>
    <definedName name="原因区分名３９">[1]表紙!$C$100</definedName>
    <definedName name="原因区分名４">[1]表紙!$C$65</definedName>
    <definedName name="原因区分名４０">[1]表紙!$C$101</definedName>
    <definedName name="原因区分名５">[1]表紙!$C$66</definedName>
    <definedName name="原因区分名６">[1]表紙!$C$67</definedName>
    <definedName name="原因区分名７">[1]表紙!$C$68</definedName>
    <definedName name="原因区分名８">[1]表紙!$C$69</definedName>
    <definedName name="原因区分名９">[1]表紙!$C$70</definedName>
    <definedName name="原因工程名１">[1]表紙!$U$22</definedName>
    <definedName name="原因工程名１０">[1]表紙!$U$31</definedName>
    <definedName name="原因工程名２">[1]表紙!$U$23</definedName>
    <definedName name="原因工程名３">[1]表紙!$U$24</definedName>
    <definedName name="原因工程名４">[1]表紙!$U$25</definedName>
    <definedName name="原因工程名５">[1]表紙!$U$26</definedName>
    <definedName name="原因工程名６">[1]表紙!$U$27</definedName>
    <definedName name="原因工程名７">[1]表紙!$U$28</definedName>
    <definedName name="原因工程名８">[1]表紙!$U$29</definedName>
    <definedName name="原因工程名９">[1]表紙!$U$30</definedName>
    <definedName name="工程リスト範囲">[1]コード表!$C$2</definedName>
    <definedName name="合計テスト項目数">[1]表紙!$AM$16</definedName>
    <definedName name="合計障害件数">[1]表紙!$AM$19</definedName>
    <definedName name="最終行">レビュー表!$A$36</definedName>
    <definedName name="担当者名リスト範囲">[1]コード表!$I$2</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20" i="1" l="1"/>
  <c r="A24" i="1"/>
  <c r="A31" i="1"/>
  <c r="A34" i="1"/>
  <c r="A33" i="1"/>
  <c r="A32" i="1"/>
  <c r="A30" i="1"/>
  <c r="A27" i="1" l="1"/>
  <c r="A19" i="1" l="1"/>
  <c r="A10" i="1" l="1"/>
  <c r="A12" i="1"/>
  <c r="A14" i="1"/>
  <c r="A13" i="1"/>
  <c r="A35" i="1" l="1"/>
  <c r="A29" i="1"/>
  <c r="A28" i="1"/>
  <c r="A26" i="1"/>
  <c r="A25" i="1"/>
  <c r="A23" i="1"/>
  <c r="A22" i="1"/>
  <c r="A21" i="1"/>
  <c r="A18" i="1"/>
  <c r="A17" i="1"/>
  <c r="A16" i="1"/>
  <c r="A15" i="1"/>
  <c r="A11" i="1"/>
  <c r="A9" i="1"/>
  <c r="M5" i="1" l="1"/>
  <c r="W5" i="1"/>
  <c r="Q5" i="1"/>
  <c r="Z5" i="1"/>
  <c r="S5" i="1"/>
  <c r="J2" i="1" l="1"/>
</calcChain>
</file>

<file path=xl/sharedStrings.xml><?xml version="1.0" encoding="utf-8"?>
<sst xmlns="http://schemas.openxmlformats.org/spreadsheetml/2006/main" count="669" uniqueCount="487">
  <si>
    <t>レビュードキュメント</t>
  </si>
  <si>
    <t>業務分類</t>
    <rPh sb="0" eb="2">
      <t>ギョウム</t>
    </rPh>
    <rPh sb="2" eb="4">
      <t>ブンルイ</t>
    </rPh>
    <phoneticPr fontId="2"/>
  </si>
  <si>
    <t>機能ID</t>
    <rPh sb="0" eb="2">
      <t>キノウ</t>
    </rPh>
    <phoneticPr fontId="2"/>
  </si>
  <si>
    <t>機能名</t>
    <rPh sb="0" eb="3">
      <t>キノウメイ</t>
    </rPh>
    <phoneticPr fontId="2"/>
  </si>
  <si>
    <t>詳細設計</t>
  </si>
  <si>
    <t>C.生産実績</t>
  </si>
  <si>
    <t>C3401</t>
  </si>
  <si>
    <t>レビューイ①</t>
  </si>
  <si>
    <t>エース　吉本</t>
    <phoneticPr fontId="2"/>
  </si>
  <si>
    <t>レビューア①</t>
    <phoneticPr fontId="2"/>
  </si>
  <si>
    <t>トスコ　末永</t>
    <rPh sb="4" eb="6">
      <t>スエナガ</t>
    </rPh>
    <phoneticPr fontId="2"/>
  </si>
  <si>
    <t>レビューイ②</t>
  </si>
  <si>
    <t>レビューア②</t>
    <phoneticPr fontId="2"/>
  </si>
  <si>
    <t>レビュー回数</t>
    <rPh sb="4" eb="6">
      <t>カイスウ</t>
    </rPh>
    <phoneticPr fontId="2"/>
  </si>
  <si>
    <t>レビュー開催日</t>
    <rPh sb="4" eb="6">
      <t>カイサイ</t>
    </rPh>
    <rPh sb="6" eb="7">
      <t>ヒ</t>
    </rPh>
    <phoneticPr fontId="2"/>
  </si>
  <si>
    <t>開始時間</t>
    <rPh sb="0" eb="2">
      <t>カイシ</t>
    </rPh>
    <rPh sb="2" eb="4">
      <t>ジカン</t>
    </rPh>
    <phoneticPr fontId="2"/>
  </si>
  <si>
    <t>終了時間</t>
    <rPh sb="0" eb="2">
      <t>シュウリョウ</t>
    </rPh>
    <rPh sb="2" eb="4">
      <t>ジカン</t>
    </rPh>
    <phoneticPr fontId="2"/>
  </si>
  <si>
    <t>レビュー時間</t>
    <rPh sb="4" eb="6">
      <t>ジカン</t>
    </rPh>
    <phoneticPr fontId="2"/>
  </si>
  <si>
    <t>指摘件数</t>
    <rPh sb="0" eb="2">
      <t>シテキ</t>
    </rPh>
    <rPh sb="2" eb="4">
      <t>ケンスウ</t>
    </rPh>
    <phoneticPr fontId="2"/>
  </si>
  <si>
    <t>修正予定完了日</t>
    <rPh sb="0" eb="2">
      <t>シュウセイ</t>
    </rPh>
    <rPh sb="2" eb="4">
      <t>ヨテイ</t>
    </rPh>
    <rPh sb="4" eb="6">
      <t>カンリョウ</t>
    </rPh>
    <rPh sb="6" eb="7">
      <t>ヒ</t>
    </rPh>
    <phoneticPr fontId="2"/>
  </si>
  <si>
    <t>修正完了日</t>
    <rPh sb="0" eb="2">
      <t>シュウセイ</t>
    </rPh>
    <rPh sb="2" eb="4">
      <t>カンリョウ</t>
    </rPh>
    <rPh sb="4" eb="5">
      <t>ヒ</t>
    </rPh>
    <phoneticPr fontId="2"/>
  </si>
  <si>
    <t>修正確認日</t>
    <rPh sb="0" eb="2">
      <t>シュウセイ</t>
    </rPh>
    <rPh sb="2" eb="4">
      <t>カクニン</t>
    </rPh>
    <rPh sb="4" eb="5">
      <t>ヒ</t>
    </rPh>
    <phoneticPr fontId="2"/>
  </si>
  <si>
    <t>レビューイ③</t>
  </si>
  <si>
    <t>レビューア③</t>
    <phoneticPr fontId="2"/>
  </si>
  <si>
    <t>レビューイ④</t>
  </si>
  <si>
    <t>レビューア④</t>
    <phoneticPr fontId="2"/>
  </si>
  <si>
    <t>指摘№</t>
    <rPh sb="0" eb="2">
      <t>シテキ</t>
    </rPh>
    <phoneticPr fontId="2"/>
  </si>
  <si>
    <t>指摘者</t>
    <rPh sb="0" eb="2">
      <t>シテキ</t>
    </rPh>
    <rPh sb="2" eb="3">
      <t>シャ</t>
    </rPh>
    <phoneticPr fontId="2"/>
  </si>
  <si>
    <t>指摘シート・ドキュメント</t>
    <rPh sb="0" eb="2">
      <t>シテキ</t>
    </rPh>
    <phoneticPr fontId="2"/>
  </si>
  <si>
    <t>指摘区分</t>
    <rPh sb="0" eb="2">
      <t>シテキ</t>
    </rPh>
    <rPh sb="2" eb="4">
      <t>クブン</t>
    </rPh>
    <phoneticPr fontId="2"/>
  </si>
  <si>
    <t>指摘内容</t>
    <rPh sb="0" eb="2">
      <t>シテキ</t>
    </rPh>
    <rPh sb="2" eb="4">
      <t>ナイヨウ</t>
    </rPh>
    <phoneticPr fontId="2"/>
  </si>
  <si>
    <t>修正内容</t>
    <rPh sb="0" eb="2">
      <t>シュウセイ</t>
    </rPh>
    <rPh sb="2" eb="4">
      <t>ナイヨウ</t>
    </rPh>
    <phoneticPr fontId="2"/>
  </si>
  <si>
    <t>修正箇所情報</t>
    <rPh sb="0" eb="2">
      <t>シュウセイ</t>
    </rPh>
    <rPh sb="2" eb="4">
      <t>カショ</t>
    </rPh>
    <rPh sb="4" eb="6">
      <t>ジョウホウ</t>
    </rPh>
    <phoneticPr fontId="2"/>
  </si>
  <si>
    <t>原因</t>
    <rPh sb="0" eb="2">
      <t>ゲンイン</t>
    </rPh>
    <phoneticPr fontId="4"/>
  </si>
  <si>
    <t>修正</t>
    <rPh sb="0" eb="2">
      <t>シュウセイ</t>
    </rPh>
    <phoneticPr fontId="4"/>
  </si>
  <si>
    <t>確認</t>
    <rPh sb="0" eb="2">
      <t>カクニン</t>
    </rPh>
    <phoneticPr fontId="4"/>
  </si>
  <si>
    <t>備考</t>
    <rPh sb="0" eb="2">
      <t>ビコウ</t>
    </rPh>
    <phoneticPr fontId="4"/>
  </si>
  <si>
    <t>原因工程</t>
    <rPh sb="0" eb="2">
      <t>ゲンイン</t>
    </rPh>
    <rPh sb="2" eb="4">
      <t>コウテイ</t>
    </rPh>
    <phoneticPr fontId="4"/>
  </si>
  <si>
    <t>原因分類</t>
    <rPh sb="0" eb="2">
      <t>ゲンイン</t>
    </rPh>
    <rPh sb="2" eb="4">
      <t>ブンルイ</t>
    </rPh>
    <phoneticPr fontId="4"/>
  </si>
  <si>
    <t>原因区分</t>
    <rPh sb="0" eb="2">
      <t>ゲンイン</t>
    </rPh>
    <rPh sb="2" eb="4">
      <t>クブン</t>
    </rPh>
    <phoneticPr fontId="4"/>
  </si>
  <si>
    <t>修正担当者</t>
    <rPh sb="0" eb="2">
      <t>シュウセイ</t>
    </rPh>
    <rPh sb="2" eb="5">
      <t>タントウシャ</t>
    </rPh>
    <phoneticPr fontId="4"/>
  </si>
  <si>
    <t>修正予定日</t>
    <rPh sb="0" eb="2">
      <t>シュウセイ</t>
    </rPh>
    <rPh sb="2" eb="5">
      <t>ヨテイビ</t>
    </rPh>
    <phoneticPr fontId="4"/>
  </si>
  <si>
    <t>修正完了日</t>
    <rPh sb="0" eb="2">
      <t>シュウセイ</t>
    </rPh>
    <rPh sb="2" eb="4">
      <t>カンリョウ</t>
    </rPh>
    <rPh sb="4" eb="5">
      <t>ヒ</t>
    </rPh>
    <phoneticPr fontId="4"/>
  </si>
  <si>
    <t>確認担当者</t>
    <rPh sb="0" eb="2">
      <t>カクニン</t>
    </rPh>
    <rPh sb="2" eb="4">
      <t>タントウ</t>
    </rPh>
    <rPh sb="4" eb="5">
      <t>シャ</t>
    </rPh>
    <phoneticPr fontId="4"/>
  </si>
  <si>
    <t>確認日</t>
    <rPh sb="0" eb="2">
      <t>カクニン</t>
    </rPh>
    <rPh sb="2" eb="3">
      <t>ヒ</t>
    </rPh>
    <phoneticPr fontId="4"/>
  </si>
  <si>
    <t>末永</t>
    <rPh sb="0" eb="2">
      <t>スエナガ</t>
    </rPh>
    <phoneticPr fontId="2"/>
  </si>
  <si>
    <t>【C3401_作業一覧 (抄紙）】設計書
プロセス仕様書</t>
    <phoneticPr fontId="2"/>
  </si>
  <si>
    <t>8:設計規約ミス</t>
    <phoneticPr fontId="2"/>
  </si>
  <si>
    <r>
      <t xml:space="preserve">印刷の向きが、縦選択されている。
何故、縦選択されているのでしょうか？
基本設計書は、横ですが、勝手に変えないで下さい。
</t>
    </r>
    <r>
      <rPr>
        <sz val="10"/>
        <color rgb="FFFF0000"/>
        <rFont val="Meiryo UI"/>
        <family val="3"/>
        <charset val="128"/>
      </rPr>
      <t>【他機能】
他設計の同様に勝手に変えているのでしょうか？
御社の設計書を全て見直してください。
再度このような設計されている場合、レビューはしません。
かつ　御社の設計書を全て見直しを依頼します。</t>
    </r>
    <rPh sb="0" eb="2">
      <t>インサツ</t>
    </rPh>
    <rPh sb="3" eb="4">
      <t>ム</t>
    </rPh>
    <rPh sb="7" eb="8">
      <t>タテ</t>
    </rPh>
    <rPh sb="8" eb="10">
      <t>センタク</t>
    </rPh>
    <rPh sb="17" eb="19">
      <t>ナゼ</t>
    </rPh>
    <rPh sb="20" eb="21">
      <t>タテ</t>
    </rPh>
    <rPh sb="21" eb="23">
      <t>センタク</t>
    </rPh>
    <rPh sb="36" eb="38">
      <t>キホン</t>
    </rPh>
    <rPh sb="38" eb="40">
      <t>セッケイ</t>
    </rPh>
    <rPh sb="40" eb="41">
      <t>ショ</t>
    </rPh>
    <rPh sb="43" eb="44">
      <t>ヨコ</t>
    </rPh>
    <rPh sb="48" eb="50">
      <t>カッテ</t>
    </rPh>
    <rPh sb="51" eb="52">
      <t>カ</t>
    </rPh>
    <rPh sb="56" eb="57">
      <t>クダ</t>
    </rPh>
    <rPh sb="62" eb="65">
      <t>タキノウ</t>
    </rPh>
    <rPh sb="67" eb="68">
      <t>タ</t>
    </rPh>
    <rPh sb="68" eb="70">
      <t>セッケイ</t>
    </rPh>
    <rPh sb="71" eb="73">
      <t>ドウヨウ</t>
    </rPh>
    <rPh sb="74" eb="76">
      <t>カッテ</t>
    </rPh>
    <rPh sb="77" eb="78">
      <t>カ</t>
    </rPh>
    <rPh sb="90" eb="92">
      <t>オンシャ</t>
    </rPh>
    <rPh sb="93" eb="96">
      <t>セッケイショ</t>
    </rPh>
    <rPh sb="97" eb="98">
      <t>スベ</t>
    </rPh>
    <rPh sb="99" eb="101">
      <t>ミナオ</t>
    </rPh>
    <rPh sb="109" eb="111">
      <t>サイド</t>
    </rPh>
    <rPh sb="116" eb="118">
      <t>セッケイ</t>
    </rPh>
    <rPh sb="123" eb="125">
      <t>バアイ</t>
    </rPh>
    <rPh sb="153" eb="155">
      <t>イライ</t>
    </rPh>
    <phoneticPr fontId="2"/>
  </si>
  <si>
    <t>レビューイが社内用で印刷時に印刷設定を変更したため。
社内用での印刷時も設定を変更しないようメンバーへ周知して対応。</t>
    <rPh sb="6" eb="8">
      <t>シャナイ</t>
    </rPh>
    <rPh sb="8" eb="9">
      <t>ヨウ</t>
    </rPh>
    <rPh sb="10" eb="13">
      <t>インサツジ</t>
    </rPh>
    <rPh sb="14" eb="18">
      <t>インサツセッテイ</t>
    </rPh>
    <rPh sb="19" eb="21">
      <t>ヘンコウ</t>
    </rPh>
    <rPh sb="27" eb="29">
      <t>シャナイ</t>
    </rPh>
    <rPh sb="29" eb="30">
      <t>ヨウ</t>
    </rPh>
    <rPh sb="32" eb="35">
      <t>インサツジ</t>
    </rPh>
    <rPh sb="36" eb="38">
      <t>セッテイ</t>
    </rPh>
    <rPh sb="39" eb="41">
      <t>ヘンコウ</t>
    </rPh>
    <rPh sb="51" eb="53">
      <t>シュウチ</t>
    </rPh>
    <rPh sb="55" eb="57">
      <t>タイオウ</t>
    </rPh>
    <phoneticPr fontId="2"/>
  </si>
  <si>
    <t>3:詳細設計</t>
    <rPh sb="2" eb="4">
      <t>ショウサイ</t>
    </rPh>
    <rPh sb="4" eb="6">
      <t>セッケイ</t>
    </rPh>
    <phoneticPr fontId="2"/>
  </si>
  <si>
    <t>9.設計規約ミス</t>
  </si>
  <si>
    <t>91.設計規約ミス</t>
  </si>
  <si>
    <t>吉本</t>
    <rPh sb="0" eb="2">
      <t>ヨシモト</t>
    </rPh>
    <phoneticPr fontId="2"/>
  </si>
  <si>
    <t>5:表現統一</t>
    <phoneticPr fontId="2"/>
  </si>
  <si>
    <t>処理欄
イベント名は記載されているが、イベントIDが記載されていない</t>
    <rPh sb="2" eb="3">
      <t>ラン</t>
    </rPh>
    <rPh sb="8" eb="9">
      <t>メイ</t>
    </rPh>
    <rPh sb="10" eb="12">
      <t>キサイ</t>
    </rPh>
    <rPh sb="26" eb="28">
      <t>キサイ</t>
    </rPh>
    <phoneticPr fontId="2"/>
  </si>
  <si>
    <t>イベントIDを記載。</t>
    <rPh sb="7" eb="9">
      <t>キサイ</t>
    </rPh>
    <phoneticPr fontId="2"/>
  </si>
  <si>
    <t>1:設計ﾐｽ</t>
  </si>
  <si>
    <t>12:記載漏れ（処理）</t>
  </si>
  <si>
    <t>1:記載ミス</t>
  </si>
  <si>
    <t>1.権限取得
取消線が引かれているが、権限取得はしないのでしょうか？
⇒　「30.作業日・設備　表示」に記載されていrますが、権限取得として先頭に持って行ってください。
【修正】
「30.作業日・設備　表示」　⇒　権限取得として先頭に持ってきました。
記載確認をお願いします。</t>
    <rPh sb="7" eb="9">
      <t>トリケシ</t>
    </rPh>
    <rPh sb="9" eb="10">
      <t>セン</t>
    </rPh>
    <rPh sb="11" eb="12">
      <t>ヒ</t>
    </rPh>
    <rPh sb="19" eb="21">
      <t>ケンゲン</t>
    </rPh>
    <rPh sb="21" eb="23">
      <t>シュトク</t>
    </rPh>
    <rPh sb="52" eb="54">
      <t>キサイ</t>
    </rPh>
    <rPh sb="63" eb="65">
      <t>ケンゲン</t>
    </rPh>
    <rPh sb="65" eb="67">
      <t>シュトク</t>
    </rPh>
    <rPh sb="70" eb="72">
      <t>セントウ</t>
    </rPh>
    <rPh sb="73" eb="74">
      <t>モ</t>
    </rPh>
    <rPh sb="76" eb="77">
      <t>イ</t>
    </rPh>
    <rPh sb="87" eb="89">
      <t>シュウセイ</t>
    </rPh>
    <rPh sb="127" eb="129">
      <t>キサイ</t>
    </rPh>
    <rPh sb="129" eb="131">
      <t>カクニン</t>
    </rPh>
    <rPh sb="133" eb="134">
      <t>ネガ</t>
    </rPh>
    <phoneticPr fontId="2"/>
  </si>
  <si>
    <t>初期表示内で実施する機能であることを製造担当にわかりやすくするために変更しておりました。
ご指摘の通りに修正するのであれば、初期表示処理の最初で行う旨のコメントを記載すべきと考えますが、いかがでしょうか。</t>
    <rPh sb="0" eb="4">
      <t>ショキヒョウジ</t>
    </rPh>
    <rPh sb="4" eb="5">
      <t>ナイ</t>
    </rPh>
    <rPh sb="6" eb="8">
      <t>ジッシ</t>
    </rPh>
    <rPh sb="10" eb="12">
      <t>キノウ</t>
    </rPh>
    <rPh sb="18" eb="22">
      <t>セイゾウタントウ</t>
    </rPh>
    <rPh sb="34" eb="36">
      <t>ヘンコウ</t>
    </rPh>
    <rPh sb="46" eb="48">
      <t>シテキ</t>
    </rPh>
    <rPh sb="49" eb="50">
      <t>トオ</t>
    </rPh>
    <rPh sb="52" eb="54">
      <t>シュウセイ</t>
    </rPh>
    <rPh sb="62" eb="64">
      <t>ショキ</t>
    </rPh>
    <rPh sb="64" eb="66">
      <t>ヒョウジ</t>
    </rPh>
    <rPh sb="66" eb="68">
      <t>ショリ</t>
    </rPh>
    <rPh sb="69" eb="71">
      <t>サイショ</t>
    </rPh>
    <rPh sb="72" eb="73">
      <t>オコナ</t>
    </rPh>
    <rPh sb="74" eb="75">
      <t>ムネ</t>
    </rPh>
    <rPh sb="81" eb="83">
      <t>キサイ</t>
    </rPh>
    <rPh sb="87" eb="88">
      <t>カンガ</t>
    </rPh>
    <phoneticPr fontId="2"/>
  </si>
  <si>
    <t>1:設計ﾐｽ</t>
    <phoneticPr fontId="2"/>
  </si>
  <si>
    <t>14:表現曖昧</t>
    <phoneticPr fontId="2"/>
  </si>
  <si>
    <t>9:設計問合せ</t>
    <phoneticPr fontId="2"/>
  </si>
  <si>
    <t>1.権限取得
90.エラー時処理の場合、エラー表示のみですか？
「検索」ボタン押下で処理は進めるのでしょうか？
ボタン制御は不要ですか？</t>
    <rPh sb="13" eb="14">
      <t>ジ</t>
    </rPh>
    <rPh sb="14" eb="16">
      <t>ショリ</t>
    </rPh>
    <rPh sb="17" eb="19">
      <t>バアイ</t>
    </rPh>
    <rPh sb="23" eb="25">
      <t>ヒョウジ</t>
    </rPh>
    <rPh sb="33" eb="35">
      <t>ケンサク</t>
    </rPh>
    <rPh sb="39" eb="41">
      <t>オウカ</t>
    </rPh>
    <rPh sb="42" eb="44">
      <t>ショリ</t>
    </rPh>
    <rPh sb="45" eb="46">
      <t>スス</t>
    </rPh>
    <rPh sb="59" eb="61">
      <t>セイギョ</t>
    </rPh>
    <rPh sb="62" eb="64">
      <t>フヨウ</t>
    </rPh>
    <phoneticPr fontId="2"/>
  </si>
  <si>
    <t>90.エラー処理の場合、取得できる前提の項目取得に失敗しているため、検索条件が不足しイベントが正常終了しない。
上記理由よりボタン制御が不要であることをトスコ様PLと下井で確認済みのため未対応。</t>
    <rPh sb="6" eb="8">
      <t>ショリ</t>
    </rPh>
    <rPh sb="9" eb="11">
      <t>バアイ</t>
    </rPh>
    <rPh sb="12" eb="14">
      <t>シュトク</t>
    </rPh>
    <rPh sb="17" eb="19">
      <t>ゼンテイ</t>
    </rPh>
    <rPh sb="20" eb="24">
      <t>コウモクシュトク</t>
    </rPh>
    <rPh sb="25" eb="27">
      <t>シッパイ</t>
    </rPh>
    <rPh sb="34" eb="36">
      <t>ケンサク</t>
    </rPh>
    <rPh sb="36" eb="38">
      <t>ジョウケン</t>
    </rPh>
    <rPh sb="39" eb="41">
      <t>フソク</t>
    </rPh>
    <rPh sb="47" eb="51">
      <t>セイジョウシュウリョウ</t>
    </rPh>
    <rPh sb="56" eb="58">
      <t>ジョウキ</t>
    </rPh>
    <rPh sb="58" eb="60">
      <t>リユウ</t>
    </rPh>
    <rPh sb="65" eb="67">
      <t>セイギョ</t>
    </rPh>
    <rPh sb="68" eb="70">
      <t>フヨウ</t>
    </rPh>
    <rPh sb="86" eb="89">
      <t>カクニンズ</t>
    </rPh>
    <rPh sb="93" eb="96">
      <t>ミタイオウ</t>
    </rPh>
    <phoneticPr fontId="2"/>
  </si>
  <si>
    <t>A.指摘誤り</t>
  </si>
  <si>
    <t>A1:指摘誤り</t>
  </si>
  <si>
    <t>システム日付
処理（関数処理）・日付設定の度にシステム日付を設定している記載となっているが、最初にシステム日付を取得すれば良いのでは？</t>
    <rPh sb="4" eb="6">
      <t>ヒヅケ</t>
    </rPh>
    <rPh sb="7" eb="9">
      <t>ショリ</t>
    </rPh>
    <rPh sb="10" eb="12">
      <t>カンスウ</t>
    </rPh>
    <rPh sb="12" eb="14">
      <t>ショリ</t>
    </rPh>
    <rPh sb="16" eb="18">
      <t>ヒヅケ</t>
    </rPh>
    <rPh sb="18" eb="20">
      <t>セッテイ</t>
    </rPh>
    <rPh sb="21" eb="22">
      <t>タビ</t>
    </rPh>
    <rPh sb="27" eb="29">
      <t>ヒヅケ</t>
    </rPh>
    <rPh sb="30" eb="32">
      <t>セッテイ</t>
    </rPh>
    <rPh sb="36" eb="38">
      <t>キサイ</t>
    </rPh>
    <rPh sb="46" eb="48">
      <t>サイショ</t>
    </rPh>
    <rPh sb="53" eb="55">
      <t>ヒヅケ</t>
    </rPh>
    <rPh sb="56" eb="58">
      <t>シュトク</t>
    </rPh>
    <rPh sb="61" eb="62">
      <t>ヨ</t>
    </rPh>
    <phoneticPr fontId="2"/>
  </si>
  <si>
    <t>作業日はイベント毎に取得する認識（基本設計書に記載有）
上記の処理の意図として、端末が長時間操作されないケースの考慮と考えています。
この場合設備の取得に使用する基準日も作業日の変更と同様に対応する必要があると考えたため再取得しています。</t>
    <phoneticPr fontId="2"/>
  </si>
  <si>
    <t>15:表現統一</t>
  </si>
  <si>
    <t>4:表現曖昧</t>
    <phoneticPr fontId="2"/>
  </si>
  <si>
    <t xml:space="preserve">1.権限取得
取得した情報（以下記載）で記載しているが、変数一覧がない。
変数一覧があれば、判りやすい
【記載】
・レスポンスを　変数・権限情報　へ編集する。
・レスポンス.部署コード　を　変数・部署コード　へ　レスポンス.工程コード　を　変数・部署コード　へ編集する。
</t>
    <rPh sb="7" eb="9">
      <t>シュトク</t>
    </rPh>
    <rPh sb="11" eb="13">
      <t>ジョウホウ</t>
    </rPh>
    <rPh sb="14" eb="16">
      <t>イカ</t>
    </rPh>
    <rPh sb="16" eb="18">
      <t>キサイ</t>
    </rPh>
    <rPh sb="20" eb="22">
      <t>キサイ</t>
    </rPh>
    <rPh sb="28" eb="30">
      <t>ヘンスウ</t>
    </rPh>
    <rPh sb="30" eb="32">
      <t>イチラン</t>
    </rPh>
    <rPh sb="37" eb="39">
      <t>ヘンスウ</t>
    </rPh>
    <rPh sb="39" eb="41">
      <t>イチラン</t>
    </rPh>
    <rPh sb="46" eb="47">
      <t>ワカ</t>
    </rPh>
    <rPh sb="53" eb="55">
      <t>キサイ</t>
    </rPh>
    <phoneticPr fontId="2"/>
  </si>
  <si>
    <t>製造担当者のプログラム作成を円滑にするために記載しています。
　→　明記していないと、画面の隠し項目 or 内部の変数　どちらを
　　　使うか、開発担当者任せになると危惧したため。
グローバル変数ではなく実装上の内部変数であり、すべての詳細設計で変数一覧を作成することのコストと設計書が判りやすくなる効果が見合っていないと思われるため、未対応とさせていただけないでしょうか。</t>
  </si>
  <si>
    <t>2.1.2)
「1.2.1)で取得」と記載されているが、項番1.2.1)がない。
⇒　2.2.1)の間違い？</t>
    <rPh sb="19" eb="21">
      <t>キサイ</t>
    </rPh>
    <rPh sb="28" eb="30">
      <t>コウバン</t>
    </rPh>
    <rPh sb="50" eb="52">
      <t>マチガ</t>
    </rPh>
    <phoneticPr fontId="2"/>
  </si>
  <si>
    <t>記載ミス
修正後の設計書に合わせて3.1.1)に修正。</t>
    <rPh sb="0" eb="2">
      <t>キサイ</t>
    </rPh>
    <rPh sb="5" eb="7">
      <t>シュウセイ</t>
    </rPh>
    <rPh sb="7" eb="8">
      <t>ゴ</t>
    </rPh>
    <rPh sb="9" eb="12">
      <t>セッケイショ</t>
    </rPh>
    <rPh sb="13" eb="14">
      <t>ア</t>
    </rPh>
    <rPh sb="24" eb="26">
      <t>シュウセイ</t>
    </rPh>
    <phoneticPr fontId="2"/>
  </si>
  <si>
    <t>10:記載ミス</t>
  </si>
  <si>
    <t>8:設計規約ミス</t>
  </si>
  <si>
    <t>2.1.2)
文字切れしている
一覧内容修正した為、文字切れは解消。他機能での設計は文字切れがないようにお願いします。</t>
    <rPh sb="7" eb="9">
      <t>モジ</t>
    </rPh>
    <rPh sb="9" eb="10">
      <t>キ</t>
    </rPh>
    <rPh sb="16" eb="18">
      <t>イチラン</t>
    </rPh>
    <rPh sb="18" eb="20">
      <t>ナイヨウ</t>
    </rPh>
    <rPh sb="20" eb="22">
      <t>シュウセイ</t>
    </rPh>
    <rPh sb="24" eb="25">
      <t>タメ</t>
    </rPh>
    <rPh sb="26" eb="28">
      <t>モジ</t>
    </rPh>
    <rPh sb="28" eb="29">
      <t>キ</t>
    </rPh>
    <rPh sb="31" eb="33">
      <t>カイショウ</t>
    </rPh>
    <rPh sb="34" eb="37">
      <t>タキノウ</t>
    </rPh>
    <rPh sb="39" eb="41">
      <t>セッケイ</t>
    </rPh>
    <rPh sb="42" eb="45">
      <t>モジキ</t>
    </rPh>
    <rPh sb="53" eb="54">
      <t>ネガ</t>
    </rPh>
    <phoneticPr fontId="2"/>
  </si>
  <si>
    <t>承知しました。</t>
    <rPh sb="0" eb="2">
      <t>ショウチ</t>
    </rPh>
    <phoneticPr fontId="2"/>
  </si>
  <si>
    <t>2:記載漏れ</t>
    <phoneticPr fontId="2"/>
  </si>
  <si>
    <t>検索ボタン押下
当日〜７日の計画情報取得
計画終了の取得を記載してください。
※「処理定義」に記載していますが、プロセス設計書には、１つしか記載されていない為</t>
    <rPh sb="0" eb="2">
      <t>ケンサク</t>
    </rPh>
    <rPh sb="5" eb="7">
      <t>オウカ</t>
    </rPh>
    <rPh sb="8" eb="10">
      <t>トウジツ</t>
    </rPh>
    <rPh sb="12" eb="13">
      <t>ヒ</t>
    </rPh>
    <rPh sb="14" eb="16">
      <t>ケイカク</t>
    </rPh>
    <rPh sb="16" eb="18">
      <t>ジョウホウ</t>
    </rPh>
    <rPh sb="18" eb="20">
      <t>シュトク</t>
    </rPh>
    <rPh sb="21" eb="23">
      <t>ケイカク</t>
    </rPh>
    <rPh sb="23" eb="25">
      <t>シュウリョウ</t>
    </rPh>
    <rPh sb="26" eb="28">
      <t>シュトク</t>
    </rPh>
    <rPh sb="29" eb="31">
      <t>キサイ</t>
    </rPh>
    <rPh sb="47" eb="49">
      <t>キサイ</t>
    </rPh>
    <rPh sb="60" eb="63">
      <t>セッケイショ</t>
    </rPh>
    <rPh sb="70" eb="72">
      <t>キサイ</t>
    </rPh>
    <rPh sb="78" eb="79">
      <t>タメ</t>
    </rPh>
    <phoneticPr fontId="2"/>
  </si>
  <si>
    <t>承知しました。
修正後の記載をそのまま使用。</t>
    <rPh sb="0" eb="2">
      <t>ショウチ</t>
    </rPh>
    <rPh sb="8" eb="11">
      <t>シュウセイゴ</t>
    </rPh>
    <rPh sb="12" eb="14">
      <t>キサイ</t>
    </rPh>
    <rPh sb="19" eb="21">
      <t>シヨウ</t>
    </rPh>
    <phoneticPr fontId="2"/>
  </si>
  <si>
    <t>COMC3401001</t>
    <phoneticPr fontId="2"/>
  </si>
  <si>
    <t>計画終了取得のマイナス日が、設定ファイル（【C00_生産実績】詳細設計（設定ファイル））にない。</t>
  </si>
  <si>
    <t>【C00_生産実績】詳細設計（設定ファイル）へ記載を追加。</t>
  </si>
  <si>
    <t>2:設計検討不足</t>
    <phoneticPr fontId="2"/>
  </si>
  <si>
    <t>21:処理検討不足</t>
    <phoneticPr fontId="2"/>
  </si>
  <si>
    <t>A:要望</t>
    <phoneticPr fontId="2"/>
  </si>
  <si>
    <t>当日より１週間固定としていますが、計画終了取得のマイナス日と同様に設定ファイルに設定してください。
【横展開】
他機能も同様にお願いします。</t>
    <rPh sb="0" eb="2">
      <t>トウジツ</t>
    </rPh>
    <rPh sb="5" eb="7">
      <t>シュウカン</t>
    </rPh>
    <rPh sb="7" eb="9">
      <t>コテイ</t>
    </rPh>
    <rPh sb="17" eb="21">
      <t>ケイカクシュウリョウ</t>
    </rPh>
    <rPh sb="21" eb="23">
      <t>シュトク</t>
    </rPh>
    <rPh sb="28" eb="29">
      <t>ヒ</t>
    </rPh>
    <rPh sb="30" eb="32">
      <t>ドウヨウ</t>
    </rPh>
    <rPh sb="33" eb="35">
      <t>セッテイ</t>
    </rPh>
    <rPh sb="40" eb="42">
      <t>セッテイ</t>
    </rPh>
    <rPh sb="51" eb="52">
      <t>ヨコ</t>
    </rPh>
    <rPh sb="52" eb="54">
      <t>テンカイ</t>
    </rPh>
    <rPh sb="56" eb="59">
      <t>タキノウ</t>
    </rPh>
    <rPh sb="60" eb="62">
      <t>ドウヨウ</t>
    </rPh>
    <rPh sb="64" eb="65">
      <t>ネガ</t>
    </rPh>
    <phoneticPr fontId="2"/>
  </si>
  <si>
    <t>他機能への横展開を考慮すると影響範囲が広いため、対応費用やスケジュール等別途確認させてください。
対応する際は、設定ファイルに設定する基準をトスコ様内での協議内容を表示していただきたいです。</t>
    <rPh sb="0" eb="3">
      <t>タキノウ</t>
    </rPh>
    <rPh sb="5" eb="8">
      <t>ヨコテンカイ</t>
    </rPh>
    <rPh sb="9" eb="11">
      <t>コウリョ</t>
    </rPh>
    <rPh sb="14" eb="18">
      <t>エイキョウハンイ</t>
    </rPh>
    <rPh sb="19" eb="20">
      <t>ヒロ</t>
    </rPh>
    <rPh sb="24" eb="28">
      <t>タイオウヒヨウ</t>
    </rPh>
    <rPh sb="35" eb="36">
      <t>トウ</t>
    </rPh>
    <rPh sb="36" eb="40">
      <t>ベットカクニン</t>
    </rPh>
    <rPh sb="49" eb="51">
      <t>タイオウ</t>
    </rPh>
    <rPh sb="53" eb="54">
      <t>サイ</t>
    </rPh>
    <rPh sb="56" eb="58">
      <t>セッテイ</t>
    </rPh>
    <rPh sb="63" eb="65">
      <t>セッテイ</t>
    </rPh>
    <rPh sb="67" eb="69">
      <t>キジュン</t>
    </rPh>
    <rPh sb="73" eb="74">
      <t>サマ</t>
    </rPh>
    <rPh sb="74" eb="75">
      <t>ナイ</t>
    </rPh>
    <rPh sb="77" eb="79">
      <t>キョウギ</t>
    </rPh>
    <rPh sb="79" eb="81">
      <t>ナイヨウ</t>
    </rPh>
    <rPh sb="82" eb="84">
      <t>ヒョウジ</t>
    </rPh>
    <phoneticPr fontId="2"/>
  </si>
  <si>
    <t>2:設計検討不足</t>
  </si>
  <si>
    <t>21:処理検討不足</t>
  </si>
  <si>
    <t>印刷　フッダ設定ができていない
※COMC3401001は修正しました。
再度設計書＋印刷ルールを確認し修正してください。</t>
    <rPh sb="0" eb="2">
      <t>インサツ</t>
    </rPh>
    <rPh sb="6" eb="8">
      <t>セッテイ</t>
    </rPh>
    <rPh sb="29" eb="31">
      <t>シュウセイ</t>
    </rPh>
    <rPh sb="37" eb="39">
      <t>サイド</t>
    </rPh>
    <rPh sb="39" eb="42">
      <t>セッケイショ</t>
    </rPh>
    <rPh sb="43" eb="45">
      <t>インサツ</t>
    </rPh>
    <rPh sb="49" eb="51">
      <t>カクニン</t>
    </rPh>
    <rPh sb="52" eb="54">
      <t>シュウセイ</t>
    </rPh>
    <phoneticPr fontId="2"/>
  </si>
  <si>
    <t>詳細設計書ガイドを確認しましたが該当する記載がありませんでした。
「設計書＋印刷ルール」　が何を指しているのかご教授お願い致します。
フッターに処理名を設定しました。</t>
  </si>
  <si>
    <t>3:記載不要</t>
  </si>
  <si>
    <t>「別紙 入力制御」　BR列等の記載は削除してください
【横展開】
各シート同様</t>
    <rPh sb="12" eb="13">
      <t>レツ</t>
    </rPh>
    <rPh sb="13" eb="14">
      <t>トウ</t>
    </rPh>
    <rPh sb="15" eb="17">
      <t>キサイ</t>
    </rPh>
    <rPh sb="18" eb="20">
      <t>サクジョ</t>
    </rPh>
    <rPh sb="28" eb="32">
      <t>ヨコテンカイ」</t>
    </rPh>
    <rPh sb="33" eb="34">
      <t>カク</t>
    </rPh>
    <rPh sb="37" eb="39">
      <t>ドウヨウ</t>
    </rPh>
    <phoneticPr fontId="2"/>
  </si>
  <si>
    <t>トスコ様より選択画面の設計書を受領後、横展開で対応予定</t>
    <rPh sb="3" eb="4">
      <t>サマ</t>
    </rPh>
    <rPh sb="6" eb="10">
      <t>センタクガメン</t>
    </rPh>
    <rPh sb="11" eb="14">
      <t>セッケイショ</t>
    </rPh>
    <rPh sb="15" eb="17">
      <t>ジュリョウ</t>
    </rPh>
    <rPh sb="17" eb="18">
      <t>ゴ</t>
    </rPh>
    <rPh sb="19" eb="22">
      <t>ヨコテンカイ</t>
    </rPh>
    <rPh sb="23" eb="25">
      <t>タイオウ</t>
    </rPh>
    <rPh sb="25" eb="27">
      <t>ヨテイ</t>
    </rPh>
    <phoneticPr fontId="2"/>
  </si>
  <si>
    <t>A:要望</t>
  </si>
  <si>
    <t xml:space="preserve">4.1.3)作業一覧にレスポンスの件数分編集を行う
記載内容を一部修正しました。
編集内容に間違いが無いか、添削をお願いします。
</t>
    <rPh sb="26" eb="28">
      <t>キサイ</t>
    </rPh>
    <rPh sb="28" eb="30">
      <t>ナイヨウ</t>
    </rPh>
    <rPh sb="31" eb="33">
      <t>イチブ</t>
    </rPh>
    <rPh sb="33" eb="35">
      <t>シュウセイ</t>
    </rPh>
    <rPh sb="41" eb="43">
      <t>ヘンシュウ</t>
    </rPh>
    <rPh sb="43" eb="45">
      <t>ナイヨウ</t>
    </rPh>
    <rPh sb="46" eb="48">
      <t>マチガ</t>
    </rPh>
    <rPh sb="50" eb="51">
      <t>ナ</t>
    </rPh>
    <rPh sb="54" eb="56">
      <t>テンサク</t>
    </rPh>
    <rPh sb="58" eb="59">
      <t>ネガ</t>
    </rPh>
    <phoneticPr fontId="2"/>
  </si>
  <si>
    <t>修正後の表記ではボタンが一覧の編集対象になっていないように読み取れるので、一覧項目へ追加しました。
マトリックス等は確認しましたが問題が有りませんでしたので記載を使用させていただきます。</t>
    <rPh sb="0" eb="2">
      <t>シュウセイ</t>
    </rPh>
    <rPh sb="2" eb="3">
      <t>アト</t>
    </rPh>
    <rPh sb="4" eb="6">
      <t>ヒョウキ</t>
    </rPh>
    <rPh sb="12" eb="14">
      <t>イチラン</t>
    </rPh>
    <rPh sb="15" eb="19">
      <t>ヘンシュウタイショウ</t>
    </rPh>
    <rPh sb="29" eb="30">
      <t>ヨ</t>
    </rPh>
    <rPh sb="31" eb="32">
      <t>ト</t>
    </rPh>
    <rPh sb="37" eb="41">
      <t>イチランコウモク</t>
    </rPh>
    <rPh sb="42" eb="44">
      <t>ツイカ</t>
    </rPh>
    <rPh sb="56" eb="57">
      <t>ナド</t>
    </rPh>
    <rPh sb="58" eb="60">
      <t>カクニン</t>
    </rPh>
    <rPh sb="65" eb="67">
      <t>モンダイ</t>
    </rPh>
    <rPh sb="68" eb="69">
      <t>ア</t>
    </rPh>
    <rPh sb="78" eb="80">
      <t>キサイ</t>
    </rPh>
    <rPh sb="81" eb="83">
      <t>シヨウ</t>
    </rPh>
    <phoneticPr fontId="2"/>
  </si>
  <si>
    <t>4.1.5)　
scrollFirstRowのパラメータの記載はあるが、行IDに対する設定をどのようにして行を取得して設定しているか記載がない
例
初期表示　：　計画終了以外のデータを先頭
画面遷移　：　一覧のボタン押下行を先頭</t>
    <rPh sb="29" eb="31">
      <t>キサイ</t>
    </rPh>
    <rPh sb="40" eb="41">
      <t>タイ</t>
    </rPh>
    <rPh sb="43" eb="45">
      <t>セッテイ</t>
    </rPh>
    <rPh sb="53" eb="54">
      <t>ギョウ</t>
    </rPh>
    <rPh sb="55" eb="57">
      <t>シュトク</t>
    </rPh>
    <rPh sb="59" eb="61">
      <t>セッテイ</t>
    </rPh>
    <rPh sb="66" eb="68">
      <t>キサイ</t>
    </rPh>
    <rPh sb="72" eb="73">
      <t>レイ</t>
    </rPh>
    <rPh sb="74" eb="76">
      <t>ショキ</t>
    </rPh>
    <rPh sb="76" eb="78">
      <t>ヒョウジ</t>
    </rPh>
    <rPh sb="81" eb="83">
      <t>ケイカク</t>
    </rPh>
    <rPh sb="83" eb="85">
      <t>シュウリョウ</t>
    </rPh>
    <rPh sb="85" eb="87">
      <t>イガイ</t>
    </rPh>
    <rPh sb="92" eb="94">
      <t>セントウ</t>
    </rPh>
    <rPh sb="95" eb="97">
      <t>ガメン</t>
    </rPh>
    <rPh sb="97" eb="99">
      <t>センイ</t>
    </rPh>
    <rPh sb="102" eb="104">
      <t>イチラン</t>
    </rPh>
    <rPh sb="108" eb="110">
      <t>オウカ</t>
    </rPh>
    <rPh sb="110" eb="111">
      <t>ギョウ</t>
    </rPh>
    <rPh sb="112" eb="114">
      <t>セントウ</t>
    </rPh>
    <phoneticPr fontId="2"/>
  </si>
  <si>
    <t>初期表示の場合の分岐を行うための処理を追加。</t>
    <rPh sb="0" eb="2">
      <t>ショキ</t>
    </rPh>
    <rPh sb="2" eb="4">
      <t>ヒョウジ</t>
    </rPh>
    <rPh sb="5" eb="7">
      <t>バアイ</t>
    </rPh>
    <rPh sb="8" eb="10">
      <t>ブンキ</t>
    </rPh>
    <rPh sb="11" eb="12">
      <t>オコナ</t>
    </rPh>
    <rPh sb="16" eb="18">
      <t>ショリ</t>
    </rPh>
    <rPh sb="19" eb="21">
      <t>ツイカ</t>
    </rPh>
    <phoneticPr fontId="2"/>
  </si>
  <si>
    <t>4.1.5)　
画面遷移では、複数端末は想定していません。
現状設計は、単一端末想定で設計していますか？
【QA】
※修正する必要ありません。
再度ユーザ確認しますが、
複数端末が有効となった場合、どれくらいの処理影響が発生しますか？
ご教授お願いします。
Web会議でもOKです。</t>
    <rPh sb="8" eb="10">
      <t>ガメン</t>
    </rPh>
    <rPh sb="10" eb="12">
      <t>センイ</t>
    </rPh>
    <rPh sb="15" eb="17">
      <t>フクスウ</t>
    </rPh>
    <rPh sb="17" eb="19">
      <t>タンマツ</t>
    </rPh>
    <rPh sb="20" eb="22">
      <t>ソウテイ</t>
    </rPh>
    <rPh sb="30" eb="32">
      <t>ゲンジョウ</t>
    </rPh>
    <rPh sb="32" eb="34">
      <t>セッケイ</t>
    </rPh>
    <rPh sb="36" eb="38">
      <t>タンイツ</t>
    </rPh>
    <rPh sb="38" eb="40">
      <t>タンマツ</t>
    </rPh>
    <rPh sb="40" eb="42">
      <t>ソウテイ</t>
    </rPh>
    <rPh sb="43" eb="45">
      <t>セッケイ</t>
    </rPh>
    <rPh sb="59" eb="61">
      <t>シュウセイ</t>
    </rPh>
    <rPh sb="63" eb="65">
      <t>ヒツヨウ</t>
    </rPh>
    <rPh sb="72" eb="74">
      <t>サイド</t>
    </rPh>
    <rPh sb="77" eb="79">
      <t>カクニン</t>
    </rPh>
    <rPh sb="85" eb="87">
      <t>フクスウ</t>
    </rPh>
    <rPh sb="87" eb="89">
      <t>タンマツ</t>
    </rPh>
    <rPh sb="90" eb="92">
      <t>ユウコウ</t>
    </rPh>
    <rPh sb="96" eb="98">
      <t>バアイ</t>
    </rPh>
    <rPh sb="105" eb="107">
      <t>ショリ</t>
    </rPh>
    <rPh sb="107" eb="109">
      <t>エイキョウ</t>
    </rPh>
    <rPh sb="110" eb="112">
      <t>ハッセイ</t>
    </rPh>
    <rPh sb="119" eb="121">
      <t>キョウジュ</t>
    </rPh>
    <rPh sb="122" eb="123">
      <t>ネガ</t>
    </rPh>
    <rPh sb="132" eb="134">
      <t>カイギ</t>
    </rPh>
    <phoneticPr fontId="2"/>
  </si>
  <si>
    <t>＞現状設計は、単一端末想定で設計していますか？
単一端末想定で設計しています。
＞複数端末が有効となった場合、どれくらいの処理影響が発生しますか？
更新系はほとんどの処理の見直しが必要な認識です。
作業一覧のみで実装する想定であれば悲観的排他を想定しています。</t>
    <rPh sb="24" eb="28">
      <t>タンイツタンマツ</t>
    </rPh>
    <rPh sb="28" eb="30">
      <t>ソウテイ</t>
    </rPh>
    <rPh sb="31" eb="33">
      <t>セッケイ</t>
    </rPh>
    <rPh sb="75" eb="78">
      <t>コウシンケイ</t>
    </rPh>
    <rPh sb="84" eb="86">
      <t>ショリ</t>
    </rPh>
    <rPh sb="87" eb="89">
      <t>ミナオ</t>
    </rPh>
    <rPh sb="91" eb="93">
      <t>ヒツヨウ</t>
    </rPh>
    <rPh sb="94" eb="96">
      <t>ニンシキ</t>
    </rPh>
    <rPh sb="100" eb="104">
      <t>サギョウイチラン</t>
    </rPh>
    <rPh sb="107" eb="109">
      <t>ジッソウ</t>
    </rPh>
    <rPh sb="111" eb="113">
      <t>ソウテイ</t>
    </rPh>
    <rPh sb="117" eb="122">
      <t>ヒカンテキハイタ</t>
    </rPh>
    <rPh sb="123" eb="125">
      <t>ソウテイ</t>
    </rPh>
    <phoneticPr fontId="2"/>
  </si>
  <si>
    <t>14:表現曖昧</t>
  </si>
  <si>
    <t>4.1.6)　
既に取得している作業日・設備を再度取得する意図は？
作業日のみの再表示である場合、検索条件データ取得前では？
設備の取得は必要？
検索ボタン押下処理では？</t>
    <rPh sb="8" eb="9">
      <t>スデ</t>
    </rPh>
    <rPh sb="10" eb="12">
      <t>シュトク</t>
    </rPh>
    <rPh sb="16" eb="19">
      <t>サギョウビ</t>
    </rPh>
    <rPh sb="20" eb="22">
      <t>セツビ</t>
    </rPh>
    <rPh sb="23" eb="25">
      <t>サイド</t>
    </rPh>
    <rPh sb="25" eb="27">
      <t>シュトク</t>
    </rPh>
    <rPh sb="29" eb="31">
      <t>イト</t>
    </rPh>
    <rPh sb="34" eb="37">
      <t>サギョウビ</t>
    </rPh>
    <rPh sb="40" eb="43">
      <t>サイヒョウジ</t>
    </rPh>
    <rPh sb="46" eb="48">
      <t>バアイ</t>
    </rPh>
    <rPh sb="49" eb="51">
      <t>ケンサク</t>
    </rPh>
    <rPh sb="51" eb="53">
      <t>ジョウケン</t>
    </rPh>
    <rPh sb="56" eb="58">
      <t>シュトク</t>
    </rPh>
    <rPh sb="58" eb="59">
      <t>マエ</t>
    </rPh>
    <rPh sb="63" eb="65">
      <t>セツビ</t>
    </rPh>
    <rPh sb="66" eb="68">
      <t>シュトク</t>
    </rPh>
    <rPh sb="69" eb="71">
      <t>ヒツヨウ</t>
    </rPh>
    <rPh sb="74" eb="76">
      <t>ケンサク</t>
    </rPh>
    <rPh sb="79" eb="81">
      <t>オウカ</t>
    </rPh>
    <rPh sb="81" eb="83">
      <t>ショリ</t>
    </rPh>
    <phoneticPr fontId="2"/>
  </si>
  <si>
    <t>№5と同じ</t>
    <rPh sb="3" eb="4">
      <t>オナ</t>
    </rPh>
    <phoneticPr fontId="2"/>
  </si>
  <si>
    <t>5.作業者　アイコン選択
担当者選択の引数　及び　取得データ⇒作業者項目設定を記載しました。
※担当者選択の引数、戻り値はまだ確定していなくて申し訳ありません。
　今回の記載も変更ありかもしれません。</t>
    <rPh sb="13" eb="16">
      <t>タントウシャ</t>
    </rPh>
    <rPh sb="16" eb="18">
      <t>センタク</t>
    </rPh>
    <rPh sb="19" eb="21">
      <t>ヒキスウ</t>
    </rPh>
    <rPh sb="22" eb="23">
      <t>オヨ</t>
    </rPh>
    <rPh sb="25" eb="27">
      <t>シュトク</t>
    </rPh>
    <rPh sb="31" eb="34">
      <t>サギョウシャ</t>
    </rPh>
    <rPh sb="34" eb="36">
      <t>コウモク</t>
    </rPh>
    <rPh sb="36" eb="38">
      <t>セッテイ</t>
    </rPh>
    <rPh sb="39" eb="41">
      <t>キサイ</t>
    </rPh>
    <rPh sb="54" eb="56">
      <t>ヒキスウ</t>
    </rPh>
    <rPh sb="57" eb="58">
      <t>モド</t>
    </rPh>
    <rPh sb="59" eb="60">
      <t>チ</t>
    </rPh>
    <rPh sb="63" eb="65">
      <t>カクテイ</t>
    </rPh>
    <rPh sb="71" eb="72">
      <t>モウ</t>
    </rPh>
    <rPh sb="73" eb="74">
      <t>ワケ</t>
    </rPh>
    <rPh sb="82" eb="84">
      <t>コンカイ</t>
    </rPh>
    <rPh sb="85" eb="87">
      <t>キサイ</t>
    </rPh>
    <rPh sb="88" eb="90">
      <t>ヘンコウ</t>
    </rPh>
    <phoneticPr fontId="2"/>
  </si>
  <si>
    <t>正式に選択画面の設計書提示後、横展開予定
【質問】
選択MAX件数の値が6の固定値と受け取れますが、定数で可変としないのでしょうか？</t>
    <rPh sb="0" eb="2">
      <t>セイシキ</t>
    </rPh>
    <rPh sb="3" eb="7">
      <t>センタクガメン</t>
    </rPh>
    <rPh sb="8" eb="11">
      <t>セッケイショ</t>
    </rPh>
    <rPh sb="11" eb="13">
      <t>テイジ</t>
    </rPh>
    <rPh sb="13" eb="14">
      <t>ゴ</t>
    </rPh>
    <rPh sb="15" eb="18">
      <t>ヨコテンカイ</t>
    </rPh>
    <rPh sb="18" eb="20">
      <t>ヨテイ</t>
    </rPh>
    <rPh sb="23" eb="25">
      <t>シツモン</t>
    </rPh>
    <rPh sb="27" eb="29">
      <t>センタク</t>
    </rPh>
    <rPh sb="32" eb="34">
      <t>ケンスウ</t>
    </rPh>
    <rPh sb="35" eb="36">
      <t>アタイ</t>
    </rPh>
    <rPh sb="39" eb="42">
      <t>コテイチ</t>
    </rPh>
    <rPh sb="43" eb="44">
      <t>ウ</t>
    </rPh>
    <rPh sb="45" eb="46">
      <t>ト</t>
    </rPh>
    <rPh sb="51" eb="53">
      <t>テイスウ</t>
    </rPh>
    <rPh sb="54" eb="56">
      <t>カヘン</t>
    </rPh>
    <phoneticPr fontId="2"/>
  </si>
  <si>
    <t>5.作業者　アイコン選択
既に取得している作業日・設備を再度取得する意図は？
作業日のみの再表示である場合、検索条件データ取得前では？
設備の取得は必要？
検索ボタン押下処理では？</t>
    <rPh sb="13" eb="14">
      <t>スデ</t>
    </rPh>
    <rPh sb="15" eb="17">
      <t>シュトク</t>
    </rPh>
    <rPh sb="21" eb="24">
      <t>サギョウビ</t>
    </rPh>
    <rPh sb="25" eb="27">
      <t>セツビ</t>
    </rPh>
    <rPh sb="28" eb="30">
      <t>サイド</t>
    </rPh>
    <rPh sb="30" eb="32">
      <t>シュトク</t>
    </rPh>
    <rPh sb="34" eb="36">
      <t>イト</t>
    </rPh>
    <rPh sb="39" eb="42">
      <t>サギョウビ</t>
    </rPh>
    <rPh sb="45" eb="48">
      <t>サイヒョウジ</t>
    </rPh>
    <rPh sb="51" eb="53">
      <t>バアイ</t>
    </rPh>
    <rPh sb="54" eb="56">
      <t>ケンサク</t>
    </rPh>
    <rPh sb="56" eb="58">
      <t>ジョウケン</t>
    </rPh>
    <rPh sb="61" eb="63">
      <t>シュトク</t>
    </rPh>
    <rPh sb="63" eb="64">
      <t>マエ</t>
    </rPh>
    <rPh sb="68" eb="70">
      <t>セツビ</t>
    </rPh>
    <rPh sb="71" eb="73">
      <t>シュトク</t>
    </rPh>
    <rPh sb="74" eb="76">
      <t>ヒツヨウ</t>
    </rPh>
    <phoneticPr fontId="2"/>
  </si>
  <si>
    <t>計画外ボタン押下
パレメータ記載　但し、設定値の添削をお願いします。</t>
    <rPh sb="14" eb="16">
      <t>キサイ</t>
    </rPh>
    <rPh sb="17" eb="18">
      <t>タダ</t>
    </rPh>
    <rPh sb="20" eb="22">
      <t>セッテイ</t>
    </rPh>
    <rPh sb="22" eb="23">
      <t>チ</t>
    </rPh>
    <rPh sb="24" eb="26">
      <t>テンサク</t>
    </rPh>
    <rPh sb="28" eb="29">
      <t>ネガ</t>
    </rPh>
    <phoneticPr fontId="2"/>
  </si>
  <si>
    <t>選択画面のIOについては別日程の横展開作業にて対応予定</t>
  </si>
  <si>
    <t>計画外ボタン押下
生産計画　計画外画面（計画外データ登録）後の一覧表示処理がない
※生産計画　計画外画面の戻り値は、生産計画№としているが、問題ないでしょうか？</t>
    <rPh sb="20" eb="22">
      <t>ケイカク</t>
    </rPh>
    <rPh sb="22" eb="23">
      <t>ガイ</t>
    </rPh>
    <rPh sb="26" eb="28">
      <t>トウロク</t>
    </rPh>
    <rPh sb="29" eb="30">
      <t>ゴ</t>
    </rPh>
    <rPh sb="31" eb="33">
      <t>イチラン</t>
    </rPh>
    <rPh sb="33" eb="35">
      <t>ヒョウジ</t>
    </rPh>
    <rPh sb="35" eb="37">
      <t>ショリ</t>
    </rPh>
    <rPh sb="53" eb="54">
      <t>モド</t>
    </rPh>
    <rPh sb="55" eb="56">
      <t>チ</t>
    </rPh>
    <rPh sb="58" eb="63">
      <t>セイサンケイカクナンバー</t>
    </rPh>
    <rPh sb="70" eb="72">
      <t>モンダイ</t>
    </rPh>
    <phoneticPr fontId="2"/>
  </si>
  <si>
    <t>作業日・設備の再取得、検索処理を追記。
＞生産計画　計画外画面の戻り値は、生産計画№としているが、問題ないでしょうか？
当機能では生産計画№を使用して処理を行わないため問題ありません。</t>
    <rPh sb="0" eb="3">
      <t>サギョウビ</t>
    </rPh>
    <rPh sb="4" eb="6">
      <t>セツビ</t>
    </rPh>
    <rPh sb="7" eb="10">
      <t>サイシュトク</t>
    </rPh>
    <rPh sb="11" eb="15">
      <t>ケンサクショリ</t>
    </rPh>
    <rPh sb="16" eb="18">
      <t>ツイキ</t>
    </rPh>
    <rPh sb="61" eb="64">
      <t>トウキノウ</t>
    </rPh>
    <rPh sb="66" eb="71">
      <t>セイサンケイカクナンバー</t>
    </rPh>
    <rPh sb="72" eb="74">
      <t>シヨウ</t>
    </rPh>
    <rPh sb="76" eb="78">
      <t>ショリ</t>
    </rPh>
    <rPh sb="79" eb="80">
      <t>オコナ</t>
    </rPh>
    <rPh sb="85" eb="87">
      <t>モンダイ</t>
    </rPh>
    <phoneticPr fontId="2"/>
  </si>
  <si>
    <t>showYesNoDialog、showOnlyDialogのパラメータ
ボタン名または処理名は空白として下さい。
⇒　関数側で固定メニュー名を表示します。（システムで固定とする）
　　機能単位で特定の名称を出したい場合のみ設定をします。
【横展開】</t>
    <rPh sb="48" eb="50">
      <t>クウハク</t>
    </rPh>
    <rPh sb="53" eb="54">
      <t>クダ</t>
    </rPh>
    <rPh sb="60" eb="62">
      <t>カンスウ</t>
    </rPh>
    <rPh sb="62" eb="63">
      <t>ガワ</t>
    </rPh>
    <rPh sb="64" eb="66">
      <t>コテイ</t>
    </rPh>
    <rPh sb="70" eb="71">
      <t>メイ</t>
    </rPh>
    <rPh sb="72" eb="74">
      <t>ヒョウジ</t>
    </rPh>
    <rPh sb="84" eb="86">
      <t>コテイ</t>
    </rPh>
    <rPh sb="93" eb="95">
      <t>キノウ</t>
    </rPh>
    <rPh sb="95" eb="97">
      <t>タンイ</t>
    </rPh>
    <rPh sb="98" eb="100">
      <t>トクテイ</t>
    </rPh>
    <rPh sb="101" eb="103">
      <t>メイショウ</t>
    </rPh>
    <rPh sb="104" eb="105">
      <t>ダ</t>
    </rPh>
    <rPh sb="108" eb="110">
      <t>バアイ</t>
    </rPh>
    <rPh sb="112" eb="114">
      <t>セッテイ</t>
    </rPh>
    <rPh sb="121" eb="122">
      <t>ヨコ</t>
    </rPh>
    <rPh sb="122" eb="124">
      <t>テンカイ</t>
    </rPh>
    <phoneticPr fontId="2"/>
  </si>
  <si>
    <t xml:space="preserve">詳細設計ガイド.xlsxのシート「各処理」 №4において、引数の記載例でボタン名または処理名が空白ではなかったため個別の記載をしていました。
横展開対応を行います。
【D0000_開発ガイド】開発標準.xlsxのシート「開発ガイド（フロント）」 №5において、ボタン名または処理名はデフォルト＝空白 と記載があり、詳細設計ガイドと開発ガイドで表現が異なるため修正をお願いします。
</t>
    <rPh sb="0" eb="4">
      <t>ショウサイセッケイ</t>
    </rPh>
    <rPh sb="17" eb="20">
      <t>カクショリ</t>
    </rPh>
    <rPh sb="29" eb="31">
      <t>ヒキスウ</t>
    </rPh>
    <rPh sb="32" eb="35">
      <t>キサイレイ</t>
    </rPh>
    <rPh sb="39" eb="40">
      <t>メイ</t>
    </rPh>
    <rPh sb="43" eb="46">
      <t>ショリメイ</t>
    </rPh>
    <rPh sb="71" eb="74">
      <t>ヨコテンカイ</t>
    </rPh>
    <rPh sb="74" eb="76">
      <t>タイオウ</t>
    </rPh>
    <rPh sb="77" eb="78">
      <t>オコナ</t>
    </rPh>
    <rPh sb="110" eb="112">
      <t>カイハツ</t>
    </rPh>
    <rPh sb="147" eb="149">
      <t>クウハク</t>
    </rPh>
    <rPh sb="151" eb="153">
      <t>キサイ</t>
    </rPh>
    <rPh sb="157" eb="161">
      <t>ショウサイセッケイ</t>
    </rPh>
    <rPh sb="165" eb="167">
      <t>カイハツ</t>
    </rPh>
    <rPh sb="171" eb="173">
      <t>ヒョウゲン</t>
    </rPh>
    <rPh sb="174" eb="175">
      <t>コト</t>
    </rPh>
    <rPh sb="179" eb="181">
      <t>シュウセイ</t>
    </rPh>
    <rPh sb="183" eb="184">
      <t>ネガ</t>
    </rPh>
    <phoneticPr fontId="2"/>
  </si>
  <si>
    <t>7.計画外　削除ボタン押下　5.30.作業日・設備情報取得　を実施。
既にいる作業日・設備を再度取得する意図は？
作業日のみの再表示である場合、検索条件データ取得前では？
設備の取得は必要？
検索ボタン押下処理では？</t>
    <rPh sb="2" eb="4">
      <t>ケイカク</t>
    </rPh>
    <rPh sb="4" eb="5">
      <t>ガイ</t>
    </rPh>
    <rPh sb="35" eb="36">
      <t>スデ</t>
    </rPh>
    <rPh sb="39" eb="42">
      <t>サギョウビ</t>
    </rPh>
    <rPh sb="43" eb="45">
      <t>セツビ</t>
    </rPh>
    <rPh sb="46" eb="48">
      <t>サイド</t>
    </rPh>
    <rPh sb="48" eb="50">
      <t>シュトク</t>
    </rPh>
    <rPh sb="52" eb="54">
      <t>イト</t>
    </rPh>
    <rPh sb="57" eb="60">
      <t>サギョウビ</t>
    </rPh>
    <rPh sb="63" eb="66">
      <t>サイヒョウジ</t>
    </rPh>
    <rPh sb="69" eb="71">
      <t>バアイ</t>
    </rPh>
    <rPh sb="72" eb="74">
      <t>ケンサク</t>
    </rPh>
    <rPh sb="74" eb="76">
      <t>ジョウケン</t>
    </rPh>
    <rPh sb="79" eb="81">
      <t>シュトク</t>
    </rPh>
    <rPh sb="81" eb="82">
      <t>マエ</t>
    </rPh>
    <rPh sb="86" eb="88">
      <t>セツビ</t>
    </rPh>
    <rPh sb="89" eb="91">
      <t>シュトク</t>
    </rPh>
    <rPh sb="92" eb="94">
      <t>ヒツヨウ</t>
    </rPh>
    <phoneticPr fontId="2"/>
  </si>
  <si>
    <t>COMC3401002
COMC3401003</t>
    <phoneticPr fontId="2"/>
  </si>
  <si>
    <t>操作ログ資料より、操作ログ記載をお願いします。
※左記設計書は修正しました。添削をお願いします。
【横展開】</t>
    <rPh sb="0" eb="2">
      <t>ソウサ</t>
    </rPh>
    <rPh sb="4" eb="6">
      <t>シリョウ</t>
    </rPh>
    <rPh sb="9" eb="11">
      <t>ソウサ</t>
    </rPh>
    <rPh sb="13" eb="15">
      <t>キサイ</t>
    </rPh>
    <rPh sb="17" eb="18">
      <t>ネガ</t>
    </rPh>
    <rPh sb="25" eb="27">
      <t>サキ</t>
    </rPh>
    <rPh sb="27" eb="30">
      <t>セッケイショ</t>
    </rPh>
    <rPh sb="31" eb="33">
      <t>シュウセイ</t>
    </rPh>
    <rPh sb="38" eb="40">
      <t>テンサク</t>
    </rPh>
    <rPh sb="42" eb="43">
      <t>ネガ</t>
    </rPh>
    <rPh sb="50" eb="51">
      <t>ヨコ</t>
    </rPh>
    <rPh sb="51" eb="53">
      <t>テンカイ</t>
    </rPh>
    <phoneticPr fontId="2"/>
  </si>
  <si>
    <t>操作ログ登録関数に変更が発生しているため、変更内容を問い合わせ中。
詳細判明次第対応予定とさせてください。</t>
  </si>
  <si>
    <t>End</t>
    <phoneticPr fontId="2"/>
  </si>
  <si>
    <t>ドキュメント</t>
    <phoneticPr fontId="2"/>
  </si>
  <si>
    <t>業務分類名</t>
    <rPh sb="0" eb="2">
      <t>ギョウム</t>
    </rPh>
    <rPh sb="2" eb="4">
      <t>ブンルイ</t>
    </rPh>
    <rPh sb="4" eb="5">
      <t>メイ</t>
    </rPh>
    <phoneticPr fontId="2"/>
  </si>
  <si>
    <t>機能名</t>
    <rPh sb="0" eb="2">
      <t>キノウ</t>
    </rPh>
    <rPh sb="2" eb="3">
      <t>メイ</t>
    </rPh>
    <phoneticPr fontId="2"/>
  </si>
  <si>
    <t>原因工程</t>
    <rPh sb="0" eb="2">
      <t>ゲンイン</t>
    </rPh>
    <rPh sb="2" eb="4">
      <t>コウテイ</t>
    </rPh>
    <phoneticPr fontId="2"/>
  </si>
  <si>
    <t>基本設計</t>
    <rPh sb="0" eb="2">
      <t>キホン</t>
    </rPh>
    <rPh sb="2" eb="4">
      <t>セッケイ</t>
    </rPh>
    <phoneticPr fontId="2"/>
  </si>
  <si>
    <t>A.受注</t>
  </si>
  <si>
    <t>A0101</t>
  </si>
  <si>
    <t>受注登録</t>
  </si>
  <si>
    <t>1:要件定義</t>
    <rPh sb="2" eb="6">
      <t>ヨウケンテイギ</t>
    </rPh>
    <phoneticPr fontId="2"/>
  </si>
  <si>
    <t>詳細設計</t>
    <rPh sb="0" eb="2">
      <t>ショウサイ</t>
    </rPh>
    <rPh sb="2" eb="4">
      <t>セッケイ</t>
    </rPh>
    <phoneticPr fontId="2"/>
  </si>
  <si>
    <t>B.生産計画</t>
  </si>
  <si>
    <t>A1101</t>
  </si>
  <si>
    <t>受注一覧</t>
  </si>
  <si>
    <t>2:基本設計</t>
    <rPh sb="2" eb="4">
      <t>キホン</t>
    </rPh>
    <rPh sb="4" eb="6">
      <t>セッケイ</t>
    </rPh>
    <phoneticPr fontId="2"/>
  </si>
  <si>
    <t>単体試験</t>
    <rPh sb="0" eb="2">
      <t>タンタイ</t>
    </rPh>
    <rPh sb="2" eb="4">
      <t>シケン</t>
    </rPh>
    <phoneticPr fontId="2"/>
  </si>
  <si>
    <t>A3101</t>
  </si>
  <si>
    <t>ラベル発行</t>
  </si>
  <si>
    <t>単体実施</t>
    <rPh sb="0" eb="2">
      <t>タンタイ</t>
    </rPh>
    <rPh sb="2" eb="4">
      <t>ジッシ</t>
    </rPh>
    <phoneticPr fontId="2"/>
  </si>
  <si>
    <t>D.出荷</t>
  </si>
  <si>
    <t>A3202</t>
  </si>
  <si>
    <t>用紙セット確認</t>
  </si>
  <si>
    <t>4:開発</t>
    <rPh sb="2" eb="4">
      <t>カイハツ</t>
    </rPh>
    <phoneticPr fontId="2"/>
  </si>
  <si>
    <t>コードレビュー</t>
    <phoneticPr fontId="2"/>
  </si>
  <si>
    <t>結合試験</t>
    <rPh sb="0" eb="2">
      <t>ケツゴウ</t>
    </rPh>
    <rPh sb="2" eb="4">
      <t>シケン</t>
    </rPh>
    <phoneticPr fontId="2"/>
  </si>
  <si>
    <t>E.資材</t>
  </si>
  <si>
    <t>B0101</t>
  </si>
  <si>
    <t>生産計画登録（抄紙）</t>
  </si>
  <si>
    <t>5:単体試験</t>
    <rPh sb="2" eb="4">
      <t>タンタイ</t>
    </rPh>
    <rPh sb="4" eb="6">
      <t>シケン</t>
    </rPh>
    <phoneticPr fontId="2"/>
  </si>
  <si>
    <t>結合実施</t>
    <rPh sb="0" eb="2">
      <t>ケツゴウ</t>
    </rPh>
    <rPh sb="2" eb="4">
      <t>ジッシ</t>
    </rPh>
    <phoneticPr fontId="2"/>
  </si>
  <si>
    <t>F.請求・入金</t>
  </si>
  <si>
    <t>B0102</t>
  </si>
  <si>
    <t>生産計画登録（熱加工）</t>
  </si>
  <si>
    <t>6:単体実施</t>
    <rPh sb="2" eb="4">
      <t>タンタイ</t>
    </rPh>
    <rPh sb="4" eb="6">
      <t>ジッシ</t>
    </rPh>
    <phoneticPr fontId="2"/>
  </si>
  <si>
    <t>G.売上</t>
  </si>
  <si>
    <t>B0103</t>
  </si>
  <si>
    <t>生産計画登録（加工CM）</t>
  </si>
  <si>
    <t>7:結合試験</t>
    <rPh sb="2" eb="4">
      <t>ケツゴウ</t>
    </rPh>
    <rPh sb="4" eb="6">
      <t>シケン</t>
    </rPh>
    <phoneticPr fontId="2"/>
  </si>
  <si>
    <t>H.支払</t>
  </si>
  <si>
    <t>B0104</t>
  </si>
  <si>
    <t>生産計画登録（加工SC）</t>
  </si>
  <si>
    <t>8:結合実施</t>
    <rPh sb="2" eb="4">
      <t>ケツゴウ</t>
    </rPh>
    <rPh sb="4" eb="6">
      <t>ジッシ</t>
    </rPh>
    <phoneticPr fontId="2"/>
  </si>
  <si>
    <t>I.原価</t>
  </si>
  <si>
    <t>B0105</t>
  </si>
  <si>
    <t>生産計画登録（コーヒーフィルタ）</t>
  </si>
  <si>
    <t>J.製品棚卸</t>
  </si>
  <si>
    <t>B0106</t>
  </si>
  <si>
    <t>生産計画登録（パッケージ工場）</t>
  </si>
  <si>
    <t>K.マスタ管理</t>
  </si>
  <si>
    <t>B0107</t>
  </si>
  <si>
    <t>生産計画登録（W/D工場）</t>
  </si>
  <si>
    <t>L.共通</t>
  </si>
  <si>
    <t>B0108</t>
  </si>
  <si>
    <t>生産計画登録（外注加工）</t>
  </si>
  <si>
    <t>B1101</t>
  </si>
  <si>
    <t>生産計画一覧</t>
  </si>
  <si>
    <t>B1102</t>
  </si>
  <si>
    <t>月間生産計画（設備別）</t>
  </si>
  <si>
    <t>B1103</t>
  </si>
  <si>
    <t>月間生産計画（工程別）①</t>
  </si>
  <si>
    <t>B1104</t>
  </si>
  <si>
    <t>月間生産計画（工程別）②</t>
  </si>
  <si>
    <t>B1201</t>
  </si>
  <si>
    <t>在庫推移一覧</t>
  </si>
  <si>
    <t>B1301</t>
  </si>
  <si>
    <t>在庫一覧</t>
  </si>
  <si>
    <t>B0201</t>
  </si>
  <si>
    <t>生産指示登録（原材料）</t>
  </si>
  <si>
    <t>B0202</t>
  </si>
  <si>
    <t>生産指示登録（調薬）</t>
  </si>
  <si>
    <t>B0203</t>
  </si>
  <si>
    <t>生産指示登録（原反）</t>
  </si>
  <si>
    <t>B2101</t>
  </si>
  <si>
    <t>生産計画表（抄紙）</t>
  </si>
  <si>
    <t>B2102</t>
  </si>
  <si>
    <t>生産計画表（熱加工）</t>
  </si>
  <si>
    <t>B2103</t>
  </si>
  <si>
    <t>生産計画表（加工CM）</t>
  </si>
  <si>
    <t>B2104</t>
  </si>
  <si>
    <t>生産計画表（加工SC）</t>
  </si>
  <si>
    <t>B2105</t>
  </si>
  <si>
    <t>生産計画表（コーヒーフィルタ）</t>
  </si>
  <si>
    <t>B2106</t>
  </si>
  <si>
    <t>生産計画表（パッケージ工場）</t>
  </si>
  <si>
    <t>B2107</t>
  </si>
  <si>
    <t>生産計画表（W/D工場）</t>
  </si>
  <si>
    <t>B2201</t>
  </si>
  <si>
    <t>工程表</t>
  </si>
  <si>
    <t>C0101</t>
  </si>
  <si>
    <t>使用実績登録（原材料）</t>
  </si>
  <si>
    <t>C0102</t>
  </si>
  <si>
    <t>使用実績登録（薬品）</t>
  </si>
  <si>
    <t>C0103</t>
  </si>
  <si>
    <t>使用実績登録（調薬）</t>
  </si>
  <si>
    <t>C0104</t>
  </si>
  <si>
    <t>使用実績登録（調合顔料）</t>
  </si>
  <si>
    <t>C1101</t>
  </si>
  <si>
    <t>使用実績一覧</t>
  </si>
  <si>
    <t>C0201</t>
  </si>
  <si>
    <t>パルプ・化繊・薬品配合登録</t>
  </si>
  <si>
    <t>C1201</t>
  </si>
  <si>
    <t>パルプ・化繊・薬品配合一覧</t>
  </si>
  <si>
    <t>C0401</t>
  </si>
  <si>
    <t>抄紙実績登録（抄紙）</t>
  </si>
  <si>
    <t>C0402</t>
  </si>
  <si>
    <t>仕上実績登録（抄紙）</t>
  </si>
  <si>
    <t>C0403</t>
  </si>
  <si>
    <t>加工実績登録（熱加工）</t>
  </si>
  <si>
    <t>C0404</t>
  </si>
  <si>
    <t>仕上実績登録（熱加工）</t>
  </si>
  <si>
    <t>C0405</t>
  </si>
  <si>
    <t>加工実績登録（加工CM）</t>
  </si>
  <si>
    <t>C0406</t>
  </si>
  <si>
    <t>仕上実績登録（加工CM）</t>
  </si>
  <si>
    <t>C0407</t>
  </si>
  <si>
    <t>加工実績登録（加工SC）</t>
  </si>
  <si>
    <t>C0408</t>
  </si>
  <si>
    <t>仕上実績登録（加工SC）</t>
  </si>
  <si>
    <t>C0409</t>
  </si>
  <si>
    <t>成型実績登録</t>
  </si>
  <si>
    <t>C0410</t>
  </si>
  <si>
    <t>包装実績登録</t>
  </si>
  <si>
    <t>C0411</t>
  </si>
  <si>
    <t>パッケージ実績登録</t>
  </si>
  <si>
    <t>C0412</t>
  </si>
  <si>
    <t>仕上実績登録（W/D工場）</t>
  </si>
  <si>
    <t>C0413</t>
  </si>
  <si>
    <t>仕上実績登録（外注加工）</t>
  </si>
  <si>
    <t>C1401</t>
  </si>
  <si>
    <t>生産実績一覧（抄紙）</t>
  </si>
  <si>
    <t>C1402</t>
  </si>
  <si>
    <t>生産実績一覧（熱加工）</t>
  </si>
  <si>
    <t>C1403</t>
  </si>
  <si>
    <t>生産実績一覧（加工CM）</t>
  </si>
  <si>
    <t>C1404</t>
  </si>
  <si>
    <t>生産実績一覧（加工SC）</t>
  </si>
  <si>
    <t>C1405</t>
  </si>
  <si>
    <t>生産実績一覧（コーヒーフィルタ）</t>
  </si>
  <si>
    <t>C1406</t>
  </si>
  <si>
    <t>生産実績一覧（パッケージ工場）</t>
  </si>
  <si>
    <t>C1407</t>
  </si>
  <si>
    <t>生産実績一覧（W/D工場）</t>
  </si>
  <si>
    <t>C1408</t>
  </si>
  <si>
    <t>生産実績一覧（外注加工）</t>
  </si>
  <si>
    <t>作業一覧（抄紙）</t>
  </si>
  <si>
    <t>C3402</t>
  </si>
  <si>
    <t>作業一覧（熱加工）</t>
  </si>
  <si>
    <t>C3403</t>
  </si>
  <si>
    <t>作業一覧（加工CM）</t>
  </si>
  <si>
    <t>C3404</t>
  </si>
  <si>
    <t>作業一覧（加工SC）</t>
  </si>
  <si>
    <t>C3405</t>
  </si>
  <si>
    <t>作業一覧（W/D工場）</t>
  </si>
  <si>
    <t>C0501</t>
  </si>
  <si>
    <t>在庫移動指示登録</t>
  </si>
  <si>
    <t>C0502</t>
  </si>
  <si>
    <t>在庫移動指示登録（パッケージ工場）</t>
  </si>
  <si>
    <t>C0503</t>
  </si>
  <si>
    <t>在庫移動指示登録（外注加工）</t>
  </si>
  <si>
    <t>C1501</t>
  </si>
  <si>
    <t>在庫移動指示一覧</t>
  </si>
  <si>
    <t>C2101</t>
  </si>
  <si>
    <t>在庫移動指図書</t>
  </si>
  <si>
    <t>C0601</t>
  </si>
  <si>
    <t>引取指示登録</t>
  </si>
  <si>
    <t>C1601</t>
  </si>
  <si>
    <t>引取指示一覧</t>
  </si>
  <si>
    <t>C2201</t>
  </si>
  <si>
    <t>引取依頼書</t>
  </si>
  <si>
    <t>C0701</t>
  </si>
  <si>
    <t>加工指示登録（W/D工場）</t>
  </si>
  <si>
    <t>C0702</t>
  </si>
  <si>
    <t>加工指示登録（外注加工）</t>
  </si>
  <si>
    <t>C2301</t>
  </si>
  <si>
    <t>加工指示書</t>
  </si>
  <si>
    <t>D0101</t>
  </si>
  <si>
    <t>出荷指示登録</t>
  </si>
  <si>
    <t>D0102</t>
  </si>
  <si>
    <t>出荷指示登録（海外）</t>
  </si>
  <si>
    <t>D1101</t>
  </si>
  <si>
    <t>出荷指示一覧</t>
  </si>
  <si>
    <t>D1102</t>
  </si>
  <si>
    <t>出荷指示一覧（海外）</t>
  </si>
  <si>
    <t>D0201</t>
  </si>
  <si>
    <t>出荷実績登録</t>
  </si>
  <si>
    <t>D0202</t>
  </si>
  <si>
    <t>出荷実績登録（海外）</t>
  </si>
  <si>
    <t>D3201</t>
  </si>
  <si>
    <t>出荷実績登録（バーコード読取）</t>
  </si>
  <si>
    <t>D1201</t>
  </si>
  <si>
    <t>出荷実績一覧</t>
  </si>
  <si>
    <t>D1202</t>
  </si>
  <si>
    <t>出荷実績一覧（海外）</t>
  </si>
  <si>
    <t>E0101</t>
  </si>
  <si>
    <t>発注指示登録</t>
  </si>
  <si>
    <t>E1101</t>
  </si>
  <si>
    <t>発注指示一覧</t>
  </si>
  <si>
    <t>E0201</t>
  </si>
  <si>
    <t>発注登録</t>
  </si>
  <si>
    <t>E1201</t>
  </si>
  <si>
    <t>発注一覧</t>
  </si>
  <si>
    <t>E0301</t>
  </si>
  <si>
    <t>発注指示選択</t>
  </si>
  <si>
    <t>E0401</t>
  </si>
  <si>
    <t>注文書出力</t>
  </si>
  <si>
    <t>E2401</t>
  </si>
  <si>
    <t>注文書</t>
  </si>
  <si>
    <t>資材受入登録</t>
  </si>
  <si>
    <t>E1401</t>
  </si>
  <si>
    <t>資材受入一覧</t>
  </si>
  <si>
    <t>E1501</t>
  </si>
  <si>
    <t>資材在庫一覧</t>
  </si>
  <si>
    <t>F0101</t>
  </si>
  <si>
    <t>請求書出力</t>
  </si>
  <si>
    <t>F0102</t>
  </si>
  <si>
    <t>請求書出力（プレビュー）</t>
  </si>
  <si>
    <t>F3101</t>
  </si>
  <si>
    <t>入金一覧</t>
  </si>
  <si>
    <t>G0101</t>
  </si>
  <si>
    <t>その他売上登録</t>
  </si>
  <si>
    <t>G0102</t>
  </si>
  <si>
    <t>その他売上登録（海外）</t>
  </si>
  <si>
    <t>G1101</t>
  </si>
  <si>
    <t>その他売上一覧</t>
  </si>
  <si>
    <t>G1102</t>
  </si>
  <si>
    <t>その他売上一覧（海外）</t>
  </si>
  <si>
    <t>G3101</t>
  </si>
  <si>
    <t>売上連携</t>
  </si>
  <si>
    <t>H0101</t>
  </si>
  <si>
    <t>支払予定データ登録</t>
  </si>
  <si>
    <t>H1101</t>
  </si>
  <si>
    <t>支払予定データ一覧</t>
  </si>
  <si>
    <t>H3101</t>
  </si>
  <si>
    <t>支払予定データ連携</t>
  </si>
  <si>
    <t>I0101</t>
  </si>
  <si>
    <t>原価データ登録</t>
  </si>
  <si>
    <t>I1101</t>
  </si>
  <si>
    <t>原価一覧</t>
  </si>
  <si>
    <t>J0101</t>
  </si>
  <si>
    <t>実地棚卸データ登録</t>
  </si>
  <si>
    <t>J1101</t>
  </si>
  <si>
    <t>実地棚卸データ一覧</t>
  </si>
  <si>
    <t>K0102</t>
  </si>
  <si>
    <t>メニューマスタメンテナンス</t>
  </si>
  <si>
    <t>K0103</t>
  </si>
  <si>
    <t>権限マスタメンテナンス</t>
  </si>
  <si>
    <t>K0104</t>
  </si>
  <si>
    <t>品種マスタメンテナンス</t>
  </si>
  <si>
    <t>K0105</t>
  </si>
  <si>
    <t>業者マスタメンテナンス</t>
  </si>
  <si>
    <t>K0106</t>
  </si>
  <si>
    <t>工程マスタメンテナンス</t>
  </si>
  <si>
    <t>K0107</t>
  </si>
  <si>
    <t>品種大分類マスタメンテナンス</t>
  </si>
  <si>
    <t>K0108</t>
  </si>
  <si>
    <t>品種中分類メンテナンス</t>
  </si>
  <si>
    <t>K0109</t>
  </si>
  <si>
    <t>単位コードマスタメンテナンス</t>
  </si>
  <si>
    <t>K0110</t>
  </si>
  <si>
    <t>通貨コードメンテナンス</t>
  </si>
  <si>
    <t>K0111</t>
  </si>
  <si>
    <t>管轄コードメンテナンス</t>
  </si>
  <si>
    <t>K0112</t>
  </si>
  <si>
    <t>保管場所コードメンテナンス</t>
  </si>
  <si>
    <t>K0113</t>
  </si>
  <si>
    <t>採番マスタメンテナンス</t>
  </si>
  <si>
    <t>K0114</t>
  </si>
  <si>
    <t>製品分類マスタメンテナンス</t>
  </si>
  <si>
    <t>K0115</t>
  </si>
  <si>
    <t>利用者マスタメンテナンス</t>
  </si>
  <si>
    <t>K0116</t>
  </si>
  <si>
    <t>部署マスタメンテナンス</t>
  </si>
  <si>
    <t>K0117</t>
  </si>
  <si>
    <t>カレンダーマスタメンテナンス</t>
  </si>
  <si>
    <t>K0118</t>
  </si>
  <si>
    <t>コード名称マスタメンテナンス</t>
  </si>
  <si>
    <t>K0119</t>
  </si>
  <si>
    <t>区分名称マスタメンテナンス</t>
  </si>
  <si>
    <t>K0120</t>
  </si>
  <si>
    <t>承認経路マスタメンテナンス</t>
  </si>
  <si>
    <t>K0121</t>
  </si>
  <si>
    <t>業者品種マスタメンテナンス</t>
  </si>
  <si>
    <t>K0122</t>
  </si>
  <si>
    <t>科目マスタメンテナンス</t>
  </si>
  <si>
    <t>K0123</t>
  </si>
  <si>
    <t>経費マスタメンテナンス</t>
  </si>
  <si>
    <t>K0124</t>
  </si>
  <si>
    <t>原価計算経費マスタメンテナンス</t>
  </si>
  <si>
    <t>L0101</t>
  </si>
  <si>
    <t>ログイン画面</t>
  </si>
  <si>
    <t>L0201</t>
  </si>
  <si>
    <t>メニュー画面</t>
  </si>
  <si>
    <t>L1101</t>
  </si>
  <si>
    <t>端末利用状況一覧</t>
  </si>
  <si>
    <t>L1201</t>
  </si>
  <si>
    <t>ロットトレース一覧</t>
  </si>
  <si>
    <t>指摘区分</t>
    <rPh sb="0" eb="2">
      <t>シテキ</t>
    </rPh>
    <rPh sb="2" eb="4">
      <t>クブン</t>
    </rPh>
    <phoneticPr fontId="4"/>
  </si>
  <si>
    <t>※選択したい行をダブルクリックしてください。</t>
    <rPh sb="1" eb="3">
      <t>センタク</t>
    </rPh>
    <rPh sb="6" eb="7">
      <t>ギョウ</t>
    </rPh>
    <phoneticPr fontId="4"/>
  </si>
  <si>
    <t>指摘区分内容説明</t>
    <rPh sb="0" eb="2">
      <t>シテキ</t>
    </rPh>
    <rPh sb="2" eb="4">
      <t>クブン</t>
    </rPh>
    <rPh sb="4" eb="6">
      <t>ナイヨウ</t>
    </rPh>
    <rPh sb="6" eb="8">
      <t>セツメイ</t>
    </rPh>
    <phoneticPr fontId="4"/>
  </si>
  <si>
    <t>1:記載ミス</t>
    <rPh sb="2" eb="4">
      <t>キサイ</t>
    </rPh>
    <phoneticPr fontId="2"/>
  </si>
  <si>
    <t>記載ミス（誤記等）</t>
    <rPh sb="0" eb="2">
      <t>キサイ</t>
    </rPh>
    <rPh sb="5" eb="7">
      <t>ゴキ</t>
    </rPh>
    <rPh sb="7" eb="8">
      <t>トウ</t>
    </rPh>
    <phoneticPr fontId="2"/>
  </si>
  <si>
    <t>2:記載漏れ</t>
    <rPh sb="2" eb="4">
      <t>キサイ</t>
    </rPh>
    <rPh sb="4" eb="5">
      <t>モ</t>
    </rPh>
    <phoneticPr fontId="2"/>
  </si>
  <si>
    <t>記載漏れ（処理漏れ等）</t>
    <rPh sb="0" eb="2">
      <t>キサイ</t>
    </rPh>
    <rPh sb="2" eb="3">
      <t>モ</t>
    </rPh>
    <rPh sb="5" eb="7">
      <t>ショリ</t>
    </rPh>
    <rPh sb="7" eb="8">
      <t>モ</t>
    </rPh>
    <rPh sb="9" eb="10">
      <t>トウ</t>
    </rPh>
    <phoneticPr fontId="2"/>
  </si>
  <si>
    <t>3:記載不要</t>
    <rPh sb="2" eb="4">
      <t>キサイ</t>
    </rPh>
    <rPh sb="4" eb="6">
      <t>フヨウ</t>
    </rPh>
    <phoneticPr fontId="2"/>
  </si>
  <si>
    <t>記載不要</t>
    <rPh sb="0" eb="2">
      <t>キサイ</t>
    </rPh>
    <rPh sb="2" eb="4">
      <t>フヨウ</t>
    </rPh>
    <phoneticPr fontId="2"/>
  </si>
  <si>
    <t>4:表現曖昧</t>
    <rPh sb="2" eb="4">
      <t>ヒョウゲン</t>
    </rPh>
    <rPh sb="4" eb="6">
      <t>アイマイ</t>
    </rPh>
    <phoneticPr fontId="2"/>
  </si>
  <si>
    <t>表現曖昧（処理に対する文面・表現曖昧等）</t>
    <rPh sb="0" eb="2">
      <t>ヒョウゲン</t>
    </rPh>
    <rPh sb="2" eb="4">
      <t>アイマイ</t>
    </rPh>
    <rPh sb="5" eb="7">
      <t>ショリ</t>
    </rPh>
    <rPh sb="8" eb="9">
      <t>タイ</t>
    </rPh>
    <rPh sb="11" eb="13">
      <t>ブンメン</t>
    </rPh>
    <rPh sb="14" eb="16">
      <t>ヒョウゲン</t>
    </rPh>
    <rPh sb="16" eb="18">
      <t>アイマイ</t>
    </rPh>
    <rPh sb="18" eb="19">
      <t>トウ</t>
    </rPh>
    <phoneticPr fontId="2"/>
  </si>
  <si>
    <t>5:表現統一</t>
    <rPh sb="2" eb="4">
      <t>ヒョウゲン</t>
    </rPh>
    <rPh sb="4" eb="6">
      <t>トウイツ</t>
    </rPh>
    <phoneticPr fontId="2"/>
  </si>
  <si>
    <t>表現統一（一覧化等処理記載内容が判るように改善）</t>
    <rPh sb="0" eb="2">
      <t>ヒョウゲン</t>
    </rPh>
    <rPh sb="2" eb="4">
      <t>トウイツ</t>
    </rPh>
    <rPh sb="5" eb="7">
      <t>イチラン</t>
    </rPh>
    <rPh sb="7" eb="8">
      <t>カ</t>
    </rPh>
    <rPh sb="8" eb="9">
      <t>トウ</t>
    </rPh>
    <rPh sb="9" eb="11">
      <t>ショリ</t>
    </rPh>
    <rPh sb="11" eb="13">
      <t>キサイ</t>
    </rPh>
    <rPh sb="13" eb="15">
      <t>ナイヨウ</t>
    </rPh>
    <rPh sb="16" eb="17">
      <t>ワカ</t>
    </rPh>
    <rPh sb="21" eb="23">
      <t>カイゼン</t>
    </rPh>
    <phoneticPr fontId="2"/>
  </si>
  <si>
    <t>6:処理検討不足</t>
    <rPh sb="2" eb="4">
      <t>ショリ</t>
    </rPh>
    <rPh sb="4" eb="6">
      <t>ケントウ</t>
    </rPh>
    <rPh sb="6" eb="8">
      <t>フソク</t>
    </rPh>
    <phoneticPr fontId="2"/>
  </si>
  <si>
    <t>処理検討不足</t>
    <rPh sb="0" eb="2">
      <t>ショリ</t>
    </rPh>
    <rPh sb="2" eb="4">
      <t>ケントウ</t>
    </rPh>
    <rPh sb="4" eb="6">
      <t>フソク</t>
    </rPh>
    <phoneticPr fontId="2"/>
  </si>
  <si>
    <t>7:ユーザ確認要</t>
    <rPh sb="5" eb="7">
      <t>カクニン</t>
    </rPh>
    <rPh sb="7" eb="8">
      <t>ヨウ</t>
    </rPh>
    <phoneticPr fontId="2"/>
  </si>
  <si>
    <t>ユーザ確認要</t>
    <rPh sb="3" eb="5">
      <t>カクニン</t>
    </rPh>
    <rPh sb="5" eb="6">
      <t>ヨウ</t>
    </rPh>
    <phoneticPr fontId="2"/>
  </si>
  <si>
    <t>8:設計規約ミス</t>
    <rPh sb="2" eb="4">
      <t>セッケイ</t>
    </rPh>
    <rPh sb="4" eb="6">
      <t>キヤク</t>
    </rPh>
    <phoneticPr fontId="2"/>
  </si>
  <si>
    <t>設計ルールに従っていない等</t>
    <rPh sb="0" eb="2">
      <t>セッケイ</t>
    </rPh>
    <rPh sb="6" eb="7">
      <t>シタガ</t>
    </rPh>
    <rPh sb="12" eb="13">
      <t>トウ</t>
    </rPh>
    <phoneticPr fontId="2"/>
  </si>
  <si>
    <t>9:設計問合せ</t>
    <rPh sb="2" eb="4">
      <t>セッケイ</t>
    </rPh>
    <rPh sb="4" eb="6">
      <t>トイアワ</t>
    </rPh>
    <phoneticPr fontId="2"/>
  </si>
  <si>
    <t>設計者への処理確認</t>
    <rPh sb="0" eb="3">
      <t>セッケイシャ</t>
    </rPh>
    <rPh sb="5" eb="7">
      <t>ショリ</t>
    </rPh>
    <rPh sb="7" eb="9">
      <t>カクニン</t>
    </rPh>
    <phoneticPr fontId="2"/>
  </si>
  <si>
    <t>A:要望</t>
    <rPh sb="2" eb="4">
      <t>ヨウボウ</t>
    </rPh>
    <phoneticPr fontId="2"/>
  </si>
  <si>
    <t>※最終行です。削除しないでください。行を挿入する場合は、この行より上で実施してください。</t>
    <phoneticPr fontId="4"/>
  </si>
  <si>
    <t>原因分類/原因区分/原因区分詳細一覧</t>
    <rPh sb="16" eb="18">
      <t>イチラン</t>
    </rPh>
    <phoneticPr fontId="4"/>
  </si>
  <si>
    <t>Lv1</t>
    <phoneticPr fontId="4"/>
  </si>
  <si>
    <t>Lv2</t>
    <phoneticPr fontId="4"/>
  </si>
  <si>
    <t>原因区分内容説明</t>
    <rPh sb="0" eb="2">
      <t>ゲンイン</t>
    </rPh>
    <rPh sb="2" eb="4">
      <t>クブン</t>
    </rPh>
    <rPh sb="4" eb="6">
      <t>ナイヨウ</t>
    </rPh>
    <rPh sb="6" eb="8">
      <t>セツメイ</t>
    </rPh>
    <phoneticPr fontId="4"/>
  </si>
  <si>
    <t>10:記載ミス</t>
    <rPh sb="3" eb="5">
      <t>キサイ</t>
    </rPh>
    <phoneticPr fontId="2"/>
  </si>
  <si>
    <t>11:記載漏れ（画面・帳票）</t>
    <rPh sb="3" eb="5">
      <t>キサイ</t>
    </rPh>
    <rPh sb="5" eb="6">
      <t>モ</t>
    </rPh>
    <rPh sb="8" eb="10">
      <t>ガメン</t>
    </rPh>
    <rPh sb="11" eb="13">
      <t>チョウヒョウ</t>
    </rPh>
    <phoneticPr fontId="2"/>
  </si>
  <si>
    <t>画面/帳票の項目過不足、レイアウト設計ミス</t>
    <phoneticPr fontId="2"/>
  </si>
  <si>
    <t>12:記載漏れ（処理）</t>
    <rPh sb="3" eb="5">
      <t>キサイ</t>
    </rPh>
    <rPh sb="5" eb="6">
      <t>モ</t>
    </rPh>
    <rPh sb="8" eb="10">
      <t>ショリ</t>
    </rPh>
    <phoneticPr fontId="2"/>
  </si>
  <si>
    <t>処理に対するボタン処理・イベント処理等の記載漏れ</t>
    <rPh sb="0" eb="2">
      <t>ショリ</t>
    </rPh>
    <rPh sb="3" eb="4">
      <t>タイ</t>
    </rPh>
    <rPh sb="9" eb="11">
      <t>ショリ</t>
    </rPh>
    <rPh sb="16" eb="18">
      <t>ショリ</t>
    </rPh>
    <rPh sb="18" eb="19">
      <t>トウ</t>
    </rPh>
    <rPh sb="20" eb="22">
      <t>キサイ</t>
    </rPh>
    <rPh sb="22" eb="23">
      <t>モ</t>
    </rPh>
    <phoneticPr fontId="2"/>
  </si>
  <si>
    <t>13:記載不要</t>
    <rPh sb="3" eb="5">
      <t>キサイ</t>
    </rPh>
    <rPh sb="5" eb="7">
      <t>フヨウ</t>
    </rPh>
    <phoneticPr fontId="2"/>
  </si>
  <si>
    <t>記載不要の処理</t>
    <rPh sb="5" eb="7">
      <t>ショリ</t>
    </rPh>
    <phoneticPr fontId="2"/>
  </si>
  <si>
    <t>14:表現曖昧</t>
    <rPh sb="3" eb="5">
      <t>ヒョウゲン</t>
    </rPh>
    <rPh sb="5" eb="7">
      <t>アイマイ</t>
    </rPh>
    <phoneticPr fontId="2"/>
  </si>
  <si>
    <t>処理に対しての表現が曖昧　※処理内容の記載・方針は正しい</t>
    <rPh sb="0" eb="2">
      <t>ショリ</t>
    </rPh>
    <rPh sb="3" eb="4">
      <t>タイ</t>
    </rPh>
    <rPh sb="7" eb="9">
      <t>ヒョウゲン</t>
    </rPh>
    <rPh sb="10" eb="12">
      <t>アイマイ</t>
    </rPh>
    <rPh sb="14" eb="16">
      <t>ショリ</t>
    </rPh>
    <rPh sb="16" eb="18">
      <t>ナイヨウ</t>
    </rPh>
    <rPh sb="19" eb="21">
      <t>キサイ</t>
    </rPh>
    <rPh sb="22" eb="24">
      <t>ホウシン</t>
    </rPh>
    <rPh sb="25" eb="26">
      <t>タダ</t>
    </rPh>
    <phoneticPr fontId="2"/>
  </si>
  <si>
    <t>15:表現統一</t>
    <rPh sb="3" eb="5">
      <t>ヒョウゲン</t>
    </rPh>
    <rPh sb="5" eb="7">
      <t>トウイツ</t>
    </rPh>
    <phoneticPr fontId="2"/>
  </si>
  <si>
    <t>処理に対しての表現の統一化</t>
    <rPh sb="0" eb="2">
      <t>ショリ</t>
    </rPh>
    <rPh sb="3" eb="4">
      <t>タイ</t>
    </rPh>
    <rPh sb="7" eb="9">
      <t>ヒョウゲン</t>
    </rPh>
    <rPh sb="10" eb="13">
      <t>トウイツカ</t>
    </rPh>
    <phoneticPr fontId="2"/>
  </si>
  <si>
    <t>2:設計検討不足</t>
    <rPh sb="2" eb="4">
      <t>セッケイ</t>
    </rPh>
    <rPh sb="4" eb="8">
      <t>ケントウフソク</t>
    </rPh>
    <phoneticPr fontId="2"/>
  </si>
  <si>
    <t>21:処理検討不足</t>
    <rPh sb="3" eb="5">
      <t>ショリ</t>
    </rPh>
    <rPh sb="5" eb="7">
      <t>ケントウ</t>
    </rPh>
    <rPh sb="7" eb="9">
      <t>フソク</t>
    </rPh>
    <phoneticPr fontId="2"/>
  </si>
  <si>
    <t>イベント（ボタン処理・項目処理等）処理検討不足による設計仕様ミス</t>
    <rPh sb="8" eb="10">
      <t>ショリ</t>
    </rPh>
    <rPh sb="11" eb="13">
      <t>コウモク</t>
    </rPh>
    <rPh sb="13" eb="15">
      <t>ショリ</t>
    </rPh>
    <rPh sb="15" eb="16">
      <t>トウ</t>
    </rPh>
    <rPh sb="17" eb="19">
      <t>ショリ</t>
    </rPh>
    <rPh sb="19" eb="21">
      <t>ケントウ</t>
    </rPh>
    <rPh sb="21" eb="23">
      <t>フソク</t>
    </rPh>
    <phoneticPr fontId="2"/>
  </si>
  <si>
    <t>3:他機能連携不足</t>
    <rPh sb="2" eb="7">
      <t>タキノウレンケイ</t>
    </rPh>
    <rPh sb="7" eb="9">
      <t>フソク</t>
    </rPh>
    <phoneticPr fontId="2"/>
  </si>
  <si>
    <t>31:他機能連携不足</t>
    <rPh sb="3" eb="6">
      <t>タキノウ</t>
    </rPh>
    <rPh sb="6" eb="8">
      <t>レンケイ</t>
    </rPh>
    <rPh sb="8" eb="10">
      <t>フソク</t>
    </rPh>
    <phoneticPr fontId="2"/>
  </si>
  <si>
    <t>他機能との処理連携不足による設計仕様ミス</t>
    <rPh sb="0" eb="3">
      <t>タキノウ</t>
    </rPh>
    <rPh sb="5" eb="7">
      <t>ショリ</t>
    </rPh>
    <rPh sb="7" eb="9">
      <t>レンケイ</t>
    </rPh>
    <rPh sb="9" eb="11">
      <t>フソク</t>
    </rPh>
    <phoneticPr fontId="2"/>
  </si>
  <si>
    <t>4:共通設計ﾐｽ</t>
    <rPh sb="2" eb="4">
      <t>キョウツウ</t>
    </rPh>
    <phoneticPr fontId="4"/>
  </si>
  <si>
    <t>41:共通処理漏れ</t>
    <rPh sb="5" eb="7">
      <t>ショリ</t>
    </rPh>
    <rPh sb="7" eb="8">
      <t>モ</t>
    </rPh>
    <phoneticPr fontId="2"/>
  </si>
  <si>
    <t>共通処理（共通イベント処理・共通制御等の処理）の記載漏れによる設計仕様ミス</t>
    <rPh sb="0" eb="2">
      <t>キョウツウ</t>
    </rPh>
    <rPh sb="2" eb="4">
      <t>ショリ</t>
    </rPh>
    <rPh sb="5" eb="7">
      <t>キョウツウ</t>
    </rPh>
    <rPh sb="11" eb="13">
      <t>ショリ</t>
    </rPh>
    <rPh sb="14" eb="16">
      <t>キョウツウ</t>
    </rPh>
    <rPh sb="16" eb="18">
      <t>セイギョ</t>
    </rPh>
    <rPh sb="18" eb="19">
      <t>トウ</t>
    </rPh>
    <rPh sb="20" eb="22">
      <t>ショリ</t>
    </rPh>
    <rPh sb="24" eb="26">
      <t>キサイ</t>
    </rPh>
    <rPh sb="26" eb="27">
      <t>モ</t>
    </rPh>
    <phoneticPr fontId="2"/>
  </si>
  <si>
    <t>4:共通検討不足</t>
    <rPh sb="2" eb="4">
      <t>キョウツウ</t>
    </rPh>
    <rPh sb="4" eb="6">
      <t>ケントウ</t>
    </rPh>
    <rPh sb="6" eb="8">
      <t>フソク</t>
    </rPh>
    <phoneticPr fontId="4"/>
  </si>
  <si>
    <t>42:共通処理検討不足</t>
    <rPh sb="5" eb="7">
      <t>ショリ</t>
    </rPh>
    <rPh sb="7" eb="9">
      <t>ケントウ</t>
    </rPh>
    <rPh sb="9" eb="11">
      <t>フソク</t>
    </rPh>
    <phoneticPr fontId="2"/>
  </si>
  <si>
    <t>共通処理（共通イベント処理・共通制御等の処理）の共通処理検討不足による設計仕様ミス</t>
    <rPh sb="0" eb="2">
      <t>キョウツウ</t>
    </rPh>
    <rPh sb="2" eb="4">
      <t>ショリ</t>
    </rPh>
    <rPh sb="5" eb="7">
      <t>キョウツウ</t>
    </rPh>
    <rPh sb="11" eb="13">
      <t>ショリ</t>
    </rPh>
    <rPh sb="14" eb="16">
      <t>キョウツウ</t>
    </rPh>
    <rPh sb="16" eb="18">
      <t>セイギョ</t>
    </rPh>
    <rPh sb="18" eb="19">
      <t>トウ</t>
    </rPh>
    <rPh sb="20" eb="22">
      <t>ショリ</t>
    </rPh>
    <rPh sb="24" eb="26">
      <t>キョウツウ</t>
    </rPh>
    <rPh sb="26" eb="28">
      <t>ショリ</t>
    </rPh>
    <rPh sb="28" eb="30">
      <t>ケントウ</t>
    </rPh>
    <rPh sb="30" eb="32">
      <t>フソク</t>
    </rPh>
    <phoneticPr fontId="2"/>
  </si>
  <si>
    <t>5:共通部品設計ﾐｽ</t>
    <phoneticPr fontId="2"/>
  </si>
  <si>
    <t>51:共通部品設計ﾐｽ</t>
    <phoneticPr fontId="2"/>
  </si>
  <si>
    <t>システム共通部品、業務共通部品などに関する設計仕様ミス</t>
    <phoneticPr fontId="2"/>
  </si>
  <si>
    <t>6:ｲﾝﾀｰﾌｪｰｽ設計ﾐｽ</t>
    <phoneticPr fontId="2"/>
  </si>
  <si>
    <t>61:ｲﾝﾀｰﾌｪｰｽ設計ﾐｽ</t>
    <phoneticPr fontId="2"/>
  </si>
  <si>
    <t xml:space="preserve">関連する外部システムもしくはサブシステム内のインターフェースに関する設計ミス </t>
  </si>
  <si>
    <t>7:DB/ﾌｧｲﾙ設計ﾐｽ</t>
    <phoneticPr fontId="2"/>
  </si>
  <si>
    <t>71:DB記載漏れ・不測</t>
    <rPh sb="5" eb="7">
      <t>キサイ</t>
    </rPh>
    <rPh sb="7" eb="8">
      <t>モ</t>
    </rPh>
    <rPh sb="10" eb="12">
      <t>フソク</t>
    </rPh>
    <phoneticPr fontId="2"/>
  </si>
  <si>
    <t xml:space="preserve">DB構造、ファイル構造、インデックス・リンクなどに関する設計仕様ミス </t>
    <phoneticPr fontId="2"/>
  </si>
  <si>
    <t>72:DB他機能連携不足</t>
    <rPh sb="5" eb="8">
      <t>タキノウ</t>
    </rPh>
    <rPh sb="8" eb="10">
      <t>レンケイ</t>
    </rPh>
    <rPh sb="10" eb="12">
      <t>フソク</t>
    </rPh>
    <phoneticPr fontId="2"/>
  </si>
  <si>
    <t xml:space="preserve">他機能連携に対するDB構造、ファイル構造、インデックス・リンクなどに関する設計仕様ミス </t>
    <rPh sb="3" eb="5">
      <t>レンケイ</t>
    </rPh>
    <rPh sb="6" eb="7">
      <t>タイ</t>
    </rPh>
    <phoneticPr fontId="2"/>
  </si>
  <si>
    <t>8:ユーザ確認要</t>
    <rPh sb="5" eb="7">
      <t>カクニン</t>
    </rPh>
    <rPh sb="7" eb="8">
      <t>ヨウ</t>
    </rPh>
    <phoneticPr fontId="2"/>
  </si>
  <si>
    <t>81:ユーザ確認要</t>
    <rPh sb="6" eb="8">
      <t>カクニン</t>
    </rPh>
    <rPh sb="8" eb="9">
      <t>ヨウ</t>
    </rPh>
    <phoneticPr fontId="2"/>
  </si>
  <si>
    <t>ユーザに確認する事項をまとめる</t>
    <rPh sb="4" eb="6">
      <t>カクニン</t>
    </rPh>
    <rPh sb="8" eb="10">
      <t>ジコウ</t>
    </rPh>
    <phoneticPr fontId="2"/>
  </si>
  <si>
    <t>9.設計規約ミス</t>
    <rPh sb="2" eb="4">
      <t>セッケイ</t>
    </rPh>
    <rPh sb="4" eb="6">
      <t>キヤク</t>
    </rPh>
    <phoneticPr fontId="2"/>
  </si>
  <si>
    <t>91.設計規約ミス</t>
    <rPh sb="3" eb="5">
      <t>セッケイ</t>
    </rPh>
    <rPh sb="5" eb="7">
      <t>キヤク</t>
    </rPh>
    <phoneticPr fontId="2"/>
  </si>
  <si>
    <t>A.指摘誤り</t>
    <rPh sb="2" eb="4">
      <t>シテキ</t>
    </rPh>
    <rPh sb="4" eb="5">
      <t>アヤマ</t>
    </rPh>
    <phoneticPr fontId="2"/>
  </si>
  <si>
    <t>A1:指摘誤り</t>
    <rPh sb="3" eb="5">
      <t>シテキ</t>
    </rPh>
    <rPh sb="5" eb="6">
      <t>アヤマ</t>
    </rPh>
    <phoneticPr fontId="2"/>
  </si>
  <si>
    <t>指摘誤り</t>
    <rPh sb="0" eb="3">
      <t>シテキアヤマ</t>
    </rPh>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</si>
</sst>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6" formatCode="yyyy/mm/dd"/>
    <numFmt numFmtId="177" formatCode="h:mm;@"/>
    <numFmt numFmtId="178" formatCode="&quot;Rev.&quot;\ General"/>
  </numFmts>
  <fonts count="14">
    <font>
      <sz val="10"/>
      <color theme="1"/>
      <name val="Meiryo UI"/>
      <family val="2"/>
      <charset val="128"/>
    </font>
    <font>
      <sz val="10"/>
      <color theme="0"/>
      <name val="Meiryo UI"/>
      <family val="2"/>
      <charset val="128"/>
    </font>
    <font>
      <sz val="6"/>
      <name val="Meiryo UI"/>
      <family val="2"/>
      <charset val="128"/>
    </font>
    <font>
      <sz val="10"/>
      <color theme="0"/>
      <name val="Meiryo UI"/>
      <family val="3"/>
      <charset val="128"/>
    </font>
    <font>
      <sz val="6"/>
      <name val="ＭＳ Ｐゴシック"/>
      <family val="3"/>
      <charset val="128"/>
    </font>
    <font>
      <sz val="10"/>
      <name val="Meiryo UI"/>
      <family val="3"/>
      <charset val="128"/>
    </font>
    <font>
      <sz val="11"/>
      <name val="ＭＳ Ｐゴシック"/>
      <family val="3"/>
      <charset val="128"/>
    </font>
    <font>
      <b/>
      <sz val="11"/>
      <name val="Meiryo UI"/>
      <family val="3"/>
      <charset val="128"/>
    </font>
    <font>
      <sz val="11"/>
      <name val="Meiryo UI"/>
      <family val="3"/>
      <charset val="128"/>
    </font>
    <font>
      <b/>
      <sz val="11"/>
      <color rgb="FFFF0000"/>
      <name val="Meiryo UI"/>
      <family val="3"/>
      <charset val="128"/>
    </font>
    <font>
      <sz val="10"/>
      <name val="ＭＳ Ｐゴシック"/>
      <family val="3"/>
      <charset val="128"/>
    </font>
    <font>
      <b/>
      <i/>
      <sz val="11"/>
      <name val="Meiryo UI"/>
      <family val="3"/>
      <charset val="128"/>
    </font>
    <font>
      <b/>
      <sz val="12"/>
      <color theme="0"/>
      <name val="Meiryo UI"/>
      <family val="3"/>
      <charset val="128"/>
    </font>
    <font>
      <sz val="10"/>
      <color rgb="FFFF0000"/>
      <name val="Meiryo UI"/>
      <family val="3"/>
      <charset val="128"/>
    </font>
  </fonts>
  <fills count="7">
    <fill>
      <patternFill patternType="none"/>
    </fill>
    <fill>
      <patternFill patternType="gray125"/>
    </fill>
    <fill>
      <patternFill patternType="solid">
        <fgColor rgb="FF0066FF"/>
        <bgColor indexed="64"/>
      </patternFill>
    </fill>
    <fill>
      <patternFill patternType="solid">
        <fgColor rgb="FFCCFFCC"/>
        <bgColor indexed="64"/>
      </patternFill>
    </fill>
    <fill>
      <patternFill patternType="solid">
        <fgColor rgb="FFCCFFE0"/>
        <bgColor indexed="64"/>
      </patternFill>
    </fill>
    <fill>
      <patternFill patternType="solid">
        <fgColor rgb="FFF0FFFF"/>
        <bgColor indexed="64"/>
      </patternFill>
    </fill>
    <fill>
      <patternFill patternType="solid">
        <fgColor rgb="FFFF0000"/>
        <bgColor indexed="64"/>
      </patternFill>
    </fill>
  </fills>
  <borders count="26">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hair">
        <color indexed="64"/>
      </bottom>
      <diagonal/>
    </border>
    <border>
      <left style="hair">
        <color indexed="64"/>
      </left>
      <right style="thin">
        <color indexed="64"/>
      </right>
      <top style="hair">
        <color indexed="64"/>
      </top>
      <bottom style="thin">
        <color indexed="64"/>
      </bottom>
      <diagonal/>
    </border>
    <border>
      <left style="thin">
        <color indexed="64"/>
      </left>
      <right/>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style="thin">
        <color indexed="64"/>
      </left>
      <right/>
      <top style="thin">
        <color indexed="64"/>
      </top>
      <bottom style="hair">
        <color indexed="64"/>
      </bottom>
      <diagonal/>
    </border>
    <border>
      <left style="thin">
        <color indexed="64"/>
      </left>
      <right/>
      <top style="thin">
        <color indexed="64"/>
      </top>
      <bottom style="thin">
        <color rgb="FF000000"/>
      </bottom>
      <diagonal/>
    </border>
    <border>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bottom style="thin">
        <color rgb="FF000000"/>
      </bottom>
      <diagonal/>
    </border>
    <border>
      <left/>
      <right/>
      <top/>
      <bottom style="thin">
        <color rgb="FF000000"/>
      </bottom>
      <diagonal/>
    </border>
    <border>
      <left/>
      <right style="thin">
        <color indexed="64"/>
      </right>
      <top/>
      <bottom style="thin">
        <color rgb="FF000000"/>
      </bottom>
      <diagonal/>
    </border>
  </borders>
  <cellStyleXfs count="4">
    <xf numFmtId="0" fontId="0" fillId="0" borderId="0">
      <alignment vertical="center"/>
    </xf>
    <xf numFmtId="0" fontId="6" fillId="0" borderId="0"/>
    <xf numFmtId="0" fontId="10" fillId="0" borderId="0">
      <alignment vertical="center"/>
    </xf>
    <xf numFmtId="0" fontId="6" fillId="0" borderId="0">
      <alignment vertical="center"/>
    </xf>
  </cellStyleXfs>
  <cellXfs count="105">
    <xf numFmtId="0" fontId="0" fillId="0" borderId="0" xfId="0">
      <alignment vertical="center"/>
    </xf>
    <xf numFmtId="0" fontId="0" fillId="0" borderId="0" xfId="0" applyAlignment="1">
      <alignment horizontal="center" vertical="center"/>
    </xf>
    <xf numFmtId="177" fontId="0" fillId="0" borderId="0" xfId="0" applyNumberFormat="1" applyAlignment="1">
      <alignment horizontal="center" vertical="center"/>
    </xf>
    <xf numFmtId="0" fontId="0" fillId="0" borderId="0" xfId="0" applyAlignment="1">
      <alignment vertical="top"/>
    </xf>
    <xf numFmtId="0" fontId="0" fillId="0" borderId="2" xfId="0" applyBorder="1">
      <alignment vertical="center"/>
    </xf>
    <xf numFmtId="0" fontId="0" fillId="0" borderId="3" xfId="0" applyBorder="1">
      <alignment vertical="center"/>
    </xf>
    <xf numFmtId="0" fontId="0" fillId="0" borderId="4" xfId="0" applyBorder="1">
      <alignment vertical="center"/>
    </xf>
    <xf numFmtId="0" fontId="0" fillId="0" borderId="1" xfId="0" applyBorder="1" applyAlignment="1">
      <alignment vertical="top"/>
    </xf>
    <xf numFmtId="0" fontId="3" fillId="2" borderId="3" xfId="0" applyFont="1" applyFill="1" applyBorder="1">
      <alignment vertical="center"/>
    </xf>
    <xf numFmtId="0" fontId="3" fillId="2" borderId="4" xfId="0" applyFont="1" applyFill="1" applyBorder="1">
      <alignment vertical="center"/>
    </xf>
    <xf numFmtId="0" fontId="3" fillId="2" borderId="2" xfId="0" applyFont="1" applyFill="1" applyBorder="1">
      <alignment vertical="center"/>
    </xf>
    <xf numFmtId="176" fontId="0" fillId="0" borderId="0" xfId="0" applyNumberFormat="1" applyAlignment="1">
      <alignment horizontal="center" vertical="center"/>
    </xf>
    <xf numFmtId="0" fontId="3" fillId="0" borderId="0" xfId="0" applyFont="1" applyAlignment="1">
      <alignment horizontal="center" vertical="center"/>
    </xf>
    <xf numFmtId="0" fontId="7" fillId="0" borderId="0" xfId="1" applyFont="1" applyAlignment="1">
      <alignment vertical="center"/>
    </xf>
    <xf numFmtId="0" fontId="9" fillId="0" borderId="0" xfId="1" applyFont="1" applyAlignment="1">
      <alignment vertical="center"/>
    </xf>
    <xf numFmtId="0" fontId="8" fillId="0" borderId="0" xfId="1" applyFont="1"/>
    <xf numFmtId="0" fontId="7" fillId="4" borderId="13" xfId="1" applyFont="1" applyFill="1" applyBorder="1" applyAlignment="1">
      <alignment horizontal="center" vertical="center"/>
    </xf>
    <xf numFmtId="49" fontId="7" fillId="4" borderId="12" xfId="3" applyNumberFormat="1" applyFont="1" applyFill="1" applyBorder="1" applyAlignment="1">
      <alignment horizontal="center" vertical="center"/>
    </xf>
    <xf numFmtId="49" fontId="11" fillId="4" borderId="7" xfId="3" applyNumberFormat="1" applyFont="1" applyFill="1" applyBorder="1" applyAlignment="1">
      <alignment horizontal="center" vertical="center"/>
    </xf>
    <xf numFmtId="49" fontId="11" fillId="4" borderId="14" xfId="3" applyNumberFormat="1" applyFont="1" applyFill="1" applyBorder="1" applyAlignment="1">
      <alignment horizontal="center" vertical="center"/>
    </xf>
    <xf numFmtId="49" fontId="8" fillId="5" borderId="13" xfId="3" applyNumberFormat="1" applyFont="1" applyFill="1" applyBorder="1" applyAlignment="1">
      <alignment horizontal="left" vertical="center" wrapText="1"/>
    </xf>
    <xf numFmtId="49" fontId="8" fillId="5" borderId="15" xfId="3" applyNumberFormat="1" applyFont="1" applyFill="1" applyBorder="1" applyAlignment="1">
      <alignment vertical="center" wrapText="1"/>
    </xf>
    <xf numFmtId="49" fontId="8" fillId="5" borderId="16" xfId="3" applyNumberFormat="1" applyFont="1" applyFill="1" applyBorder="1">
      <alignment vertical="center"/>
    </xf>
    <xf numFmtId="49" fontId="8" fillId="5" borderId="17" xfId="3" applyNumberFormat="1" applyFont="1" applyFill="1" applyBorder="1" applyAlignment="1">
      <alignment vertical="center" wrapText="1"/>
    </xf>
    <xf numFmtId="49" fontId="8" fillId="5" borderId="16" xfId="3" applyNumberFormat="1" applyFont="1" applyFill="1" applyBorder="1" applyAlignment="1">
      <alignment vertical="center" wrapText="1"/>
    </xf>
    <xf numFmtId="0" fontId="12" fillId="6" borderId="7" xfId="2" applyFont="1" applyFill="1" applyBorder="1">
      <alignment vertical="center"/>
    </xf>
    <xf numFmtId="0" fontId="9" fillId="6" borderId="8" xfId="2" applyFont="1" applyFill="1" applyBorder="1">
      <alignment vertical="center"/>
    </xf>
    <xf numFmtId="49" fontId="7" fillId="4" borderId="1" xfId="3" applyNumberFormat="1" applyFont="1" applyFill="1" applyBorder="1" applyAlignment="1">
      <alignment horizontal="center" vertical="center"/>
    </xf>
    <xf numFmtId="49" fontId="11" fillId="4" borderId="1" xfId="3" applyNumberFormat="1" applyFont="1" applyFill="1" applyBorder="1" applyAlignment="1">
      <alignment horizontal="center" vertical="center"/>
    </xf>
    <xf numFmtId="49" fontId="8" fillId="5" borderId="16" xfId="3" applyNumberFormat="1" applyFont="1" applyFill="1" applyBorder="1" applyAlignment="1">
      <alignment horizontal="left" vertical="center" wrapText="1"/>
    </xf>
    <xf numFmtId="49" fontId="8" fillId="5" borderId="18" xfId="3" applyNumberFormat="1" applyFont="1" applyFill="1" applyBorder="1" applyAlignment="1">
      <alignment vertical="center" wrapText="1"/>
    </xf>
    <xf numFmtId="0" fontId="12" fillId="6" borderId="8" xfId="2" applyFont="1" applyFill="1" applyBorder="1">
      <alignment vertical="center"/>
    </xf>
    <xf numFmtId="0" fontId="0" fillId="2" borderId="0" xfId="0" applyFill="1" applyAlignment="1">
      <alignment vertical="top"/>
    </xf>
    <xf numFmtId="0" fontId="1" fillId="2" borderId="0" xfId="0" applyFont="1" applyFill="1" applyAlignment="1">
      <alignment vertical="top"/>
    </xf>
    <xf numFmtId="49" fontId="8" fillId="5" borderId="19" xfId="3" applyNumberFormat="1" applyFont="1" applyFill="1" applyBorder="1" applyAlignment="1">
      <alignment vertical="center" wrapText="1"/>
    </xf>
    <xf numFmtId="176" fontId="0" fillId="0" borderId="2" xfId="0" applyNumberFormat="1" applyBorder="1" applyAlignment="1">
      <alignment horizontal="center" vertical="top"/>
    </xf>
    <xf numFmtId="176" fontId="0" fillId="0" borderId="3" xfId="0" applyNumberFormat="1" applyBorder="1" applyAlignment="1">
      <alignment horizontal="center" vertical="top"/>
    </xf>
    <xf numFmtId="176" fontId="0" fillId="0" borderId="4" xfId="0" applyNumberFormat="1" applyBorder="1" applyAlignment="1">
      <alignment horizontal="center" vertical="top"/>
    </xf>
    <xf numFmtId="0" fontId="0" fillId="0" borderId="2" xfId="0" applyBorder="1" applyAlignment="1">
      <alignment horizontal="center" vertical="top"/>
    </xf>
    <xf numFmtId="0" fontId="0" fillId="0" borderId="3" xfId="0" applyBorder="1" applyAlignment="1">
      <alignment horizontal="center" vertical="top"/>
    </xf>
    <xf numFmtId="0" fontId="0" fillId="0" borderId="4" xfId="0" applyBorder="1" applyAlignment="1">
      <alignment horizontal="center" vertical="top"/>
    </xf>
    <xf numFmtId="0" fontId="0" fillId="0" borderId="2" xfId="0" applyBorder="1" applyAlignment="1">
      <alignment vertical="top" wrapText="1"/>
    </xf>
    <xf numFmtId="0" fontId="0" fillId="0" borderId="3" xfId="0" applyBorder="1" applyAlignment="1">
      <alignment vertical="top" wrapText="1"/>
    </xf>
    <xf numFmtId="0" fontId="0" fillId="0" borderId="4" xfId="0" applyBorder="1" applyAlignment="1">
      <alignment vertical="top" wrapText="1"/>
    </xf>
    <xf numFmtId="0" fontId="0" fillId="0" borderId="2" xfId="0" applyBorder="1" applyAlignment="1">
      <alignment horizontal="left" vertical="top" wrapText="1"/>
    </xf>
    <xf numFmtId="0" fontId="0" fillId="0" borderId="3" xfId="0" applyBorder="1" applyAlignment="1">
      <alignment horizontal="left" vertical="top" wrapText="1"/>
    </xf>
    <xf numFmtId="0" fontId="0" fillId="0" borderId="4" xfId="0" applyBorder="1" applyAlignment="1">
      <alignment horizontal="left" vertical="top" wrapText="1"/>
    </xf>
    <xf numFmtId="0" fontId="0" fillId="0" borderId="23" xfId="0" applyBorder="1" applyAlignment="1">
      <alignment horizontal="left" vertical="top" wrapText="1"/>
    </xf>
    <xf numFmtId="0" fontId="0" fillId="0" borderId="24" xfId="0" applyBorder="1" applyAlignment="1">
      <alignment horizontal="left" vertical="top" wrapText="1"/>
    </xf>
    <xf numFmtId="0" fontId="0" fillId="0" borderId="25" xfId="0" applyBorder="1" applyAlignment="1">
      <alignment horizontal="left" vertical="top" wrapText="1"/>
    </xf>
    <xf numFmtId="0" fontId="0" fillId="0" borderId="2" xfId="0" applyBorder="1" applyAlignment="1">
      <alignment vertical="top"/>
    </xf>
    <xf numFmtId="0" fontId="0" fillId="0" borderId="3" xfId="0" applyBorder="1" applyAlignment="1">
      <alignment vertical="top"/>
    </xf>
    <xf numFmtId="0" fontId="0" fillId="0" borderId="4" xfId="0" applyBorder="1" applyAlignment="1">
      <alignment vertical="top"/>
    </xf>
    <xf numFmtId="0" fontId="0" fillId="0" borderId="7" xfId="0" applyBorder="1" applyAlignment="1">
      <alignment vertical="top" wrapText="1"/>
    </xf>
    <xf numFmtId="0" fontId="0" fillId="0" borderId="8" xfId="0" applyBorder="1" applyAlignment="1">
      <alignment vertical="top" wrapText="1"/>
    </xf>
    <xf numFmtId="0" fontId="0" fillId="0" borderId="11" xfId="0" applyBorder="1" applyAlignment="1">
      <alignment vertical="top" wrapText="1"/>
    </xf>
    <xf numFmtId="0" fontId="0" fillId="0" borderId="2" xfId="0" applyBorder="1" applyAlignment="1">
      <alignment horizontal="center" vertical="top" wrapText="1"/>
    </xf>
    <xf numFmtId="0" fontId="0" fillId="0" borderId="3" xfId="0" applyBorder="1" applyAlignment="1">
      <alignment horizontal="center" vertical="top" wrapText="1"/>
    </xf>
    <xf numFmtId="0" fontId="0" fillId="0" borderId="4" xfId="0" applyBorder="1" applyAlignment="1">
      <alignment horizontal="center" vertical="top" wrapText="1"/>
    </xf>
    <xf numFmtId="0" fontId="0" fillId="0" borderId="7" xfId="0" applyBorder="1" applyAlignment="1">
      <alignment horizontal="left" vertical="top" wrapText="1"/>
    </xf>
    <xf numFmtId="0" fontId="0" fillId="0" borderId="8" xfId="0" applyBorder="1" applyAlignment="1">
      <alignment horizontal="left" vertical="top" wrapText="1"/>
    </xf>
    <xf numFmtId="0" fontId="0" fillId="0" borderId="11" xfId="0" applyBorder="1" applyAlignment="1">
      <alignment horizontal="left" vertical="top" wrapText="1"/>
    </xf>
    <xf numFmtId="0" fontId="0" fillId="0" borderId="20" xfId="0" applyBorder="1" applyAlignment="1">
      <alignment horizontal="left" vertical="top" wrapText="1"/>
    </xf>
    <xf numFmtId="0" fontId="0" fillId="0" borderId="21" xfId="0" applyBorder="1" applyAlignment="1">
      <alignment horizontal="left" vertical="top" wrapText="1"/>
    </xf>
    <xf numFmtId="0" fontId="0" fillId="0" borderId="22" xfId="0" applyBorder="1" applyAlignment="1">
      <alignment horizontal="left" vertical="top" wrapText="1"/>
    </xf>
    <xf numFmtId="14" fontId="0" fillId="0" borderId="2" xfId="0" applyNumberFormat="1" applyBorder="1" applyAlignment="1">
      <alignment horizontal="center" vertical="top"/>
    </xf>
    <xf numFmtId="0" fontId="5" fillId="3" borderId="9" xfId="0" applyFont="1" applyFill="1" applyBorder="1" applyAlignment="1">
      <alignment horizontal="center" vertical="center" wrapText="1"/>
    </xf>
    <xf numFmtId="0" fontId="5" fillId="3" borderId="5" xfId="0" applyFont="1" applyFill="1" applyBorder="1" applyAlignment="1">
      <alignment horizontal="center" vertical="center" wrapText="1"/>
    </xf>
    <xf numFmtId="0" fontId="5" fillId="3" borderId="10" xfId="0" applyFont="1" applyFill="1" applyBorder="1" applyAlignment="1">
      <alignment horizontal="center" vertical="center" wrapText="1"/>
    </xf>
    <xf numFmtId="0" fontId="5" fillId="3" borderId="7" xfId="0" applyFont="1" applyFill="1" applyBorder="1" applyAlignment="1">
      <alignment horizontal="center" vertical="center" wrapText="1"/>
    </xf>
    <xf numFmtId="0" fontId="5" fillId="3" borderId="8" xfId="0" applyFont="1" applyFill="1" applyBorder="1" applyAlignment="1">
      <alignment horizontal="center" vertical="center" wrapText="1"/>
    </xf>
    <xf numFmtId="0" fontId="5" fillId="3" borderId="11" xfId="0" applyFont="1" applyFill="1" applyBorder="1" applyAlignment="1">
      <alignment horizontal="center" vertical="center" wrapText="1"/>
    </xf>
    <xf numFmtId="0" fontId="0" fillId="3" borderId="9" xfId="0" applyFill="1" applyBorder="1" applyAlignment="1">
      <alignment horizontal="center" vertical="center"/>
    </xf>
    <xf numFmtId="0" fontId="0" fillId="3" borderId="10" xfId="0" applyFill="1" applyBorder="1" applyAlignment="1">
      <alignment horizontal="center" vertical="center"/>
    </xf>
    <xf numFmtId="0" fontId="0" fillId="3" borderId="7" xfId="0" applyFill="1" applyBorder="1" applyAlignment="1">
      <alignment horizontal="center" vertical="center"/>
    </xf>
    <xf numFmtId="0" fontId="0" fillId="3" borderId="11" xfId="0" applyFill="1" applyBorder="1" applyAlignment="1">
      <alignment horizontal="center" vertical="center"/>
    </xf>
    <xf numFmtId="0" fontId="0" fillId="3" borderId="5" xfId="0" applyFill="1" applyBorder="1" applyAlignment="1">
      <alignment horizontal="center" vertical="center"/>
    </xf>
    <xf numFmtId="0" fontId="0" fillId="3" borderId="8" xfId="0" applyFill="1" applyBorder="1" applyAlignment="1">
      <alignment horizontal="center" vertical="center"/>
    </xf>
    <xf numFmtId="0" fontId="5" fillId="3" borderId="2" xfId="0" applyFont="1" applyFill="1" applyBorder="1" applyAlignment="1">
      <alignment horizontal="center" vertical="center" wrapText="1"/>
    </xf>
    <xf numFmtId="0" fontId="5" fillId="3" borderId="3" xfId="0" applyFont="1" applyFill="1" applyBorder="1" applyAlignment="1">
      <alignment horizontal="center" vertical="center" wrapText="1"/>
    </xf>
    <xf numFmtId="0" fontId="5" fillId="3" borderId="4" xfId="0" applyFont="1" applyFill="1" applyBorder="1" applyAlignment="1">
      <alignment horizontal="center" vertical="center" wrapText="1"/>
    </xf>
    <xf numFmtId="0" fontId="1" fillId="2" borderId="2" xfId="0" applyFont="1" applyFill="1" applyBorder="1" applyAlignment="1">
      <alignment horizontal="center" vertical="center"/>
    </xf>
    <xf numFmtId="0" fontId="3" fillId="2" borderId="3" xfId="0" applyFont="1" applyFill="1" applyBorder="1" applyAlignment="1">
      <alignment horizontal="center" vertical="center"/>
    </xf>
    <xf numFmtId="0" fontId="3" fillId="2" borderId="4" xfId="0" applyFont="1" applyFill="1" applyBorder="1" applyAlignment="1">
      <alignment horizontal="center" vertical="center"/>
    </xf>
    <xf numFmtId="0" fontId="3" fillId="2" borderId="2" xfId="0" applyFont="1" applyFill="1" applyBorder="1" applyAlignment="1">
      <alignment horizontal="center" vertical="center"/>
    </xf>
    <xf numFmtId="176" fontId="0" fillId="0" borderId="2" xfId="0" applyNumberFormat="1" applyBorder="1" applyAlignment="1">
      <alignment horizontal="center" vertical="center"/>
    </xf>
    <xf numFmtId="176" fontId="0" fillId="0" borderId="3" xfId="0" applyNumberFormat="1" applyBorder="1" applyAlignment="1">
      <alignment horizontal="center" vertical="center"/>
    </xf>
    <xf numFmtId="176" fontId="0" fillId="0" borderId="4" xfId="0" applyNumberFormat="1" applyBorder="1" applyAlignment="1">
      <alignment horizontal="center" vertical="center"/>
    </xf>
    <xf numFmtId="0" fontId="0" fillId="0" borderId="2" xfId="0" applyBorder="1" applyAlignment="1">
      <alignment horizontal="center" vertical="center"/>
    </xf>
    <xf numFmtId="0" fontId="0" fillId="0" borderId="4" xfId="0" applyBorder="1" applyAlignment="1">
      <alignment horizontal="center" vertical="center"/>
    </xf>
    <xf numFmtId="177" fontId="0" fillId="0" borderId="2" xfId="0" applyNumberFormat="1" applyBorder="1" applyAlignment="1">
      <alignment horizontal="center" vertical="center"/>
    </xf>
    <xf numFmtId="177" fontId="0" fillId="0" borderId="3" xfId="0" applyNumberFormat="1" applyBorder="1" applyAlignment="1">
      <alignment horizontal="center" vertical="center"/>
    </xf>
    <xf numFmtId="177" fontId="0" fillId="0" borderId="4" xfId="0" applyNumberFormat="1" applyBorder="1" applyAlignment="1">
      <alignment horizontal="center" vertical="center"/>
    </xf>
    <xf numFmtId="177" fontId="0" fillId="0" borderId="2" xfId="0" quotePrefix="1" applyNumberFormat="1" applyBorder="1" applyAlignment="1">
      <alignment horizontal="center" vertical="center"/>
    </xf>
    <xf numFmtId="0" fontId="0" fillId="0" borderId="3" xfId="0" applyBorder="1" applyAlignment="1">
      <alignment horizontal="center" vertical="center"/>
    </xf>
    <xf numFmtId="178" fontId="0" fillId="0" borderId="2" xfId="0" applyNumberFormat="1" applyBorder="1" applyAlignment="1">
      <alignment horizontal="center" vertical="center"/>
    </xf>
    <xf numFmtId="178" fontId="0" fillId="0" borderId="3" xfId="0" applyNumberFormat="1" applyBorder="1" applyAlignment="1">
      <alignment horizontal="center" vertical="center"/>
    </xf>
    <xf numFmtId="178" fontId="0" fillId="0" borderId="4" xfId="0" applyNumberFormat="1" applyBorder="1" applyAlignment="1">
      <alignment horizontal="center" vertical="center"/>
    </xf>
    <xf numFmtId="0" fontId="0" fillId="3" borderId="6" xfId="0" applyFill="1" applyBorder="1" applyAlignment="1">
      <alignment horizontal="center" vertical="center" wrapText="1"/>
    </xf>
    <xf numFmtId="0" fontId="0" fillId="3" borderId="12" xfId="0" applyFill="1" applyBorder="1" applyAlignment="1">
      <alignment horizontal="center" vertical="center" wrapText="1"/>
    </xf>
    <xf numFmtId="0" fontId="5" fillId="3" borderId="1" xfId="0" applyFont="1" applyFill="1" applyBorder="1" applyAlignment="1">
      <alignment horizontal="center" vertical="center" wrapText="1"/>
    </xf>
    <xf numFmtId="0" fontId="7" fillId="4" borderId="13" xfId="1" applyFont="1" applyFill="1" applyBorder="1" applyAlignment="1">
      <alignment horizontal="center" vertical="center"/>
    </xf>
    <xf numFmtId="0" fontId="0" fillId="0" borderId="2" xfId="0" applyBorder="1" applyAlignment="1">
      <alignment vertical="center"/>
    </xf>
    <xf numFmtId="0" fontId="0" fillId="0" borderId="3" xfId="0" applyBorder="1" applyAlignment="1">
      <alignment vertical="center"/>
    </xf>
    <xf numFmtId="0" fontId="0" fillId="0" borderId="4" xfId="0" applyBorder="1" applyAlignment="1">
      <alignment vertical="center"/>
    </xf>
  </cellXfs>
  <cellStyles count="4">
    <cellStyle name="標準" xfId="0" builtinId="0"/>
    <cellStyle name="標準 2" xfId="1" xr:uid="{00000000-0005-0000-0000-000001000000}"/>
    <cellStyle name="標準 4" xfId="3" xr:uid="{00000000-0005-0000-0000-000002000000}"/>
    <cellStyle name="標準_質問内容結果" xfId="2" xr:uid="{00000000-0005-0000-0000-000003000000}"/>
  </cellStyles>
  <dxfs count="0"/>
  <tableStyles count="0" defaultTableStyle="TableStyleMedium2" defaultPivotStyle="PivotStyleLight16"/>
  <colors>
    <mruColors>
      <color rgb="FFCCFFFF"/>
      <color rgb="FF0066FF"/>
      <color rgb="FFFFCCFF"/>
      <color rgb="FFFFFFCC"/>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externalLink" Target="externalLinks/externalLink1.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file:///\\t4fsv13\JOB\01._JOBOld\1901436_&#23500;&#22763;&#36890;&#65295;&#12471;&#12473;&#12513;&#12483;&#12463;&#12473;%20SNICS%20I&#65295;F&#12469;&#12540;&#12496;&#12471;&#12473;&#12486;&#12512;\01_&#21336;&#20307;&#20181;&#27096;&#26360;\SNCS&#20966;&#29702;&#19968;&#35239;_PT&#20181;&#27096;&#26360;&#20860;&#25104;&#32318;&#2636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表紙"/>
      <sheetName val="PT仕様書の使用方法"/>
      <sheetName val="基本_start"/>
      <sheetName val="基本_オン_1"/>
      <sheetName val="優先順更新"/>
      <sheetName val="基本_end"/>
      <sheetName val="業務_start"/>
      <sheetName val="業務_end"/>
      <sheetName val="コード表"/>
      <sheetName val="原因区分"/>
      <sheetName val="設定シート"/>
      <sheetName val="プロセス"/>
      <sheetName val="バージョン情報"/>
      <sheetName val="【変更不可】共通設定"/>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sheetData sheetId="9" refreshError="1"/>
      <sheetData sheetId="10"/>
      <sheetData sheetId="11"/>
      <sheetData sheetId="12" refreshError="1"/>
      <sheetData sheetId="13"/>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BS36"/>
  <sheetViews>
    <sheetView showGridLines="0" tabSelected="1" topLeftCell="A18" zoomScale="85" zoomScaleNormal="85" workbookViewId="0">
      <selection sqref="A1:D1"/>
    </sheetView>
  </sheetViews>
  <sheetFormatPr defaultColWidth="3.625" defaultRowHeight="15" customHeight="1"/>
  <cols>
    <col min="1" max="1" width="4.625" style="3" customWidth="1"/>
    <col min="2" max="16" width="3.625" style="3" customWidth="1"/>
    <col min="17" max="17" width="3.625" style="3"/>
    <col min="18" max="23" width="3.625" style="3" customWidth="1"/>
    <col min="24" max="16384" width="3.625" style="3"/>
  </cols>
  <sheetData>
    <row r="1" spans="1:71" customFormat="1" ht="15" customHeight="1">
      <c r="A1" s="81" t="s">
        <v>0</v>
      </c>
      <c r="B1" s="82"/>
      <c r="C1" s="82"/>
      <c r="D1" s="83"/>
      <c r="E1" s="84" t="s">
        <v>1</v>
      </c>
      <c r="F1" s="82"/>
      <c r="G1" s="83"/>
      <c r="H1" s="84" t="s">
        <v>2</v>
      </c>
      <c r="I1" s="83"/>
      <c r="J1" s="84" t="s">
        <v>3</v>
      </c>
      <c r="K1" s="82"/>
      <c r="L1" s="82"/>
      <c r="M1" s="82"/>
      <c r="N1" s="82"/>
      <c r="O1" s="83"/>
    </row>
    <row r="2" spans="1:71" customFormat="1" ht="15" customHeight="1">
      <c r="A2" s="88" t="s">
        <v>4</v>
      </c>
      <c r="B2" s="94"/>
      <c r="C2" s="94"/>
      <c r="D2" s="89"/>
      <c r="E2" s="88" t="s">
        <v>5</v>
      </c>
      <c r="F2" s="94"/>
      <c r="G2" s="89"/>
      <c r="H2" s="88" t="s">
        <v>6</v>
      </c>
      <c r="I2" s="89"/>
      <c r="J2" s="4" t="str">
        <f>IF(H2="","",VLOOKUP(H2,マスタ!C:D,2,FALSE))</f>
        <v>作業一覧（抄紙）</v>
      </c>
      <c r="K2" s="5"/>
      <c r="L2" s="5"/>
      <c r="M2" s="5"/>
      <c r="N2" s="5"/>
      <c r="O2" s="6"/>
      <c r="AE2" s="10" t="s">
        <v>7</v>
      </c>
      <c r="AF2" s="8"/>
      <c r="AG2" s="9"/>
      <c r="AH2" s="102" t="s">
        <v>8</v>
      </c>
      <c r="AI2" s="103"/>
      <c r="AJ2" s="103"/>
      <c r="AK2" s="104"/>
      <c r="AM2" s="10" t="s">
        <v>9</v>
      </c>
      <c r="AN2" s="8"/>
      <c r="AO2" s="9"/>
      <c r="AP2" s="102" t="s">
        <v>10</v>
      </c>
      <c r="AQ2" s="103"/>
      <c r="AR2" s="103"/>
      <c r="AS2" s="104"/>
    </row>
    <row r="3" spans="1:71" customFormat="1" ht="15" customHeight="1">
      <c r="AE3" s="10" t="s">
        <v>11</v>
      </c>
      <c r="AF3" s="8"/>
      <c r="AG3" s="9"/>
      <c r="AH3" s="102"/>
      <c r="AI3" s="103"/>
      <c r="AJ3" s="103"/>
      <c r="AK3" s="104"/>
      <c r="AM3" s="10" t="s">
        <v>12</v>
      </c>
      <c r="AN3" s="8"/>
      <c r="AO3" s="9"/>
      <c r="AP3" s="102"/>
      <c r="AQ3" s="103"/>
      <c r="AR3" s="103"/>
      <c r="AS3" s="104"/>
    </row>
    <row r="4" spans="1:71" customFormat="1" ht="15" customHeight="1">
      <c r="A4" s="81" t="s">
        <v>13</v>
      </c>
      <c r="B4" s="82"/>
      <c r="C4" s="83"/>
      <c r="D4" s="84" t="s">
        <v>14</v>
      </c>
      <c r="E4" s="82"/>
      <c r="F4" s="83"/>
      <c r="G4" s="84" t="s">
        <v>15</v>
      </c>
      <c r="H4" s="82"/>
      <c r="I4" s="83"/>
      <c r="J4" s="84" t="s">
        <v>16</v>
      </c>
      <c r="K4" s="82"/>
      <c r="L4" s="83"/>
      <c r="M4" s="84" t="s">
        <v>17</v>
      </c>
      <c r="N4" s="82"/>
      <c r="O4" s="83"/>
      <c r="P4" s="12"/>
      <c r="Q4" s="81" t="s">
        <v>18</v>
      </c>
      <c r="R4" s="83"/>
      <c r="S4" s="84" t="s">
        <v>19</v>
      </c>
      <c r="T4" s="82"/>
      <c r="U4" s="82"/>
      <c r="V4" s="83"/>
      <c r="W4" s="84" t="s">
        <v>20</v>
      </c>
      <c r="X4" s="82"/>
      <c r="Y4" s="83"/>
      <c r="Z4" s="84" t="s">
        <v>21</v>
      </c>
      <c r="AA4" s="82"/>
      <c r="AB4" s="83"/>
      <c r="AE4" s="10" t="s">
        <v>22</v>
      </c>
      <c r="AF4" s="8"/>
      <c r="AG4" s="9"/>
      <c r="AH4" s="102"/>
      <c r="AI4" s="103"/>
      <c r="AJ4" s="103"/>
      <c r="AK4" s="104"/>
      <c r="AM4" s="10" t="s">
        <v>23</v>
      </c>
      <c r="AN4" s="8"/>
      <c r="AO4" s="9"/>
      <c r="AP4" s="102"/>
      <c r="AQ4" s="103"/>
      <c r="AR4" s="103"/>
      <c r="AS4" s="104"/>
    </row>
    <row r="5" spans="1:71" customFormat="1" ht="15" customHeight="1">
      <c r="A5" s="95">
        <v>3</v>
      </c>
      <c r="B5" s="96"/>
      <c r="C5" s="97"/>
      <c r="D5" s="85">
        <v>45214</v>
      </c>
      <c r="E5" s="86"/>
      <c r="F5" s="87"/>
      <c r="G5" s="90">
        <v>0.41666666666666669</v>
      </c>
      <c r="H5" s="91"/>
      <c r="I5" s="92"/>
      <c r="J5" s="90">
        <v>0.54166666666666663</v>
      </c>
      <c r="K5" s="91"/>
      <c r="L5" s="92"/>
      <c r="M5" s="93">
        <f>J5-G5</f>
        <v>0.12499999999999994</v>
      </c>
      <c r="N5" s="91"/>
      <c r="O5" s="92"/>
      <c r="P5" s="2"/>
      <c r="Q5" s="88">
        <f ca="1">COUNT(INDIRECT("$A9:$A"&amp;ROW(最終行)))</f>
        <v>24</v>
      </c>
      <c r="R5" s="89"/>
      <c r="S5" s="85">
        <f ca="1">IF(MAX(INDIRECT("$BB9:$BB"&amp;ROW(最終行)))=0,"",MAX(INDIRECT("$BB9:$BB"&amp;ROW(最終行))))</f>
        <v>45240</v>
      </c>
      <c r="T5" s="86"/>
      <c r="U5" s="86"/>
      <c r="V5" s="87"/>
      <c r="W5" s="85">
        <f ca="1">IF(MAX(INDIRECT("$BE9:$BE"&amp;ROW(最終行)))=0,"",MAX(INDIRECT("$BE9:$BE"&amp;ROW(最終行))))</f>
        <v>45240</v>
      </c>
      <c r="X5" s="86"/>
      <c r="Y5" s="87"/>
      <c r="Z5" s="85" t="str">
        <f ca="1">IF(MAX(INDIRECT("$BK9:$BK"&amp;ROW(最終行)))=0,"",MAX(INDIRECT("$BK9:$BK"&amp;ROW(最終行))))</f>
        <v/>
      </c>
      <c r="AA5" s="86"/>
      <c r="AB5" s="87"/>
      <c r="AD5" s="11"/>
      <c r="AE5" s="10" t="s">
        <v>24</v>
      </c>
      <c r="AF5" s="8"/>
      <c r="AG5" s="9"/>
      <c r="AH5" s="102"/>
      <c r="AI5" s="103"/>
      <c r="AJ5" s="103"/>
      <c r="AK5" s="104"/>
      <c r="AM5" s="10" t="s">
        <v>25</v>
      </c>
      <c r="AN5" s="8"/>
      <c r="AO5" s="9"/>
      <c r="AP5" s="102"/>
      <c r="AQ5" s="103"/>
      <c r="AR5" s="103"/>
      <c r="AS5" s="104"/>
    </row>
    <row r="6" spans="1:71" customFormat="1" ht="15" customHeight="1"/>
    <row r="7" spans="1:71" s="1" customFormat="1" ht="15" customHeight="1">
      <c r="A7" s="98" t="s">
        <v>26</v>
      </c>
      <c r="B7" s="72" t="s">
        <v>27</v>
      </c>
      <c r="C7" s="73"/>
      <c r="D7" s="72" t="s">
        <v>28</v>
      </c>
      <c r="E7" s="76"/>
      <c r="F7" s="76"/>
      <c r="G7" s="76"/>
      <c r="H7" s="73"/>
      <c r="I7" s="72" t="s">
        <v>29</v>
      </c>
      <c r="J7" s="76"/>
      <c r="K7" s="76"/>
      <c r="L7" s="73"/>
      <c r="M7" s="72" t="s">
        <v>30</v>
      </c>
      <c r="N7" s="76"/>
      <c r="O7" s="76"/>
      <c r="P7" s="76"/>
      <c r="Q7" s="76"/>
      <c r="R7" s="76"/>
      <c r="S7" s="76"/>
      <c r="T7" s="76"/>
      <c r="U7" s="76"/>
      <c r="V7" s="76"/>
      <c r="W7" s="76"/>
      <c r="X7" s="76"/>
      <c r="Y7" s="73"/>
      <c r="Z7" s="72" t="s">
        <v>31</v>
      </c>
      <c r="AA7" s="76"/>
      <c r="AB7" s="76"/>
      <c r="AC7" s="76"/>
      <c r="AD7" s="76"/>
      <c r="AE7" s="76"/>
      <c r="AF7" s="76"/>
      <c r="AG7" s="76"/>
      <c r="AH7" s="76"/>
      <c r="AI7" s="76"/>
      <c r="AJ7" s="76"/>
      <c r="AK7" s="76"/>
      <c r="AL7" s="73"/>
      <c r="AM7" s="72" t="s">
        <v>32</v>
      </c>
      <c r="AN7" s="76"/>
      <c r="AO7" s="73"/>
      <c r="AP7" s="100" t="s">
        <v>33</v>
      </c>
      <c r="AQ7" s="100"/>
      <c r="AR7" s="100"/>
      <c r="AS7" s="100"/>
      <c r="AT7" s="100"/>
      <c r="AU7" s="100"/>
      <c r="AV7" s="100"/>
      <c r="AW7" s="100"/>
      <c r="AX7" s="100"/>
      <c r="AY7" s="66" t="s">
        <v>34</v>
      </c>
      <c r="AZ7" s="67"/>
      <c r="BA7" s="67"/>
      <c r="BB7" s="67"/>
      <c r="BC7" s="67"/>
      <c r="BD7" s="67"/>
      <c r="BE7" s="67"/>
      <c r="BF7" s="67"/>
      <c r="BG7" s="68"/>
      <c r="BH7" s="100" t="s">
        <v>35</v>
      </c>
      <c r="BI7" s="100"/>
      <c r="BJ7" s="100"/>
      <c r="BK7" s="100"/>
      <c r="BL7" s="100"/>
      <c r="BM7" s="100"/>
      <c r="BN7" s="66" t="s">
        <v>36</v>
      </c>
      <c r="BO7" s="67"/>
      <c r="BP7" s="67"/>
      <c r="BQ7" s="67"/>
      <c r="BR7" s="67"/>
      <c r="BS7" s="68"/>
    </row>
    <row r="8" spans="1:71" s="1" customFormat="1" ht="15" customHeight="1">
      <c r="A8" s="99"/>
      <c r="B8" s="74"/>
      <c r="C8" s="75"/>
      <c r="D8" s="74"/>
      <c r="E8" s="77"/>
      <c r="F8" s="77"/>
      <c r="G8" s="77"/>
      <c r="H8" s="75"/>
      <c r="I8" s="74"/>
      <c r="J8" s="77"/>
      <c r="K8" s="77"/>
      <c r="L8" s="75"/>
      <c r="M8" s="74"/>
      <c r="N8" s="77"/>
      <c r="O8" s="77"/>
      <c r="P8" s="77"/>
      <c r="Q8" s="77"/>
      <c r="R8" s="77"/>
      <c r="S8" s="77"/>
      <c r="T8" s="77"/>
      <c r="U8" s="77"/>
      <c r="V8" s="77"/>
      <c r="W8" s="77"/>
      <c r="X8" s="77"/>
      <c r="Y8" s="75"/>
      <c r="Z8" s="74"/>
      <c r="AA8" s="77"/>
      <c r="AB8" s="77"/>
      <c r="AC8" s="77"/>
      <c r="AD8" s="77"/>
      <c r="AE8" s="77"/>
      <c r="AF8" s="77"/>
      <c r="AG8" s="77"/>
      <c r="AH8" s="77"/>
      <c r="AI8" s="77"/>
      <c r="AJ8" s="77"/>
      <c r="AK8" s="77"/>
      <c r="AL8" s="75"/>
      <c r="AM8" s="74"/>
      <c r="AN8" s="77"/>
      <c r="AO8" s="75"/>
      <c r="AP8" s="69" t="s">
        <v>37</v>
      </c>
      <c r="AQ8" s="70"/>
      <c r="AR8" s="71"/>
      <c r="AS8" s="69" t="s">
        <v>38</v>
      </c>
      <c r="AT8" s="70"/>
      <c r="AU8" s="71"/>
      <c r="AV8" s="69" t="s">
        <v>39</v>
      </c>
      <c r="AW8" s="70"/>
      <c r="AX8" s="71"/>
      <c r="AY8" s="78" t="s">
        <v>40</v>
      </c>
      <c r="AZ8" s="79"/>
      <c r="BA8" s="80"/>
      <c r="BB8" s="78" t="s">
        <v>41</v>
      </c>
      <c r="BC8" s="79"/>
      <c r="BD8" s="80"/>
      <c r="BE8" s="78" t="s">
        <v>42</v>
      </c>
      <c r="BF8" s="79"/>
      <c r="BG8" s="80"/>
      <c r="BH8" s="69" t="s">
        <v>43</v>
      </c>
      <c r="BI8" s="70"/>
      <c r="BJ8" s="71"/>
      <c r="BK8" s="78" t="s">
        <v>44</v>
      </c>
      <c r="BL8" s="79"/>
      <c r="BM8" s="80"/>
      <c r="BN8" s="69"/>
      <c r="BO8" s="70"/>
      <c r="BP8" s="70"/>
      <c r="BQ8" s="70"/>
      <c r="BR8" s="70"/>
      <c r="BS8" s="71"/>
    </row>
    <row r="9" spans="1:71" ht="120" customHeight="1">
      <c r="A9" s="7">
        <f>IF(M9="","",COUNTA($M$9:$M9))</f>
        <v>1</v>
      </c>
      <c r="B9" s="38" t="s">
        <v>45</v>
      </c>
      <c r="C9" s="40"/>
      <c r="D9" s="41" t="s">
        <v>46</v>
      </c>
      <c r="E9" s="42"/>
      <c r="F9" s="42"/>
      <c r="G9" s="42"/>
      <c r="H9" s="43"/>
      <c r="I9" s="42" t="s">
        <v>47</v>
      </c>
      <c r="J9" s="42"/>
      <c r="K9" s="42"/>
      <c r="L9" s="42"/>
      <c r="M9" s="41" t="s">
        <v>48</v>
      </c>
      <c r="N9" s="42"/>
      <c r="O9" s="42"/>
      <c r="P9" s="42"/>
      <c r="Q9" s="42"/>
      <c r="R9" s="42"/>
      <c r="S9" s="42"/>
      <c r="T9" s="42"/>
      <c r="U9" s="42"/>
      <c r="V9" s="42"/>
      <c r="W9" s="42"/>
      <c r="X9" s="42"/>
      <c r="Y9" s="43"/>
      <c r="Z9" s="41" t="s">
        <v>49</v>
      </c>
      <c r="AA9" s="42"/>
      <c r="AB9" s="42"/>
      <c r="AC9" s="42"/>
      <c r="AD9" s="42"/>
      <c r="AE9" s="42"/>
      <c r="AF9" s="42"/>
      <c r="AG9" s="42"/>
      <c r="AH9" s="42"/>
      <c r="AI9" s="42"/>
      <c r="AJ9" s="42"/>
      <c r="AK9" s="42"/>
      <c r="AL9" s="43"/>
      <c r="AM9" s="41" t="s">
        <v>46</v>
      </c>
      <c r="AN9" s="42"/>
      <c r="AO9" s="43"/>
      <c r="AP9" s="56" t="s">
        <v>50</v>
      </c>
      <c r="AQ9" s="57"/>
      <c r="AR9" s="58"/>
      <c r="AS9" s="56" t="s">
        <v>51</v>
      </c>
      <c r="AT9" s="57"/>
      <c r="AU9" s="58"/>
      <c r="AV9" s="56" t="s">
        <v>52</v>
      </c>
      <c r="AW9" s="57"/>
      <c r="AX9" s="58"/>
      <c r="AY9" s="38" t="s">
        <v>53</v>
      </c>
      <c r="AZ9" s="39"/>
      <c r="BA9" s="40"/>
      <c r="BB9" s="35">
        <v>45216</v>
      </c>
      <c r="BC9" s="36"/>
      <c r="BD9" s="37"/>
      <c r="BE9" s="35">
        <v>45216</v>
      </c>
      <c r="BF9" s="36"/>
      <c r="BG9" s="37"/>
      <c r="BH9" s="38"/>
      <c r="BI9" s="39"/>
      <c r="BJ9" s="40"/>
      <c r="BK9" s="35"/>
      <c r="BL9" s="36"/>
      <c r="BM9" s="37"/>
      <c r="BN9" s="41"/>
      <c r="BO9" s="42"/>
      <c r="BP9" s="42"/>
      <c r="BQ9" s="42"/>
      <c r="BR9" s="42"/>
      <c r="BS9" s="43"/>
    </row>
    <row r="10" spans="1:71" ht="60" customHeight="1">
      <c r="A10" s="7">
        <f>IF(M10="","",COUNTA($M$9:$M10))</f>
        <v>2</v>
      </c>
      <c r="B10" s="38" t="s">
        <v>45</v>
      </c>
      <c r="C10" s="40"/>
      <c r="D10" s="41" t="s">
        <v>46</v>
      </c>
      <c r="E10" s="42"/>
      <c r="F10" s="42"/>
      <c r="G10" s="42"/>
      <c r="H10" s="43"/>
      <c r="I10" s="42" t="s">
        <v>54</v>
      </c>
      <c r="J10" s="42"/>
      <c r="K10" s="42"/>
      <c r="L10" s="42"/>
      <c r="M10" s="41" t="s">
        <v>55</v>
      </c>
      <c r="N10" s="42"/>
      <c r="O10" s="42"/>
      <c r="P10" s="42"/>
      <c r="Q10" s="42"/>
      <c r="R10" s="42"/>
      <c r="S10" s="42"/>
      <c r="T10" s="42"/>
      <c r="U10" s="42"/>
      <c r="V10" s="42"/>
      <c r="W10" s="42"/>
      <c r="X10" s="42"/>
      <c r="Y10" s="43"/>
      <c r="Z10" s="41" t="s">
        <v>56</v>
      </c>
      <c r="AA10" s="42"/>
      <c r="AB10" s="42"/>
      <c r="AC10" s="42"/>
      <c r="AD10" s="42"/>
      <c r="AE10" s="42"/>
      <c r="AF10" s="42"/>
      <c r="AG10" s="42"/>
      <c r="AH10" s="42"/>
      <c r="AI10" s="42"/>
      <c r="AJ10" s="42"/>
      <c r="AK10" s="42"/>
      <c r="AL10" s="43"/>
      <c r="AM10" s="41" t="s">
        <v>46</v>
      </c>
      <c r="AN10" s="42"/>
      <c r="AO10" s="43"/>
      <c r="AP10" s="56" t="s">
        <v>50</v>
      </c>
      <c r="AQ10" s="57"/>
      <c r="AR10" s="58"/>
      <c r="AS10" s="56" t="s">
        <v>57</v>
      </c>
      <c r="AT10" s="57"/>
      <c r="AU10" s="58"/>
      <c r="AV10" s="56" t="s">
        <v>58</v>
      </c>
      <c r="AW10" s="57"/>
      <c r="AX10" s="58"/>
      <c r="AY10" s="38" t="s">
        <v>53</v>
      </c>
      <c r="AZ10" s="39"/>
      <c r="BA10" s="40"/>
      <c r="BB10" s="35">
        <v>45216</v>
      </c>
      <c r="BC10" s="36"/>
      <c r="BD10" s="37"/>
      <c r="BE10" s="35">
        <v>45216</v>
      </c>
      <c r="BF10" s="36"/>
      <c r="BG10" s="37"/>
      <c r="BH10" s="38"/>
      <c r="BI10" s="39"/>
      <c r="BJ10" s="40"/>
      <c r="BK10" s="35"/>
      <c r="BL10" s="36"/>
      <c r="BM10" s="37"/>
      <c r="BN10" s="41"/>
      <c r="BO10" s="42"/>
      <c r="BP10" s="42"/>
      <c r="BQ10" s="42"/>
      <c r="BR10" s="42"/>
      <c r="BS10" s="43"/>
    </row>
    <row r="11" spans="1:71" ht="120" customHeight="1">
      <c r="A11" s="7">
        <f>IF(M11="","",COUNTA($M$9:$M11))</f>
        <v>3</v>
      </c>
      <c r="B11" s="38" t="s">
        <v>45</v>
      </c>
      <c r="C11" s="40"/>
      <c r="D11" s="41" t="s">
        <v>46</v>
      </c>
      <c r="E11" s="42"/>
      <c r="F11" s="42"/>
      <c r="G11" s="42"/>
      <c r="H11" s="43"/>
      <c r="I11" s="42" t="s">
        <v>59</v>
      </c>
      <c r="J11" s="42"/>
      <c r="K11" s="42"/>
      <c r="L11" s="42"/>
      <c r="M11" s="41" t="s">
        <v>60</v>
      </c>
      <c r="N11" s="42"/>
      <c r="O11" s="42"/>
      <c r="P11" s="42"/>
      <c r="Q11" s="42"/>
      <c r="R11" s="42"/>
      <c r="S11" s="42"/>
      <c r="T11" s="42"/>
      <c r="U11" s="42"/>
      <c r="V11" s="42"/>
      <c r="W11" s="42"/>
      <c r="X11" s="42"/>
      <c r="Y11" s="43"/>
      <c r="Z11" s="44" t="s">
        <v>61</v>
      </c>
      <c r="AA11" s="45"/>
      <c r="AB11" s="45"/>
      <c r="AC11" s="45"/>
      <c r="AD11" s="45"/>
      <c r="AE11" s="45"/>
      <c r="AF11" s="45"/>
      <c r="AG11" s="45"/>
      <c r="AH11" s="45"/>
      <c r="AI11" s="45"/>
      <c r="AJ11" s="45"/>
      <c r="AK11" s="45"/>
      <c r="AL11" s="46"/>
      <c r="AM11" s="41" t="s">
        <v>46</v>
      </c>
      <c r="AN11" s="42"/>
      <c r="AO11" s="43"/>
      <c r="AP11" s="56" t="s">
        <v>50</v>
      </c>
      <c r="AQ11" s="57"/>
      <c r="AR11" s="58"/>
      <c r="AS11" s="56" t="s">
        <v>62</v>
      </c>
      <c r="AT11" s="57"/>
      <c r="AU11" s="58"/>
      <c r="AV11" s="56" t="s">
        <v>63</v>
      </c>
      <c r="AW11" s="57"/>
      <c r="AX11" s="58"/>
      <c r="AY11" s="38" t="s">
        <v>53</v>
      </c>
      <c r="AZ11" s="39"/>
      <c r="BA11" s="40"/>
      <c r="BB11" s="35">
        <v>45216</v>
      </c>
      <c r="BC11" s="36"/>
      <c r="BD11" s="37"/>
      <c r="BE11" s="35">
        <v>45216</v>
      </c>
      <c r="BF11" s="36"/>
      <c r="BG11" s="37"/>
      <c r="BH11" s="38"/>
      <c r="BI11" s="39"/>
      <c r="BJ11" s="40"/>
      <c r="BK11" s="35"/>
      <c r="BL11" s="36"/>
      <c r="BM11" s="37"/>
      <c r="BN11" s="41"/>
      <c r="BO11" s="42"/>
      <c r="BP11" s="42"/>
      <c r="BQ11" s="42"/>
      <c r="BR11" s="42"/>
      <c r="BS11" s="43"/>
    </row>
    <row r="12" spans="1:71" ht="60" customHeight="1">
      <c r="A12" s="7">
        <f>IF(M12="","",COUNTA($M$9:$M12))</f>
        <v>4</v>
      </c>
      <c r="B12" s="38" t="s">
        <v>45</v>
      </c>
      <c r="C12" s="40"/>
      <c r="D12" s="41" t="s">
        <v>46</v>
      </c>
      <c r="E12" s="42"/>
      <c r="F12" s="42"/>
      <c r="G12" s="42"/>
      <c r="H12" s="43"/>
      <c r="I12" s="42" t="s">
        <v>64</v>
      </c>
      <c r="J12" s="42"/>
      <c r="K12" s="42"/>
      <c r="L12" s="42"/>
      <c r="M12" s="41" t="s">
        <v>65</v>
      </c>
      <c r="N12" s="42"/>
      <c r="O12" s="42"/>
      <c r="P12" s="42"/>
      <c r="Q12" s="42"/>
      <c r="R12" s="42"/>
      <c r="S12" s="42"/>
      <c r="T12" s="42"/>
      <c r="U12" s="42"/>
      <c r="V12" s="42"/>
      <c r="W12" s="42"/>
      <c r="X12" s="42"/>
      <c r="Y12" s="43"/>
      <c r="Z12" s="41" t="s">
        <v>66</v>
      </c>
      <c r="AA12" s="42"/>
      <c r="AB12" s="42"/>
      <c r="AC12" s="42"/>
      <c r="AD12" s="42"/>
      <c r="AE12" s="42"/>
      <c r="AF12" s="42"/>
      <c r="AG12" s="42"/>
      <c r="AH12" s="42"/>
      <c r="AI12" s="42"/>
      <c r="AJ12" s="42"/>
      <c r="AK12" s="42"/>
      <c r="AL12" s="43"/>
      <c r="AM12" s="41" t="s">
        <v>46</v>
      </c>
      <c r="AN12" s="42"/>
      <c r="AO12" s="43"/>
      <c r="AP12" s="56" t="s">
        <v>50</v>
      </c>
      <c r="AQ12" s="57"/>
      <c r="AR12" s="58"/>
      <c r="AS12" s="56" t="s">
        <v>67</v>
      </c>
      <c r="AT12" s="57"/>
      <c r="AU12" s="58"/>
      <c r="AV12" s="56" t="s">
        <v>68</v>
      </c>
      <c r="AW12" s="57"/>
      <c r="AX12" s="58"/>
      <c r="AY12" s="38" t="s">
        <v>53</v>
      </c>
      <c r="AZ12" s="39"/>
      <c r="BA12" s="40"/>
      <c r="BB12" s="35">
        <v>45216</v>
      </c>
      <c r="BC12" s="36"/>
      <c r="BD12" s="37"/>
      <c r="BE12" s="35">
        <v>45216</v>
      </c>
      <c r="BF12" s="36"/>
      <c r="BG12" s="37"/>
      <c r="BH12" s="38"/>
      <c r="BI12" s="39"/>
      <c r="BJ12" s="40"/>
      <c r="BK12" s="35"/>
      <c r="BL12" s="36"/>
      <c r="BM12" s="37"/>
      <c r="BN12" s="41"/>
      <c r="BO12" s="42"/>
      <c r="BP12" s="42"/>
      <c r="BQ12" s="42"/>
      <c r="BR12" s="42"/>
      <c r="BS12" s="43"/>
    </row>
    <row r="13" spans="1:71" ht="73.150000000000006" customHeight="1">
      <c r="A13" s="7">
        <f>IF(M13="","",COUNTA($M$9:$M13))</f>
        <v>5</v>
      </c>
      <c r="B13" s="38" t="s">
        <v>45</v>
      </c>
      <c r="C13" s="40"/>
      <c r="D13" s="41" t="s">
        <v>46</v>
      </c>
      <c r="E13" s="42"/>
      <c r="F13" s="42"/>
      <c r="G13" s="42"/>
      <c r="H13" s="43"/>
      <c r="I13" s="42" t="s">
        <v>64</v>
      </c>
      <c r="J13" s="42"/>
      <c r="K13" s="42"/>
      <c r="L13" s="42"/>
      <c r="M13" s="41" t="s">
        <v>69</v>
      </c>
      <c r="N13" s="42"/>
      <c r="O13" s="42"/>
      <c r="P13" s="42"/>
      <c r="Q13" s="42"/>
      <c r="R13" s="42"/>
      <c r="S13" s="42"/>
      <c r="T13" s="42"/>
      <c r="U13" s="42"/>
      <c r="V13" s="42"/>
      <c r="W13" s="42"/>
      <c r="X13" s="42"/>
      <c r="Y13" s="43"/>
      <c r="Z13" s="47" t="s">
        <v>70</v>
      </c>
      <c r="AA13" s="48"/>
      <c r="AB13" s="48"/>
      <c r="AC13" s="48"/>
      <c r="AD13" s="48"/>
      <c r="AE13" s="48"/>
      <c r="AF13" s="48"/>
      <c r="AG13" s="48"/>
      <c r="AH13" s="48"/>
      <c r="AI13" s="48"/>
      <c r="AJ13" s="48"/>
      <c r="AK13" s="48"/>
      <c r="AL13" s="49"/>
      <c r="AM13" s="41" t="s">
        <v>46</v>
      </c>
      <c r="AN13" s="42"/>
      <c r="AO13" s="43"/>
      <c r="AP13" s="56" t="s">
        <v>50</v>
      </c>
      <c r="AQ13" s="57"/>
      <c r="AR13" s="58"/>
      <c r="AS13" s="56" t="s">
        <v>57</v>
      </c>
      <c r="AT13" s="57"/>
      <c r="AU13" s="58"/>
      <c r="AV13" s="56" t="s">
        <v>71</v>
      </c>
      <c r="AW13" s="57"/>
      <c r="AX13" s="58"/>
      <c r="AY13" s="38" t="s">
        <v>53</v>
      </c>
      <c r="AZ13" s="39"/>
      <c r="BA13" s="40"/>
      <c r="BB13" s="35">
        <v>45216</v>
      </c>
      <c r="BC13" s="36"/>
      <c r="BD13" s="37"/>
      <c r="BE13" s="35">
        <v>45216</v>
      </c>
      <c r="BF13" s="36"/>
      <c r="BG13" s="37"/>
      <c r="BH13" s="38"/>
      <c r="BI13" s="39"/>
      <c r="BJ13" s="40"/>
      <c r="BK13" s="35"/>
      <c r="BL13" s="36"/>
      <c r="BM13" s="37"/>
      <c r="BN13" s="41"/>
      <c r="BO13" s="42"/>
      <c r="BP13" s="42"/>
      <c r="BQ13" s="42"/>
      <c r="BR13" s="42"/>
      <c r="BS13" s="43"/>
    </row>
    <row r="14" spans="1:71" ht="105" customHeight="1">
      <c r="A14" s="7">
        <f>IF(M14="","",COUNTA($M$9:$M14))</f>
        <v>6</v>
      </c>
      <c r="B14" s="38" t="s">
        <v>45</v>
      </c>
      <c r="C14" s="40"/>
      <c r="D14" s="41" t="s">
        <v>46</v>
      </c>
      <c r="E14" s="42"/>
      <c r="F14" s="42"/>
      <c r="G14" s="42"/>
      <c r="H14" s="43"/>
      <c r="I14" s="42" t="s">
        <v>72</v>
      </c>
      <c r="J14" s="42"/>
      <c r="K14" s="42"/>
      <c r="L14" s="42"/>
      <c r="M14" s="44" t="s">
        <v>73</v>
      </c>
      <c r="N14" s="45"/>
      <c r="O14" s="45"/>
      <c r="P14" s="45"/>
      <c r="Q14" s="45"/>
      <c r="R14" s="45"/>
      <c r="S14" s="45"/>
      <c r="T14" s="45"/>
      <c r="U14" s="45"/>
      <c r="V14" s="45"/>
      <c r="W14" s="45"/>
      <c r="X14" s="45"/>
      <c r="Y14" s="46"/>
      <c r="Z14" s="41" t="s">
        <v>74</v>
      </c>
      <c r="AA14" s="42"/>
      <c r="AB14" s="42"/>
      <c r="AC14" s="42"/>
      <c r="AD14" s="42"/>
      <c r="AE14" s="42"/>
      <c r="AF14" s="42"/>
      <c r="AG14" s="42"/>
      <c r="AH14" s="42"/>
      <c r="AI14" s="42"/>
      <c r="AJ14" s="42"/>
      <c r="AK14" s="42"/>
      <c r="AL14" s="43"/>
      <c r="AM14" s="41" t="s">
        <v>46</v>
      </c>
      <c r="AN14" s="42"/>
      <c r="AO14" s="43"/>
      <c r="AP14" s="56" t="s">
        <v>50</v>
      </c>
      <c r="AQ14" s="57"/>
      <c r="AR14" s="58"/>
      <c r="AS14" s="56" t="s">
        <v>57</v>
      </c>
      <c r="AT14" s="57"/>
      <c r="AU14" s="58"/>
      <c r="AV14" s="56" t="s">
        <v>71</v>
      </c>
      <c r="AW14" s="57"/>
      <c r="AX14" s="58"/>
      <c r="AY14" s="38" t="s">
        <v>53</v>
      </c>
      <c r="AZ14" s="39"/>
      <c r="BA14" s="40"/>
      <c r="BB14" s="35">
        <v>45216</v>
      </c>
      <c r="BC14" s="36"/>
      <c r="BD14" s="37"/>
      <c r="BE14" s="35">
        <v>45216</v>
      </c>
      <c r="BF14" s="36"/>
      <c r="BG14" s="37"/>
      <c r="BH14" s="38"/>
      <c r="BI14" s="39"/>
      <c r="BJ14" s="40"/>
      <c r="BK14" s="35"/>
      <c r="BL14" s="36"/>
      <c r="BM14" s="37"/>
      <c r="BN14" s="41"/>
      <c r="BO14" s="42"/>
      <c r="BP14" s="42"/>
      <c r="BQ14" s="42"/>
      <c r="BR14" s="42"/>
      <c r="BS14" s="43"/>
    </row>
    <row r="15" spans="1:71" ht="60" customHeight="1">
      <c r="A15" s="7">
        <f>IF(M15="","",COUNTA($M$9:$M15))</f>
        <v>7</v>
      </c>
      <c r="B15" s="38" t="s">
        <v>45</v>
      </c>
      <c r="C15" s="40"/>
      <c r="D15" s="41" t="s">
        <v>46</v>
      </c>
      <c r="E15" s="42"/>
      <c r="F15" s="42"/>
      <c r="G15" s="42"/>
      <c r="H15" s="43"/>
      <c r="I15" s="42" t="s">
        <v>59</v>
      </c>
      <c r="J15" s="42"/>
      <c r="K15" s="42"/>
      <c r="L15" s="42"/>
      <c r="M15" s="44" t="s">
        <v>75</v>
      </c>
      <c r="N15" s="45"/>
      <c r="O15" s="45"/>
      <c r="P15" s="45"/>
      <c r="Q15" s="45"/>
      <c r="R15" s="45"/>
      <c r="S15" s="45"/>
      <c r="T15" s="45"/>
      <c r="U15" s="45"/>
      <c r="V15" s="45"/>
      <c r="W15" s="45"/>
      <c r="X15" s="45"/>
      <c r="Y15" s="46"/>
      <c r="Z15" s="62" t="s">
        <v>76</v>
      </c>
      <c r="AA15" s="63"/>
      <c r="AB15" s="63"/>
      <c r="AC15" s="63"/>
      <c r="AD15" s="63"/>
      <c r="AE15" s="63"/>
      <c r="AF15" s="63"/>
      <c r="AG15" s="63"/>
      <c r="AH15" s="63"/>
      <c r="AI15" s="63"/>
      <c r="AJ15" s="63"/>
      <c r="AK15" s="63"/>
      <c r="AL15" s="64"/>
      <c r="AM15" s="41" t="s">
        <v>46</v>
      </c>
      <c r="AN15" s="42"/>
      <c r="AO15" s="43"/>
      <c r="AP15" s="56" t="s">
        <v>50</v>
      </c>
      <c r="AQ15" s="57"/>
      <c r="AR15" s="58"/>
      <c r="AS15" s="56" t="s">
        <v>57</v>
      </c>
      <c r="AT15" s="57"/>
      <c r="AU15" s="58"/>
      <c r="AV15" s="56" t="s">
        <v>77</v>
      </c>
      <c r="AW15" s="57"/>
      <c r="AX15" s="58"/>
      <c r="AY15" s="38" t="s">
        <v>53</v>
      </c>
      <c r="AZ15" s="39"/>
      <c r="BA15" s="40"/>
      <c r="BB15" s="35">
        <v>45216</v>
      </c>
      <c r="BC15" s="36"/>
      <c r="BD15" s="37"/>
      <c r="BE15" s="35">
        <v>45216</v>
      </c>
      <c r="BF15" s="36"/>
      <c r="BG15" s="37"/>
      <c r="BH15" s="38"/>
      <c r="BI15" s="39"/>
      <c r="BJ15" s="40"/>
      <c r="BK15" s="35"/>
      <c r="BL15" s="36"/>
      <c r="BM15" s="37"/>
      <c r="BN15" s="41"/>
      <c r="BO15" s="42"/>
      <c r="BP15" s="42"/>
      <c r="BQ15" s="42"/>
      <c r="BR15" s="42"/>
      <c r="BS15" s="43"/>
    </row>
    <row r="16" spans="1:71" ht="60" customHeight="1">
      <c r="A16" s="7">
        <f>IF(M16="","",COUNTA($M$9:$M16))</f>
        <v>8</v>
      </c>
      <c r="B16" s="38" t="s">
        <v>45</v>
      </c>
      <c r="C16" s="40"/>
      <c r="D16" s="41" t="s">
        <v>46</v>
      </c>
      <c r="E16" s="42"/>
      <c r="F16" s="42"/>
      <c r="G16" s="42"/>
      <c r="H16" s="43"/>
      <c r="I16" s="42" t="s">
        <v>78</v>
      </c>
      <c r="J16" s="42"/>
      <c r="K16" s="42"/>
      <c r="L16" s="42"/>
      <c r="M16" s="41" t="s">
        <v>79</v>
      </c>
      <c r="N16" s="42"/>
      <c r="O16" s="42"/>
      <c r="P16" s="42"/>
      <c r="Q16" s="42"/>
      <c r="R16" s="42"/>
      <c r="S16" s="42"/>
      <c r="T16" s="42"/>
      <c r="U16" s="42"/>
      <c r="V16" s="42"/>
      <c r="W16" s="42"/>
      <c r="X16" s="42"/>
      <c r="Y16" s="43"/>
      <c r="Z16" s="44" t="s">
        <v>80</v>
      </c>
      <c r="AA16" s="45"/>
      <c r="AB16" s="45"/>
      <c r="AC16" s="45"/>
      <c r="AD16" s="45"/>
      <c r="AE16" s="45"/>
      <c r="AF16" s="45"/>
      <c r="AG16" s="45"/>
      <c r="AH16" s="45"/>
      <c r="AI16" s="45"/>
      <c r="AJ16" s="45"/>
      <c r="AK16" s="45"/>
      <c r="AL16" s="46"/>
      <c r="AM16" s="41" t="s">
        <v>46</v>
      </c>
      <c r="AN16" s="42"/>
      <c r="AO16" s="43"/>
      <c r="AP16" s="56" t="s">
        <v>50</v>
      </c>
      <c r="AQ16" s="57"/>
      <c r="AR16" s="58"/>
      <c r="AS16" s="56" t="s">
        <v>57</v>
      </c>
      <c r="AT16" s="57"/>
      <c r="AU16" s="58"/>
      <c r="AV16" s="56" t="s">
        <v>77</v>
      </c>
      <c r="AW16" s="57"/>
      <c r="AX16" s="58"/>
      <c r="AY16" s="38" t="s">
        <v>53</v>
      </c>
      <c r="AZ16" s="39"/>
      <c r="BA16" s="40"/>
      <c r="BB16" s="35">
        <v>45216</v>
      </c>
      <c r="BC16" s="36"/>
      <c r="BD16" s="37"/>
      <c r="BE16" s="35">
        <v>45216</v>
      </c>
      <c r="BF16" s="36"/>
      <c r="BG16" s="37"/>
      <c r="BH16" s="38"/>
      <c r="BI16" s="39"/>
      <c r="BJ16" s="40"/>
      <c r="BK16" s="35"/>
      <c r="BL16" s="36"/>
      <c r="BM16" s="37"/>
      <c r="BN16" s="41"/>
      <c r="BO16" s="42"/>
      <c r="BP16" s="42"/>
      <c r="BQ16" s="42"/>
      <c r="BR16" s="42"/>
      <c r="BS16" s="43"/>
    </row>
    <row r="17" spans="1:71" ht="75" customHeight="1">
      <c r="A17" s="7">
        <f>IF(M17="","",COUNTA($M$9:$M17))</f>
        <v>9</v>
      </c>
      <c r="B17" s="38" t="s">
        <v>45</v>
      </c>
      <c r="C17" s="40"/>
      <c r="D17" s="41" t="s">
        <v>46</v>
      </c>
      <c r="E17" s="42"/>
      <c r="F17" s="42"/>
      <c r="G17" s="42"/>
      <c r="H17" s="43"/>
      <c r="I17" s="41" t="s">
        <v>81</v>
      </c>
      <c r="J17" s="42"/>
      <c r="K17" s="42"/>
      <c r="L17" s="43"/>
      <c r="M17" s="41" t="s">
        <v>82</v>
      </c>
      <c r="N17" s="42"/>
      <c r="O17" s="42"/>
      <c r="P17" s="42"/>
      <c r="Q17" s="42"/>
      <c r="R17" s="42"/>
      <c r="S17" s="42"/>
      <c r="T17" s="42"/>
      <c r="U17" s="42"/>
      <c r="V17" s="42"/>
      <c r="W17" s="42"/>
      <c r="X17" s="42"/>
      <c r="Y17" s="43"/>
      <c r="Z17" s="62" t="s">
        <v>83</v>
      </c>
      <c r="AA17" s="63"/>
      <c r="AB17" s="63"/>
      <c r="AC17" s="63"/>
      <c r="AD17" s="63"/>
      <c r="AE17" s="63"/>
      <c r="AF17" s="63"/>
      <c r="AG17" s="63"/>
      <c r="AH17" s="63"/>
      <c r="AI17" s="63"/>
      <c r="AJ17" s="63"/>
      <c r="AK17" s="63"/>
      <c r="AL17" s="64"/>
      <c r="AM17" s="41" t="s">
        <v>46</v>
      </c>
      <c r="AN17" s="42"/>
      <c r="AO17" s="43"/>
      <c r="AP17" s="56" t="s">
        <v>50</v>
      </c>
      <c r="AQ17" s="57"/>
      <c r="AR17" s="58"/>
      <c r="AS17" s="56" t="s">
        <v>57</v>
      </c>
      <c r="AT17" s="57"/>
      <c r="AU17" s="58"/>
      <c r="AV17" s="56" t="s">
        <v>77</v>
      </c>
      <c r="AW17" s="57"/>
      <c r="AX17" s="58"/>
      <c r="AY17" s="38" t="s">
        <v>53</v>
      </c>
      <c r="AZ17" s="39"/>
      <c r="BA17" s="40"/>
      <c r="BB17" s="35">
        <v>45216</v>
      </c>
      <c r="BC17" s="36"/>
      <c r="BD17" s="37"/>
      <c r="BE17" s="35">
        <v>45216</v>
      </c>
      <c r="BF17" s="36"/>
      <c r="BG17" s="37"/>
      <c r="BH17" s="38"/>
      <c r="BI17" s="39"/>
      <c r="BJ17" s="40"/>
      <c r="BK17" s="35"/>
      <c r="BL17" s="36"/>
      <c r="BM17" s="37"/>
      <c r="BN17" s="41"/>
      <c r="BO17" s="42"/>
      <c r="BP17" s="42"/>
      <c r="BQ17" s="42"/>
      <c r="BR17" s="42"/>
      <c r="BS17" s="43"/>
    </row>
    <row r="18" spans="1:71" ht="60" customHeight="1">
      <c r="A18" s="7">
        <f>IF(M18="","",COUNTA($M$9:$M18))</f>
        <v>10</v>
      </c>
      <c r="B18" s="38" t="s">
        <v>45</v>
      </c>
      <c r="C18" s="40"/>
      <c r="D18" s="50" t="s">
        <v>84</v>
      </c>
      <c r="E18" s="51"/>
      <c r="F18" s="51"/>
      <c r="G18" s="51"/>
      <c r="H18" s="52"/>
      <c r="I18" s="41" t="s">
        <v>81</v>
      </c>
      <c r="J18" s="42"/>
      <c r="K18" s="42"/>
      <c r="L18" s="43"/>
      <c r="M18" s="44" t="s">
        <v>85</v>
      </c>
      <c r="N18" s="45"/>
      <c r="O18" s="45"/>
      <c r="P18" s="45"/>
      <c r="Q18" s="45"/>
      <c r="R18" s="45"/>
      <c r="S18" s="45"/>
      <c r="T18" s="45"/>
      <c r="U18" s="45"/>
      <c r="V18" s="45"/>
      <c r="W18" s="45"/>
      <c r="X18" s="45"/>
      <c r="Y18" s="46"/>
      <c r="Z18" s="53" t="s">
        <v>86</v>
      </c>
      <c r="AA18" s="54"/>
      <c r="AB18" s="54"/>
      <c r="AC18" s="54"/>
      <c r="AD18" s="54"/>
      <c r="AE18" s="54"/>
      <c r="AF18" s="54"/>
      <c r="AG18" s="54"/>
      <c r="AH18" s="54"/>
      <c r="AI18" s="54"/>
      <c r="AJ18" s="54"/>
      <c r="AK18" s="54"/>
      <c r="AL18" s="55"/>
      <c r="AM18" s="41" t="s">
        <v>84</v>
      </c>
      <c r="AN18" s="42"/>
      <c r="AO18" s="43"/>
      <c r="AP18" s="56" t="s">
        <v>50</v>
      </c>
      <c r="AQ18" s="57"/>
      <c r="AR18" s="58"/>
      <c r="AS18" s="56" t="s">
        <v>87</v>
      </c>
      <c r="AT18" s="57"/>
      <c r="AU18" s="58"/>
      <c r="AV18" s="56" t="s">
        <v>88</v>
      </c>
      <c r="AW18" s="57"/>
      <c r="AX18" s="58"/>
      <c r="AY18" s="38" t="s">
        <v>53</v>
      </c>
      <c r="AZ18" s="39"/>
      <c r="BA18" s="40"/>
      <c r="BB18" s="35">
        <v>45240</v>
      </c>
      <c r="BC18" s="36"/>
      <c r="BD18" s="37"/>
      <c r="BE18" s="35">
        <v>45240</v>
      </c>
      <c r="BF18" s="36"/>
      <c r="BG18" s="37"/>
      <c r="BH18" s="38"/>
      <c r="BI18" s="39"/>
      <c r="BJ18" s="40"/>
      <c r="BK18" s="35"/>
      <c r="BL18" s="36"/>
      <c r="BM18" s="37"/>
      <c r="BN18" s="41"/>
      <c r="BO18" s="42"/>
      <c r="BP18" s="42"/>
      <c r="BQ18" s="42"/>
      <c r="BR18" s="42"/>
      <c r="BS18" s="43"/>
    </row>
    <row r="19" spans="1:71" ht="60" customHeight="1">
      <c r="A19" s="7">
        <f>IF(M19="","",COUNTA($M$9:$M19))</f>
        <v>11</v>
      </c>
      <c r="B19" s="38" t="s">
        <v>45</v>
      </c>
      <c r="C19" s="40"/>
      <c r="D19" s="50" t="s">
        <v>84</v>
      </c>
      <c r="E19" s="51"/>
      <c r="F19" s="51"/>
      <c r="G19" s="51"/>
      <c r="H19" s="52"/>
      <c r="I19" s="41" t="s">
        <v>89</v>
      </c>
      <c r="J19" s="42"/>
      <c r="K19" s="42"/>
      <c r="L19" s="43"/>
      <c r="M19" s="44" t="s">
        <v>90</v>
      </c>
      <c r="N19" s="45"/>
      <c r="O19" s="45"/>
      <c r="P19" s="45"/>
      <c r="Q19" s="45"/>
      <c r="R19" s="45"/>
      <c r="S19" s="45"/>
      <c r="T19" s="45"/>
      <c r="U19" s="45"/>
      <c r="V19" s="45"/>
      <c r="W19" s="45"/>
      <c r="X19" s="45"/>
      <c r="Y19" s="46"/>
      <c r="Z19" s="53" t="s">
        <v>91</v>
      </c>
      <c r="AA19" s="54"/>
      <c r="AB19" s="54"/>
      <c r="AC19" s="54"/>
      <c r="AD19" s="54"/>
      <c r="AE19" s="54"/>
      <c r="AF19" s="54"/>
      <c r="AG19" s="54"/>
      <c r="AH19" s="54"/>
      <c r="AI19" s="54"/>
      <c r="AJ19" s="54"/>
      <c r="AK19" s="54"/>
      <c r="AL19" s="55"/>
      <c r="AM19" s="41" t="s">
        <v>84</v>
      </c>
      <c r="AN19" s="42"/>
      <c r="AO19" s="43"/>
      <c r="AP19" s="56" t="s">
        <v>50</v>
      </c>
      <c r="AQ19" s="57"/>
      <c r="AR19" s="58"/>
      <c r="AS19" s="56" t="s">
        <v>92</v>
      </c>
      <c r="AT19" s="57"/>
      <c r="AU19" s="58"/>
      <c r="AV19" s="56" t="s">
        <v>93</v>
      </c>
      <c r="AW19" s="57"/>
      <c r="AX19" s="58"/>
      <c r="AY19" s="38" t="s">
        <v>53</v>
      </c>
      <c r="AZ19" s="39"/>
      <c r="BA19" s="40"/>
      <c r="BB19" s="35">
        <v>45216</v>
      </c>
      <c r="BC19" s="36"/>
      <c r="BD19" s="37"/>
      <c r="BE19" s="35">
        <v>45216</v>
      </c>
      <c r="BF19" s="36"/>
      <c r="BG19" s="37"/>
      <c r="BH19" s="38"/>
      <c r="BI19" s="39"/>
      <c r="BJ19" s="40"/>
      <c r="BK19" s="35"/>
      <c r="BL19" s="36"/>
      <c r="BM19" s="37"/>
      <c r="BN19" s="41"/>
      <c r="BO19" s="42"/>
      <c r="BP19" s="42"/>
      <c r="BQ19" s="42"/>
      <c r="BR19" s="42"/>
      <c r="BS19" s="43"/>
    </row>
    <row r="20" spans="1:71" ht="60" customHeight="1">
      <c r="A20" s="7">
        <f>IF(M20="","",COUNTA($M$9:$M20))</f>
        <v>12</v>
      </c>
      <c r="B20" s="38" t="s">
        <v>45</v>
      </c>
      <c r="C20" s="40"/>
      <c r="D20" s="50" t="s">
        <v>84</v>
      </c>
      <c r="E20" s="51"/>
      <c r="F20" s="51"/>
      <c r="G20" s="51"/>
      <c r="H20" s="52"/>
      <c r="I20" s="41" t="s">
        <v>47</v>
      </c>
      <c r="J20" s="42"/>
      <c r="K20" s="42"/>
      <c r="L20" s="43"/>
      <c r="M20" s="44" t="s">
        <v>94</v>
      </c>
      <c r="N20" s="45"/>
      <c r="O20" s="45"/>
      <c r="P20" s="45"/>
      <c r="Q20" s="45"/>
      <c r="R20" s="45"/>
      <c r="S20" s="45"/>
      <c r="T20" s="45"/>
      <c r="U20" s="45"/>
      <c r="V20" s="45"/>
      <c r="W20" s="45"/>
      <c r="X20" s="45"/>
      <c r="Y20" s="46"/>
      <c r="Z20" s="53" t="s">
        <v>95</v>
      </c>
      <c r="AA20" s="54"/>
      <c r="AB20" s="54"/>
      <c r="AC20" s="54"/>
      <c r="AD20" s="54"/>
      <c r="AE20" s="54"/>
      <c r="AF20" s="54"/>
      <c r="AG20" s="54"/>
      <c r="AH20" s="54"/>
      <c r="AI20" s="54"/>
      <c r="AJ20" s="54"/>
      <c r="AK20" s="54"/>
      <c r="AL20" s="55"/>
      <c r="AM20" s="41" t="s">
        <v>84</v>
      </c>
      <c r="AN20" s="42"/>
      <c r="AO20" s="43"/>
      <c r="AP20" s="56" t="s">
        <v>50</v>
      </c>
      <c r="AQ20" s="57"/>
      <c r="AR20" s="58"/>
      <c r="AS20" s="56" t="s">
        <v>51</v>
      </c>
      <c r="AT20" s="57"/>
      <c r="AU20" s="58"/>
      <c r="AV20" s="56" t="s">
        <v>52</v>
      </c>
      <c r="AW20" s="57"/>
      <c r="AX20" s="58"/>
      <c r="AY20" s="38" t="s">
        <v>53</v>
      </c>
      <c r="AZ20" s="39"/>
      <c r="BA20" s="40"/>
      <c r="BB20" s="35">
        <v>45216</v>
      </c>
      <c r="BC20" s="36"/>
      <c r="BD20" s="37"/>
      <c r="BE20" s="35">
        <v>45216</v>
      </c>
      <c r="BF20" s="36"/>
      <c r="BG20" s="37"/>
      <c r="BH20" s="38"/>
      <c r="BI20" s="39"/>
      <c r="BJ20" s="40"/>
      <c r="BK20" s="35"/>
      <c r="BL20" s="36"/>
      <c r="BM20" s="37"/>
      <c r="BN20" s="41"/>
      <c r="BO20" s="42"/>
      <c r="BP20" s="42"/>
      <c r="BQ20" s="42"/>
      <c r="BR20" s="42"/>
      <c r="BS20" s="43"/>
    </row>
    <row r="21" spans="1:71" ht="60" customHeight="1">
      <c r="A21" s="7">
        <f>IF(M21="","",COUNTA($M$9:$M21))</f>
        <v>13</v>
      </c>
      <c r="B21" s="38" t="s">
        <v>45</v>
      </c>
      <c r="C21" s="40"/>
      <c r="D21" s="41" t="s">
        <v>46</v>
      </c>
      <c r="E21" s="42"/>
      <c r="F21" s="42"/>
      <c r="G21" s="42"/>
      <c r="H21" s="43"/>
      <c r="I21" s="42" t="s">
        <v>96</v>
      </c>
      <c r="J21" s="42"/>
      <c r="K21" s="42"/>
      <c r="L21" s="42"/>
      <c r="M21" s="44" t="s">
        <v>97</v>
      </c>
      <c r="N21" s="45"/>
      <c r="O21" s="45"/>
      <c r="P21" s="45"/>
      <c r="Q21" s="45"/>
      <c r="R21" s="45"/>
      <c r="S21" s="45"/>
      <c r="T21" s="45"/>
      <c r="U21" s="45"/>
      <c r="V21" s="45"/>
      <c r="W21" s="45"/>
      <c r="X21" s="45"/>
      <c r="Y21" s="46"/>
      <c r="Z21" s="47" t="s">
        <v>98</v>
      </c>
      <c r="AA21" s="48"/>
      <c r="AB21" s="48"/>
      <c r="AC21" s="48"/>
      <c r="AD21" s="48"/>
      <c r="AE21" s="48"/>
      <c r="AF21" s="48"/>
      <c r="AG21" s="48"/>
      <c r="AH21" s="48"/>
      <c r="AI21" s="48"/>
      <c r="AJ21" s="48"/>
      <c r="AK21" s="48"/>
      <c r="AL21" s="49"/>
      <c r="AM21" s="41" t="s">
        <v>46</v>
      </c>
      <c r="AN21" s="42"/>
      <c r="AO21" s="43"/>
      <c r="AP21" s="56" t="s">
        <v>50</v>
      </c>
      <c r="AQ21" s="57"/>
      <c r="AR21" s="58"/>
      <c r="AS21" s="56" t="s">
        <v>51</v>
      </c>
      <c r="AT21" s="57"/>
      <c r="AU21" s="58"/>
      <c r="AV21" s="56" t="s">
        <v>52</v>
      </c>
      <c r="AW21" s="57"/>
      <c r="AX21" s="58"/>
      <c r="AY21" s="38" t="s">
        <v>53</v>
      </c>
      <c r="AZ21" s="39"/>
      <c r="BA21" s="40"/>
      <c r="BB21" s="35">
        <v>45216</v>
      </c>
      <c r="BC21" s="36"/>
      <c r="BD21" s="37"/>
      <c r="BE21" s="35">
        <v>45216</v>
      </c>
      <c r="BF21" s="36"/>
      <c r="BG21" s="37"/>
      <c r="BH21" s="38"/>
      <c r="BI21" s="39"/>
      <c r="BJ21" s="40"/>
      <c r="BK21" s="35"/>
      <c r="BL21" s="36"/>
      <c r="BM21" s="37"/>
      <c r="BN21" s="41"/>
      <c r="BO21" s="42"/>
      <c r="BP21" s="42"/>
      <c r="BQ21" s="42"/>
      <c r="BR21" s="42"/>
      <c r="BS21" s="43"/>
    </row>
    <row r="22" spans="1:71" ht="60" customHeight="1">
      <c r="A22" s="7">
        <f>IF(M22="","",COUNTA($M$9:$M22))</f>
        <v>14</v>
      </c>
      <c r="B22" s="38" t="s">
        <v>45</v>
      </c>
      <c r="C22" s="40"/>
      <c r="D22" s="41" t="s">
        <v>46</v>
      </c>
      <c r="E22" s="42"/>
      <c r="F22" s="42"/>
      <c r="G22" s="42"/>
      <c r="H22" s="43"/>
      <c r="I22" s="41" t="s">
        <v>99</v>
      </c>
      <c r="J22" s="42"/>
      <c r="K22" s="42"/>
      <c r="L22" s="43"/>
      <c r="M22" s="44" t="s">
        <v>100</v>
      </c>
      <c r="N22" s="45"/>
      <c r="O22" s="45"/>
      <c r="P22" s="45"/>
      <c r="Q22" s="45"/>
      <c r="R22" s="45"/>
      <c r="S22" s="45"/>
      <c r="T22" s="45"/>
      <c r="U22" s="45"/>
      <c r="V22" s="45"/>
      <c r="W22" s="45"/>
      <c r="X22" s="45"/>
      <c r="Y22" s="46"/>
      <c r="Z22" s="62" t="s">
        <v>101</v>
      </c>
      <c r="AA22" s="63"/>
      <c r="AB22" s="63"/>
      <c r="AC22" s="63"/>
      <c r="AD22" s="63"/>
      <c r="AE22" s="63"/>
      <c r="AF22" s="63"/>
      <c r="AG22" s="63"/>
      <c r="AH22" s="63"/>
      <c r="AI22" s="63"/>
      <c r="AJ22" s="63"/>
      <c r="AK22" s="63"/>
      <c r="AL22" s="64"/>
      <c r="AM22" s="41" t="s">
        <v>46</v>
      </c>
      <c r="AN22" s="42"/>
      <c r="AO22" s="43"/>
      <c r="AP22" s="56" t="s">
        <v>50</v>
      </c>
      <c r="AQ22" s="57"/>
      <c r="AR22" s="58"/>
      <c r="AS22" s="56" t="s">
        <v>62</v>
      </c>
      <c r="AT22" s="57"/>
      <c r="AU22" s="58"/>
      <c r="AV22" s="56" t="s">
        <v>63</v>
      </c>
      <c r="AW22" s="57"/>
      <c r="AX22" s="58"/>
      <c r="AY22" s="38" t="s">
        <v>53</v>
      </c>
      <c r="AZ22" s="39"/>
      <c r="BA22" s="40"/>
      <c r="BB22" s="35">
        <v>45216</v>
      </c>
      <c r="BC22" s="36"/>
      <c r="BD22" s="37"/>
      <c r="BE22" s="35">
        <v>45216</v>
      </c>
      <c r="BF22" s="36"/>
      <c r="BG22" s="37"/>
      <c r="BH22" s="38"/>
      <c r="BI22" s="39"/>
      <c r="BJ22" s="40"/>
      <c r="BK22" s="35"/>
      <c r="BL22" s="36"/>
      <c r="BM22" s="37"/>
      <c r="BN22" s="41"/>
      <c r="BO22" s="42"/>
      <c r="BP22" s="42"/>
      <c r="BQ22" s="42"/>
      <c r="BR22" s="42"/>
      <c r="BS22" s="43"/>
    </row>
    <row r="23" spans="1:71" ht="90" customHeight="1">
      <c r="A23" s="7">
        <f>IF(M23="","",COUNTA($M$9:$M23))</f>
        <v>15</v>
      </c>
      <c r="B23" s="38" t="s">
        <v>45</v>
      </c>
      <c r="C23" s="40"/>
      <c r="D23" s="41" t="s">
        <v>46</v>
      </c>
      <c r="E23" s="42"/>
      <c r="F23" s="42"/>
      <c r="G23" s="42"/>
      <c r="H23" s="43"/>
      <c r="I23" s="41" t="s">
        <v>81</v>
      </c>
      <c r="J23" s="42"/>
      <c r="K23" s="42"/>
      <c r="L23" s="43"/>
      <c r="M23" s="44" t="s">
        <v>102</v>
      </c>
      <c r="N23" s="45"/>
      <c r="O23" s="45"/>
      <c r="P23" s="45"/>
      <c r="Q23" s="45"/>
      <c r="R23" s="45"/>
      <c r="S23" s="45"/>
      <c r="T23" s="45"/>
      <c r="U23" s="45"/>
      <c r="V23" s="45"/>
      <c r="W23" s="45"/>
      <c r="X23" s="45"/>
      <c r="Y23" s="46"/>
      <c r="Z23" s="47" t="s">
        <v>103</v>
      </c>
      <c r="AA23" s="48"/>
      <c r="AB23" s="48"/>
      <c r="AC23" s="48"/>
      <c r="AD23" s="48"/>
      <c r="AE23" s="48"/>
      <c r="AF23" s="48"/>
      <c r="AG23" s="48"/>
      <c r="AH23" s="48"/>
      <c r="AI23" s="48"/>
      <c r="AJ23" s="48"/>
      <c r="AK23" s="48"/>
      <c r="AL23" s="49"/>
      <c r="AM23" s="41" t="s">
        <v>46</v>
      </c>
      <c r="AN23" s="42"/>
      <c r="AO23" s="43"/>
      <c r="AP23" s="56" t="s">
        <v>50</v>
      </c>
      <c r="AQ23" s="57"/>
      <c r="AR23" s="58"/>
      <c r="AS23" s="56" t="s">
        <v>92</v>
      </c>
      <c r="AT23" s="57"/>
      <c r="AU23" s="58"/>
      <c r="AV23" s="56" t="s">
        <v>93</v>
      </c>
      <c r="AW23" s="57"/>
      <c r="AX23" s="58"/>
      <c r="AY23" s="38" t="s">
        <v>53</v>
      </c>
      <c r="AZ23" s="39"/>
      <c r="BA23" s="40"/>
      <c r="BB23" s="35">
        <v>45216</v>
      </c>
      <c r="BC23" s="36"/>
      <c r="BD23" s="37"/>
      <c r="BE23" s="35">
        <v>45216</v>
      </c>
      <c r="BF23" s="36"/>
      <c r="BG23" s="37"/>
      <c r="BH23" s="38"/>
      <c r="BI23" s="39"/>
      <c r="BJ23" s="40"/>
      <c r="BK23" s="35"/>
      <c r="BL23" s="36"/>
      <c r="BM23" s="37"/>
      <c r="BN23" s="41"/>
      <c r="BO23" s="42"/>
      <c r="BP23" s="42"/>
      <c r="BQ23" s="42"/>
      <c r="BR23" s="42"/>
      <c r="BS23" s="43"/>
    </row>
    <row r="24" spans="1:71" ht="135" customHeight="1">
      <c r="A24" s="7">
        <f>IF(M24="","",COUNTA($M$9:$M24))</f>
        <v>16</v>
      </c>
      <c r="B24" s="38" t="s">
        <v>45</v>
      </c>
      <c r="C24" s="40"/>
      <c r="D24" s="41" t="s">
        <v>46</v>
      </c>
      <c r="E24" s="42"/>
      <c r="F24" s="42"/>
      <c r="G24" s="42"/>
      <c r="H24" s="43"/>
      <c r="I24" s="41" t="s">
        <v>64</v>
      </c>
      <c r="J24" s="42"/>
      <c r="K24" s="42"/>
      <c r="L24" s="43"/>
      <c r="M24" s="44" t="s">
        <v>104</v>
      </c>
      <c r="N24" s="45"/>
      <c r="O24" s="45"/>
      <c r="P24" s="45"/>
      <c r="Q24" s="45"/>
      <c r="R24" s="45"/>
      <c r="S24" s="45"/>
      <c r="T24" s="45"/>
      <c r="U24" s="45"/>
      <c r="V24" s="45"/>
      <c r="W24" s="45"/>
      <c r="X24" s="45"/>
      <c r="Y24" s="46"/>
      <c r="Z24" s="47" t="s">
        <v>105</v>
      </c>
      <c r="AA24" s="48"/>
      <c r="AB24" s="48"/>
      <c r="AC24" s="48"/>
      <c r="AD24" s="48"/>
      <c r="AE24" s="48"/>
      <c r="AF24" s="48"/>
      <c r="AG24" s="48"/>
      <c r="AH24" s="48"/>
      <c r="AI24" s="48"/>
      <c r="AJ24" s="48"/>
      <c r="AK24" s="48"/>
      <c r="AL24" s="49"/>
      <c r="AM24" s="41" t="s">
        <v>46</v>
      </c>
      <c r="AN24" s="42"/>
      <c r="AO24" s="43"/>
      <c r="AP24" s="56" t="s">
        <v>50</v>
      </c>
      <c r="AQ24" s="57"/>
      <c r="AR24" s="58"/>
      <c r="AS24" s="56" t="s">
        <v>57</v>
      </c>
      <c r="AT24" s="57"/>
      <c r="AU24" s="58"/>
      <c r="AV24" s="56" t="s">
        <v>106</v>
      </c>
      <c r="AW24" s="57"/>
      <c r="AX24" s="58"/>
      <c r="AY24" s="38" t="s">
        <v>53</v>
      </c>
      <c r="AZ24" s="39"/>
      <c r="BA24" s="40"/>
      <c r="BB24" s="35">
        <v>45216</v>
      </c>
      <c r="BC24" s="36"/>
      <c r="BD24" s="37"/>
      <c r="BE24" s="35">
        <v>45216</v>
      </c>
      <c r="BF24" s="36"/>
      <c r="BG24" s="37"/>
      <c r="BH24" s="38"/>
      <c r="BI24" s="39"/>
      <c r="BJ24" s="40"/>
      <c r="BK24" s="35"/>
      <c r="BL24" s="36"/>
      <c r="BM24" s="37"/>
      <c r="BN24" s="41"/>
      <c r="BO24" s="42"/>
      <c r="BP24" s="42"/>
      <c r="BQ24" s="42"/>
      <c r="BR24" s="42"/>
      <c r="BS24" s="43"/>
    </row>
    <row r="25" spans="1:71" ht="90" customHeight="1">
      <c r="A25" s="7">
        <f>IF(M25="","",COUNTA($M$9:$M25))</f>
        <v>17</v>
      </c>
      <c r="B25" s="38" t="s">
        <v>45</v>
      </c>
      <c r="C25" s="40"/>
      <c r="D25" s="41" t="s">
        <v>46</v>
      </c>
      <c r="E25" s="42"/>
      <c r="F25" s="42"/>
      <c r="G25" s="42"/>
      <c r="H25" s="43"/>
      <c r="I25" s="41" t="s">
        <v>64</v>
      </c>
      <c r="J25" s="42"/>
      <c r="K25" s="42"/>
      <c r="L25" s="43"/>
      <c r="M25" s="44" t="s">
        <v>107</v>
      </c>
      <c r="N25" s="45"/>
      <c r="O25" s="45"/>
      <c r="P25" s="45"/>
      <c r="Q25" s="45"/>
      <c r="R25" s="45"/>
      <c r="S25" s="45"/>
      <c r="T25" s="45"/>
      <c r="U25" s="45"/>
      <c r="V25" s="45"/>
      <c r="W25" s="45"/>
      <c r="X25" s="45"/>
      <c r="Y25" s="46"/>
      <c r="Z25" s="47" t="s">
        <v>108</v>
      </c>
      <c r="AA25" s="48"/>
      <c r="AB25" s="48"/>
      <c r="AC25" s="48"/>
      <c r="AD25" s="48"/>
      <c r="AE25" s="48"/>
      <c r="AF25" s="48"/>
      <c r="AG25" s="48"/>
      <c r="AH25" s="48"/>
      <c r="AI25" s="48"/>
      <c r="AJ25" s="48"/>
      <c r="AK25" s="48"/>
      <c r="AL25" s="49"/>
      <c r="AM25" s="41" t="s">
        <v>46</v>
      </c>
      <c r="AN25" s="42"/>
      <c r="AO25" s="43"/>
      <c r="AP25" s="56" t="s">
        <v>50</v>
      </c>
      <c r="AQ25" s="57"/>
      <c r="AR25" s="58"/>
      <c r="AS25" s="56" t="s">
        <v>57</v>
      </c>
      <c r="AT25" s="57"/>
      <c r="AU25" s="58"/>
      <c r="AV25" s="56" t="s">
        <v>71</v>
      </c>
      <c r="AW25" s="57"/>
      <c r="AX25" s="58"/>
      <c r="AY25" s="38" t="s">
        <v>53</v>
      </c>
      <c r="AZ25" s="39"/>
      <c r="BA25" s="40"/>
      <c r="BB25" s="35">
        <v>45216</v>
      </c>
      <c r="BC25" s="36"/>
      <c r="BD25" s="37"/>
      <c r="BE25" s="35">
        <v>45216</v>
      </c>
      <c r="BF25" s="36"/>
      <c r="BG25" s="37"/>
      <c r="BH25" s="38"/>
      <c r="BI25" s="39"/>
      <c r="BJ25" s="40"/>
      <c r="BK25" s="35"/>
      <c r="BL25" s="36"/>
      <c r="BM25" s="37"/>
      <c r="BN25" s="41"/>
      <c r="BO25" s="42"/>
      <c r="BP25" s="42"/>
      <c r="BQ25" s="42"/>
      <c r="BR25" s="42"/>
      <c r="BS25" s="43"/>
    </row>
    <row r="26" spans="1:71" ht="75" customHeight="1">
      <c r="A26" s="7">
        <f>IF(M26="","",COUNTA($M$9:$M26))</f>
        <v>18</v>
      </c>
      <c r="B26" s="38" t="s">
        <v>45</v>
      </c>
      <c r="C26" s="40"/>
      <c r="D26" s="41" t="s">
        <v>46</v>
      </c>
      <c r="E26" s="42"/>
      <c r="F26" s="42"/>
      <c r="G26" s="42"/>
      <c r="H26" s="43"/>
      <c r="I26" s="41" t="s">
        <v>99</v>
      </c>
      <c r="J26" s="42"/>
      <c r="K26" s="42"/>
      <c r="L26" s="43"/>
      <c r="M26" s="44" t="s">
        <v>109</v>
      </c>
      <c r="N26" s="45"/>
      <c r="O26" s="45"/>
      <c r="P26" s="45"/>
      <c r="Q26" s="45"/>
      <c r="R26" s="45"/>
      <c r="S26" s="45"/>
      <c r="T26" s="45"/>
      <c r="U26" s="45"/>
      <c r="V26" s="45"/>
      <c r="W26" s="45"/>
      <c r="X26" s="45"/>
      <c r="Y26" s="46"/>
      <c r="Z26" s="47" t="s">
        <v>110</v>
      </c>
      <c r="AA26" s="48"/>
      <c r="AB26" s="48"/>
      <c r="AC26" s="48"/>
      <c r="AD26" s="48"/>
      <c r="AE26" s="48"/>
      <c r="AF26" s="48"/>
      <c r="AG26" s="48"/>
      <c r="AH26" s="48"/>
      <c r="AI26" s="48"/>
      <c r="AJ26" s="48"/>
      <c r="AK26" s="48"/>
      <c r="AL26" s="49"/>
      <c r="AM26" s="41" t="s">
        <v>46</v>
      </c>
      <c r="AN26" s="42"/>
      <c r="AO26" s="43"/>
      <c r="AP26" s="56" t="s">
        <v>50</v>
      </c>
      <c r="AQ26" s="57"/>
      <c r="AR26" s="58"/>
      <c r="AS26" s="56" t="s">
        <v>57</v>
      </c>
      <c r="AT26" s="57"/>
      <c r="AU26" s="58"/>
      <c r="AV26" s="56" t="s">
        <v>71</v>
      </c>
      <c r="AW26" s="57"/>
      <c r="AX26" s="58"/>
      <c r="AY26" s="38" t="s">
        <v>53</v>
      </c>
      <c r="AZ26" s="39"/>
      <c r="BA26" s="40"/>
      <c r="BB26" s="35">
        <v>45216</v>
      </c>
      <c r="BC26" s="36"/>
      <c r="BD26" s="37"/>
      <c r="BE26" s="35">
        <v>45216</v>
      </c>
      <c r="BF26" s="36"/>
      <c r="BG26" s="37"/>
      <c r="BH26" s="38"/>
      <c r="BI26" s="39"/>
      <c r="BJ26" s="40"/>
      <c r="BK26" s="35"/>
      <c r="BL26" s="36"/>
      <c r="BM26" s="37"/>
      <c r="BN26" s="41"/>
      <c r="BO26" s="42"/>
      <c r="BP26" s="42"/>
      <c r="BQ26" s="42"/>
      <c r="BR26" s="42"/>
      <c r="BS26" s="43"/>
    </row>
    <row r="27" spans="1:71" ht="90" customHeight="1">
      <c r="A27" s="7">
        <f>IF(M27="","",COUNTA($M$9:$M27))</f>
        <v>19</v>
      </c>
      <c r="B27" s="38" t="s">
        <v>45</v>
      </c>
      <c r="C27" s="40"/>
      <c r="D27" s="41" t="s">
        <v>46</v>
      </c>
      <c r="E27" s="42"/>
      <c r="F27" s="42"/>
      <c r="G27" s="42"/>
      <c r="H27" s="43"/>
      <c r="I27" s="41" t="s">
        <v>64</v>
      </c>
      <c r="J27" s="42"/>
      <c r="K27" s="42"/>
      <c r="L27" s="43"/>
      <c r="M27" s="44" t="s">
        <v>111</v>
      </c>
      <c r="N27" s="45"/>
      <c r="O27" s="45"/>
      <c r="P27" s="45"/>
      <c r="Q27" s="45"/>
      <c r="R27" s="45"/>
      <c r="S27" s="45"/>
      <c r="T27" s="45"/>
      <c r="U27" s="45"/>
      <c r="V27" s="45"/>
      <c r="W27" s="45"/>
      <c r="X27" s="45"/>
      <c r="Y27" s="46"/>
      <c r="Z27" s="47" t="s">
        <v>108</v>
      </c>
      <c r="AA27" s="48"/>
      <c r="AB27" s="48"/>
      <c r="AC27" s="48"/>
      <c r="AD27" s="48"/>
      <c r="AE27" s="48"/>
      <c r="AF27" s="48"/>
      <c r="AG27" s="48"/>
      <c r="AH27" s="48"/>
      <c r="AI27" s="48"/>
      <c r="AJ27" s="48"/>
      <c r="AK27" s="48"/>
      <c r="AL27" s="49"/>
      <c r="AM27" s="41" t="s">
        <v>46</v>
      </c>
      <c r="AN27" s="42"/>
      <c r="AO27" s="43"/>
      <c r="AP27" s="56" t="s">
        <v>50</v>
      </c>
      <c r="AQ27" s="57"/>
      <c r="AR27" s="58"/>
      <c r="AS27" s="56" t="s">
        <v>57</v>
      </c>
      <c r="AT27" s="57"/>
      <c r="AU27" s="58"/>
      <c r="AV27" s="56" t="s">
        <v>71</v>
      </c>
      <c r="AW27" s="57"/>
      <c r="AX27" s="58"/>
      <c r="AY27" s="38" t="s">
        <v>53</v>
      </c>
      <c r="AZ27" s="39"/>
      <c r="BA27" s="40"/>
      <c r="BB27" s="35">
        <v>45216</v>
      </c>
      <c r="BC27" s="36"/>
      <c r="BD27" s="37"/>
      <c r="BE27" s="35">
        <v>45216</v>
      </c>
      <c r="BF27" s="36"/>
      <c r="BG27" s="37"/>
      <c r="BH27" s="38"/>
      <c r="BI27" s="39"/>
      <c r="BJ27" s="40"/>
      <c r="BK27" s="35"/>
      <c r="BL27" s="36"/>
      <c r="BM27" s="37"/>
      <c r="BN27" s="41"/>
      <c r="BO27" s="42"/>
      <c r="BP27" s="42"/>
      <c r="BQ27" s="42"/>
      <c r="BR27" s="42"/>
      <c r="BS27" s="43"/>
    </row>
    <row r="28" spans="1:71" ht="60" customHeight="1">
      <c r="A28" s="7">
        <f>IF(M28="","",COUNTA($M$9:$M28))</f>
        <v>20</v>
      </c>
      <c r="B28" s="38" t="s">
        <v>45</v>
      </c>
      <c r="C28" s="40"/>
      <c r="D28" s="41" t="s">
        <v>46</v>
      </c>
      <c r="E28" s="42"/>
      <c r="F28" s="42"/>
      <c r="G28" s="42"/>
      <c r="H28" s="43"/>
      <c r="I28" s="41" t="s">
        <v>99</v>
      </c>
      <c r="J28" s="42"/>
      <c r="K28" s="42"/>
      <c r="L28" s="43"/>
      <c r="M28" s="44" t="s">
        <v>112</v>
      </c>
      <c r="N28" s="45"/>
      <c r="O28" s="45"/>
      <c r="P28" s="45"/>
      <c r="Q28" s="45"/>
      <c r="R28" s="45"/>
      <c r="S28" s="45"/>
      <c r="T28" s="45"/>
      <c r="U28" s="45"/>
      <c r="V28" s="45"/>
      <c r="W28" s="45"/>
      <c r="X28" s="45"/>
      <c r="Y28" s="46"/>
      <c r="Z28" s="47" t="s">
        <v>113</v>
      </c>
      <c r="AA28" s="48"/>
      <c r="AB28" s="48"/>
      <c r="AC28" s="48"/>
      <c r="AD28" s="48"/>
      <c r="AE28" s="48"/>
      <c r="AF28" s="48"/>
      <c r="AG28" s="48"/>
      <c r="AH28" s="48"/>
      <c r="AI28" s="48"/>
      <c r="AJ28" s="48"/>
      <c r="AK28" s="48"/>
      <c r="AL28" s="49"/>
      <c r="AM28" s="41" t="s">
        <v>46</v>
      </c>
      <c r="AN28" s="42"/>
      <c r="AO28" s="43"/>
      <c r="AP28" s="56" t="s">
        <v>50</v>
      </c>
      <c r="AQ28" s="57"/>
      <c r="AR28" s="58"/>
      <c r="AS28" s="56" t="s">
        <v>57</v>
      </c>
      <c r="AT28" s="57"/>
      <c r="AU28" s="58"/>
      <c r="AV28" s="56" t="s">
        <v>71</v>
      </c>
      <c r="AW28" s="57"/>
      <c r="AX28" s="58"/>
      <c r="AY28" s="38" t="s">
        <v>53</v>
      </c>
      <c r="AZ28" s="39"/>
      <c r="BA28" s="40"/>
      <c r="BB28" s="35">
        <v>45226</v>
      </c>
      <c r="BC28" s="36"/>
      <c r="BD28" s="37"/>
      <c r="BE28" s="35"/>
      <c r="BF28" s="36"/>
      <c r="BG28" s="37"/>
      <c r="BH28" s="65"/>
      <c r="BI28" s="39"/>
      <c r="BJ28" s="40"/>
      <c r="BK28" s="35"/>
      <c r="BL28" s="36"/>
      <c r="BM28" s="37"/>
      <c r="BN28" s="41"/>
      <c r="BO28" s="42"/>
      <c r="BP28" s="42"/>
      <c r="BQ28" s="42"/>
      <c r="BR28" s="42"/>
      <c r="BS28" s="43"/>
    </row>
    <row r="29" spans="1:71" ht="93" customHeight="1">
      <c r="A29" s="7">
        <f>IF(M29="","",COUNTA($M$9:$M29))</f>
        <v>21</v>
      </c>
      <c r="B29" s="38" t="s">
        <v>45</v>
      </c>
      <c r="C29" s="40"/>
      <c r="D29" s="41" t="s">
        <v>46</v>
      </c>
      <c r="E29" s="42"/>
      <c r="F29" s="42"/>
      <c r="G29" s="42"/>
      <c r="H29" s="43"/>
      <c r="I29" s="41" t="s">
        <v>99</v>
      </c>
      <c r="J29" s="42"/>
      <c r="K29" s="42"/>
      <c r="L29" s="43"/>
      <c r="M29" s="44" t="s">
        <v>114</v>
      </c>
      <c r="N29" s="45"/>
      <c r="O29" s="45"/>
      <c r="P29" s="45"/>
      <c r="Q29" s="45"/>
      <c r="R29" s="45"/>
      <c r="S29" s="45"/>
      <c r="T29" s="45"/>
      <c r="U29" s="45"/>
      <c r="V29" s="45"/>
      <c r="W29" s="45"/>
      <c r="X29" s="45"/>
      <c r="Y29" s="46"/>
      <c r="Z29" s="59" t="s">
        <v>115</v>
      </c>
      <c r="AA29" s="60"/>
      <c r="AB29" s="60"/>
      <c r="AC29" s="60"/>
      <c r="AD29" s="60"/>
      <c r="AE29" s="60"/>
      <c r="AF29" s="60"/>
      <c r="AG29" s="60"/>
      <c r="AH29" s="60"/>
      <c r="AI29" s="60"/>
      <c r="AJ29" s="60"/>
      <c r="AK29" s="60"/>
      <c r="AL29" s="61"/>
      <c r="AM29" s="41" t="s">
        <v>46</v>
      </c>
      <c r="AN29" s="42"/>
      <c r="AO29" s="43"/>
      <c r="AP29" s="56" t="s">
        <v>50</v>
      </c>
      <c r="AQ29" s="57"/>
      <c r="AR29" s="58"/>
      <c r="AS29" s="56" t="s">
        <v>57</v>
      </c>
      <c r="AT29" s="57"/>
      <c r="AU29" s="58"/>
      <c r="AV29" s="56" t="s">
        <v>58</v>
      </c>
      <c r="AW29" s="57"/>
      <c r="AX29" s="58"/>
      <c r="AY29" s="38" t="s">
        <v>53</v>
      </c>
      <c r="AZ29" s="39"/>
      <c r="BA29" s="40"/>
      <c r="BB29" s="35">
        <v>45216</v>
      </c>
      <c r="BC29" s="36"/>
      <c r="BD29" s="37"/>
      <c r="BE29" s="35">
        <v>45216</v>
      </c>
      <c r="BF29" s="36"/>
      <c r="BG29" s="37"/>
      <c r="BH29" s="38"/>
      <c r="BI29" s="39"/>
      <c r="BJ29" s="40"/>
      <c r="BK29" s="35"/>
      <c r="BL29" s="36"/>
      <c r="BM29" s="37"/>
      <c r="BN29" s="41"/>
      <c r="BO29" s="42"/>
      <c r="BP29" s="42"/>
      <c r="BQ29" s="42"/>
      <c r="BR29" s="42"/>
      <c r="BS29" s="43"/>
    </row>
    <row r="30" spans="1:71" ht="93.6" customHeight="1">
      <c r="A30" s="7">
        <f>IF(M30="","",COUNTA($M$9:$M30))</f>
        <v>22</v>
      </c>
      <c r="B30" s="38" t="s">
        <v>45</v>
      </c>
      <c r="C30" s="40"/>
      <c r="D30" s="41" t="s">
        <v>46</v>
      </c>
      <c r="E30" s="42"/>
      <c r="F30" s="42"/>
      <c r="G30" s="42"/>
      <c r="H30" s="43"/>
      <c r="I30" s="41" t="s">
        <v>99</v>
      </c>
      <c r="J30" s="42"/>
      <c r="K30" s="42"/>
      <c r="L30" s="43"/>
      <c r="M30" s="44" t="s">
        <v>116</v>
      </c>
      <c r="N30" s="45"/>
      <c r="O30" s="45"/>
      <c r="P30" s="45"/>
      <c r="Q30" s="45"/>
      <c r="R30" s="45"/>
      <c r="S30" s="45"/>
      <c r="T30" s="45"/>
      <c r="U30" s="45"/>
      <c r="V30" s="45"/>
      <c r="W30" s="45"/>
      <c r="X30" s="45"/>
      <c r="Y30" s="46"/>
      <c r="Z30" s="59" t="s">
        <v>117</v>
      </c>
      <c r="AA30" s="60"/>
      <c r="AB30" s="60"/>
      <c r="AC30" s="60"/>
      <c r="AD30" s="60"/>
      <c r="AE30" s="60"/>
      <c r="AF30" s="60"/>
      <c r="AG30" s="60"/>
      <c r="AH30" s="60"/>
      <c r="AI30" s="60"/>
      <c r="AJ30" s="60"/>
      <c r="AK30" s="60"/>
      <c r="AL30" s="61"/>
      <c r="AM30" s="41" t="s">
        <v>46</v>
      </c>
      <c r="AN30" s="42"/>
      <c r="AO30" s="43"/>
      <c r="AP30" s="56" t="s">
        <v>50</v>
      </c>
      <c r="AQ30" s="57"/>
      <c r="AR30" s="58"/>
      <c r="AS30" s="56" t="s">
        <v>92</v>
      </c>
      <c r="AT30" s="57"/>
      <c r="AU30" s="58"/>
      <c r="AV30" s="56" t="s">
        <v>93</v>
      </c>
      <c r="AW30" s="57"/>
      <c r="AX30" s="58"/>
      <c r="AY30" s="38" t="s">
        <v>53</v>
      </c>
      <c r="AZ30" s="39"/>
      <c r="BA30" s="40"/>
      <c r="BB30" s="35">
        <v>45216</v>
      </c>
      <c r="BC30" s="36"/>
      <c r="BD30" s="37"/>
      <c r="BE30" s="35">
        <v>45216</v>
      </c>
      <c r="BF30" s="36"/>
      <c r="BG30" s="37"/>
      <c r="BH30" s="38"/>
      <c r="BI30" s="39"/>
      <c r="BJ30" s="40"/>
      <c r="BK30" s="35"/>
      <c r="BL30" s="36"/>
      <c r="BM30" s="37"/>
      <c r="BN30" s="41"/>
      <c r="BO30" s="42"/>
      <c r="BP30" s="42"/>
      <c r="BQ30" s="42"/>
      <c r="BR30" s="42"/>
      <c r="BS30" s="43"/>
    </row>
    <row r="31" spans="1:71" ht="90" customHeight="1">
      <c r="A31" s="7">
        <f>IF(M31="","",COUNTA($M$9:$M31))</f>
        <v>23</v>
      </c>
      <c r="B31" s="38" t="s">
        <v>45</v>
      </c>
      <c r="C31" s="40"/>
      <c r="D31" s="41" t="s">
        <v>46</v>
      </c>
      <c r="E31" s="42"/>
      <c r="F31" s="42"/>
      <c r="G31" s="42"/>
      <c r="H31" s="43"/>
      <c r="I31" s="41" t="s">
        <v>64</v>
      </c>
      <c r="J31" s="42"/>
      <c r="K31" s="42"/>
      <c r="L31" s="43"/>
      <c r="M31" s="44" t="s">
        <v>118</v>
      </c>
      <c r="N31" s="45"/>
      <c r="O31" s="45"/>
      <c r="P31" s="45"/>
      <c r="Q31" s="45"/>
      <c r="R31" s="45"/>
      <c r="S31" s="45"/>
      <c r="T31" s="45"/>
      <c r="U31" s="45"/>
      <c r="V31" s="45"/>
      <c r="W31" s="45"/>
      <c r="X31" s="45"/>
      <c r="Y31" s="46"/>
      <c r="Z31" s="47" t="s">
        <v>108</v>
      </c>
      <c r="AA31" s="48"/>
      <c r="AB31" s="48"/>
      <c r="AC31" s="48"/>
      <c r="AD31" s="48"/>
      <c r="AE31" s="48"/>
      <c r="AF31" s="48"/>
      <c r="AG31" s="48"/>
      <c r="AH31" s="48"/>
      <c r="AI31" s="48"/>
      <c r="AJ31" s="48"/>
      <c r="AK31" s="48"/>
      <c r="AL31" s="49"/>
      <c r="AM31" s="41" t="s">
        <v>46</v>
      </c>
      <c r="AN31" s="42"/>
      <c r="AO31" s="43"/>
      <c r="AP31" s="56" t="s">
        <v>50</v>
      </c>
      <c r="AQ31" s="57"/>
      <c r="AR31" s="58"/>
      <c r="AS31" s="56" t="s">
        <v>57</v>
      </c>
      <c r="AT31" s="57"/>
      <c r="AU31" s="58"/>
      <c r="AV31" s="56" t="s">
        <v>71</v>
      </c>
      <c r="AW31" s="57"/>
      <c r="AX31" s="58"/>
      <c r="AY31" s="38" t="s">
        <v>53</v>
      </c>
      <c r="AZ31" s="39"/>
      <c r="BA31" s="40"/>
      <c r="BB31" s="35">
        <v>45216</v>
      </c>
      <c r="BC31" s="36"/>
      <c r="BD31" s="37"/>
      <c r="BE31" s="35">
        <v>45216</v>
      </c>
      <c r="BF31" s="36"/>
      <c r="BG31" s="37"/>
      <c r="BH31" s="38"/>
      <c r="BI31" s="39"/>
      <c r="BJ31" s="40"/>
      <c r="BK31" s="35"/>
      <c r="BL31" s="36"/>
      <c r="BM31" s="37"/>
      <c r="BN31" s="41"/>
      <c r="BO31" s="42"/>
      <c r="BP31" s="42"/>
      <c r="BQ31" s="42"/>
      <c r="BR31" s="42"/>
      <c r="BS31" s="43"/>
    </row>
    <row r="32" spans="1:71" ht="60" customHeight="1">
      <c r="A32" s="7">
        <f>IF(M32="","",COUNTA($M$9:$M32))</f>
        <v>24</v>
      </c>
      <c r="B32" s="38" t="s">
        <v>45</v>
      </c>
      <c r="C32" s="40"/>
      <c r="D32" s="41" t="s">
        <v>119</v>
      </c>
      <c r="E32" s="51"/>
      <c r="F32" s="51"/>
      <c r="G32" s="51"/>
      <c r="H32" s="52"/>
      <c r="I32" s="41" t="s">
        <v>89</v>
      </c>
      <c r="J32" s="42"/>
      <c r="K32" s="42"/>
      <c r="L32" s="43"/>
      <c r="M32" s="44" t="s">
        <v>120</v>
      </c>
      <c r="N32" s="45"/>
      <c r="O32" s="45"/>
      <c r="P32" s="45"/>
      <c r="Q32" s="45"/>
      <c r="R32" s="45"/>
      <c r="S32" s="45"/>
      <c r="T32" s="45"/>
      <c r="U32" s="45"/>
      <c r="V32" s="45"/>
      <c r="W32" s="45"/>
      <c r="X32" s="45"/>
      <c r="Y32" s="46"/>
      <c r="Z32" s="47" t="s">
        <v>121</v>
      </c>
      <c r="AA32" s="48"/>
      <c r="AB32" s="48"/>
      <c r="AC32" s="48"/>
      <c r="AD32" s="48"/>
      <c r="AE32" s="48"/>
      <c r="AF32" s="48"/>
      <c r="AG32" s="48"/>
      <c r="AH32" s="48"/>
      <c r="AI32" s="48"/>
      <c r="AJ32" s="48"/>
      <c r="AK32" s="48"/>
      <c r="AL32" s="49"/>
      <c r="AM32" s="41" t="s">
        <v>119</v>
      </c>
      <c r="AN32" s="42"/>
      <c r="AO32" s="43"/>
      <c r="AP32" s="56" t="s">
        <v>50</v>
      </c>
      <c r="AQ32" s="57"/>
      <c r="AR32" s="58"/>
      <c r="AS32" s="56" t="s">
        <v>57</v>
      </c>
      <c r="AT32" s="57"/>
      <c r="AU32" s="58"/>
      <c r="AV32" s="56" t="s">
        <v>71</v>
      </c>
      <c r="AW32" s="57"/>
      <c r="AX32" s="58"/>
      <c r="AY32" s="38" t="s">
        <v>53</v>
      </c>
      <c r="AZ32" s="39"/>
      <c r="BA32" s="40"/>
      <c r="BB32" s="35">
        <v>45226</v>
      </c>
      <c r="BC32" s="36"/>
      <c r="BD32" s="37"/>
      <c r="BE32" s="35"/>
      <c r="BF32" s="36"/>
      <c r="BG32" s="37"/>
      <c r="BH32" s="38"/>
      <c r="BI32" s="39"/>
      <c r="BJ32" s="40"/>
      <c r="BK32" s="35"/>
      <c r="BL32" s="36"/>
      <c r="BM32" s="37"/>
      <c r="BN32" s="41"/>
      <c r="BO32" s="42"/>
      <c r="BP32" s="42"/>
      <c r="BQ32" s="42"/>
      <c r="BR32" s="42"/>
      <c r="BS32" s="43"/>
    </row>
    <row r="33" spans="1:71" ht="60" customHeight="1">
      <c r="A33" s="7" t="str">
        <f>IF(M33="","",COUNTA($M$9:$M33))</f>
        <v/>
      </c>
      <c r="B33" s="38"/>
      <c r="C33" s="40"/>
      <c r="D33" s="50"/>
      <c r="E33" s="51"/>
      <c r="F33" s="51"/>
      <c r="G33" s="51"/>
      <c r="H33" s="52"/>
      <c r="I33" s="41"/>
      <c r="J33" s="42"/>
      <c r="K33" s="42"/>
      <c r="L33" s="43"/>
      <c r="M33" s="44"/>
      <c r="N33" s="45"/>
      <c r="O33" s="45"/>
      <c r="P33" s="45"/>
      <c r="Q33" s="45"/>
      <c r="R33" s="45"/>
      <c r="S33" s="45"/>
      <c r="T33" s="45"/>
      <c r="U33" s="45"/>
      <c r="V33" s="45"/>
      <c r="W33" s="45"/>
      <c r="X33" s="45"/>
      <c r="Y33" s="46"/>
      <c r="Z33" s="59"/>
      <c r="AA33" s="60"/>
      <c r="AB33" s="60"/>
      <c r="AC33" s="60"/>
      <c r="AD33" s="60"/>
      <c r="AE33" s="60"/>
      <c r="AF33" s="60"/>
      <c r="AG33" s="60"/>
      <c r="AH33" s="60"/>
      <c r="AI33" s="60"/>
      <c r="AJ33" s="60"/>
      <c r="AK33" s="60"/>
      <c r="AL33" s="61"/>
      <c r="AM33" s="41"/>
      <c r="AN33" s="42"/>
      <c r="AO33" s="43"/>
      <c r="AP33" s="56"/>
      <c r="AQ33" s="57"/>
      <c r="AR33" s="58"/>
      <c r="AS33" s="56"/>
      <c r="AT33" s="57"/>
      <c r="AU33" s="58"/>
      <c r="AV33" s="56"/>
      <c r="AW33" s="57"/>
      <c r="AX33" s="58"/>
      <c r="AY33" s="38"/>
      <c r="AZ33" s="39"/>
      <c r="BA33" s="40"/>
      <c r="BB33" s="35"/>
      <c r="BC33" s="36"/>
      <c r="BD33" s="37"/>
      <c r="BE33" s="35"/>
      <c r="BF33" s="36"/>
      <c r="BG33" s="37"/>
      <c r="BH33" s="38"/>
      <c r="BI33" s="39"/>
      <c r="BJ33" s="40"/>
      <c r="BK33" s="35"/>
      <c r="BL33" s="36"/>
      <c r="BM33" s="37"/>
      <c r="BN33" s="41"/>
      <c r="BO33" s="42"/>
      <c r="BP33" s="42"/>
      <c r="BQ33" s="42"/>
      <c r="BR33" s="42"/>
      <c r="BS33" s="43"/>
    </row>
    <row r="34" spans="1:71" ht="60" customHeight="1">
      <c r="A34" s="7" t="str">
        <f>IF(M34="","",COUNTA($M$9:$M34))</f>
        <v/>
      </c>
      <c r="B34" s="38"/>
      <c r="C34" s="40"/>
      <c r="D34" s="50"/>
      <c r="E34" s="51"/>
      <c r="F34" s="51"/>
      <c r="G34" s="51"/>
      <c r="H34" s="52"/>
      <c r="I34" s="41"/>
      <c r="J34" s="42"/>
      <c r="K34" s="42"/>
      <c r="L34" s="43"/>
      <c r="M34" s="44"/>
      <c r="N34" s="45"/>
      <c r="O34" s="45"/>
      <c r="P34" s="45"/>
      <c r="Q34" s="45"/>
      <c r="R34" s="45"/>
      <c r="S34" s="45"/>
      <c r="T34" s="45"/>
      <c r="U34" s="45"/>
      <c r="V34" s="45"/>
      <c r="W34" s="45"/>
      <c r="X34" s="45"/>
      <c r="Y34" s="46"/>
      <c r="Z34" s="59"/>
      <c r="AA34" s="60"/>
      <c r="AB34" s="60"/>
      <c r="AC34" s="60"/>
      <c r="AD34" s="60"/>
      <c r="AE34" s="60"/>
      <c r="AF34" s="60"/>
      <c r="AG34" s="60"/>
      <c r="AH34" s="60"/>
      <c r="AI34" s="60"/>
      <c r="AJ34" s="60"/>
      <c r="AK34" s="60"/>
      <c r="AL34" s="61"/>
      <c r="AM34" s="41"/>
      <c r="AN34" s="42"/>
      <c r="AO34" s="43"/>
      <c r="AP34" s="56"/>
      <c r="AQ34" s="57"/>
      <c r="AR34" s="58"/>
      <c r="AS34" s="56"/>
      <c r="AT34" s="57"/>
      <c r="AU34" s="58"/>
      <c r="AV34" s="56"/>
      <c r="AW34" s="57"/>
      <c r="AX34" s="58"/>
      <c r="AY34" s="38"/>
      <c r="AZ34" s="39"/>
      <c r="BA34" s="40"/>
      <c r="BB34" s="35"/>
      <c r="BC34" s="36"/>
      <c r="BD34" s="37"/>
      <c r="BE34" s="35"/>
      <c r="BF34" s="36"/>
      <c r="BG34" s="37"/>
      <c r="BH34" s="38"/>
      <c r="BI34" s="39"/>
      <c r="BJ34" s="40"/>
      <c r="BK34" s="35"/>
      <c r="BL34" s="36"/>
      <c r="BM34" s="37"/>
      <c r="BN34" s="41"/>
      <c r="BO34" s="42"/>
      <c r="BP34" s="42"/>
      <c r="BQ34" s="42"/>
      <c r="BR34" s="42"/>
      <c r="BS34" s="43"/>
    </row>
    <row r="35" spans="1:71" ht="60" customHeight="1">
      <c r="A35" s="7" t="str">
        <f>IF(M35="","",COUNTA($M$9:$M35))</f>
        <v/>
      </c>
      <c r="B35" s="38"/>
      <c r="C35" s="40"/>
      <c r="D35" s="50"/>
      <c r="E35" s="51"/>
      <c r="F35" s="51"/>
      <c r="G35" s="51"/>
      <c r="H35" s="52"/>
      <c r="I35" s="41"/>
      <c r="J35" s="42"/>
      <c r="K35" s="42"/>
      <c r="L35" s="43"/>
      <c r="M35" s="44"/>
      <c r="N35" s="45"/>
      <c r="O35" s="45"/>
      <c r="P35" s="45"/>
      <c r="Q35" s="45"/>
      <c r="R35" s="45"/>
      <c r="S35" s="45"/>
      <c r="T35" s="45"/>
      <c r="U35" s="45"/>
      <c r="V35" s="45"/>
      <c r="W35" s="45"/>
      <c r="X35" s="45"/>
      <c r="Y35" s="46"/>
      <c r="Z35" s="44"/>
      <c r="AA35" s="45"/>
      <c r="AB35" s="45"/>
      <c r="AC35" s="45"/>
      <c r="AD35" s="45"/>
      <c r="AE35" s="45"/>
      <c r="AF35" s="45"/>
      <c r="AG35" s="45"/>
      <c r="AH35" s="45"/>
      <c r="AI35" s="45"/>
      <c r="AJ35" s="45"/>
      <c r="AK35" s="45"/>
      <c r="AL35" s="46"/>
      <c r="AM35" s="41"/>
      <c r="AN35" s="42"/>
      <c r="AO35" s="43"/>
      <c r="AP35" s="56"/>
      <c r="AQ35" s="57"/>
      <c r="AR35" s="58"/>
      <c r="AS35" s="56"/>
      <c r="AT35" s="57"/>
      <c r="AU35" s="58"/>
      <c r="AV35" s="56"/>
      <c r="AW35" s="57"/>
      <c r="AX35" s="58"/>
      <c r="AY35" s="38"/>
      <c r="AZ35" s="39"/>
      <c r="BA35" s="40"/>
      <c r="BB35" s="35"/>
      <c r="BC35" s="36"/>
      <c r="BD35" s="37"/>
      <c r="BE35" s="35"/>
      <c r="BF35" s="36"/>
      <c r="BG35" s="37"/>
      <c r="BH35" s="38"/>
      <c r="BI35" s="39"/>
      <c r="BJ35" s="40"/>
      <c r="BK35" s="35"/>
      <c r="BL35" s="36"/>
      <c r="BM35" s="37"/>
      <c r="BN35" s="41"/>
      <c r="BO35" s="42"/>
      <c r="BP35" s="42"/>
      <c r="BQ35" s="42"/>
      <c r="BR35" s="42"/>
      <c r="BS35" s="43"/>
    </row>
    <row r="36" spans="1:71" ht="15" customHeight="1">
      <c r="A36" s="33" t="s">
        <v>122</v>
      </c>
      <c r="B36" s="32"/>
      <c r="C36" s="32"/>
      <c r="D36" s="32"/>
      <c r="E36" s="32"/>
      <c r="F36" s="32"/>
      <c r="G36" s="32"/>
      <c r="H36" s="32"/>
      <c r="I36" s="32"/>
      <c r="J36" s="32"/>
      <c r="K36" s="32"/>
      <c r="L36" s="32"/>
      <c r="M36" s="32"/>
      <c r="N36" s="32"/>
      <c r="O36" s="32"/>
      <c r="P36" s="32"/>
      <c r="Q36" s="32"/>
      <c r="R36" s="32"/>
      <c r="S36" s="32"/>
      <c r="T36" s="32"/>
      <c r="U36" s="32"/>
      <c r="V36" s="32"/>
      <c r="W36" s="32"/>
      <c r="X36" s="32"/>
      <c r="Y36" s="32"/>
      <c r="Z36" s="32"/>
      <c r="AA36" s="32"/>
      <c r="AB36" s="32"/>
      <c r="AC36" s="32"/>
      <c r="AD36" s="32"/>
      <c r="AE36" s="32"/>
      <c r="AF36" s="32"/>
      <c r="AG36" s="32"/>
      <c r="AH36" s="32"/>
      <c r="AI36" s="32"/>
      <c r="AJ36" s="32"/>
      <c r="AK36" s="32"/>
      <c r="AL36" s="32"/>
      <c r="AM36" s="32"/>
      <c r="AN36" s="32"/>
      <c r="AO36" s="32"/>
      <c r="AP36" s="32"/>
      <c r="AQ36" s="32"/>
      <c r="AR36" s="32"/>
      <c r="AS36" s="32"/>
      <c r="AT36" s="32"/>
      <c r="AU36" s="32"/>
      <c r="AV36" s="32"/>
      <c r="AW36" s="32"/>
      <c r="AX36" s="32"/>
      <c r="AY36" s="32"/>
      <c r="AZ36" s="32"/>
      <c r="BA36" s="32"/>
      <c r="BB36" s="32"/>
      <c r="BC36" s="32"/>
      <c r="BD36" s="32"/>
      <c r="BE36" s="32"/>
      <c r="BF36" s="32"/>
      <c r="BG36" s="32"/>
      <c r="BH36" s="32"/>
      <c r="BI36" s="32"/>
      <c r="BJ36" s="32"/>
      <c r="BK36" s="32"/>
      <c r="BL36" s="32"/>
      <c r="BM36" s="32"/>
      <c r="BN36" s="32"/>
      <c r="BO36" s="32"/>
      <c r="BP36" s="32"/>
      <c r="BQ36" s="32"/>
      <c r="BR36" s="32"/>
      <c r="BS36" s="32"/>
    </row>
  </sheetData>
  <mergeCells count="457">
    <mergeCell ref="AP2:AS2"/>
    <mergeCell ref="AP3:AS3"/>
    <mergeCell ref="AP4:AS4"/>
    <mergeCell ref="AP5:AS5"/>
    <mergeCell ref="B28:C28"/>
    <mergeCell ref="D28:H28"/>
    <mergeCell ref="B27:C27"/>
    <mergeCell ref="AY25:BA25"/>
    <mergeCell ref="BB25:BD25"/>
    <mergeCell ref="AM25:AO25"/>
    <mergeCell ref="AP25:AR25"/>
    <mergeCell ref="AS25:AU25"/>
    <mergeCell ref="AV25:AX25"/>
    <mergeCell ref="G4:I4"/>
    <mergeCell ref="G5:I5"/>
    <mergeCell ref="J4:L4"/>
    <mergeCell ref="S5:V5"/>
    <mergeCell ref="W5:Y5"/>
    <mergeCell ref="BB8:BD8"/>
    <mergeCell ref="Q4:R4"/>
    <mergeCell ref="S4:V4"/>
    <mergeCell ref="W4:Y4"/>
    <mergeCell ref="Z5:AB5"/>
    <mergeCell ref="Z4:AB4"/>
    <mergeCell ref="B26:C26"/>
    <mergeCell ref="D26:H26"/>
    <mergeCell ref="I26:L26"/>
    <mergeCell ref="M26:Y26"/>
    <mergeCell ref="Z26:AL26"/>
    <mergeCell ref="AM26:AO26"/>
    <mergeCell ref="AP26:AR26"/>
    <mergeCell ref="AS26:AU26"/>
    <mergeCell ref="AV26:AX26"/>
    <mergeCell ref="AY35:BA35"/>
    <mergeCell ref="BB35:BD35"/>
    <mergeCell ref="BE35:BG35"/>
    <mergeCell ref="BH35:BJ35"/>
    <mergeCell ref="BK35:BM35"/>
    <mergeCell ref="BN35:BS35"/>
    <mergeCell ref="B29:C29"/>
    <mergeCell ref="D29:H29"/>
    <mergeCell ref="I29:L29"/>
    <mergeCell ref="M29:Y29"/>
    <mergeCell ref="Z29:AL29"/>
    <mergeCell ref="AM29:AO29"/>
    <mergeCell ref="B35:C35"/>
    <mergeCell ref="D35:H35"/>
    <mergeCell ref="I35:L35"/>
    <mergeCell ref="M35:Y35"/>
    <mergeCell ref="Z35:AL35"/>
    <mergeCell ref="AM35:AO35"/>
    <mergeCell ref="AP35:AR35"/>
    <mergeCell ref="AS35:AU35"/>
    <mergeCell ref="AV35:AX35"/>
    <mergeCell ref="B30:C30"/>
    <mergeCell ref="D30:H30"/>
    <mergeCell ref="I30:L30"/>
    <mergeCell ref="A7:A8"/>
    <mergeCell ref="AP7:AX7"/>
    <mergeCell ref="AY7:BG7"/>
    <mergeCell ref="BH7:BM7"/>
    <mergeCell ref="AP29:AR29"/>
    <mergeCell ref="AS29:AU29"/>
    <mergeCell ref="AV29:AX29"/>
    <mergeCell ref="AY29:BA29"/>
    <mergeCell ref="BB29:BD29"/>
    <mergeCell ref="BE29:BG29"/>
    <mergeCell ref="AP15:AR15"/>
    <mergeCell ref="AS15:AU15"/>
    <mergeCell ref="AV15:AX15"/>
    <mergeCell ref="AY15:BA15"/>
    <mergeCell ref="BB15:BD15"/>
    <mergeCell ref="BE15:BG15"/>
    <mergeCell ref="AS18:AU18"/>
    <mergeCell ref="BB22:BD22"/>
    <mergeCell ref="BE22:BG22"/>
    <mergeCell ref="BE27:BG27"/>
    <mergeCell ref="AV23:AX23"/>
    <mergeCell ref="AY23:BA23"/>
    <mergeCell ref="BB23:BD23"/>
    <mergeCell ref="BE23:BG23"/>
    <mergeCell ref="A1:D1"/>
    <mergeCell ref="E1:G1"/>
    <mergeCell ref="H1:I1"/>
    <mergeCell ref="J1:O1"/>
    <mergeCell ref="A4:C4"/>
    <mergeCell ref="D4:F4"/>
    <mergeCell ref="M4:O4"/>
    <mergeCell ref="D5:F5"/>
    <mergeCell ref="Q5:R5"/>
    <mergeCell ref="J5:L5"/>
    <mergeCell ref="M5:O5"/>
    <mergeCell ref="A2:D2"/>
    <mergeCell ref="H2:I2"/>
    <mergeCell ref="E2:G2"/>
    <mergeCell ref="A5:C5"/>
    <mergeCell ref="BE8:BG8"/>
    <mergeCell ref="BH8:BJ8"/>
    <mergeCell ref="BK8:BM8"/>
    <mergeCell ref="AM7:AO8"/>
    <mergeCell ref="AH5:AK5"/>
    <mergeCell ref="AP8:AR8"/>
    <mergeCell ref="AS8:AU8"/>
    <mergeCell ref="AV8:AX8"/>
    <mergeCell ref="AY8:BA8"/>
    <mergeCell ref="BN7:BS8"/>
    <mergeCell ref="B7:C8"/>
    <mergeCell ref="D7:H8"/>
    <mergeCell ref="I7:L8"/>
    <mergeCell ref="M7:Y8"/>
    <mergeCell ref="Z7:AL8"/>
    <mergeCell ref="BN11:BS11"/>
    <mergeCell ref="AP16:AR16"/>
    <mergeCell ref="AS16:AU16"/>
    <mergeCell ref="AV16:AX16"/>
    <mergeCell ref="AY16:BA16"/>
    <mergeCell ref="BB16:BD16"/>
    <mergeCell ref="BE16:BG16"/>
    <mergeCell ref="BH16:BJ16"/>
    <mergeCell ref="BK16:BM16"/>
    <mergeCell ref="BN16:BS16"/>
    <mergeCell ref="AV11:AX11"/>
    <mergeCell ref="AY11:BA11"/>
    <mergeCell ref="BB11:BD11"/>
    <mergeCell ref="BE11:BG11"/>
    <mergeCell ref="BH11:BJ11"/>
    <mergeCell ref="BK11:BM11"/>
    <mergeCell ref="AP11:AR11"/>
    <mergeCell ref="AS11:AU11"/>
    <mergeCell ref="BH15:BJ15"/>
    <mergeCell ref="BK15:BM15"/>
    <mergeCell ref="BN15:BS15"/>
    <mergeCell ref="AY24:BA24"/>
    <mergeCell ref="BB24:BD24"/>
    <mergeCell ref="BE24:BG24"/>
    <mergeCell ref="BE25:BG25"/>
    <mergeCell ref="BH25:BJ25"/>
    <mergeCell ref="B11:C11"/>
    <mergeCell ref="D11:H11"/>
    <mergeCell ref="D16:H16"/>
    <mergeCell ref="B16:C16"/>
    <mergeCell ref="I11:L11"/>
    <mergeCell ref="I16:L16"/>
    <mergeCell ref="B15:C15"/>
    <mergeCell ref="D15:H15"/>
    <mergeCell ref="I15:L15"/>
    <mergeCell ref="B14:C14"/>
    <mergeCell ref="D14:H14"/>
    <mergeCell ref="I14:L14"/>
    <mergeCell ref="BN25:BS25"/>
    <mergeCell ref="B25:C25"/>
    <mergeCell ref="D25:H25"/>
    <mergeCell ref="I25:L25"/>
    <mergeCell ref="M17:Y17"/>
    <mergeCell ref="Z17:AL17"/>
    <mergeCell ref="AM17:AO17"/>
    <mergeCell ref="M11:Y11"/>
    <mergeCell ref="M16:Y16"/>
    <mergeCell ref="Z11:AL11"/>
    <mergeCell ref="Z16:AL16"/>
    <mergeCell ref="M15:Y15"/>
    <mergeCell ref="Z15:AL15"/>
    <mergeCell ref="AM15:AO15"/>
    <mergeCell ref="M14:Y14"/>
    <mergeCell ref="Z14:AL14"/>
    <mergeCell ref="AM16:AO16"/>
    <mergeCell ref="BH17:BJ17"/>
    <mergeCell ref="BK17:BM17"/>
    <mergeCell ref="BN17:BS17"/>
    <mergeCell ref="AV17:AX17"/>
    <mergeCell ref="AY17:BA17"/>
    <mergeCell ref="BB17:BD17"/>
    <mergeCell ref="BE17:BG17"/>
    <mergeCell ref="BK18:BM18"/>
    <mergeCell ref="BN18:BS18"/>
    <mergeCell ref="AV18:AX18"/>
    <mergeCell ref="AY18:BA18"/>
    <mergeCell ref="BB18:BD18"/>
    <mergeCell ref="BE18:BG18"/>
    <mergeCell ref="BH18:BJ18"/>
    <mergeCell ref="BB21:BD21"/>
    <mergeCell ref="BE21:BG21"/>
    <mergeCell ref="BH21:BJ21"/>
    <mergeCell ref="BK21:BM21"/>
    <mergeCell ref="AY28:BA28"/>
    <mergeCell ref="BB28:BD28"/>
    <mergeCell ref="BE28:BG28"/>
    <mergeCell ref="BH28:BJ28"/>
    <mergeCell ref="BK28:BM28"/>
    <mergeCell ref="AY22:BA22"/>
    <mergeCell ref="I28:L28"/>
    <mergeCell ref="M28:Y28"/>
    <mergeCell ref="Z28:AL28"/>
    <mergeCell ref="AM28:AO28"/>
    <mergeCell ref="AP28:AR28"/>
    <mergeCell ref="AS28:AU28"/>
    <mergeCell ref="AV28:AX28"/>
    <mergeCell ref="AV21:AX21"/>
    <mergeCell ref="AY21:BA21"/>
    <mergeCell ref="AP22:AR22"/>
    <mergeCell ref="AS22:AU22"/>
    <mergeCell ref="AV22:AX22"/>
    <mergeCell ref="D27:H27"/>
    <mergeCell ref="I27:L27"/>
    <mergeCell ref="M27:Y27"/>
    <mergeCell ref="Z27:AL27"/>
    <mergeCell ref="AM27:AO27"/>
    <mergeCell ref="AP27:AR27"/>
    <mergeCell ref="BK25:BM25"/>
    <mergeCell ref="AP24:AR24"/>
    <mergeCell ref="AS24:AU24"/>
    <mergeCell ref="AV24:AX24"/>
    <mergeCell ref="AV27:AX27"/>
    <mergeCell ref="AY27:BA27"/>
    <mergeCell ref="BB27:BD27"/>
    <mergeCell ref="AY26:BA26"/>
    <mergeCell ref="BB26:BD26"/>
    <mergeCell ref="BE26:BG26"/>
    <mergeCell ref="BH26:BJ26"/>
    <mergeCell ref="BK26:BM26"/>
    <mergeCell ref="M25:Y25"/>
    <mergeCell ref="Z25:AL25"/>
    <mergeCell ref="B17:C17"/>
    <mergeCell ref="D17:H17"/>
    <mergeCell ref="I17:L17"/>
    <mergeCell ref="BH27:BJ27"/>
    <mergeCell ref="AS27:AU27"/>
    <mergeCell ref="BH22:BJ22"/>
    <mergeCell ref="BK22:BM22"/>
    <mergeCell ref="BN22:BS22"/>
    <mergeCell ref="BK23:BM23"/>
    <mergeCell ref="B21:C21"/>
    <mergeCell ref="D21:H21"/>
    <mergeCell ref="I21:L21"/>
    <mergeCell ref="M21:Y21"/>
    <mergeCell ref="Z21:AL21"/>
    <mergeCell ref="AM21:AO21"/>
    <mergeCell ref="AP21:AR21"/>
    <mergeCell ref="AS21:AU21"/>
    <mergeCell ref="BN23:BS23"/>
    <mergeCell ref="B22:C22"/>
    <mergeCell ref="D22:H22"/>
    <mergeCell ref="I22:L22"/>
    <mergeCell ref="M22:Y22"/>
    <mergeCell ref="Z22:AL22"/>
    <mergeCell ref="AY20:BA20"/>
    <mergeCell ref="AM9:AO9"/>
    <mergeCell ref="AP9:AR9"/>
    <mergeCell ref="AS9:AU9"/>
    <mergeCell ref="AV9:AX9"/>
    <mergeCell ref="BH23:BJ23"/>
    <mergeCell ref="AH2:AK2"/>
    <mergeCell ref="AH3:AK3"/>
    <mergeCell ref="AH4:AK4"/>
    <mergeCell ref="B23:C23"/>
    <mergeCell ref="D23:H23"/>
    <mergeCell ref="I23:L23"/>
    <mergeCell ref="M23:Y23"/>
    <mergeCell ref="Z23:AL23"/>
    <mergeCell ref="AM23:AO23"/>
    <mergeCell ref="B18:C18"/>
    <mergeCell ref="D18:H18"/>
    <mergeCell ref="I18:L18"/>
    <mergeCell ref="M18:Y18"/>
    <mergeCell ref="Z18:AL18"/>
    <mergeCell ref="AM18:AO18"/>
    <mergeCell ref="AP18:AR18"/>
    <mergeCell ref="AP17:AR17"/>
    <mergeCell ref="AS17:AU17"/>
    <mergeCell ref="AM11:AO11"/>
    <mergeCell ref="BN9:BS9"/>
    <mergeCell ref="B13:C13"/>
    <mergeCell ref="D13:H13"/>
    <mergeCell ref="I13:L13"/>
    <mergeCell ref="M13:Y13"/>
    <mergeCell ref="Z13:AL13"/>
    <mergeCell ref="AM13:AO13"/>
    <mergeCell ref="AP13:AR13"/>
    <mergeCell ref="AS13:AU13"/>
    <mergeCell ref="AV13:AX13"/>
    <mergeCell ref="AY13:BA13"/>
    <mergeCell ref="BB13:BD13"/>
    <mergeCell ref="BE13:BG13"/>
    <mergeCell ref="BH13:BJ13"/>
    <mergeCell ref="BK13:BM13"/>
    <mergeCell ref="BN13:BS13"/>
    <mergeCell ref="B10:C10"/>
    <mergeCell ref="D10:H10"/>
    <mergeCell ref="I10:L10"/>
    <mergeCell ref="B9:C9"/>
    <mergeCell ref="D9:H9"/>
    <mergeCell ref="I9:L9"/>
    <mergeCell ref="M9:Y9"/>
    <mergeCell ref="Z9:AL9"/>
    <mergeCell ref="AY9:BA9"/>
    <mergeCell ref="BB9:BD9"/>
    <mergeCell ref="BE9:BG9"/>
    <mergeCell ref="BH9:BJ9"/>
    <mergeCell ref="BK9:BM9"/>
    <mergeCell ref="AY10:BA10"/>
    <mergeCell ref="BB10:BD10"/>
    <mergeCell ref="BE10:BG10"/>
    <mergeCell ref="BH10:BJ10"/>
    <mergeCell ref="BK10:BM10"/>
    <mergeCell ref="BB12:BD12"/>
    <mergeCell ref="BE12:BG12"/>
    <mergeCell ref="BH12:BJ12"/>
    <mergeCell ref="BK12:BM12"/>
    <mergeCell ref="BN12:BS12"/>
    <mergeCell ref="AM14:AO14"/>
    <mergeCell ref="AP14:AR14"/>
    <mergeCell ref="AS14:AU14"/>
    <mergeCell ref="AV14:AX14"/>
    <mergeCell ref="AY14:BA14"/>
    <mergeCell ref="BB14:BD14"/>
    <mergeCell ref="BE14:BG14"/>
    <mergeCell ref="BH14:BJ14"/>
    <mergeCell ref="BK14:BM14"/>
    <mergeCell ref="D12:H12"/>
    <mergeCell ref="I12:L12"/>
    <mergeCell ref="M12:Y12"/>
    <mergeCell ref="Z12:AL12"/>
    <mergeCell ref="AM12:AO12"/>
    <mergeCell ref="AP12:AR12"/>
    <mergeCell ref="AS12:AU12"/>
    <mergeCell ref="AV12:AX12"/>
    <mergeCell ref="AY12:BA12"/>
    <mergeCell ref="BN10:BS10"/>
    <mergeCell ref="B19:C19"/>
    <mergeCell ref="D19:H19"/>
    <mergeCell ref="I19:L19"/>
    <mergeCell ref="M19:Y19"/>
    <mergeCell ref="Z19:AL19"/>
    <mergeCell ref="AM19:AO19"/>
    <mergeCell ref="AP19:AR19"/>
    <mergeCell ref="AS19:AU19"/>
    <mergeCell ref="AV19:AX19"/>
    <mergeCell ref="AY19:BA19"/>
    <mergeCell ref="BB19:BD19"/>
    <mergeCell ref="BE19:BG19"/>
    <mergeCell ref="BH19:BJ19"/>
    <mergeCell ref="BK19:BM19"/>
    <mergeCell ref="BN19:BS19"/>
    <mergeCell ref="M10:Y10"/>
    <mergeCell ref="Z10:AL10"/>
    <mergeCell ref="AM10:AO10"/>
    <mergeCell ref="AP10:AR10"/>
    <mergeCell ref="AS10:AU10"/>
    <mergeCell ref="AV10:AX10"/>
    <mergeCell ref="BN14:BS14"/>
    <mergeCell ref="B12:C12"/>
    <mergeCell ref="B32:C32"/>
    <mergeCell ref="D32:H32"/>
    <mergeCell ref="I32:L32"/>
    <mergeCell ref="M32:Y32"/>
    <mergeCell ref="Z32:AL32"/>
    <mergeCell ref="AM32:AO32"/>
    <mergeCell ref="AP32:AR32"/>
    <mergeCell ref="AS32:AU32"/>
    <mergeCell ref="AV32:AX32"/>
    <mergeCell ref="AY34:BA34"/>
    <mergeCell ref="BB34:BD34"/>
    <mergeCell ref="BE34:BG34"/>
    <mergeCell ref="BH34:BJ34"/>
    <mergeCell ref="BK34:BM34"/>
    <mergeCell ref="BN34:BS34"/>
    <mergeCell ref="B33:C33"/>
    <mergeCell ref="D33:H33"/>
    <mergeCell ref="I33:L33"/>
    <mergeCell ref="M33:Y33"/>
    <mergeCell ref="Z33:AL33"/>
    <mergeCell ref="AM33:AO33"/>
    <mergeCell ref="AP33:AR33"/>
    <mergeCell ref="AS33:AU33"/>
    <mergeCell ref="AV33:AX33"/>
    <mergeCell ref="B34:C34"/>
    <mergeCell ref="D34:H34"/>
    <mergeCell ref="I34:L34"/>
    <mergeCell ref="M34:Y34"/>
    <mergeCell ref="Z34:AL34"/>
    <mergeCell ref="AM34:AO34"/>
    <mergeCell ref="AP34:AR34"/>
    <mergeCell ref="AS34:AU34"/>
    <mergeCell ref="AV34:AX34"/>
    <mergeCell ref="AY31:BA31"/>
    <mergeCell ref="BB31:BD31"/>
    <mergeCell ref="BE31:BG31"/>
    <mergeCell ref="BH31:BJ31"/>
    <mergeCell ref="BK31:BM31"/>
    <mergeCell ref="BN31:BS31"/>
    <mergeCell ref="AY33:BA33"/>
    <mergeCell ref="BB33:BD33"/>
    <mergeCell ref="BE33:BG33"/>
    <mergeCell ref="BH33:BJ33"/>
    <mergeCell ref="BK33:BM33"/>
    <mergeCell ref="BN33:BS33"/>
    <mergeCell ref="AY32:BA32"/>
    <mergeCell ref="BB32:BD32"/>
    <mergeCell ref="BE32:BG32"/>
    <mergeCell ref="BH32:BJ32"/>
    <mergeCell ref="BK32:BM32"/>
    <mergeCell ref="BN32:BS32"/>
    <mergeCell ref="B31:C31"/>
    <mergeCell ref="D31:H31"/>
    <mergeCell ref="I31:L31"/>
    <mergeCell ref="M31:Y31"/>
    <mergeCell ref="Z31:AL31"/>
    <mergeCell ref="AM31:AO31"/>
    <mergeCell ref="AP31:AR31"/>
    <mergeCell ref="AS31:AU31"/>
    <mergeCell ref="AV31:AX31"/>
    <mergeCell ref="M30:Y30"/>
    <mergeCell ref="Z30:AL30"/>
    <mergeCell ref="AM30:AO30"/>
    <mergeCell ref="AP30:AR30"/>
    <mergeCell ref="AS30:AU30"/>
    <mergeCell ref="AV30:AX30"/>
    <mergeCell ref="BH24:BJ24"/>
    <mergeCell ref="BK24:BM24"/>
    <mergeCell ref="BN24:BS24"/>
    <mergeCell ref="AY30:BA30"/>
    <mergeCell ref="BB30:BD30"/>
    <mergeCell ref="BE30:BG30"/>
    <mergeCell ref="BH30:BJ30"/>
    <mergeCell ref="BK30:BM30"/>
    <mergeCell ref="BN30:BS30"/>
    <mergeCell ref="BK27:BM27"/>
    <mergeCell ref="BN27:BS27"/>
    <mergeCell ref="BH29:BJ29"/>
    <mergeCell ref="BK29:BM29"/>
    <mergeCell ref="BN29:BS29"/>
    <mergeCell ref="BN26:BS26"/>
    <mergeCell ref="BN28:BS28"/>
    <mergeCell ref="BB20:BD20"/>
    <mergeCell ref="BE20:BG20"/>
    <mergeCell ref="BH20:BJ20"/>
    <mergeCell ref="BK20:BM20"/>
    <mergeCell ref="BN20:BS20"/>
    <mergeCell ref="B24:C24"/>
    <mergeCell ref="D24:H24"/>
    <mergeCell ref="I24:L24"/>
    <mergeCell ref="M24:Y24"/>
    <mergeCell ref="Z24:AL24"/>
    <mergeCell ref="AM24:AO24"/>
    <mergeCell ref="B20:C20"/>
    <mergeCell ref="D20:H20"/>
    <mergeCell ref="I20:L20"/>
    <mergeCell ref="M20:Y20"/>
    <mergeCell ref="Z20:AL20"/>
    <mergeCell ref="AM20:AO20"/>
    <mergeCell ref="AP20:AR20"/>
    <mergeCell ref="AS20:AU20"/>
    <mergeCell ref="AV20:AX20"/>
    <mergeCell ref="AM22:AO22"/>
    <mergeCell ref="AP23:AR23"/>
    <mergeCell ref="AS23:AU23"/>
    <mergeCell ref="BN21:BS21"/>
  </mergeCells>
  <phoneticPr fontId="2"/>
  <pageMargins left="0.19685039370078741" right="0.19685039370078741" top="0.39370078740157483" bottom="0.39370078740157483" header="0.39370078740157483" footer="0.19685039370078741"/>
  <pageSetup paperSize="9" scale="50" fitToHeight="0" orientation="landscape" r:id="rId1"/>
  <headerFooter>
    <oddFooter>&amp;R&amp;11&amp;A - &amp;P&amp;L詳細設計 - 作業一覧（抄紙）</oddFooter>
  </headerFooter>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000-000000000000}">
          <x14:formula1>
            <xm:f>マスタ!$B$2:$B$13</xm:f>
          </x14:formula1>
          <xm:sqref>E2</xm:sqref>
        </x14:dataValidation>
        <x14:dataValidation type="list" allowBlank="1" showInputMessage="1" showErrorMessage="1" xr:uid="{00000000-0002-0000-0000-000001000000}">
          <x14:formula1>
            <xm:f>マスタ!$A$2:$A$7</xm:f>
          </x14:formula1>
          <xm:sqref>A2:D2</xm:sqref>
        </x14:dataValidation>
        <x14:dataValidation type="list" allowBlank="1" showInputMessage="1" showErrorMessage="1" xr:uid="{00000000-0002-0000-0000-000002000000}">
          <x14:formula1>
            <xm:f>マスタ!$E$2:$E$9</xm:f>
          </x14:formula1>
          <xm:sqref>AP9:AR32</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F135"/>
  <sheetViews>
    <sheetView workbookViewId="0"/>
  </sheetViews>
  <sheetFormatPr defaultRowHeight="14.45"/>
  <cols>
    <col min="4" max="4" width="30.625" customWidth="1"/>
  </cols>
  <sheetData>
    <row r="1" spans="1:6">
      <c r="A1" t="s">
        <v>123</v>
      </c>
      <c r="B1" t="s">
        <v>124</v>
      </c>
      <c r="C1" t="s">
        <v>2</v>
      </c>
      <c r="D1" t="s">
        <v>125</v>
      </c>
      <c r="E1" t="s">
        <v>126</v>
      </c>
    </row>
    <row r="2" spans="1:6">
      <c r="A2" t="s">
        <v>127</v>
      </c>
      <c r="B2" t="s">
        <v>128</v>
      </c>
      <c r="C2" t="s">
        <v>129</v>
      </c>
      <c r="D2" t="s">
        <v>130</v>
      </c>
      <c r="E2" t="s">
        <v>131</v>
      </c>
    </row>
    <row r="3" spans="1:6">
      <c r="A3" t="s">
        <v>132</v>
      </c>
      <c r="B3" t="s">
        <v>133</v>
      </c>
      <c r="C3" t="s">
        <v>134</v>
      </c>
      <c r="D3" t="s">
        <v>135</v>
      </c>
      <c r="E3" t="s">
        <v>136</v>
      </c>
    </row>
    <row r="4" spans="1:6">
      <c r="A4" t="s">
        <v>137</v>
      </c>
      <c r="B4" t="s">
        <v>5</v>
      </c>
      <c r="C4" t="s">
        <v>138</v>
      </c>
      <c r="D4" t="s">
        <v>139</v>
      </c>
      <c r="E4" t="s">
        <v>50</v>
      </c>
    </row>
    <row r="5" spans="1:6">
      <c r="A5" t="s">
        <v>140</v>
      </c>
      <c r="B5" t="s">
        <v>141</v>
      </c>
      <c r="C5" t="s">
        <v>142</v>
      </c>
      <c r="D5" t="s">
        <v>143</v>
      </c>
      <c r="E5" t="s">
        <v>144</v>
      </c>
      <c r="F5" t="s">
        <v>145</v>
      </c>
    </row>
    <row r="6" spans="1:6">
      <c r="A6" t="s">
        <v>146</v>
      </c>
      <c r="B6" t="s">
        <v>147</v>
      </c>
      <c r="C6" t="s">
        <v>148</v>
      </c>
      <c r="D6" t="s">
        <v>149</v>
      </c>
      <c r="E6" t="s">
        <v>150</v>
      </c>
    </row>
    <row r="7" spans="1:6">
      <c r="A7" t="s">
        <v>151</v>
      </c>
      <c r="B7" t="s">
        <v>152</v>
      </c>
      <c r="C7" t="s">
        <v>153</v>
      </c>
      <c r="D7" t="s">
        <v>154</v>
      </c>
      <c r="E7" t="s">
        <v>155</v>
      </c>
    </row>
    <row r="8" spans="1:6">
      <c r="B8" t="s">
        <v>156</v>
      </c>
      <c r="C8" t="s">
        <v>157</v>
      </c>
      <c r="D8" t="s">
        <v>158</v>
      </c>
      <c r="E8" t="s">
        <v>159</v>
      </c>
    </row>
    <row r="9" spans="1:6">
      <c r="B9" t="s">
        <v>160</v>
      </c>
      <c r="C9" t="s">
        <v>161</v>
      </c>
      <c r="D9" t="s">
        <v>162</v>
      </c>
      <c r="E9" t="s">
        <v>163</v>
      </c>
    </row>
    <row r="10" spans="1:6">
      <c r="B10" t="s">
        <v>164</v>
      </c>
      <c r="C10" t="s">
        <v>165</v>
      </c>
      <c r="D10" t="s">
        <v>166</v>
      </c>
    </row>
    <row r="11" spans="1:6">
      <c r="B11" t="s">
        <v>167</v>
      </c>
      <c r="C11" t="s">
        <v>168</v>
      </c>
      <c r="D11" t="s">
        <v>169</v>
      </c>
    </row>
    <row r="12" spans="1:6">
      <c r="B12" t="s">
        <v>170</v>
      </c>
      <c r="C12" t="s">
        <v>171</v>
      </c>
      <c r="D12" t="s">
        <v>172</v>
      </c>
    </row>
    <row r="13" spans="1:6">
      <c r="B13" t="s">
        <v>173</v>
      </c>
      <c r="C13" t="s">
        <v>174</v>
      </c>
      <c r="D13" t="s">
        <v>175</v>
      </c>
    </row>
    <row r="14" spans="1:6">
      <c r="C14" t="s">
        <v>176</v>
      </c>
      <c r="D14" t="s">
        <v>177</v>
      </c>
    </row>
    <row r="15" spans="1:6">
      <c r="C15" t="s">
        <v>178</v>
      </c>
      <c r="D15" t="s">
        <v>179</v>
      </c>
    </row>
    <row r="16" spans="1:6">
      <c r="C16" t="s">
        <v>180</v>
      </c>
      <c r="D16" t="s">
        <v>181</v>
      </c>
    </row>
    <row r="17" spans="3:4">
      <c r="C17" t="s">
        <v>182</v>
      </c>
      <c r="D17" t="s">
        <v>183</v>
      </c>
    </row>
    <row r="18" spans="3:4">
      <c r="C18" t="s">
        <v>184</v>
      </c>
      <c r="D18" t="s">
        <v>185</v>
      </c>
    </row>
    <row r="19" spans="3:4">
      <c r="C19" t="s">
        <v>186</v>
      </c>
      <c r="D19" t="s">
        <v>187</v>
      </c>
    </row>
    <row r="20" spans="3:4">
      <c r="C20" t="s">
        <v>188</v>
      </c>
      <c r="D20" t="s">
        <v>189</v>
      </c>
    </row>
    <row r="21" spans="3:4">
      <c r="C21" t="s">
        <v>190</v>
      </c>
      <c r="D21" t="s">
        <v>191</v>
      </c>
    </row>
    <row r="22" spans="3:4">
      <c r="C22" t="s">
        <v>192</v>
      </c>
      <c r="D22" t="s">
        <v>193</v>
      </c>
    </row>
    <row r="23" spans="3:4">
      <c r="C23" t="s">
        <v>194</v>
      </c>
      <c r="D23" t="s">
        <v>195</v>
      </c>
    </row>
    <row r="24" spans="3:4">
      <c r="C24" t="s">
        <v>196</v>
      </c>
      <c r="D24" t="s">
        <v>197</v>
      </c>
    </row>
    <row r="25" spans="3:4">
      <c r="C25" t="s">
        <v>198</v>
      </c>
      <c r="D25" t="s">
        <v>199</v>
      </c>
    </row>
    <row r="26" spans="3:4">
      <c r="C26" t="s">
        <v>200</v>
      </c>
      <c r="D26" t="s">
        <v>201</v>
      </c>
    </row>
    <row r="27" spans="3:4">
      <c r="C27" t="s">
        <v>202</v>
      </c>
      <c r="D27" t="s">
        <v>203</v>
      </c>
    </row>
    <row r="28" spans="3:4">
      <c r="C28" t="s">
        <v>204</v>
      </c>
      <c r="D28" t="s">
        <v>205</v>
      </c>
    </row>
    <row r="29" spans="3:4">
      <c r="C29" t="s">
        <v>206</v>
      </c>
      <c r="D29" t="s">
        <v>207</v>
      </c>
    </row>
    <row r="30" spans="3:4">
      <c r="C30" t="s">
        <v>208</v>
      </c>
      <c r="D30" t="s">
        <v>209</v>
      </c>
    </row>
    <row r="31" spans="3:4">
      <c r="C31" t="s">
        <v>210</v>
      </c>
      <c r="D31" t="s">
        <v>211</v>
      </c>
    </row>
    <row r="32" spans="3:4">
      <c r="C32" t="s">
        <v>212</v>
      </c>
      <c r="D32" t="s">
        <v>213</v>
      </c>
    </row>
    <row r="33" spans="3:4">
      <c r="C33" t="s">
        <v>214</v>
      </c>
      <c r="D33" t="s">
        <v>215</v>
      </c>
    </row>
    <row r="34" spans="3:4">
      <c r="C34" t="s">
        <v>216</v>
      </c>
      <c r="D34" t="s">
        <v>217</v>
      </c>
    </row>
    <row r="35" spans="3:4">
      <c r="C35" t="s">
        <v>218</v>
      </c>
      <c r="D35" t="s">
        <v>219</v>
      </c>
    </row>
    <row r="36" spans="3:4">
      <c r="C36" t="s">
        <v>220</v>
      </c>
      <c r="D36" t="s">
        <v>221</v>
      </c>
    </row>
    <row r="37" spans="3:4">
      <c r="C37" t="s">
        <v>222</v>
      </c>
      <c r="D37" t="s">
        <v>223</v>
      </c>
    </row>
    <row r="38" spans="3:4">
      <c r="C38" t="s">
        <v>224</v>
      </c>
      <c r="D38" t="s">
        <v>225</v>
      </c>
    </row>
    <row r="39" spans="3:4">
      <c r="C39" t="s">
        <v>226</v>
      </c>
      <c r="D39" t="s">
        <v>227</v>
      </c>
    </row>
    <row r="40" spans="3:4">
      <c r="C40" t="s">
        <v>228</v>
      </c>
      <c r="D40" t="s">
        <v>229</v>
      </c>
    </row>
    <row r="41" spans="3:4">
      <c r="C41" t="s">
        <v>230</v>
      </c>
      <c r="D41" t="s">
        <v>231</v>
      </c>
    </row>
    <row r="42" spans="3:4">
      <c r="C42" t="s">
        <v>232</v>
      </c>
      <c r="D42" t="s">
        <v>233</v>
      </c>
    </row>
    <row r="43" spans="3:4">
      <c r="C43" t="s">
        <v>234</v>
      </c>
      <c r="D43" t="s">
        <v>235</v>
      </c>
    </row>
    <row r="44" spans="3:4">
      <c r="C44" t="s">
        <v>236</v>
      </c>
      <c r="D44" t="s">
        <v>237</v>
      </c>
    </row>
    <row r="45" spans="3:4">
      <c r="C45" t="s">
        <v>238</v>
      </c>
      <c r="D45" t="s">
        <v>239</v>
      </c>
    </row>
    <row r="46" spans="3:4">
      <c r="C46" t="s">
        <v>240</v>
      </c>
      <c r="D46" t="s">
        <v>241</v>
      </c>
    </row>
    <row r="47" spans="3:4">
      <c r="C47" t="s">
        <v>242</v>
      </c>
      <c r="D47" t="s">
        <v>243</v>
      </c>
    </row>
    <row r="48" spans="3:4">
      <c r="C48" t="s">
        <v>244</v>
      </c>
      <c r="D48" t="s">
        <v>245</v>
      </c>
    </row>
    <row r="49" spans="3:4">
      <c r="C49" t="s">
        <v>246</v>
      </c>
      <c r="D49" t="s">
        <v>247</v>
      </c>
    </row>
    <row r="50" spans="3:4">
      <c r="C50" t="s">
        <v>248</v>
      </c>
      <c r="D50" t="s">
        <v>249</v>
      </c>
    </row>
    <row r="51" spans="3:4">
      <c r="C51" t="s">
        <v>250</v>
      </c>
      <c r="D51" t="s">
        <v>251</v>
      </c>
    </row>
    <row r="52" spans="3:4">
      <c r="C52" t="s">
        <v>252</v>
      </c>
      <c r="D52" t="s">
        <v>253</v>
      </c>
    </row>
    <row r="53" spans="3:4">
      <c r="C53" t="s">
        <v>254</v>
      </c>
      <c r="D53" t="s">
        <v>255</v>
      </c>
    </row>
    <row r="54" spans="3:4">
      <c r="C54" t="s">
        <v>256</v>
      </c>
      <c r="D54" t="s">
        <v>257</v>
      </c>
    </row>
    <row r="55" spans="3:4">
      <c r="C55" t="s">
        <v>258</v>
      </c>
      <c r="D55" t="s">
        <v>259</v>
      </c>
    </row>
    <row r="56" spans="3:4">
      <c r="C56" t="s">
        <v>260</v>
      </c>
      <c r="D56" t="s">
        <v>261</v>
      </c>
    </row>
    <row r="57" spans="3:4">
      <c r="C57" t="s">
        <v>262</v>
      </c>
      <c r="D57" t="s">
        <v>263</v>
      </c>
    </row>
    <row r="58" spans="3:4">
      <c r="C58" t="s">
        <v>264</v>
      </c>
      <c r="D58" t="s">
        <v>265</v>
      </c>
    </row>
    <row r="59" spans="3:4">
      <c r="C59" t="s">
        <v>6</v>
      </c>
      <c r="D59" t="s">
        <v>266</v>
      </c>
    </row>
    <row r="60" spans="3:4">
      <c r="C60" t="s">
        <v>267</v>
      </c>
      <c r="D60" t="s">
        <v>268</v>
      </c>
    </row>
    <row r="61" spans="3:4">
      <c r="C61" t="s">
        <v>269</v>
      </c>
      <c r="D61" t="s">
        <v>270</v>
      </c>
    </row>
    <row r="62" spans="3:4">
      <c r="C62" t="s">
        <v>271</v>
      </c>
      <c r="D62" t="s">
        <v>272</v>
      </c>
    </row>
    <row r="63" spans="3:4">
      <c r="C63" t="s">
        <v>273</v>
      </c>
      <c r="D63" t="s">
        <v>274</v>
      </c>
    </row>
    <row r="64" spans="3:4">
      <c r="C64" t="s">
        <v>275</v>
      </c>
      <c r="D64" t="s">
        <v>276</v>
      </c>
    </row>
    <row r="65" spans="3:4">
      <c r="C65" t="s">
        <v>277</v>
      </c>
      <c r="D65" t="s">
        <v>278</v>
      </c>
    </row>
    <row r="66" spans="3:4">
      <c r="C66" t="s">
        <v>279</v>
      </c>
      <c r="D66" t="s">
        <v>280</v>
      </c>
    </row>
    <row r="67" spans="3:4">
      <c r="C67" t="s">
        <v>281</v>
      </c>
      <c r="D67" t="s">
        <v>282</v>
      </c>
    </row>
    <row r="68" spans="3:4">
      <c r="C68" t="s">
        <v>283</v>
      </c>
      <c r="D68" t="s">
        <v>284</v>
      </c>
    </row>
    <row r="69" spans="3:4">
      <c r="C69" t="s">
        <v>285</v>
      </c>
      <c r="D69" t="s">
        <v>286</v>
      </c>
    </row>
    <row r="70" spans="3:4">
      <c r="C70" t="s">
        <v>287</v>
      </c>
      <c r="D70" t="s">
        <v>288</v>
      </c>
    </row>
    <row r="71" spans="3:4">
      <c r="C71" t="s">
        <v>289</v>
      </c>
      <c r="D71" t="s">
        <v>290</v>
      </c>
    </row>
    <row r="72" spans="3:4">
      <c r="C72" t="s">
        <v>291</v>
      </c>
      <c r="D72" t="s">
        <v>292</v>
      </c>
    </row>
    <row r="73" spans="3:4">
      <c r="C73" t="s">
        <v>293</v>
      </c>
      <c r="D73" t="s">
        <v>294</v>
      </c>
    </row>
    <row r="74" spans="3:4">
      <c r="C74" t="s">
        <v>295</v>
      </c>
      <c r="D74" t="s">
        <v>296</v>
      </c>
    </row>
    <row r="75" spans="3:4">
      <c r="C75" t="s">
        <v>297</v>
      </c>
      <c r="D75" t="s">
        <v>298</v>
      </c>
    </row>
    <row r="76" spans="3:4">
      <c r="C76" t="s">
        <v>299</v>
      </c>
      <c r="D76" t="s">
        <v>300</v>
      </c>
    </row>
    <row r="77" spans="3:4">
      <c r="C77" t="s">
        <v>301</v>
      </c>
      <c r="D77" t="s">
        <v>302</v>
      </c>
    </row>
    <row r="78" spans="3:4">
      <c r="C78" t="s">
        <v>303</v>
      </c>
      <c r="D78" t="s">
        <v>304</v>
      </c>
    </row>
    <row r="79" spans="3:4">
      <c r="C79" t="s">
        <v>305</v>
      </c>
      <c r="D79" t="s">
        <v>306</v>
      </c>
    </row>
    <row r="80" spans="3:4">
      <c r="C80" t="s">
        <v>307</v>
      </c>
      <c r="D80" t="s">
        <v>308</v>
      </c>
    </row>
    <row r="81" spans="3:4">
      <c r="C81" t="s">
        <v>309</v>
      </c>
      <c r="D81" t="s">
        <v>310</v>
      </c>
    </row>
    <row r="82" spans="3:4">
      <c r="C82" t="s">
        <v>311</v>
      </c>
      <c r="D82" t="s">
        <v>312</v>
      </c>
    </row>
    <row r="83" spans="3:4">
      <c r="C83" t="s">
        <v>313</v>
      </c>
      <c r="D83" t="s">
        <v>314</v>
      </c>
    </row>
    <row r="84" spans="3:4">
      <c r="C84" t="s">
        <v>315</v>
      </c>
      <c r="D84" t="s">
        <v>316</v>
      </c>
    </row>
    <row r="85" spans="3:4">
      <c r="C85" t="s">
        <v>317</v>
      </c>
      <c r="D85" t="s">
        <v>318</v>
      </c>
    </row>
    <row r="86" spans="3:4">
      <c r="C86" t="s">
        <v>319</v>
      </c>
      <c r="D86" t="s">
        <v>320</v>
      </c>
    </row>
    <row r="87" spans="3:4">
      <c r="C87" t="s">
        <v>321</v>
      </c>
      <c r="D87" t="s">
        <v>322</v>
      </c>
    </row>
    <row r="88" spans="3:4">
      <c r="C88" t="s">
        <v>323</v>
      </c>
      <c r="D88" t="s">
        <v>324</v>
      </c>
    </row>
    <row r="89" spans="3:4">
      <c r="C89" t="s">
        <v>325</v>
      </c>
      <c r="D89" t="s">
        <v>326</v>
      </c>
    </row>
    <row r="90" spans="3:4">
      <c r="C90" t="s">
        <v>327</v>
      </c>
      <c r="D90" t="s">
        <v>328</v>
      </c>
    </row>
    <row r="91" spans="3:4">
      <c r="C91" t="s">
        <v>325</v>
      </c>
      <c r="D91" t="s">
        <v>329</v>
      </c>
    </row>
    <row r="92" spans="3:4">
      <c r="C92" t="s">
        <v>330</v>
      </c>
      <c r="D92" t="s">
        <v>331</v>
      </c>
    </row>
    <row r="93" spans="3:4">
      <c r="C93" t="s">
        <v>332</v>
      </c>
      <c r="D93" t="s">
        <v>333</v>
      </c>
    </row>
    <row r="94" spans="3:4">
      <c r="C94" t="s">
        <v>334</v>
      </c>
      <c r="D94" t="s">
        <v>335</v>
      </c>
    </row>
    <row r="95" spans="3:4">
      <c r="C95" t="s">
        <v>336</v>
      </c>
      <c r="D95" t="s">
        <v>337</v>
      </c>
    </row>
    <row r="96" spans="3:4">
      <c r="C96" t="s">
        <v>338</v>
      </c>
      <c r="D96" t="s">
        <v>339</v>
      </c>
    </row>
    <row r="97" spans="3:4">
      <c r="C97" t="s">
        <v>340</v>
      </c>
      <c r="D97" t="s">
        <v>341</v>
      </c>
    </row>
    <row r="98" spans="3:4">
      <c r="C98" t="s">
        <v>342</v>
      </c>
      <c r="D98" t="s">
        <v>343</v>
      </c>
    </row>
    <row r="99" spans="3:4">
      <c r="C99" t="s">
        <v>344</v>
      </c>
      <c r="D99" t="s">
        <v>345</v>
      </c>
    </row>
    <row r="100" spans="3:4">
      <c r="C100" t="s">
        <v>346</v>
      </c>
      <c r="D100" t="s">
        <v>347</v>
      </c>
    </row>
    <row r="101" spans="3:4">
      <c r="C101" t="s">
        <v>348</v>
      </c>
      <c r="D101" t="s">
        <v>349</v>
      </c>
    </row>
    <row r="102" spans="3:4">
      <c r="C102" t="s">
        <v>350</v>
      </c>
      <c r="D102" t="s">
        <v>351</v>
      </c>
    </row>
    <row r="103" spans="3:4">
      <c r="C103" t="s">
        <v>352</v>
      </c>
      <c r="D103" t="s">
        <v>353</v>
      </c>
    </row>
    <row r="104" spans="3:4">
      <c r="C104" t="s">
        <v>354</v>
      </c>
      <c r="D104" t="s">
        <v>355</v>
      </c>
    </row>
    <row r="105" spans="3:4">
      <c r="C105" t="s">
        <v>356</v>
      </c>
      <c r="D105" t="s">
        <v>357</v>
      </c>
    </row>
    <row r="106" spans="3:4">
      <c r="C106" t="s">
        <v>358</v>
      </c>
      <c r="D106" t="s">
        <v>359</v>
      </c>
    </row>
    <row r="107" spans="3:4">
      <c r="C107" t="s">
        <v>360</v>
      </c>
      <c r="D107" t="s">
        <v>361</v>
      </c>
    </row>
    <row r="108" spans="3:4">
      <c r="C108" t="s">
        <v>362</v>
      </c>
      <c r="D108" t="s">
        <v>363</v>
      </c>
    </row>
    <row r="109" spans="3:4">
      <c r="C109" t="s">
        <v>364</v>
      </c>
      <c r="D109" t="s">
        <v>365</v>
      </c>
    </row>
    <row r="110" spans="3:4">
      <c r="C110" t="s">
        <v>366</v>
      </c>
      <c r="D110" t="s">
        <v>367</v>
      </c>
    </row>
    <row r="111" spans="3:4">
      <c r="C111" t="s">
        <v>368</v>
      </c>
      <c r="D111" t="s">
        <v>369</v>
      </c>
    </row>
    <row r="112" spans="3:4">
      <c r="C112" t="s">
        <v>370</v>
      </c>
      <c r="D112" t="s">
        <v>371</v>
      </c>
    </row>
    <row r="113" spans="3:4">
      <c r="C113" t="s">
        <v>372</v>
      </c>
      <c r="D113" t="s">
        <v>373</v>
      </c>
    </row>
    <row r="114" spans="3:4">
      <c r="C114" t="s">
        <v>374</v>
      </c>
      <c r="D114" t="s">
        <v>375</v>
      </c>
    </row>
    <row r="115" spans="3:4">
      <c r="C115" t="s">
        <v>376</v>
      </c>
      <c r="D115" t="s">
        <v>377</v>
      </c>
    </row>
    <row r="116" spans="3:4">
      <c r="C116" t="s">
        <v>378</v>
      </c>
      <c r="D116" t="s">
        <v>379</v>
      </c>
    </row>
    <row r="117" spans="3:4">
      <c r="C117" t="s">
        <v>380</v>
      </c>
      <c r="D117" t="s">
        <v>381</v>
      </c>
    </row>
    <row r="118" spans="3:4">
      <c r="C118" t="s">
        <v>382</v>
      </c>
      <c r="D118" t="s">
        <v>383</v>
      </c>
    </row>
    <row r="119" spans="3:4">
      <c r="C119" t="s">
        <v>384</v>
      </c>
      <c r="D119" t="s">
        <v>385</v>
      </c>
    </row>
    <row r="120" spans="3:4">
      <c r="C120" t="s">
        <v>386</v>
      </c>
      <c r="D120" t="s">
        <v>387</v>
      </c>
    </row>
    <row r="121" spans="3:4">
      <c r="C121" t="s">
        <v>388</v>
      </c>
      <c r="D121" t="s">
        <v>389</v>
      </c>
    </row>
    <row r="122" spans="3:4">
      <c r="C122" t="s">
        <v>390</v>
      </c>
      <c r="D122" t="s">
        <v>391</v>
      </c>
    </row>
    <row r="123" spans="3:4">
      <c r="C123" t="s">
        <v>392</v>
      </c>
      <c r="D123" t="s">
        <v>393</v>
      </c>
    </row>
    <row r="124" spans="3:4">
      <c r="C124" t="s">
        <v>394</v>
      </c>
      <c r="D124" t="s">
        <v>395</v>
      </c>
    </row>
    <row r="125" spans="3:4">
      <c r="C125" t="s">
        <v>396</v>
      </c>
      <c r="D125" t="s">
        <v>397</v>
      </c>
    </row>
    <row r="126" spans="3:4">
      <c r="C126" t="s">
        <v>398</v>
      </c>
      <c r="D126" t="s">
        <v>399</v>
      </c>
    </row>
    <row r="127" spans="3:4">
      <c r="C127" t="s">
        <v>400</v>
      </c>
      <c r="D127" t="s">
        <v>401</v>
      </c>
    </row>
    <row r="128" spans="3:4">
      <c r="C128" t="s">
        <v>402</v>
      </c>
      <c r="D128" t="s">
        <v>403</v>
      </c>
    </row>
    <row r="129" spans="3:4">
      <c r="C129" t="s">
        <v>404</v>
      </c>
      <c r="D129" t="s">
        <v>405</v>
      </c>
    </row>
    <row r="130" spans="3:4">
      <c r="C130" t="s">
        <v>406</v>
      </c>
      <c r="D130" t="s">
        <v>407</v>
      </c>
    </row>
    <row r="131" spans="3:4">
      <c r="C131" t="s">
        <v>408</v>
      </c>
      <c r="D131" t="s">
        <v>409</v>
      </c>
    </row>
    <row r="132" spans="3:4">
      <c r="C132" t="s">
        <v>410</v>
      </c>
      <c r="D132" t="s">
        <v>411</v>
      </c>
    </row>
    <row r="133" spans="3:4">
      <c r="C133" t="s">
        <v>412</v>
      </c>
      <c r="D133" t="s">
        <v>413</v>
      </c>
    </row>
    <row r="134" spans="3:4">
      <c r="C134" t="s">
        <v>414</v>
      </c>
      <c r="D134" t="s">
        <v>415</v>
      </c>
    </row>
    <row r="135" spans="3:4">
      <c r="C135" t="s">
        <v>416</v>
      </c>
      <c r="D135" t="s">
        <v>417</v>
      </c>
    </row>
  </sheetData>
  <phoneticPr fontId="2"/>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B2:C25"/>
  <sheetViews>
    <sheetView showGridLines="0" zoomScaleNormal="100" zoomScaleSheetLayoutView="80" zoomScalePageLayoutView="80" workbookViewId="0">
      <selection activeCell="B11" sqref="B11"/>
    </sheetView>
  </sheetViews>
  <sheetFormatPr defaultColWidth="7.375" defaultRowHeight="15"/>
  <cols>
    <col min="1" max="1" width="2.125" style="15" customWidth="1"/>
    <col min="2" max="2" width="24" style="15" customWidth="1"/>
    <col min="3" max="3" width="80.625" style="15" customWidth="1"/>
    <col min="4" max="16384" width="7.375" style="15"/>
  </cols>
  <sheetData>
    <row r="2" spans="2:3">
      <c r="B2" s="13" t="s">
        <v>418</v>
      </c>
      <c r="C2" s="14" t="s">
        <v>419</v>
      </c>
    </row>
    <row r="3" spans="2:3">
      <c r="B3" s="27" t="s">
        <v>418</v>
      </c>
      <c r="C3" s="28" t="s">
        <v>420</v>
      </c>
    </row>
    <row r="4" spans="2:3" ht="30" customHeight="1">
      <c r="B4" s="34" t="s">
        <v>421</v>
      </c>
      <c r="C4" s="20" t="s">
        <v>422</v>
      </c>
    </row>
    <row r="5" spans="2:3" ht="30" customHeight="1">
      <c r="B5" s="23" t="s">
        <v>423</v>
      </c>
      <c r="C5" s="29" t="s">
        <v>424</v>
      </c>
    </row>
    <row r="6" spans="2:3" ht="30" customHeight="1">
      <c r="B6" s="23" t="s">
        <v>425</v>
      </c>
      <c r="C6" s="29" t="s">
        <v>426</v>
      </c>
    </row>
    <row r="7" spans="2:3" ht="30" customHeight="1">
      <c r="B7" s="22" t="s">
        <v>427</v>
      </c>
      <c r="C7" s="22" t="s">
        <v>428</v>
      </c>
    </row>
    <row r="8" spans="2:3" ht="30" customHeight="1">
      <c r="B8" s="22" t="s">
        <v>429</v>
      </c>
      <c r="C8" s="22" t="s">
        <v>430</v>
      </c>
    </row>
    <row r="9" spans="2:3" ht="30" customHeight="1">
      <c r="B9" s="23" t="s">
        <v>431</v>
      </c>
      <c r="C9" s="29" t="s">
        <v>432</v>
      </c>
    </row>
    <row r="10" spans="2:3" ht="30" customHeight="1">
      <c r="B10" s="24" t="s">
        <v>433</v>
      </c>
      <c r="C10" s="24" t="s">
        <v>434</v>
      </c>
    </row>
    <row r="11" spans="2:3" ht="30" customHeight="1">
      <c r="B11" s="23" t="s">
        <v>435</v>
      </c>
      <c r="C11" s="24" t="s">
        <v>436</v>
      </c>
    </row>
    <row r="12" spans="2:3" ht="30" customHeight="1">
      <c r="B12" s="21" t="s">
        <v>437</v>
      </c>
      <c r="C12" s="24" t="s">
        <v>438</v>
      </c>
    </row>
    <row r="13" spans="2:3" ht="30" customHeight="1">
      <c r="B13" s="23" t="s">
        <v>439</v>
      </c>
      <c r="C13" s="24"/>
    </row>
    <row r="14" spans="2:3" ht="30" customHeight="1">
      <c r="B14" s="23"/>
      <c r="C14" s="24"/>
    </row>
    <row r="15" spans="2:3" ht="30" customHeight="1">
      <c r="B15" s="23"/>
      <c r="C15" s="22"/>
    </row>
    <row r="16" spans="2:3" ht="30" customHeight="1">
      <c r="B16" s="23"/>
      <c r="C16" s="24"/>
    </row>
    <row r="17" spans="2:3" ht="30" customHeight="1">
      <c r="B17" s="24"/>
      <c r="C17" s="24"/>
    </row>
    <row r="18" spans="2:3" ht="30" customHeight="1">
      <c r="B18" s="22"/>
      <c r="C18" s="24"/>
    </row>
    <row r="19" spans="2:3" ht="30" customHeight="1">
      <c r="B19" s="24"/>
      <c r="C19" s="24"/>
    </row>
    <row r="20" spans="2:3" ht="30" customHeight="1">
      <c r="B20" s="24"/>
      <c r="C20" s="24"/>
    </row>
    <row r="21" spans="2:3" ht="30" customHeight="1">
      <c r="B21" s="24"/>
      <c r="C21" s="24"/>
    </row>
    <row r="22" spans="2:3" ht="30" customHeight="1">
      <c r="B22" s="22"/>
      <c r="C22" s="24"/>
    </row>
    <row r="23" spans="2:3" ht="30" customHeight="1">
      <c r="B23" s="24"/>
      <c r="C23" s="24"/>
    </row>
    <row r="24" spans="2:3" ht="30" customHeight="1">
      <c r="B24" s="30"/>
      <c r="C24" s="30"/>
    </row>
    <row r="25" spans="2:3" ht="16.149999999999999">
      <c r="B25" s="25" t="s">
        <v>440</v>
      </c>
      <c r="C25" s="26"/>
    </row>
  </sheetData>
  <phoneticPr fontId="2"/>
  <dataValidations count="1">
    <dataValidation type="textLength" operator="lessThanOrEqual" allowBlank="1" showInputMessage="1" showErrorMessage="1" sqref="B18:B24 B4:C17" xr:uid="{00000000-0002-0000-0200-000000000000}">
      <formula1>40</formula1>
    </dataValidation>
  </dataValidations>
  <pageMargins left="0.27559055118110237" right="0.27559055118110237" top="0.39370078740157483" bottom="0.35433070866141736" header="0.39370078740157483" footer="0.39370078740157483"/>
  <pageSetup paperSize="9" scale="75" orientation="landscape" r:id="rId1"/>
  <headerFooter>
    <oddFooter>&amp;L&amp;"Meiryo UI,標準"FUJITSU CONFIDENTIAL&amp;R&amp;"Meiryo UI,標準"All Rights Reserved, Copyright (C) 富士通株式会社 2017</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B2:D26"/>
  <sheetViews>
    <sheetView showGridLines="0" topLeftCell="A4" zoomScaleNormal="100" zoomScaleSheetLayoutView="80" zoomScalePageLayoutView="80" workbookViewId="0">
      <selection activeCell="C7" sqref="C7"/>
    </sheetView>
  </sheetViews>
  <sheetFormatPr defaultColWidth="7.375" defaultRowHeight="15"/>
  <cols>
    <col min="1" max="1" width="2.125" style="15" customWidth="1"/>
    <col min="2" max="3" width="24" style="15" customWidth="1"/>
    <col min="4" max="4" width="80.625" style="15" customWidth="1"/>
    <col min="5" max="16384" width="7.375" style="15"/>
  </cols>
  <sheetData>
    <row r="2" spans="2:4">
      <c r="B2" s="13" t="s">
        <v>441</v>
      </c>
      <c r="C2" s="13"/>
      <c r="D2" s="14" t="s">
        <v>419</v>
      </c>
    </row>
    <row r="3" spans="2:4">
      <c r="B3" s="16" t="s">
        <v>442</v>
      </c>
      <c r="C3" s="101" t="s">
        <v>443</v>
      </c>
      <c r="D3" s="101"/>
    </row>
    <row r="4" spans="2:4">
      <c r="B4" s="17" t="s">
        <v>38</v>
      </c>
      <c r="C4" s="18" t="s">
        <v>39</v>
      </c>
      <c r="D4" s="19" t="s">
        <v>444</v>
      </c>
    </row>
    <row r="5" spans="2:4" ht="30" customHeight="1">
      <c r="B5" s="34" t="s">
        <v>62</v>
      </c>
      <c r="C5" s="20" t="s">
        <v>445</v>
      </c>
      <c r="D5" s="20" t="s">
        <v>422</v>
      </c>
    </row>
    <row r="6" spans="2:4" ht="30" customHeight="1">
      <c r="B6" s="23" t="s">
        <v>62</v>
      </c>
      <c r="C6" s="29" t="s">
        <v>446</v>
      </c>
      <c r="D6" s="24" t="s">
        <v>447</v>
      </c>
    </row>
    <row r="7" spans="2:4" ht="30" customHeight="1">
      <c r="B7" s="23" t="s">
        <v>62</v>
      </c>
      <c r="C7" s="29" t="s">
        <v>448</v>
      </c>
      <c r="D7" s="24" t="s">
        <v>449</v>
      </c>
    </row>
    <row r="8" spans="2:4" ht="30" customHeight="1">
      <c r="B8" s="23" t="s">
        <v>62</v>
      </c>
      <c r="C8" s="29" t="s">
        <v>450</v>
      </c>
      <c r="D8" s="24" t="s">
        <v>451</v>
      </c>
    </row>
    <row r="9" spans="2:4" ht="30" customHeight="1">
      <c r="B9" s="23" t="s">
        <v>62</v>
      </c>
      <c r="C9" s="22" t="s">
        <v>452</v>
      </c>
      <c r="D9" s="24" t="s">
        <v>453</v>
      </c>
    </row>
    <row r="10" spans="2:4" ht="30" customHeight="1">
      <c r="B10" s="23" t="s">
        <v>62</v>
      </c>
      <c r="C10" s="22" t="s">
        <v>454</v>
      </c>
      <c r="D10" s="24" t="s">
        <v>455</v>
      </c>
    </row>
    <row r="11" spans="2:4" ht="30" customHeight="1">
      <c r="B11" s="23" t="s">
        <v>456</v>
      </c>
      <c r="C11" s="29" t="s">
        <v>457</v>
      </c>
      <c r="D11" s="24" t="s">
        <v>458</v>
      </c>
    </row>
    <row r="12" spans="2:4" ht="30" customHeight="1">
      <c r="B12" s="23" t="s">
        <v>459</v>
      </c>
      <c r="C12" s="22" t="s">
        <v>460</v>
      </c>
      <c r="D12" s="24" t="s">
        <v>461</v>
      </c>
    </row>
    <row r="13" spans="2:4" ht="30" customHeight="1">
      <c r="B13" s="23" t="s">
        <v>462</v>
      </c>
      <c r="C13" s="24" t="s">
        <v>463</v>
      </c>
      <c r="D13" s="24" t="s">
        <v>464</v>
      </c>
    </row>
    <row r="14" spans="2:4" ht="30" customHeight="1">
      <c r="B14" s="23" t="s">
        <v>465</v>
      </c>
      <c r="C14" s="24" t="s">
        <v>466</v>
      </c>
      <c r="D14" s="24" t="s">
        <v>467</v>
      </c>
    </row>
    <row r="15" spans="2:4" ht="30" customHeight="1">
      <c r="B15" s="23" t="s">
        <v>468</v>
      </c>
      <c r="C15" s="24" t="s">
        <v>469</v>
      </c>
      <c r="D15" s="24" t="s">
        <v>470</v>
      </c>
    </row>
    <row r="16" spans="2:4" ht="30" customHeight="1">
      <c r="B16" s="23" t="s">
        <v>471</v>
      </c>
      <c r="C16" s="24" t="s">
        <v>472</v>
      </c>
      <c r="D16" s="24" t="s">
        <v>473</v>
      </c>
    </row>
    <row r="17" spans="2:4" ht="30" customHeight="1">
      <c r="B17" s="23" t="s">
        <v>474</v>
      </c>
      <c r="C17" s="22" t="s">
        <v>475</v>
      </c>
      <c r="D17" s="24" t="s">
        <v>476</v>
      </c>
    </row>
    <row r="18" spans="2:4" ht="30" customHeight="1">
      <c r="B18" s="23" t="s">
        <v>474</v>
      </c>
      <c r="C18" s="24" t="s">
        <v>477</v>
      </c>
      <c r="D18" s="24" t="s">
        <v>478</v>
      </c>
    </row>
    <row r="19" spans="2:4" ht="30" customHeight="1">
      <c r="B19" s="24" t="s">
        <v>479</v>
      </c>
      <c r="C19" s="24" t="s">
        <v>480</v>
      </c>
      <c r="D19" s="24" t="s">
        <v>481</v>
      </c>
    </row>
    <row r="20" spans="2:4" ht="30" customHeight="1">
      <c r="B20" s="22" t="s">
        <v>482</v>
      </c>
      <c r="C20" s="22" t="s">
        <v>483</v>
      </c>
      <c r="D20" s="24" t="s">
        <v>436</v>
      </c>
    </row>
    <row r="21" spans="2:4" ht="30" customHeight="1">
      <c r="B21" s="22" t="s">
        <v>484</v>
      </c>
      <c r="C21" s="22" t="s">
        <v>485</v>
      </c>
      <c r="D21" s="24" t="s">
        <v>486</v>
      </c>
    </row>
    <row r="22" spans="2:4" ht="30" customHeight="1">
      <c r="B22" s="24"/>
      <c r="C22" s="24"/>
      <c r="D22" s="24"/>
    </row>
    <row r="23" spans="2:4" ht="30" customHeight="1">
      <c r="B23" s="22"/>
      <c r="C23" s="22"/>
      <c r="D23" s="24"/>
    </row>
    <row r="24" spans="2:4" ht="30" customHeight="1">
      <c r="B24" s="24"/>
      <c r="C24" s="24"/>
      <c r="D24" s="24"/>
    </row>
    <row r="25" spans="2:4" ht="30" customHeight="1">
      <c r="B25" s="30"/>
      <c r="C25" s="30"/>
      <c r="D25" s="30"/>
    </row>
    <row r="26" spans="2:4" ht="16.149999999999999">
      <c r="B26" s="25" t="s">
        <v>440</v>
      </c>
      <c r="C26" s="31"/>
      <c r="D26" s="26"/>
    </row>
  </sheetData>
  <mergeCells count="1">
    <mergeCell ref="C3:D3"/>
  </mergeCells>
  <phoneticPr fontId="2"/>
  <dataValidations count="1">
    <dataValidation type="textLength" operator="lessThanOrEqual" allowBlank="1" showInputMessage="1" showErrorMessage="1" sqref="D20 B5:C25 D5" xr:uid="{00000000-0002-0000-0300-000000000000}">
      <formula1>40</formula1>
    </dataValidation>
  </dataValidations>
  <pageMargins left="0.27559055118110237" right="0.27559055118110237" top="0.39370078740157483" bottom="0.35433070866141736" header="0.39370078740157483" footer="0.39370078740157483"/>
  <pageSetup paperSize="9" scale="75" orientation="landscape" r:id="rId1"/>
  <headerFooter>
    <oddFooter>&amp;L&amp;"Meiryo UI,標準"FUJITSU CONFIDENTIAL&amp;R&amp;"Meiryo UI,標準"All Rights Reserved, Copyright (C) 富士通株式会社 2017</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ドキュメント" ma:contentTypeID="0x01010008FF3A34676D824697E700815E8AA6A8" ma:contentTypeVersion="13" ma:contentTypeDescription="新しいドキュメントを作成します。" ma:contentTypeScope="" ma:versionID="ddf6ee8e52445465c0a7404d1205d416">
  <xsd:schema xmlns:xsd="http://www.w3.org/2001/XMLSchema" xmlns:xs="http://www.w3.org/2001/XMLSchema" xmlns:p="http://schemas.microsoft.com/office/2006/metadata/properties" xmlns:ns2="44fe4817-1a8c-4f6d-9a7a-15a2f9c2ceea" xmlns:ns3="2ad01a7e-b0cc-482e-be0b-d1161c9cb6dd" targetNamespace="http://schemas.microsoft.com/office/2006/metadata/properties" ma:root="true" ma:fieldsID="f446b65a1e89f5a19241f3a45b467c8a" ns2:_="" ns3:_="">
    <xsd:import namespace="44fe4817-1a8c-4f6d-9a7a-15a2f9c2ceea"/>
    <xsd:import namespace="2ad01a7e-b0cc-482e-be0b-d1161c9cb6dd"/>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lcf76f155ced4ddcb4097134ff3c332f" minOccurs="0"/>
                <xsd:element ref="ns3:TaxCatchAll" minOccurs="0"/>
                <xsd:element ref="ns2:MediaServiceObjectDetectorVersions" minOccurs="0"/>
                <xsd:element ref="ns2:MediaServiceOCR" minOccurs="0"/>
                <xsd:element ref="ns2:MediaServiceGenerationTime" minOccurs="0"/>
                <xsd:element ref="ns2:MediaServiceEventHashCode"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4fe4817-1a8c-4f6d-9a7a-15a2f9c2ceea"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lcf76f155ced4ddcb4097134ff3c332f" ma:index="13" nillable="true" ma:taxonomy="true" ma:internalName="lcf76f155ced4ddcb4097134ff3c332f" ma:taxonomyFieldName="MediaServiceImageTags" ma:displayName="画像タグ" ma:readOnly="false" ma:fieldId="{5cf76f15-5ced-4ddc-b409-7134ff3c332f}" ma:taxonomyMulti="true" ma:sspId="9af9b40b-1e02-41df-a02a-f7cdeb5c05da"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15" nillable="true" ma:displayName="MediaServiceObjectDetectorVersions" ma:hidden="true" ma:indexed="true" ma:internalName="MediaServiceObjectDetectorVersions"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DateTaken" ma:index="19" nillable="true" ma:displayName="MediaServiceDateTaken" ma:hidden="true" ma:indexed="true" ma:internalName="MediaServiceDateTaken" ma:readOnly="true">
      <xsd:simpleType>
        <xsd:restriction base="dms:Text"/>
      </xsd:simpleType>
    </xsd:element>
    <xsd:element name="MediaLengthInSeconds" ma:index="20"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2ad01a7e-b0cc-482e-be0b-d1161c9cb6dd" elementFormDefault="qualified">
    <xsd:import namespace="http://schemas.microsoft.com/office/2006/documentManagement/types"/>
    <xsd:import namespace="http://schemas.microsoft.com/office/infopath/2007/PartnerControls"/>
    <xsd:element name="SharedWithUsers" ma:index="10" nillable="true" ma:displayName="共有相手"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共有相手の詳細情報" ma:internalName="SharedWithDetails" ma:readOnly="true">
      <xsd:simpleType>
        <xsd:restriction base="dms:Note">
          <xsd:maxLength value="255"/>
        </xsd:restriction>
      </xsd:simpleType>
    </xsd:element>
    <xsd:element name="TaxCatchAll" ma:index="14" nillable="true" ma:displayName="Taxonomy Catch All Column" ma:hidden="true" ma:list="{cf23d7e2-ce68-4abd-b181-8ce7ce528754}" ma:internalName="TaxCatchAll" ma:showField="CatchAllData" ma:web="2ad01a7e-b0cc-482e-be0b-d1161c9cb6dd">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コンテンツ タイプ"/>
        <xsd:element ref="dc:title" minOccurs="0" maxOccurs="1" ma:index="4" ma:displayName="タイトル"/>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44fe4817-1a8c-4f6d-9a7a-15a2f9c2ceea">
      <Terms xmlns="http://schemas.microsoft.com/office/infopath/2007/PartnerControls"/>
    </lcf76f155ced4ddcb4097134ff3c332f>
    <TaxCatchAll xmlns="2ad01a7e-b0cc-482e-be0b-d1161c9cb6dd" xsi:nil="true"/>
  </documentManagement>
</p:properties>
</file>

<file path=customXml/itemProps1.xml><?xml version="1.0" encoding="utf-8"?>
<ds:datastoreItem xmlns:ds="http://schemas.openxmlformats.org/officeDocument/2006/customXml" ds:itemID="{9053F721-8C40-4FBB-9431-39E36E55FC2B}"/>
</file>

<file path=customXml/itemProps2.xml><?xml version="1.0" encoding="utf-8"?>
<ds:datastoreItem xmlns:ds="http://schemas.openxmlformats.org/officeDocument/2006/customXml" ds:itemID="{5417E360-9BDB-4D98-A36D-0E33E6E4AD81}"/>
</file>

<file path=customXml/itemProps3.xml><?xml version="1.0" encoding="utf-8"?>
<ds:datastoreItem xmlns:ds="http://schemas.openxmlformats.org/officeDocument/2006/customXml" ds:itemID="{42BFFD2E-9D0D-46DF-9BFC-3133369B5367}"/>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末永 健治</dc:creator>
  <cp:keywords/>
  <dc:description/>
  <cp:lastModifiedBy>吉本和哉</cp:lastModifiedBy>
  <cp:revision/>
  <dcterms:created xsi:type="dcterms:W3CDTF">2022-11-02T07:26:10Z</dcterms:created>
  <dcterms:modified xsi:type="dcterms:W3CDTF">2023-11-10T06:59:14Z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0x01010008FF3A34676D824697E700815E8AA6A8</vt:lpwstr>
  </property>
  <property fmtid="{D5CDD505-2E9C-101B-9397-08002B2CF9AE}" pid="3" name="MediaServiceImageTags">
    <vt:lpwstr/>
  </property>
</Properties>
</file>