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272" documentId="13_ncr:1_{D1D55747-CAA8-4308-9E77-C0C18642393E}" xr6:coauthVersionLast="47" xr6:coauthVersionMax="47" xr10:uidLastSave="{D37DDF3B-E622-4E72-814D-F47672E56936}"/>
  <bookViews>
    <workbookView xWindow="-120" yWindow="-16320" windowWidth="29040" windowHeight="15990" xr2:uid="{00000000-000D-0000-FFFF-FFFF00000000}"/>
  </bookViews>
  <sheets>
    <sheet name="レビュー表" sheetId="1" r:id="rId1"/>
    <sheet name="修正案" sheetId="6" r:id="rId2"/>
    <sheet name="マスタ" sheetId="2" r:id="rId3"/>
    <sheet name="指摘区分" sheetId="4" r:id="rId4"/>
    <sheet name="原因区分" sheetId="5" r:id="rId5"/>
  </sheets>
  <externalReferences>
    <externalReference r:id="rId6"/>
  </externalReferences>
  <definedNames>
    <definedName name="ＰＧ指摘件数">[1]表紙!$B$28</definedName>
    <definedName name="_xlnm.Print_Area" localSheetId="4">原因区分!$A$1:$D$26</definedName>
    <definedName name="_xlnm.Print_Area" localSheetId="3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4">原因区分!#REF!</definedName>
    <definedName name="原因一覧_開始" localSheetId="3">指摘区分!#REF!</definedName>
    <definedName name="原因一覧_開始">#REF!</definedName>
    <definedName name="原因一覧_終了" localSheetId="4">原因区分!$B$26</definedName>
    <definedName name="原因一覧_終了" localSheetId="3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レビュー表!$A$37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5" i="1" l="1"/>
  <c r="A34" i="1"/>
  <c r="A33" i="1"/>
  <c r="A32" i="1"/>
  <c r="A31" i="1"/>
  <c r="A29" i="1" l="1"/>
  <c r="A28" i="1"/>
  <c r="A27" i="1"/>
  <c r="A26" i="1"/>
  <c r="A25" i="1"/>
  <c r="A24" i="1"/>
  <c r="A23" i="1"/>
  <c r="A10" i="1" l="1"/>
  <c r="A11" i="1" l="1"/>
  <c r="A36" i="1" l="1"/>
  <c r="A30" i="1"/>
  <c r="A22" i="1"/>
  <c r="A21" i="1"/>
  <c r="A20" i="1"/>
  <c r="A19" i="1"/>
  <c r="A17" i="1"/>
  <c r="A16" i="1"/>
  <c r="A18" i="1"/>
  <c r="A15" i="1"/>
  <c r="A14" i="1"/>
  <c r="A13" i="1"/>
  <c r="A12" i="1"/>
  <c r="A9" i="1"/>
  <c r="S5" i="1"/>
  <c r="W5" i="1"/>
  <c r="Z5" i="1"/>
  <c r="Q5" i="1"/>
  <c r="J2" i="1" l="1"/>
</calcChain>
</file>

<file path=xl/sharedStrings.xml><?xml version="1.0" encoding="utf-8"?>
<sst xmlns="http://schemas.openxmlformats.org/spreadsheetml/2006/main" count="722" uniqueCount="479">
  <si>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</si>
  <si>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</si>
  <si>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</si>
  <si>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</si>
  <si>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</si>
  <si>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</si>
  <si>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</si>
  <si>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C0404</t>
    <phoneticPr fontId="2"/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</si>
  <si>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</si>
  <si>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</si>
  <si>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</si>
  <si>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</si>
  <si>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</si>
  <si>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</si>
  <si>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</si>
  <si>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</si>
  <si>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</si>
  <si>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</si>
  <si>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</si>
  <si>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</si>
  <si>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</si>
  <si>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</si>
  <si>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</si>
  <si>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</si>
  <si>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</si>
  <si>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</si>
  <si>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</si>
  <si>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</si>
  <si>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</si>
  <si>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</si>
  <si>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</si>
  <si>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</si>
  <si>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</si>
  <si>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</si>
  <si>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</si>
  <si>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</si>
  <si>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</si>
  <si>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</si>
  <si>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</si>
  <si>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</si>
  <si>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</si>
  <si>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すべて</t>
    <phoneticPr fontId="2"/>
  </si>
  <si>
    <t>8:設計規約ミス</t>
  </si>
  <si>
    <t>A4横で印刷したときに、空白ページ　や　罫線だけのページ　が出力される。
不要な行を削除、印字領域を調整する　などを行い、出力されないようにする。</t>
    <rPh sb="2" eb="3">
      <t>ヨコ</t>
    </rPh>
    <rPh sb="4" eb="6">
      <t>インサツ</t>
    </rPh>
    <rPh sb="12" eb="14">
      <t>クウハク</t>
    </rPh>
    <rPh sb="20" eb="22">
      <t>ケイセン</t>
    </rPh>
    <rPh sb="30" eb="32">
      <t>シュツリョク</t>
    </rPh>
    <rPh sb="37" eb="39">
      <t>フヨウ</t>
    </rPh>
    <rPh sb="40" eb="41">
      <t>ギョウ</t>
    </rPh>
    <rPh sb="42" eb="44">
      <t>サクジョ</t>
    </rPh>
    <rPh sb="45" eb="49">
      <t>インジリョウイキ</t>
    </rPh>
    <rPh sb="50" eb="52">
      <t>チョウセイ</t>
    </rPh>
    <rPh sb="58" eb="59">
      <t>オコナ</t>
    </rPh>
    <rPh sb="61" eb="63">
      <t>シュツリョク</t>
    </rPh>
    <phoneticPr fontId="2"/>
  </si>
  <si>
    <t>修正済</t>
  </si>
  <si>
    <t xml:space="preserve">全体				</t>
  </si>
  <si>
    <t>3:詳細設計</t>
  </si>
  <si>
    <t>9.設計規約ミス</t>
  </si>
  <si>
    <t>91.設計規約ミス</t>
  </si>
  <si>
    <t>ミン</t>
  </si>
  <si>
    <t>プロセス仕様書</t>
    <rPh sb="4" eb="7">
      <t>シヨウショ</t>
    </rPh>
    <phoneticPr fontId="2"/>
  </si>
  <si>
    <t>6:処理検討不足</t>
    <phoneticPr fontId="2"/>
  </si>
  <si>
    <t>1 初期表示 - 2
C1402_生産実績一覧（熱加工） 以外から遷移するケースはあるのか。</t>
  </si>
  <si>
    <t xml:space="preserve">基本設計により、C1402_生産実績一覧（熱加工） 以外から遷移するケースがないことです。
</t>
  </si>
  <si>
    <t>1 初期表示</t>
  </si>
  <si>
    <t>2:設計検討不足</t>
  </si>
  <si>
    <t>21:処理検討不足</t>
  </si>
  <si>
    <t>4:表現曖昧</t>
    <phoneticPr fontId="2"/>
  </si>
  <si>
    <t>1 初期表示 - 2
画面モード　の "更新モード" "新規モード" は、具体的にどんな値なのか不明確（ 1 or 2 ？）</t>
    <rPh sb="2" eb="6">
      <t>ショキヒョウジ</t>
    </rPh>
    <rPh sb="11" eb="13">
      <t>ガメン</t>
    </rPh>
    <rPh sb="20" eb="22">
      <t>コウシン</t>
    </rPh>
    <rPh sb="28" eb="30">
      <t>シンキ</t>
    </rPh>
    <rPh sb="37" eb="40">
      <t>グタイテキ</t>
    </rPh>
    <rPh sb="44" eb="45">
      <t>アタイ</t>
    </rPh>
    <rPh sb="48" eb="51">
      <t>フメイカク</t>
    </rPh>
    <phoneticPr fontId="2"/>
  </si>
  <si>
    <r>
      <rPr>
        <sz val="10"/>
        <color rgb="FF000000"/>
        <rFont val="Meiryo UI"/>
        <family val="3"/>
        <charset val="128"/>
      </rPr>
      <t xml:space="preserve">C1402_生産実績一覧（熱加工）と連携パラメーターを吉本さんに確認しています。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>→「1.10　2) 仕上実績情報表示」のデータ取得して、取得結果が１件以上の場合。現場　⇒　入力担当者登録に入る。
→０件の場合、現場担当者より直接登録　と　入力担当者より直接登録に入る</t>
    </r>
  </si>
  <si>
    <t>1:設計ﾐｽ</t>
  </si>
  <si>
    <t>12:記載漏れ（処理）</t>
  </si>
  <si>
    <t>1 初期表示 - 2 - 2)
画面モードが指定外の値のときも、エラーとすべきではないか。</t>
    <rPh sb="16" eb="18">
      <t>ガメン</t>
    </rPh>
    <rPh sb="22" eb="25">
      <t>シテイガイ</t>
    </rPh>
    <rPh sb="26" eb="27">
      <t>アタイ</t>
    </rPh>
    <phoneticPr fontId="2"/>
  </si>
  <si>
    <r>
      <rPr>
        <sz val="10"/>
        <color rgb="FF000000"/>
        <rFont val="Meiryo UI"/>
        <family val="3"/>
        <charset val="128"/>
      </rPr>
      <t xml:space="preserve">「C1402_生産実績一覧（熱加工）から、画面モードが引き渡されてない場合　又は　画面モードが指定外（更新・新規モード以外）の場合は、処理を抜け、共通文書.設定ファイル情報取得時エラー時の処理と同様の処理を行う。」という説明を記載します。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>N0.2の通り、画面モードを削除。</t>
    </r>
  </si>
  <si>
    <r>
      <rPr>
        <sz val="10"/>
        <color rgb="FF000000"/>
        <rFont val="Meiryo UI"/>
        <family val="3"/>
        <charset val="128"/>
      </rPr>
      <t>1 初期表示 - 7
「</t>
    </r>
    <r>
      <rPr>
        <sz val="10"/>
        <color rgb="FFFF0000"/>
        <rFont val="Meiryo UI"/>
        <family val="3"/>
        <charset val="128"/>
      </rPr>
      <t>遷移元画面</t>
    </r>
    <r>
      <rPr>
        <sz val="10"/>
        <color rgb="FF000000"/>
        <rFont val="Meiryo UI"/>
        <family val="3"/>
        <charset val="128"/>
      </rPr>
      <t>に応じて」 とあるが、「</t>
    </r>
    <r>
      <rPr>
        <sz val="10"/>
        <color rgb="FFFF0000"/>
        <rFont val="Meiryo UI"/>
        <family val="3"/>
        <charset val="128"/>
      </rPr>
      <t>画面モード</t>
    </r>
    <r>
      <rPr>
        <sz val="10"/>
        <color rgb="FF000000"/>
        <rFont val="Meiryo UI"/>
        <family val="3"/>
        <charset val="128"/>
      </rPr>
      <t>に応じて」ではないのか。</t>
    </r>
  </si>
  <si>
    <r>
      <rPr>
        <sz val="10"/>
        <color rgb="FF000000"/>
        <rFont val="Meiryo UI"/>
        <family val="3"/>
        <charset val="128"/>
      </rPr>
      <t xml:space="preserve">修正済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 xml:space="preserve">N0.2の通り、画面モードを削除。
「「1.10　2) 仕上実績情報表示」のデータ取得して、取得結果に応じて」に修正します。"												</t>
    </r>
  </si>
  <si>
    <t>10:記載ミス</t>
  </si>
  <si>
    <t>8:設計規約ミス</t>
    <phoneticPr fontId="2"/>
  </si>
  <si>
    <t>1 初期表示 - 8 - 1) - ②
1)、2)　とあるが、番号ルール通りではない。
→　1.　2.　のはず。</t>
    <rPh sb="31" eb="33">
      <t>バンゴウ</t>
    </rPh>
    <rPh sb="36" eb="37">
      <t>ドオ</t>
    </rPh>
    <phoneticPr fontId="2"/>
  </si>
  <si>
    <t>1:記載ミス</t>
    <phoneticPr fontId="2"/>
  </si>
  <si>
    <r>
      <rPr>
        <sz val="10"/>
        <color rgb="FF000000"/>
        <rFont val="Meiryo UI"/>
        <family val="3"/>
        <charset val="128"/>
      </rPr>
      <t>1 初期表示 - 10 - 2)
「レスポンス値を　変数・</t>
    </r>
    <r>
      <rPr>
        <sz val="10"/>
        <color rgb="FFFF0000"/>
        <rFont val="Meiryo UI"/>
        <family val="3"/>
        <charset val="128"/>
      </rPr>
      <t>抄紙</t>
    </r>
    <r>
      <rPr>
        <sz val="10"/>
        <color rgb="FF000000"/>
        <rFont val="Meiryo UI"/>
        <family val="3"/>
        <charset val="128"/>
      </rPr>
      <t>実績情報　に退避する」　とあるが、</t>
    </r>
    <r>
      <rPr>
        <sz val="10"/>
        <color rgb="FFFF0000"/>
        <rFont val="Meiryo UI"/>
        <family val="3"/>
        <charset val="128"/>
      </rPr>
      <t>仕上</t>
    </r>
    <r>
      <rPr>
        <sz val="10"/>
        <color rgb="FF000000"/>
        <rFont val="Meiryo UI"/>
        <family val="3"/>
        <charset val="128"/>
      </rPr>
      <t>実績情報　ではないか。</t>
    </r>
  </si>
  <si>
    <t>1 初期表示 - 10 - 3)
表のタイトルがずれている。</t>
    <rPh sb="17" eb="18">
      <t>ヒョウ</t>
    </rPh>
    <phoneticPr fontId="2"/>
  </si>
  <si>
    <t>21:処理検討不足</t>
    <phoneticPr fontId="2"/>
  </si>
  <si>
    <t>1 初期表示 - 10 - 3)
「※ 現場にて登録された ～ より画面遷移した場合はここまで」 とあるが、「※ 更新モードの場合、ここまで」 でよいのではないか。</t>
  </si>
  <si>
    <r>
      <rPr>
        <sz val="10"/>
        <color rgb="FF000000"/>
        <rFont val="Meiryo UI"/>
        <family val="3"/>
        <charset val="128"/>
      </rPr>
      <t xml:space="preserve">修正済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>N0.2の通り、画面モードを削除。
「「1.10　2) 仕上実績情報表示」のデータ取得して、取得結果に応じて」に修正します。</t>
    </r>
  </si>
  <si>
    <r>
      <rPr>
        <sz val="10"/>
        <color rgb="FF000000"/>
        <rFont val="Meiryo UI"/>
        <family val="3"/>
        <charset val="128"/>
      </rPr>
      <t>3 行挿入↑・↓ボタン押下 - 3
「共通関数の中身で下記の内容</t>
    </r>
    <r>
      <rPr>
        <sz val="10"/>
        <color rgb="FFFF0000"/>
        <rFont val="Meiryo UI"/>
        <family val="3"/>
        <charset val="128"/>
      </rPr>
      <t>が</t>
    </r>
    <r>
      <rPr>
        <sz val="10"/>
        <color rgb="FF000000"/>
        <rFont val="Meiryo UI"/>
        <family val="3"/>
        <charset val="128"/>
      </rPr>
      <t>含む。
　　・　一覧.複数選択の場合、エラーメッセージ</t>
    </r>
    <r>
      <rPr>
        <sz val="10"/>
        <color rgb="FFFF0000"/>
        <rFont val="Meiryo UI"/>
        <family val="3"/>
        <charset val="128"/>
      </rPr>
      <t>が</t>
    </r>
    <r>
      <rPr>
        <sz val="10"/>
        <color rgb="FF000000"/>
        <rFont val="Meiryo UI"/>
        <family val="3"/>
        <charset val="128"/>
      </rPr>
      <t>表示する。」
とあるが
「共通関数の中身で下記の内容</t>
    </r>
    <r>
      <rPr>
        <sz val="10"/>
        <color rgb="FFFF0000"/>
        <rFont val="Meiryo UI"/>
        <family val="3"/>
        <charset val="128"/>
      </rPr>
      <t>を</t>
    </r>
    <r>
      <rPr>
        <sz val="10"/>
        <color rgb="FF000000"/>
        <rFont val="Meiryo UI"/>
        <family val="3"/>
        <charset val="128"/>
      </rPr>
      <t>含む。
　　・　一覧.複数選択の場合、エラーメッセージ</t>
    </r>
    <r>
      <rPr>
        <sz val="10"/>
        <color rgb="FFFF0000"/>
        <rFont val="Meiryo UI"/>
        <family val="3"/>
        <charset val="128"/>
      </rPr>
      <t>を</t>
    </r>
    <r>
      <rPr>
        <sz val="10"/>
        <color rgb="FF000000"/>
        <rFont val="Meiryo UI"/>
        <family val="3"/>
        <charset val="128"/>
      </rPr>
      <t>表示する。」
に訂正する。</t>
    </r>
  </si>
  <si>
    <t>3 行挿入↑・↓ボタン押下</t>
  </si>
  <si>
    <r>
      <rPr>
        <sz val="10"/>
        <color rgb="FF000000"/>
        <rFont val="Meiryo UI"/>
        <family val="3"/>
        <charset val="128"/>
      </rPr>
      <t>4 行削除ボタン押下 - 3
「加工_更新日が存在しいる～」　とあるが
「加工_更新日が存在し</t>
    </r>
    <r>
      <rPr>
        <sz val="10"/>
        <color rgb="FFFF0000"/>
        <rFont val="Meiryo UI"/>
        <family val="3"/>
        <charset val="128"/>
      </rPr>
      <t>て</t>
    </r>
    <r>
      <rPr>
        <sz val="10"/>
        <color rgb="FF000000"/>
        <rFont val="Meiryo UI"/>
        <family val="3"/>
        <charset val="128"/>
      </rPr>
      <t>いる～」　に訂正する。</t>
    </r>
  </si>
  <si>
    <t>4 行削除ボタン押下</t>
  </si>
  <si>
    <t>5:表現統一</t>
    <phoneticPr fontId="2"/>
  </si>
  <si>
    <r>
      <rPr>
        <sz val="10"/>
        <color rgb="FF000000"/>
        <rFont val="Meiryo UI"/>
        <family val="3"/>
        <charset val="128"/>
      </rPr>
      <t>5 仕上使用行挿入 - 3 - 2)
一覧に 「</t>
    </r>
    <r>
      <rPr>
        <sz val="10"/>
        <color rgb="FFFF0000"/>
        <rFont val="Meiryo UI"/>
        <family val="3"/>
        <charset val="128"/>
      </rPr>
      <t>※隠す項目</t>
    </r>
    <r>
      <rPr>
        <sz val="10"/>
        <color rgb="FF000000"/>
        <rFont val="Meiryo UI"/>
        <family val="3"/>
        <charset val="128"/>
      </rPr>
      <t>」 と記述されているが、「画面項目定義」シートでは 「</t>
    </r>
    <r>
      <rPr>
        <sz val="10"/>
        <color rgb="FFFF0000"/>
        <rFont val="Meiryo UI"/>
        <family val="3"/>
        <charset val="128"/>
      </rPr>
      <t>非表示項目</t>
    </r>
    <r>
      <rPr>
        <sz val="10"/>
        <color rgb="FF000000"/>
        <rFont val="Meiryo UI"/>
        <family val="3"/>
        <charset val="128"/>
      </rPr>
      <t>」 となっている。
また、別の箇所では「</t>
    </r>
    <r>
      <rPr>
        <sz val="10"/>
        <color rgb="FFFF0000"/>
        <rFont val="Meiryo UI"/>
        <family val="3"/>
        <charset val="128"/>
      </rPr>
      <t>※隠し項目</t>
    </r>
    <r>
      <rPr>
        <sz val="10"/>
        <color rgb="FF000000"/>
        <rFont val="Meiryo UI"/>
        <family val="3"/>
        <charset val="128"/>
      </rPr>
      <t>」となっている。
「隠す項目」 「隠し項目」を、 「画面項目定義」シートに記述した、「非表示項目」に統一する。</t>
    </r>
  </si>
  <si>
    <t>5 仕上使用行挿入</t>
  </si>
  <si>
    <t>15:表現統一</t>
  </si>
  <si>
    <r>
      <rPr>
        <sz val="10"/>
        <color rgb="FF000000"/>
        <rFont val="Meiryo UI"/>
        <family val="3"/>
        <charset val="128"/>
      </rPr>
      <t>15 一覧　ロット№入力 - 1
「</t>
    </r>
    <r>
      <rPr>
        <sz val="10"/>
        <color rgb="FFFF0000"/>
        <rFont val="Meiryo UI"/>
        <family val="3"/>
        <charset val="128"/>
      </rPr>
      <t>入力ロット№が、製品ロット№が同一の場合</t>
    </r>
    <r>
      <rPr>
        <sz val="10"/>
        <color rgb="FF000000"/>
        <rFont val="Meiryo UI"/>
        <family val="3"/>
        <charset val="128"/>
      </rPr>
      <t>、エラーメッセージを表示する。」　とあるが、文章の意味がわからない。
「</t>
    </r>
    <r>
      <rPr>
        <sz val="10"/>
        <color rgb="FFFF0000"/>
        <rFont val="Meiryo UI"/>
        <family val="3"/>
        <charset val="128"/>
      </rPr>
      <t>製品ロット№が同一の他の行に、入力したロット№と同じ番号が入力済の場合</t>
    </r>
    <r>
      <rPr>
        <sz val="10"/>
        <color rgb="FF000000"/>
        <rFont val="Meiryo UI"/>
        <family val="3"/>
        <charset val="128"/>
      </rPr>
      <t>、エラーメッセージを表示する。」　ではないか。</t>
    </r>
  </si>
  <si>
    <t>修正済
明記も追加します。</t>
  </si>
  <si>
    <t>15 一覧　ロット№入力</t>
  </si>
  <si>
    <t>14:表現曖昧</t>
  </si>
  <si>
    <r>
      <rPr>
        <sz val="10"/>
        <color rgb="FF000000"/>
        <rFont val="Meiryo UI"/>
        <family val="3"/>
        <charset val="128"/>
      </rPr>
      <t>15 一覧　ロット№入力 - 1
「【メッセージ】　</t>
    </r>
    <r>
      <rPr>
        <sz val="10"/>
        <color rgb="FFFF0000"/>
        <rFont val="Meiryo UI"/>
        <family val="3"/>
        <charset val="128"/>
      </rPr>
      <t>製品ロット№</t>
    </r>
    <r>
      <rPr>
        <sz val="10"/>
        <color rgb="FF000000"/>
        <rFont val="Meiryo UI"/>
        <family val="3"/>
        <charset val="128"/>
      </rPr>
      <t>が重複しています。」　とあるが
「【メッセージ】　</t>
    </r>
    <r>
      <rPr>
        <sz val="10"/>
        <color rgb="FFFF0000"/>
        <rFont val="Meiryo UI"/>
        <family val="3"/>
        <charset val="128"/>
      </rPr>
      <t>ロット№</t>
    </r>
    <r>
      <rPr>
        <sz val="10"/>
        <color rgb="FF000000"/>
        <rFont val="Meiryo UI"/>
        <family val="3"/>
        <charset val="128"/>
      </rPr>
      <t>が重複しています。」　ではないか。</t>
    </r>
  </si>
  <si>
    <t>15 一覧　ロット№入力 - 2
2 で記述されているのは、3 の1～2行目の記述と同じではないか。
→　「修正案」シート参照</t>
  </si>
  <si>
    <t>・response.error.lengthはAPIを実行する時、エラーが発生すると、エラーメッセージを表示することです。
・ロット№　データ存在チェックの場合は、APIの処理のエラーがないですが、レコード数＝０の場合、フロンドのエラーメッセージを表示することです。
その為、「3 ロット№　データ存在チェック」をそのままにします。</t>
  </si>
  <si>
    <t>9:設計問合せ</t>
    <phoneticPr fontId="2"/>
  </si>
  <si>
    <r>
      <rPr>
        <sz val="10"/>
        <color rgb="FF000000"/>
        <rFont val="Meiryo UI"/>
        <family val="3"/>
        <charset val="128"/>
      </rPr>
      <t>15 一覧　ロット№入力 - 4
1行目で「入力ロット№の</t>
    </r>
    <r>
      <rPr>
        <sz val="10"/>
        <color rgb="FF0066FF"/>
        <rFont val="Meiryo UI"/>
        <family val="3"/>
        <charset val="128"/>
      </rPr>
      <t>仕上</t>
    </r>
    <r>
      <rPr>
        <sz val="10"/>
        <color rgb="FF000000"/>
        <rFont val="Meiryo UI"/>
        <family val="3"/>
        <charset val="128"/>
      </rPr>
      <t>区分＝損紙の場合」　とあるが、
2行目で「レスポンスの</t>
    </r>
    <r>
      <rPr>
        <sz val="10"/>
        <color rgb="FF0066FF"/>
        <rFont val="Meiryo UI"/>
        <family val="3"/>
        <charset val="128"/>
      </rPr>
      <t>品質</t>
    </r>
    <r>
      <rPr>
        <sz val="10"/>
        <color rgb="FF000000"/>
        <rFont val="Meiryo UI"/>
        <family val="3"/>
        <charset val="128"/>
      </rPr>
      <t>区分＝損紙（05）の場合」　となっている。
正しいか？（正しいのならOK）</t>
    </r>
  </si>
  <si>
    <t>・入力ロット№の仕上区分とは基本設計の認識です。
・レスポンスの品質区分とは、「製品在庫情報」テーブル定義です。
→「品質区分」に統一にします。
エラーメッセージは「入力ロット№　は　仕上区分＝損紙　の為、使用できません。」ですが、　基本設計の通り、そのままにします。</t>
  </si>
  <si>
    <r>
      <rPr>
        <sz val="10"/>
        <color rgb="FF000000"/>
        <rFont val="Meiryo UI"/>
        <family val="3"/>
        <charset val="128"/>
      </rPr>
      <t>15 一覧　ロット№入力 - 5
「COMC0403004の</t>
    </r>
    <r>
      <rPr>
        <sz val="10"/>
        <color rgb="FFFF0000"/>
        <rFont val="Meiryo UI"/>
        <family val="3"/>
        <charset val="128"/>
      </rPr>
      <t>レストラン</t>
    </r>
    <r>
      <rPr>
        <sz val="10"/>
        <color rgb="FF000000"/>
        <rFont val="Meiryo UI"/>
        <family val="3"/>
        <charset val="128"/>
      </rPr>
      <t>.品質区分」　とあるが、
「COMC0403004の</t>
    </r>
    <r>
      <rPr>
        <sz val="10"/>
        <color rgb="FFFF0000"/>
        <rFont val="Meiryo UI"/>
        <family val="3"/>
        <charset val="128"/>
      </rPr>
      <t>レスポンス</t>
    </r>
    <r>
      <rPr>
        <sz val="10"/>
        <color rgb="FF000000"/>
        <rFont val="Meiryo UI"/>
        <family val="3"/>
        <charset val="128"/>
      </rPr>
      <t>.品質区分」　の誤り。
→　他にもあるので訂正する。</t>
    </r>
  </si>
  <si>
    <r>
      <rPr>
        <sz val="10"/>
        <color rgb="FF000000"/>
        <rFont val="Meiryo UI"/>
        <family val="3"/>
        <charset val="128"/>
      </rPr>
      <t>15 一覧　ロット№入力 - 5
「COMC0403004のレストラン.品質区分が「01」製品以外場合、生産計画項目制御情報.製造部制御をチェックする。」　とあるが、
「COMC0403004のレス</t>
    </r>
    <r>
      <rPr>
        <sz val="10"/>
        <color rgb="FFFF0000"/>
        <rFont val="Meiryo UI"/>
        <family val="3"/>
        <charset val="128"/>
      </rPr>
      <t>ポンス</t>
    </r>
    <r>
      <rPr>
        <sz val="10"/>
        <color rgb="FF000000"/>
        <rFont val="Meiryo UI"/>
        <family val="3"/>
        <charset val="128"/>
      </rPr>
      <t>.品質区分が「01」製品以外</t>
    </r>
    <r>
      <rPr>
        <sz val="10"/>
        <color rgb="FFFF0000"/>
        <rFont val="Meiryo UI"/>
        <family val="3"/>
        <charset val="128"/>
      </rPr>
      <t>の</t>
    </r>
    <r>
      <rPr>
        <sz val="10"/>
        <color rgb="FF000000"/>
        <rFont val="Meiryo UI"/>
        <family val="3"/>
        <charset val="128"/>
      </rPr>
      <t>場合、生産計画項目制御情報.製造部制御を</t>
    </r>
    <r>
      <rPr>
        <sz val="10"/>
        <color rgb="FFFF0000"/>
        <rFont val="Meiryo UI"/>
        <family val="3"/>
        <charset val="128"/>
      </rPr>
      <t>取得</t>
    </r>
    <r>
      <rPr>
        <sz val="10"/>
        <color rgb="FF000000"/>
        <rFont val="Meiryo UI"/>
        <family val="3"/>
        <charset val="128"/>
      </rPr>
      <t>する。」
に訂正する。</t>
    </r>
  </si>
  <si>
    <t>15 一覧　ロット№入力 - 5
「■取得したデータを保持する。」 とあるが、この後で使わないので、保持する必要はないのではないか。</t>
  </si>
  <si>
    <t>削除します。
生産計画項目制御情報を取得した後で、エラーが無い場合、「COMC0403004のレスポンス.品質区分が「01」製品以外　且つ　製造部制御が「1」（入力・表示可能）の場合、警告メッセージを表示する。」という処理を行います。</t>
  </si>
  <si>
    <r>
      <rPr>
        <sz val="10"/>
        <color rgb="FF000000"/>
        <rFont val="Meiryo UI"/>
        <family val="3"/>
        <charset val="128"/>
      </rPr>
      <t xml:space="preserve">15 一覧　ロット№入力 - 5
警告メッセージに「はい」の場合、「次処理 </t>
    </r>
    <r>
      <rPr>
        <sz val="10"/>
        <color rgb="FFFF0000"/>
        <rFont val="Meiryo UI"/>
        <family val="3"/>
        <charset val="128"/>
      </rPr>
      <t>4</t>
    </r>
    <r>
      <rPr>
        <sz val="10"/>
        <color rgb="FF000000"/>
        <rFont val="Meiryo UI"/>
        <family val="3"/>
        <charset val="128"/>
      </rPr>
      <t xml:space="preserve"> へ」　となっているが、「</t>
    </r>
    <r>
      <rPr>
        <sz val="10"/>
        <color rgb="FFFF0000"/>
        <rFont val="Meiryo UI"/>
        <family val="3"/>
        <charset val="128"/>
      </rPr>
      <t>6</t>
    </r>
    <r>
      <rPr>
        <sz val="10"/>
        <color rgb="FF000000"/>
        <rFont val="Meiryo UI"/>
        <family val="3"/>
        <charset val="128"/>
      </rPr>
      <t>」ではないか。</t>
    </r>
  </si>
  <si>
    <t>15 一覧　ロット№入力 - 5
上記No17～20 を踏まえ、「修正案」シートの通り修正してはどうか？</t>
  </si>
  <si>
    <r>
      <rPr>
        <sz val="10"/>
        <color rgb="FF000000"/>
        <rFont val="Meiryo UI"/>
        <family val="3"/>
        <charset val="128"/>
      </rPr>
      <t>18 計画終了ボタン押下 - 1
「【メッセージ】 終了しますよろしいですか」　とあるが
「【メッセージ】 終了します</t>
    </r>
    <r>
      <rPr>
        <sz val="10"/>
        <color rgb="FFFF0000"/>
        <rFont val="Meiryo UI"/>
        <family val="3"/>
        <charset val="128"/>
      </rPr>
      <t>。</t>
    </r>
    <r>
      <rPr>
        <sz val="10"/>
        <color rgb="FF000000"/>
        <rFont val="Meiryo UI"/>
        <family val="3"/>
        <charset val="128"/>
      </rPr>
      <t>よろしいですか</t>
    </r>
    <r>
      <rPr>
        <sz val="10"/>
        <color rgb="FFFF0000"/>
        <rFont val="Meiryo UI"/>
        <family val="3"/>
        <charset val="128"/>
      </rPr>
      <t>？</t>
    </r>
    <r>
      <rPr>
        <sz val="10"/>
        <color rgb="FF000000"/>
        <rFont val="Meiryo UI"/>
        <family val="3"/>
        <charset val="128"/>
      </rPr>
      <t>」　に訂正する。</t>
    </r>
  </si>
  <si>
    <t>18 計画終了ボタン押下</t>
  </si>
  <si>
    <r>
      <rPr>
        <sz val="10"/>
        <color rgb="FF000000"/>
        <rFont val="Meiryo UI"/>
        <family val="3"/>
        <charset val="128"/>
      </rPr>
      <t>19 戻るボタン押下 - 1
20 ログアウトボタン押下 - 1
「</t>
    </r>
    <r>
      <rPr>
        <sz val="10"/>
        <color rgb="FFFF0000"/>
        <rFont val="Meiryo UI"/>
        <family val="3"/>
        <charset val="128"/>
      </rPr>
      <t>新規入力・変更入力がある</t>
    </r>
    <r>
      <rPr>
        <sz val="10"/>
        <color rgb="FF000000"/>
        <rFont val="Meiryo UI"/>
        <family val="3"/>
        <charset val="128"/>
      </rPr>
      <t>場合～」 となっているが、
「</t>
    </r>
    <r>
      <rPr>
        <sz val="10"/>
        <color rgb="FFFF0000"/>
        <rFont val="Meiryo UI"/>
        <family val="3"/>
        <charset val="128"/>
      </rPr>
      <t>変数．変更フラグ = 1の</t>
    </r>
    <r>
      <rPr>
        <sz val="10"/>
        <color rgb="FF000000"/>
        <rFont val="Meiryo UI"/>
        <family val="3"/>
        <charset val="128"/>
      </rPr>
      <t>場合～」 に訂正する。</t>
    </r>
  </si>
  <si>
    <t>19 戻るボタン押下 - 1
20 ログアウトボタン押下 - 1</t>
  </si>
  <si>
    <t>COMC0404001S</t>
  </si>
  <si>
    <t>3:記載不要</t>
    <phoneticPr fontId="2"/>
  </si>
  <si>
    <t>グレーアウトされているのが不要箇所なら、削除する</t>
  </si>
  <si>
    <t>グレーアウトの内容は、保留です。
非表示とします。</t>
  </si>
  <si>
    <t>COMC0404001</t>
  </si>
  <si>
    <t>13:記載不要</t>
  </si>
  <si>
    <t>4 正常終了
直前の不要な空白行を削除する。</t>
    <rPh sb="2" eb="6">
      <t>セイジョウシュウリョウ</t>
    </rPh>
    <rPh sb="7" eb="9">
      <t>チョクゼン</t>
    </rPh>
    <rPh sb="10" eb="12">
      <t>フヨウ</t>
    </rPh>
    <rPh sb="13" eb="16">
      <t>クウハクギョウ</t>
    </rPh>
    <rPh sb="17" eb="19">
      <t>サクジョ</t>
    </rPh>
    <phoneticPr fontId="2"/>
  </si>
  <si>
    <t>COMC0404002C</t>
  </si>
  <si>
    <t>「内容」欄に　　※隠し項目　　※C0404　　などが書かれているが、画面側の情報であり、ここに記述する必要はない。
→　COMC0404003C　も同じ</t>
    <rPh sb="1" eb="3">
      <t>ナイヨウ</t>
    </rPh>
    <rPh sb="4" eb="5">
      <t>ラン</t>
    </rPh>
    <rPh sb="9" eb="10">
      <t>カク</t>
    </rPh>
    <rPh sb="11" eb="13">
      <t>コウモク</t>
    </rPh>
    <rPh sb="26" eb="27">
      <t>カ</t>
    </rPh>
    <rPh sb="34" eb="37">
      <t>ガメンガワ</t>
    </rPh>
    <rPh sb="38" eb="40">
      <t>ジョウホウ</t>
    </rPh>
    <rPh sb="47" eb="49">
      <t>キジュツ</t>
    </rPh>
    <rPh sb="51" eb="53">
      <t>ヒツヨウ</t>
    </rPh>
    <rPh sb="74" eb="75">
      <t>オナ</t>
    </rPh>
    <phoneticPr fontId="2"/>
  </si>
  <si>
    <t>削除します。</t>
  </si>
  <si>
    <t>COMC0404002</t>
  </si>
  <si>
    <t>COMC0404003S</t>
  </si>
  <si>
    <t>背景色黄色の部分は、課題ありの部分か。
そうであればQAのNoなどを記載し、課題であることがわかるようにする。
→　例）「QA.123 回答待ち」</t>
    <rPh sb="0" eb="3">
      <t>ハイケイショク</t>
    </rPh>
    <rPh sb="3" eb="5">
      <t>キイロ</t>
    </rPh>
    <rPh sb="6" eb="8">
      <t>ブブン</t>
    </rPh>
    <rPh sb="10" eb="12">
      <t>カダイ</t>
    </rPh>
    <rPh sb="15" eb="17">
      <t>ブブン</t>
    </rPh>
    <rPh sb="34" eb="36">
      <t>キサイ</t>
    </rPh>
    <rPh sb="38" eb="40">
      <t>カダイ</t>
    </rPh>
    <rPh sb="58" eb="59">
      <t>レイ</t>
    </rPh>
    <rPh sb="68" eb="71">
      <t>カイトウマ</t>
    </rPh>
    <phoneticPr fontId="2"/>
  </si>
  <si>
    <t>削除します</t>
  </si>
  <si>
    <t>COMC0404003</t>
  </si>
  <si>
    <t>End</t>
    <phoneticPr fontId="2"/>
  </si>
  <si>
    <t>No15</t>
    <phoneticPr fontId="2"/>
  </si>
  <si>
    <t>＜修正案＞</t>
    <rPh sb="1" eb="4">
      <t>シュウセイアン</t>
    </rPh>
    <phoneticPr fontId="2"/>
  </si>
  <si>
    <t>No21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</si>
  <si>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</si>
  <si>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</si>
  <si>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</si>
  <si>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</si>
  <si>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</si>
  <si>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</si>
  <si>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</si>
  <si>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</si>
  <si>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</si>
  <si>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</si>
  <si>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</si>
  <si>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</si>
  <si>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</si>
  <si>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</si>
  <si>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</si>
  <si>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</si>
  <si>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</si>
  <si>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</si>
  <si>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</si>
  <si>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</si>
  <si>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</si>
  <si>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</si>
  <si>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</si>
  <si>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</si>
  <si>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</si>
  <si>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</si>
  <si>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</si>
  <si>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</si>
  <si>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</si>
  <si>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</si>
  <si>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</si>
  <si>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</si>
  <si>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</si>
  <si>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</si>
  <si>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</si>
  <si>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</si>
  <si>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</si>
  <si>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</si>
  <si>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</si>
  <si>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</si>
  <si>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</si>
  <si>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</si>
  <si>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</si>
  <si>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</si>
  <si>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</si>
  <si>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</si>
  <si>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</si>
  <si>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</si>
  <si>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</si>
  <si>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</si>
  <si>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</si>
  <si>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</si>
  <si>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</si>
  <si>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</si>
  <si>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</si>
  <si>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</si>
  <si>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</si>
  <si>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</si>
  <si>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</si>
  <si>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</si>
  <si>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</si>
  <si>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</si>
  <si>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</si>
  <si>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</si>
  <si>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</si>
  <si>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</si>
  <si>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</si>
  <si>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</si>
  <si>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</si>
  <si>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</si>
  <si>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</si>
  <si>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</si>
  <si>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</si>
  <si>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</si>
  <si>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</si>
  <si>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</si>
  <si>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</si>
  <si>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</si>
  <si>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</si>
  <si>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</si>
  <si>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</si>
  <si>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</si>
  <si>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</si>
  <si>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</si>
  <si>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</si>
  <si>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</si>
  <si>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</si>
  <si>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</si>
  <si>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</si>
  <si>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</si>
  <si>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</si>
  <si>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</si>
  <si>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</si>
  <si>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</si>
  <si>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</si>
  <si>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</si>
  <si>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</si>
  <si>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</si>
  <si>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</si>
  <si>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</si>
  <si>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</si>
  <si>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</si>
  <si>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</si>
  <si>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</si>
  <si>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</si>
  <si>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</si>
  <si>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</si>
  <si>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</si>
  <si>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</si>
  <si>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</si>
  <si>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</si>
  <si>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</si>
  <si>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</si>
  <si>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</si>
  <si>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</si>
  <si>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</si>
  <si>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</si>
  <si>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</si>
  <si>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</si>
  <si>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</si>
  <si>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</si>
  <si>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</si>
  <si>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</si>
  <si>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</si>
  <si>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</si>
  <si>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</si>
  <si>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</si>
  <si>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</si>
  <si>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</si>
  <si>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</si>
  <si>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</si>
  <si>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</si>
  <si>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</si>
  <si>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</si>
  <si>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</si>
  <si>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</si>
  <si>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</si>
  <si>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</si>
  <si>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</si>
  <si>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</si>
  <si>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</si>
  <si>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</si>
  <si>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</si>
  <si>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</si>
  <si>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</si>
  <si>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</si>
  <si>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</si>
  <si>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</si>
  <si>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</si>
  <si>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</si>
  <si>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</si>
  <si>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</si>
  <si>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</si>
  <si>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</si>
  <si>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</si>
  <si>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</si>
  <si>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</si>
  <si>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</si>
  <si>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</si>
  <si>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</si>
  <si>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</si>
  <si>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</si>
  <si>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</si>
  <si>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</si>
  <si>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</si>
  <si>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</si>
  <si>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</si>
  <si>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</si>
  <si>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</si>
  <si>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</si>
  <si>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</si>
  <si>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</si>
  <si>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</si>
  <si>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</si>
  <si>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</si>
  <si>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</si>
  <si>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</si>
  <si>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</si>
  <si>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</si>
  <si>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</si>
  <si>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</si>
  <si>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</si>
  <si>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</si>
  <si>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</si>
  <si>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</si>
  <si>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</si>
  <si>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</si>
  <si>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</si>
  <si>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</si>
  <si>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</si>
  <si>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</si>
  <si>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</si>
  <si>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</si>
  <si>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</si>
  <si>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</si>
  <si>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</si>
  <si>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</si>
  <si>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</si>
  <si>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</si>
  <si>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</si>
  <si>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</si>
  <si>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</si>
  <si>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</si>
  <si>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</si>
  <si>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</si>
  <si>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</si>
  <si>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</si>
  <si>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</si>
  <si>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</si>
  <si>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</si>
  <si>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</si>
  <si>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</si>
  <si>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</si>
  <si>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</si>
  <si>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</si>
  <si>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</si>
  <si>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</si>
  <si>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</si>
  <si>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</si>
  <si>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</si>
  <si>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</si>
  <si>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</si>
  <si>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</si>
  <si>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</si>
  <si>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</si>
  <si>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</si>
  <si>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</si>
  <si>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</si>
  <si>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</si>
  <si>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</si>
  <si>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</si>
  <si>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</si>
  <si>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</si>
  <si>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</si>
  <si>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</si>
  <si>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</si>
  <si>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</si>
  <si>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</si>
  <si>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</si>
  <si>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</si>
  <si>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</si>
  <si>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</si>
  <si>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</si>
  <si>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</si>
  <si>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</si>
  <si>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</si>
  <si>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</si>
  <si>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</si>
  <si>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</si>
  <si>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</si>
  <si>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</si>
  <si>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</si>
  <si>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</si>
  <si>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</si>
  <si>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</si>
  <si>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</si>
  <si>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</si>
  <si>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</si>
  <si>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</si>
  <si>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</si>
  <si>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</si>
  <si>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</si>
  <si>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</si>
  <si>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</si>
  <si>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</si>
  <si>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</si>
  <si>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</si>
  <si>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</si>
  <si>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</si>
  <si>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</si>
  <si>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</si>
  <si>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</si>
  <si>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</si>
  <si>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</si>
  <si>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</si>
  <si>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</si>
  <si>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</si>
  <si>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</si>
  <si>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</si>
  <si>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</si>
  <si>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</si>
  <si>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</si>
  <si>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</si>
  <si>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</si>
  <si>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</si>
  <si>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</si>
  <si>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</si>
  <si>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</si>
  <si>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</si>
  <si>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</si>
  <si>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</si>
  <si>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</si>
  <si>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</si>
  <si>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</si>
  <si>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</si>
  <si>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</si>
  <si>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</si>
  <si>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</si>
  <si>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</si>
  <si>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</si>
  <si>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</si>
  <si>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</si>
  <si>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</si>
  <si>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</si>
  <si>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</si>
  <si>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</si>
  <si>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</si>
  <si>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</si>
  <si>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</si>
  <si>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</si>
  <si>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</si>
  <si>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</si>
  <si>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</si>
  <si>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</si>
  <si>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</si>
  <si>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</si>
  <si>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</si>
  <si>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</si>
  <si>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</si>
  <si>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</si>
  <si>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</si>
  <si>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</si>
  <si>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</si>
  <si>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11:記載漏れ（画面・帳票）</t>
  </si>
  <si>
    <t>画面/帳票の項目過不足、レイアウト設計ミス</t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</si>
  <si>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</si>
  <si>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1:設計ﾐｽ</t>
    <phoneticPr fontId="2"/>
  </si>
  <si>
    <t>記載不要の処理</t>
    <rPh sb="5" eb="7">
      <t>ショリ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</si>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</sst>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21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4"/>
      <color rgb="FF0066FF"/>
      <name val="Meiryo UI"/>
      <family val="2"/>
      <charset val="128"/>
    </font>
    <font>
      <b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66FF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0" fillId="7" borderId="0" xfId="0" applyFill="1">
      <alignment vertical="center"/>
    </xf>
    <xf numFmtId="0" fontId="14" fillId="7" borderId="0" xfId="0" applyFont="1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0" fontId="20" fillId="0" borderId="2" xfId="0" applyFont="1" applyBorder="1" applyAlignment="1">
      <alignment horizontal="left" vertical="top" wrapText="1"/>
    </xf>
    <xf numFmtId="176" fontId="0" fillId="8" borderId="2" xfId="0" applyNumberFormat="1" applyFill="1" applyBorder="1" applyAlignment="1">
      <alignment horizontal="center" vertical="top"/>
    </xf>
    <xf numFmtId="176" fontId="0" fillId="8" borderId="3" xfId="0" applyNumberFormat="1" applyFill="1" applyBorder="1" applyAlignment="1">
      <alignment horizontal="center" vertical="top"/>
    </xf>
    <xf numFmtId="176" fontId="0" fillId="8" borderId="4" xfId="0" applyNumberFormat="1" applyFill="1" applyBorder="1" applyAlignment="1">
      <alignment horizontal="center" vertical="top"/>
    </xf>
    <xf numFmtId="0" fontId="0" fillId="8" borderId="2" xfId="0" applyFill="1" applyBorder="1" applyAlignment="1">
      <alignment horizontal="center" vertical="top"/>
    </xf>
    <xf numFmtId="0" fontId="0" fillId="8" borderId="3" xfId="0" applyFill="1" applyBorder="1" applyAlignment="1">
      <alignment horizontal="center" vertical="top"/>
    </xf>
    <xf numFmtId="0" fontId="0" fillId="8" borderId="4" xfId="0" applyFill="1" applyBorder="1" applyAlignment="1">
      <alignment horizontal="center" vertical="top"/>
    </xf>
    <xf numFmtId="0" fontId="15" fillId="0" borderId="2" xfId="0" applyFont="1" applyBorder="1" applyAlignment="1">
      <alignment vertical="top" wrapText="1"/>
    </xf>
    <xf numFmtId="0" fontId="15" fillId="0" borderId="3" xfId="0" applyFont="1" applyBorder="1" applyAlignment="1">
      <alignment vertical="top" wrapText="1"/>
    </xf>
    <xf numFmtId="0" fontId="15" fillId="0" borderId="4" xfId="0" applyFont="1" applyBorder="1" applyAlignment="1">
      <alignment vertical="top" wrapText="1"/>
    </xf>
    <xf numFmtId="0" fontId="20" fillId="0" borderId="2" xfId="0" applyFont="1" applyBorder="1" applyAlignment="1">
      <alignment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FFCCFF"/>
      <color rgb="FF0066FF"/>
      <color rgb="FFCCFF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18</xdr:col>
      <xdr:colOff>131876</xdr:colOff>
      <xdr:row>26</xdr:row>
      <xdr:rowOff>104242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4EEA344-4619-823C-8BB0-4182F243F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723900"/>
          <a:ext cx="11790476" cy="4266667"/>
        </a:xfrm>
        <a:prstGeom prst="rect">
          <a:avLst/>
        </a:prstGeom>
      </xdr:spPr>
    </xdr:pic>
    <xdr:clientData/>
  </xdr:twoCellAnchor>
  <xdr:twoCellAnchor>
    <xdr:from>
      <xdr:col>0</xdr:col>
      <xdr:colOff>571500</xdr:colOff>
      <xdr:row>3</xdr:row>
      <xdr:rowOff>28575</xdr:rowOff>
    </xdr:from>
    <xdr:to>
      <xdr:col>14</xdr:col>
      <xdr:colOff>57150</xdr:colOff>
      <xdr:row>13</xdr:row>
      <xdr:rowOff>104775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2CFC3FC-5526-0C0F-4DBF-9A9D6EFCA848}"/>
            </a:ext>
          </a:extLst>
        </xdr:cNvPr>
        <xdr:cNvSpPr/>
      </xdr:nvSpPr>
      <xdr:spPr>
        <a:xfrm>
          <a:off x="571500" y="752475"/>
          <a:ext cx="9086850" cy="1885950"/>
        </a:xfrm>
        <a:prstGeom prst="roundRect">
          <a:avLst>
            <a:gd name="adj" fmla="val 8081"/>
          </a:avLst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542925</xdr:colOff>
      <xdr:row>15</xdr:row>
      <xdr:rowOff>19050</xdr:rowOff>
    </xdr:from>
    <xdr:to>
      <xdr:col>14</xdr:col>
      <xdr:colOff>28575</xdr:colOff>
      <xdr:row>17</xdr:row>
      <xdr:rowOff>76200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7230B3B-49B7-433D-9A9D-7C589DA572FC}"/>
            </a:ext>
          </a:extLst>
        </xdr:cNvPr>
        <xdr:cNvSpPr/>
      </xdr:nvSpPr>
      <xdr:spPr>
        <a:xfrm>
          <a:off x="542925" y="2914650"/>
          <a:ext cx="9086850" cy="419100"/>
        </a:xfrm>
        <a:prstGeom prst="roundRect">
          <a:avLst>
            <a:gd name="adj" fmla="val 8081"/>
          </a:avLst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28575</xdr:colOff>
      <xdr:row>8</xdr:row>
      <xdr:rowOff>66675</xdr:rowOff>
    </xdr:from>
    <xdr:to>
      <xdr:col>14</xdr:col>
      <xdr:colOff>57150</xdr:colOff>
      <xdr:row>16</xdr:row>
      <xdr:rowOff>47625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6BC337A6-B250-6E98-23A2-5F8DD614E18E}"/>
            </a:ext>
          </a:extLst>
        </xdr:cNvPr>
        <xdr:cNvCxnSpPr>
          <a:stCxn id="3" idx="3"/>
          <a:endCxn id="4" idx="3"/>
        </xdr:cNvCxnSpPr>
      </xdr:nvCxnSpPr>
      <xdr:spPr>
        <a:xfrm flipH="1">
          <a:off x="9629775" y="1695450"/>
          <a:ext cx="28575" cy="1428750"/>
        </a:xfrm>
        <a:prstGeom prst="curvedConnector3">
          <a:avLst>
            <a:gd name="adj1" fmla="val -1633333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209550</xdr:colOff>
      <xdr:row>11</xdr:row>
      <xdr:rowOff>9525</xdr:rowOff>
    </xdr:from>
    <xdr:ext cx="1447800" cy="564514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B33DDCD-F6E9-91A8-FE18-8CEF1761FA88}"/>
            </a:ext>
          </a:extLst>
        </xdr:cNvPr>
        <xdr:cNvSpPr txBox="1"/>
      </xdr:nvSpPr>
      <xdr:spPr>
        <a:xfrm>
          <a:off x="9810750" y="2181225"/>
          <a:ext cx="1447800" cy="564514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rgbClr val="FF0000"/>
              </a:solidFill>
            </a:rPr>
            <a:t>ここに記述すればよいのでは？</a:t>
          </a:r>
        </a:p>
      </xdr:txBody>
    </xdr:sp>
    <xdr:clientData/>
  </xdr:oneCellAnchor>
  <xdr:twoCellAnchor editAs="oneCell">
    <xdr:from>
      <xdr:col>1</xdr:col>
      <xdr:colOff>0</xdr:colOff>
      <xdr:row>31</xdr:row>
      <xdr:rowOff>0</xdr:rowOff>
    </xdr:from>
    <xdr:to>
      <xdr:col>17</xdr:col>
      <xdr:colOff>665295</xdr:colOff>
      <xdr:row>49</xdr:row>
      <xdr:rowOff>9117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F8E12DAD-FCD9-343C-AA6D-5847673DB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5610225"/>
          <a:ext cx="11638095" cy="32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17</xdr:col>
      <xdr:colOff>617676</xdr:colOff>
      <xdr:row>82</xdr:row>
      <xdr:rowOff>151770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BF79AC56-64A0-4CBA-BABE-86A7F2AF0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10201275"/>
          <a:ext cx="11590476" cy="50380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37"/>
  <sheetViews>
    <sheetView showGridLines="0" tabSelected="1" zoomScale="90" zoomScaleNormal="90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96" t="s">
        <v>0</v>
      </c>
      <c r="B1" s="84"/>
      <c r="C1" s="84"/>
      <c r="D1" s="85"/>
      <c r="E1" s="83" t="s">
        <v>1</v>
      </c>
      <c r="F1" s="84"/>
      <c r="G1" s="85"/>
      <c r="H1" s="83" t="s">
        <v>2</v>
      </c>
      <c r="I1" s="85"/>
      <c r="J1" s="83" t="s">
        <v>3</v>
      </c>
      <c r="K1" s="84"/>
      <c r="L1" s="84"/>
      <c r="M1" s="84"/>
      <c r="N1" s="84"/>
      <c r="O1" s="85"/>
      <c r="P1" s="83" t="s">
        <v>4</v>
      </c>
      <c r="Q1" s="85"/>
    </row>
    <row r="2" spans="1:71" customFormat="1" ht="15" customHeight="1" x14ac:dyDescent="0.25">
      <c r="A2" s="97" t="s">
        <v>5</v>
      </c>
      <c r="B2" s="99"/>
      <c r="C2" s="99"/>
      <c r="D2" s="98"/>
      <c r="E2" s="97" t="s">
        <v>6</v>
      </c>
      <c r="F2" s="99"/>
      <c r="G2" s="98"/>
      <c r="H2" s="97" t="s">
        <v>7</v>
      </c>
      <c r="I2" s="98"/>
      <c r="J2" s="4" t="str">
        <f>IF(H2="","",VLOOKUP(H2,マスタ!C:D,2,FALSE))</f>
        <v>仕上実績登録（熱加工）</v>
      </c>
      <c r="K2" s="5"/>
      <c r="L2" s="5"/>
      <c r="M2" s="5"/>
      <c r="N2" s="5"/>
      <c r="O2" s="6"/>
      <c r="P2" s="97">
        <v>43</v>
      </c>
      <c r="Q2" s="98"/>
      <c r="AE2" s="10" t="s">
        <v>8</v>
      </c>
      <c r="AF2" s="8"/>
      <c r="AG2" s="9"/>
      <c r="AH2" s="38" t="s">
        <v>9</v>
      </c>
      <c r="AI2" s="39"/>
      <c r="AJ2" s="39"/>
      <c r="AK2" s="40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10</v>
      </c>
      <c r="AF3" s="8"/>
      <c r="AG3" s="9"/>
      <c r="AH3" s="38"/>
      <c r="AI3" s="39"/>
      <c r="AJ3" s="39"/>
      <c r="AK3" s="40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96" t="s">
        <v>11</v>
      </c>
      <c r="B4" s="84"/>
      <c r="C4" s="85"/>
      <c r="D4" s="83" t="s">
        <v>12</v>
      </c>
      <c r="E4" s="84"/>
      <c r="F4" s="85"/>
      <c r="G4" s="83" t="s">
        <v>13</v>
      </c>
      <c r="H4" s="84"/>
      <c r="I4" s="85"/>
      <c r="J4" s="83" t="s">
        <v>14</v>
      </c>
      <c r="K4" s="84"/>
      <c r="L4" s="85"/>
      <c r="M4" s="83" t="s">
        <v>15</v>
      </c>
      <c r="N4" s="84"/>
      <c r="O4" s="85"/>
      <c r="P4" s="12"/>
      <c r="Q4" s="96" t="s">
        <v>16</v>
      </c>
      <c r="R4" s="85"/>
      <c r="S4" s="83" t="s">
        <v>17</v>
      </c>
      <c r="T4" s="84"/>
      <c r="U4" s="84"/>
      <c r="V4" s="85"/>
      <c r="W4" s="83" t="s">
        <v>18</v>
      </c>
      <c r="X4" s="84"/>
      <c r="Y4" s="85"/>
      <c r="Z4" s="83" t="s">
        <v>19</v>
      </c>
      <c r="AA4" s="84"/>
      <c r="AB4" s="85"/>
      <c r="AE4" s="10" t="s">
        <v>20</v>
      </c>
      <c r="AF4" s="8"/>
      <c r="AG4" s="9"/>
      <c r="AH4" s="38"/>
      <c r="AI4" s="39"/>
      <c r="AJ4" s="39"/>
      <c r="AK4" s="40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100">
        <v>1</v>
      </c>
      <c r="B5" s="101"/>
      <c r="C5" s="102"/>
      <c r="D5" s="89">
        <v>45223</v>
      </c>
      <c r="E5" s="90"/>
      <c r="F5" s="91"/>
      <c r="G5" s="86"/>
      <c r="H5" s="87"/>
      <c r="I5" s="88"/>
      <c r="J5" s="86"/>
      <c r="K5" s="87"/>
      <c r="L5" s="88"/>
      <c r="M5" s="86">
        <v>8.3333333333333329E-2</v>
      </c>
      <c r="N5" s="87"/>
      <c r="O5" s="88"/>
      <c r="P5" s="2"/>
      <c r="Q5" s="97">
        <f ca="1">COUNT(INDIRECT("$A9:$A"&amp;ROW(最終行)))</f>
        <v>27</v>
      </c>
      <c r="R5" s="98"/>
      <c r="S5" s="89">
        <f ca="1">IF(MAX(INDIRECT("$BB9:$BB"&amp;ROW(最終行)))=0,"",MAX(INDIRECT("$BB9:$BB"&amp;ROW(最終行))))</f>
        <v>45239</v>
      </c>
      <c r="T5" s="90"/>
      <c r="U5" s="90"/>
      <c r="V5" s="91"/>
      <c r="W5" s="89">
        <f ca="1">IF(MAX(INDIRECT("$BE9:$BE"&amp;ROW(最終行)))=0,"",MAX(INDIRECT("$BE9:$BE"&amp;ROW(最終行))))</f>
        <v>45239</v>
      </c>
      <c r="X5" s="90"/>
      <c r="Y5" s="91"/>
      <c r="Z5" s="89">
        <f ca="1">IF(MAX(INDIRECT("$BK9:$BK"&amp;ROW(最終行)))=0,"",MAX(INDIRECT("$BK9:$BK"&amp;ROW(最終行))))</f>
        <v>45243</v>
      </c>
      <c r="AA5" s="90"/>
      <c r="AB5" s="91"/>
      <c r="AD5" s="11"/>
      <c r="AE5" s="10" t="s">
        <v>21</v>
      </c>
      <c r="AF5" s="8"/>
      <c r="AG5" s="9"/>
      <c r="AH5" s="38"/>
      <c r="AI5" s="39"/>
      <c r="AJ5" s="39"/>
      <c r="AK5" s="40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103" t="s">
        <v>22</v>
      </c>
      <c r="B7" s="77" t="s">
        <v>23</v>
      </c>
      <c r="C7" s="78"/>
      <c r="D7" s="77" t="s">
        <v>24</v>
      </c>
      <c r="E7" s="81"/>
      <c r="F7" s="81"/>
      <c r="G7" s="81"/>
      <c r="H7" s="78"/>
      <c r="I7" s="77" t="s">
        <v>25</v>
      </c>
      <c r="J7" s="81"/>
      <c r="K7" s="81"/>
      <c r="L7" s="78"/>
      <c r="M7" s="77" t="s">
        <v>26</v>
      </c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78"/>
      <c r="Z7" s="77" t="s">
        <v>27</v>
      </c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78"/>
      <c r="AM7" s="77" t="s">
        <v>28</v>
      </c>
      <c r="AN7" s="81"/>
      <c r="AO7" s="78"/>
      <c r="AP7" s="95" t="s">
        <v>29</v>
      </c>
      <c r="AQ7" s="95"/>
      <c r="AR7" s="95"/>
      <c r="AS7" s="95"/>
      <c r="AT7" s="95"/>
      <c r="AU7" s="95"/>
      <c r="AV7" s="95"/>
      <c r="AW7" s="95"/>
      <c r="AX7" s="95"/>
      <c r="AY7" s="71" t="s">
        <v>30</v>
      </c>
      <c r="AZ7" s="72"/>
      <c r="BA7" s="72"/>
      <c r="BB7" s="72"/>
      <c r="BC7" s="72"/>
      <c r="BD7" s="72"/>
      <c r="BE7" s="72"/>
      <c r="BF7" s="72"/>
      <c r="BG7" s="73"/>
      <c r="BH7" s="95" t="s">
        <v>31</v>
      </c>
      <c r="BI7" s="95"/>
      <c r="BJ7" s="95"/>
      <c r="BK7" s="95"/>
      <c r="BL7" s="95"/>
      <c r="BM7" s="95"/>
      <c r="BN7" s="71" t="s">
        <v>32</v>
      </c>
      <c r="BO7" s="72"/>
      <c r="BP7" s="72"/>
      <c r="BQ7" s="72"/>
      <c r="BR7" s="72"/>
      <c r="BS7" s="73"/>
    </row>
    <row r="8" spans="1:71" s="1" customFormat="1" ht="15" customHeight="1" x14ac:dyDescent="0.25">
      <c r="A8" s="104"/>
      <c r="B8" s="79"/>
      <c r="C8" s="80"/>
      <c r="D8" s="79"/>
      <c r="E8" s="82"/>
      <c r="F8" s="82"/>
      <c r="G8" s="82"/>
      <c r="H8" s="80"/>
      <c r="I8" s="79"/>
      <c r="J8" s="82"/>
      <c r="K8" s="82"/>
      <c r="L8" s="80"/>
      <c r="M8" s="79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0"/>
      <c r="Z8" s="79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0"/>
      <c r="AM8" s="79"/>
      <c r="AN8" s="82"/>
      <c r="AO8" s="80"/>
      <c r="AP8" s="74" t="s">
        <v>33</v>
      </c>
      <c r="AQ8" s="75"/>
      <c r="AR8" s="76"/>
      <c r="AS8" s="74" t="s">
        <v>34</v>
      </c>
      <c r="AT8" s="75"/>
      <c r="AU8" s="76"/>
      <c r="AV8" s="74" t="s">
        <v>35</v>
      </c>
      <c r="AW8" s="75"/>
      <c r="AX8" s="76"/>
      <c r="AY8" s="92" t="s">
        <v>36</v>
      </c>
      <c r="AZ8" s="93"/>
      <c r="BA8" s="94"/>
      <c r="BB8" s="92" t="s">
        <v>37</v>
      </c>
      <c r="BC8" s="93"/>
      <c r="BD8" s="94"/>
      <c r="BE8" s="92" t="s">
        <v>38</v>
      </c>
      <c r="BF8" s="93"/>
      <c r="BG8" s="94"/>
      <c r="BH8" s="74" t="s">
        <v>39</v>
      </c>
      <c r="BI8" s="75"/>
      <c r="BJ8" s="76"/>
      <c r="BK8" s="92" t="s">
        <v>40</v>
      </c>
      <c r="BL8" s="93"/>
      <c r="BM8" s="94"/>
      <c r="BN8" s="74"/>
      <c r="BO8" s="75"/>
      <c r="BP8" s="75"/>
      <c r="BQ8" s="75"/>
      <c r="BR8" s="75"/>
      <c r="BS8" s="76"/>
    </row>
    <row r="9" spans="1:71" ht="60" customHeight="1" x14ac:dyDescent="0.25">
      <c r="A9" s="7">
        <f>IF(M9="","",COUNTA($M$9:M9))</f>
        <v>1</v>
      </c>
      <c r="B9" s="41" t="s">
        <v>9</v>
      </c>
      <c r="C9" s="43"/>
      <c r="D9" s="56" t="s">
        <v>41</v>
      </c>
      <c r="E9" s="57"/>
      <c r="F9" s="57"/>
      <c r="G9" s="57"/>
      <c r="H9" s="58"/>
      <c r="I9" s="44" t="s">
        <v>42</v>
      </c>
      <c r="J9" s="45"/>
      <c r="K9" s="45"/>
      <c r="L9" s="46"/>
      <c r="M9" s="67" t="s">
        <v>43</v>
      </c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9"/>
      <c r="Z9" s="47" t="s">
        <v>44</v>
      </c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9"/>
      <c r="AM9" s="44" t="s">
        <v>45</v>
      </c>
      <c r="AN9" s="45"/>
      <c r="AO9" s="46"/>
      <c r="AP9" s="50" t="s">
        <v>46</v>
      </c>
      <c r="AQ9" s="51"/>
      <c r="AR9" s="52"/>
      <c r="AS9" s="50" t="s">
        <v>47</v>
      </c>
      <c r="AT9" s="51"/>
      <c r="AU9" s="52"/>
      <c r="AV9" s="50" t="s">
        <v>48</v>
      </c>
      <c r="AW9" s="51"/>
      <c r="AX9" s="52"/>
      <c r="AY9" s="41" t="s">
        <v>49</v>
      </c>
      <c r="AZ9" s="42"/>
      <c r="BA9" s="43"/>
      <c r="BB9" s="53">
        <v>45224</v>
      </c>
      <c r="BC9" s="54"/>
      <c r="BD9" s="55"/>
      <c r="BE9" s="53">
        <v>45224</v>
      </c>
      <c r="BF9" s="54"/>
      <c r="BG9" s="55"/>
      <c r="BH9" s="64"/>
      <c r="BI9" s="65"/>
      <c r="BJ9" s="66"/>
      <c r="BK9" s="61"/>
      <c r="BL9" s="62"/>
      <c r="BM9" s="63"/>
      <c r="BN9" s="44"/>
      <c r="BO9" s="45"/>
      <c r="BP9" s="45"/>
      <c r="BQ9" s="45"/>
      <c r="BR9" s="45"/>
      <c r="BS9" s="46"/>
    </row>
    <row r="10" spans="1:71" ht="60" customHeight="1" x14ac:dyDescent="0.25">
      <c r="A10" s="7">
        <f>IF(M10="","",COUNTA($M$9:M10))</f>
        <v>2</v>
      </c>
      <c r="B10" s="41" t="s">
        <v>9</v>
      </c>
      <c r="C10" s="43"/>
      <c r="D10" s="56" t="s">
        <v>50</v>
      </c>
      <c r="E10" s="57"/>
      <c r="F10" s="57"/>
      <c r="G10" s="57"/>
      <c r="H10" s="58"/>
      <c r="I10" s="45" t="s">
        <v>51</v>
      </c>
      <c r="J10" s="45"/>
      <c r="K10" s="45"/>
      <c r="L10" s="45"/>
      <c r="M10" s="44" t="s">
        <v>52</v>
      </c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6"/>
      <c r="Z10" s="44" t="s">
        <v>53</v>
      </c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6"/>
      <c r="AM10" s="44" t="s">
        <v>54</v>
      </c>
      <c r="AN10" s="45"/>
      <c r="AO10" s="46"/>
      <c r="AP10" s="50" t="s">
        <v>46</v>
      </c>
      <c r="AQ10" s="51"/>
      <c r="AR10" s="52"/>
      <c r="AS10" s="50" t="s">
        <v>55</v>
      </c>
      <c r="AT10" s="51"/>
      <c r="AU10" s="52"/>
      <c r="AV10" s="50" t="s">
        <v>56</v>
      </c>
      <c r="AW10" s="51"/>
      <c r="AX10" s="52"/>
      <c r="AY10" s="41" t="s">
        <v>49</v>
      </c>
      <c r="AZ10" s="42"/>
      <c r="BA10" s="43"/>
      <c r="BB10" s="53">
        <v>45224</v>
      </c>
      <c r="BC10" s="54"/>
      <c r="BD10" s="55"/>
      <c r="BE10" s="53">
        <v>45224</v>
      </c>
      <c r="BF10" s="54"/>
      <c r="BG10" s="55"/>
      <c r="BH10" s="41" t="s">
        <v>9</v>
      </c>
      <c r="BI10" s="42"/>
      <c r="BJ10" s="43"/>
      <c r="BK10" s="53">
        <v>45238</v>
      </c>
      <c r="BL10" s="54"/>
      <c r="BM10" s="55"/>
      <c r="BN10" s="44"/>
      <c r="BO10" s="45"/>
      <c r="BP10" s="45"/>
      <c r="BQ10" s="45"/>
      <c r="BR10" s="45"/>
      <c r="BS10" s="46"/>
    </row>
    <row r="11" spans="1:71" ht="129.75" customHeight="1" x14ac:dyDescent="0.25">
      <c r="A11" s="7">
        <f>IF(M11="","",COUNTA($M$9:M11))</f>
        <v>3</v>
      </c>
      <c r="B11" s="41" t="s">
        <v>9</v>
      </c>
      <c r="C11" s="43"/>
      <c r="D11" s="56" t="s">
        <v>50</v>
      </c>
      <c r="E11" s="57"/>
      <c r="F11" s="57"/>
      <c r="G11" s="57"/>
      <c r="H11" s="58"/>
      <c r="I11" s="45" t="s">
        <v>57</v>
      </c>
      <c r="J11" s="45"/>
      <c r="K11" s="45"/>
      <c r="L11" s="45"/>
      <c r="M11" s="44" t="s">
        <v>58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60" t="s">
        <v>59</v>
      </c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9"/>
      <c r="AM11" s="44" t="s">
        <v>54</v>
      </c>
      <c r="AN11" s="45"/>
      <c r="AO11" s="46"/>
      <c r="AP11" s="50" t="s">
        <v>46</v>
      </c>
      <c r="AQ11" s="51"/>
      <c r="AR11" s="52"/>
      <c r="AS11" s="50" t="s">
        <v>60</v>
      </c>
      <c r="AT11" s="51"/>
      <c r="AU11" s="52"/>
      <c r="AV11" s="50" t="s">
        <v>61</v>
      </c>
      <c r="AW11" s="51"/>
      <c r="AX11" s="52"/>
      <c r="AY11" s="41" t="s">
        <v>49</v>
      </c>
      <c r="AZ11" s="42"/>
      <c r="BA11" s="43"/>
      <c r="BB11" s="53">
        <v>45239</v>
      </c>
      <c r="BC11" s="54"/>
      <c r="BD11" s="55"/>
      <c r="BE11" s="53">
        <v>45239</v>
      </c>
      <c r="BF11" s="54"/>
      <c r="BG11" s="55"/>
      <c r="BH11" s="41" t="s">
        <v>9</v>
      </c>
      <c r="BI11" s="42"/>
      <c r="BJ11" s="43"/>
      <c r="BK11" s="53">
        <v>45243</v>
      </c>
      <c r="BL11" s="54"/>
      <c r="BM11" s="55"/>
      <c r="BN11" s="44"/>
      <c r="BO11" s="45"/>
      <c r="BP11" s="45"/>
      <c r="BQ11" s="45"/>
      <c r="BR11" s="45"/>
      <c r="BS11" s="46"/>
    </row>
    <row r="12" spans="1:71" ht="132.75" customHeight="1" x14ac:dyDescent="0.25">
      <c r="A12" s="7">
        <f>IF(M12="","",COUNTA($M$9:M12))</f>
        <v>4</v>
      </c>
      <c r="B12" s="41" t="s">
        <v>9</v>
      </c>
      <c r="C12" s="43"/>
      <c r="D12" s="56" t="s">
        <v>50</v>
      </c>
      <c r="E12" s="57"/>
      <c r="F12" s="57"/>
      <c r="G12" s="57"/>
      <c r="H12" s="58"/>
      <c r="I12" s="44" t="s">
        <v>51</v>
      </c>
      <c r="J12" s="45"/>
      <c r="K12" s="45"/>
      <c r="L12" s="46"/>
      <c r="M12" s="44" t="s">
        <v>62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6"/>
      <c r="Z12" s="70" t="s">
        <v>63</v>
      </c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6"/>
      <c r="AM12" s="44" t="s">
        <v>54</v>
      </c>
      <c r="AN12" s="45"/>
      <c r="AO12" s="46"/>
      <c r="AP12" s="50" t="s">
        <v>46</v>
      </c>
      <c r="AQ12" s="51"/>
      <c r="AR12" s="52"/>
      <c r="AS12" s="50" t="s">
        <v>55</v>
      </c>
      <c r="AT12" s="51"/>
      <c r="AU12" s="52"/>
      <c r="AV12" s="50" t="s">
        <v>56</v>
      </c>
      <c r="AW12" s="51"/>
      <c r="AX12" s="52"/>
      <c r="AY12" s="41" t="s">
        <v>49</v>
      </c>
      <c r="AZ12" s="42"/>
      <c r="BA12" s="43"/>
      <c r="BB12" s="53">
        <v>45224</v>
      </c>
      <c r="BC12" s="54"/>
      <c r="BD12" s="55"/>
      <c r="BE12" s="53">
        <v>45239</v>
      </c>
      <c r="BF12" s="54"/>
      <c r="BG12" s="55"/>
      <c r="BH12" s="41" t="s">
        <v>9</v>
      </c>
      <c r="BI12" s="42"/>
      <c r="BJ12" s="43"/>
      <c r="BK12" s="53">
        <v>45243</v>
      </c>
      <c r="BL12" s="54"/>
      <c r="BM12" s="55"/>
      <c r="BN12" s="44"/>
      <c r="BO12" s="45"/>
      <c r="BP12" s="45"/>
      <c r="BQ12" s="45"/>
      <c r="BR12" s="45"/>
      <c r="BS12" s="46"/>
    </row>
    <row r="13" spans="1:71" ht="108" customHeight="1" x14ac:dyDescent="0.25">
      <c r="A13" s="7">
        <f>IF(M13="","",COUNTA($M$9:M13))</f>
        <v>5</v>
      </c>
      <c r="B13" s="41" t="s">
        <v>9</v>
      </c>
      <c r="C13" s="43"/>
      <c r="D13" s="56" t="s">
        <v>50</v>
      </c>
      <c r="E13" s="57"/>
      <c r="F13" s="57"/>
      <c r="G13" s="57"/>
      <c r="H13" s="58"/>
      <c r="I13" s="44" t="s">
        <v>51</v>
      </c>
      <c r="J13" s="45"/>
      <c r="K13" s="45"/>
      <c r="L13" s="46"/>
      <c r="M13" s="59" t="s">
        <v>64</v>
      </c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9"/>
      <c r="Z13" s="60" t="s">
        <v>65</v>
      </c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9"/>
      <c r="AM13" s="44" t="s">
        <v>54</v>
      </c>
      <c r="AN13" s="45"/>
      <c r="AO13" s="46"/>
      <c r="AP13" s="50" t="s">
        <v>46</v>
      </c>
      <c r="AQ13" s="51"/>
      <c r="AR13" s="52"/>
      <c r="AS13" s="50" t="s">
        <v>60</v>
      </c>
      <c r="AT13" s="51"/>
      <c r="AU13" s="52"/>
      <c r="AV13" s="50" t="s">
        <v>66</v>
      </c>
      <c r="AW13" s="51"/>
      <c r="AX13" s="52"/>
      <c r="AY13" s="41" t="s">
        <v>49</v>
      </c>
      <c r="AZ13" s="42"/>
      <c r="BA13" s="43"/>
      <c r="BB13" s="53">
        <v>45224</v>
      </c>
      <c r="BC13" s="54"/>
      <c r="BD13" s="55"/>
      <c r="BE13" s="53">
        <v>45239</v>
      </c>
      <c r="BF13" s="54"/>
      <c r="BG13" s="55"/>
      <c r="BH13" s="41" t="s">
        <v>9</v>
      </c>
      <c r="BI13" s="42"/>
      <c r="BJ13" s="43"/>
      <c r="BK13" s="53">
        <v>45243</v>
      </c>
      <c r="BL13" s="54"/>
      <c r="BM13" s="55"/>
      <c r="BN13" s="44"/>
      <c r="BO13" s="45"/>
      <c r="BP13" s="45"/>
      <c r="BQ13" s="45"/>
      <c r="BR13" s="45"/>
      <c r="BS13" s="46"/>
    </row>
    <row r="14" spans="1:71" ht="60" customHeight="1" x14ac:dyDescent="0.25">
      <c r="A14" s="7">
        <f>IF(M14="","",COUNTA($M$9:M14))</f>
        <v>6</v>
      </c>
      <c r="B14" s="41" t="s">
        <v>9</v>
      </c>
      <c r="C14" s="43"/>
      <c r="D14" s="56" t="s">
        <v>50</v>
      </c>
      <c r="E14" s="57"/>
      <c r="F14" s="57"/>
      <c r="G14" s="57"/>
      <c r="H14" s="58"/>
      <c r="I14" s="44" t="s">
        <v>67</v>
      </c>
      <c r="J14" s="45"/>
      <c r="K14" s="45"/>
      <c r="L14" s="46"/>
      <c r="M14" s="47" t="s">
        <v>68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9"/>
      <c r="Z14" s="47" t="s">
        <v>44</v>
      </c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9"/>
      <c r="AM14" s="44" t="s">
        <v>54</v>
      </c>
      <c r="AN14" s="45"/>
      <c r="AO14" s="46"/>
      <c r="AP14" s="50" t="s">
        <v>46</v>
      </c>
      <c r="AQ14" s="51"/>
      <c r="AR14" s="52"/>
      <c r="AS14" s="50" t="s">
        <v>47</v>
      </c>
      <c r="AT14" s="51"/>
      <c r="AU14" s="52"/>
      <c r="AV14" s="50" t="s">
        <v>48</v>
      </c>
      <c r="AW14" s="51"/>
      <c r="AX14" s="52"/>
      <c r="AY14" s="41" t="s">
        <v>49</v>
      </c>
      <c r="AZ14" s="42"/>
      <c r="BA14" s="43"/>
      <c r="BB14" s="53">
        <v>45224</v>
      </c>
      <c r="BC14" s="54"/>
      <c r="BD14" s="55"/>
      <c r="BE14" s="53">
        <v>45224</v>
      </c>
      <c r="BF14" s="54"/>
      <c r="BG14" s="55"/>
      <c r="BH14" s="41" t="s">
        <v>9</v>
      </c>
      <c r="BI14" s="42"/>
      <c r="BJ14" s="43"/>
      <c r="BK14" s="53">
        <v>45238</v>
      </c>
      <c r="BL14" s="54"/>
      <c r="BM14" s="55"/>
      <c r="BN14" s="44"/>
      <c r="BO14" s="45"/>
      <c r="BP14" s="45"/>
      <c r="BQ14" s="45"/>
      <c r="BR14" s="45"/>
      <c r="BS14" s="46"/>
    </row>
    <row r="15" spans="1:71" ht="60" customHeight="1" x14ac:dyDescent="0.25">
      <c r="A15" s="7">
        <f>IF(M15="","",COUNTA($M$9:M15))</f>
        <v>7</v>
      </c>
      <c r="B15" s="41" t="s">
        <v>9</v>
      </c>
      <c r="C15" s="43"/>
      <c r="D15" s="56" t="s">
        <v>50</v>
      </c>
      <c r="E15" s="57"/>
      <c r="F15" s="57"/>
      <c r="G15" s="57"/>
      <c r="H15" s="58"/>
      <c r="I15" s="44" t="s">
        <v>69</v>
      </c>
      <c r="J15" s="45"/>
      <c r="K15" s="45"/>
      <c r="L15" s="46"/>
      <c r="M15" s="59" t="s">
        <v>70</v>
      </c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9"/>
      <c r="Z15" s="47" t="s">
        <v>44</v>
      </c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9"/>
      <c r="AM15" s="44" t="s">
        <v>54</v>
      </c>
      <c r="AN15" s="45"/>
      <c r="AO15" s="46"/>
      <c r="AP15" s="50" t="s">
        <v>46</v>
      </c>
      <c r="AQ15" s="51"/>
      <c r="AR15" s="52"/>
      <c r="AS15" s="50" t="s">
        <v>60</v>
      </c>
      <c r="AT15" s="51"/>
      <c r="AU15" s="52"/>
      <c r="AV15" s="50" t="s">
        <v>66</v>
      </c>
      <c r="AW15" s="51"/>
      <c r="AX15" s="52"/>
      <c r="AY15" s="41" t="s">
        <v>49</v>
      </c>
      <c r="AZ15" s="42"/>
      <c r="BA15" s="43"/>
      <c r="BB15" s="53">
        <v>45224</v>
      </c>
      <c r="BC15" s="54"/>
      <c r="BD15" s="55"/>
      <c r="BE15" s="53">
        <v>45224</v>
      </c>
      <c r="BF15" s="54"/>
      <c r="BG15" s="55"/>
      <c r="BH15" s="41" t="s">
        <v>9</v>
      </c>
      <c r="BI15" s="42"/>
      <c r="BJ15" s="43"/>
      <c r="BK15" s="53">
        <v>45238</v>
      </c>
      <c r="BL15" s="54"/>
      <c r="BM15" s="55"/>
      <c r="BN15" s="44"/>
      <c r="BO15" s="45"/>
      <c r="BP15" s="45"/>
      <c r="BQ15" s="45"/>
      <c r="BR15" s="45"/>
      <c r="BS15" s="46"/>
    </row>
    <row r="16" spans="1:71" ht="60" customHeight="1" x14ac:dyDescent="0.25">
      <c r="A16" s="7">
        <f>IF(M16="","",COUNTA($M$9:M16))</f>
        <v>8</v>
      </c>
      <c r="B16" s="41" t="s">
        <v>9</v>
      </c>
      <c r="C16" s="43"/>
      <c r="D16" s="56" t="s">
        <v>50</v>
      </c>
      <c r="E16" s="57"/>
      <c r="F16" s="57"/>
      <c r="G16" s="57"/>
      <c r="H16" s="58"/>
      <c r="I16" s="44" t="s">
        <v>69</v>
      </c>
      <c r="J16" s="45"/>
      <c r="K16" s="45"/>
      <c r="L16" s="46"/>
      <c r="M16" s="47" t="s">
        <v>71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  <c r="Z16" s="47" t="s">
        <v>44</v>
      </c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9"/>
      <c r="AM16" s="44" t="s">
        <v>54</v>
      </c>
      <c r="AN16" s="45"/>
      <c r="AO16" s="46"/>
      <c r="AP16" s="50" t="s">
        <v>46</v>
      </c>
      <c r="AQ16" s="51"/>
      <c r="AR16" s="52"/>
      <c r="AS16" s="50" t="s">
        <v>60</v>
      </c>
      <c r="AT16" s="51"/>
      <c r="AU16" s="52"/>
      <c r="AV16" s="50" t="s">
        <v>66</v>
      </c>
      <c r="AW16" s="51"/>
      <c r="AX16" s="52"/>
      <c r="AY16" s="41" t="s">
        <v>49</v>
      </c>
      <c r="AZ16" s="42"/>
      <c r="BA16" s="43"/>
      <c r="BB16" s="53">
        <v>45224</v>
      </c>
      <c r="BC16" s="54"/>
      <c r="BD16" s="55"/>
      <c r="BE16" s="53">
        <v>45224</v>
      </c>
      <c r="BF16" s="54"/>
      <c r="BG16" s="55"/>
      <c r="BH16" s="41" t="s">
        <v>9</v>
      </c>
      <c r="BI16" s="42"/>
      <c r="BJ16" s="43"/>
      <c r="BK16" s="53">
        <v>45238</v>
      </c>
      <c r="BL16" s="54"/>
      <c r="BM16" s="55"/>
      <c r="BN16" s="44"/>
      <c r="BO16" s="45"/>
      <c r="BP16" s="45"/>
      <c r="BQ16" s="45"/>
      <c r="BR16" s="45"/>
      <c r="BS16" s="46"/>
    </row>
    <row r="17" spans="1:71" ht="113.25" customHeight="1" x14ac:dyDescent="0.25">
      <c r="A17" s="7">
        <f>IF(M17="","",COUNTA($M$9:M17))</f>
        <v>9</v>
      </c>
      <c r="B17" s="41" t="s">
        <v>9</v>
      </c>
      <c r="C17" s="43"/>
      <c r="D17" s="56" t="s">
        <v>50</v>
      </c>
      <c r="E17" s="57"/>
      <c r="F17" s="57"/>
      <c r="G17" s="57"/>
      <c r="H17" s="58"/>
      <c r="I17" s="44" t="s">
        <v>72</v>
      </c>
      <c r="J17" s="45"/>
      <c r="K17" s="45"/>
      <c r="L17" s="46"/>
      <c r="M17" s="47" t="s">
        <v>73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9"/>
      <c r="Z17" s="60" t="s">
        <v>74</v>
      </c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9"/>
      <c r="AM17" s="44" t="s">
        <v>54</v>
      </c>
      <c r="AN17" s="45"/>
      <c r="AO17" s="46"/>
      <c r="AP17" s="50" t="s">
        <v>46</v>
      </c>
      <c r="AQ17" s="51"/>
      <c r="AR17" s="52"/>
      <c r="AS17" s="50" t="s">
        <v>55</v>
      </c>
      <c r="AT17" s="51"/>
      <c r="AU17" s="52"/>
      <c r="AV17" s="50" t="s">
        <v>56</v>
      </c>
      <c r="AW17" s="51"/>
      <c r="AX17" s="52"/>
      <c r="AY17" s="41" t="s">
        <v>49</v>
      </c>
      <c r="AZ17" s="42"/>
      <c r="BA17" s="43"/>
      <c r="BB17" s="53">
        <v>45224</v>
      </c>
      <c r="BC17" s="54"/>
      <c r="BD17" s="55"/>
      <c r="BE17" s="53">
        <v>45239</v>
      </c>
      <c r="BF17" s="54"/>
      <c r="BG17" s="55"/>
      <c r="BH17" s="41" t="s">
        <v>9</v>
      </c>
      <c r="BI17" s="42"/>
      <c r="BJ17" s="43"/>
      <c r="BK17" s="53">
        <v>45243</v>
      </c>
      <c r="BL17" s="54"/>
      <c r="BM17" s="55"/>
      <c r="BN17" s="44"/>
      <c r="BO17" s="45"/>
      <c r="BP17" s="45"/>
      <c r="BQ17" s="45"/>
      <c r="BR17" s="45"/>
      <c r="BS17" s="46"/>
    </row>
    <row r="18" spans="1:71" ht="103.5" customHeight="1" x14ac:dyDescent="0.25">
      <c r="A18" s="7">
        <f>IF(M18="","",COUNTA($M$9:M18))</f>
        <v>10</v>
      </c>
      <c r="B18" s="41" t="s">
        <v>9</v>
      </c>
      <c r="C18" s="43"/>
      <c r="D18" s="56" t="s">
        <v>50</v>
      </c>
      <c r="E18" s="57"/>
      <c r="F18" s="57"/>
      <c r="G18" s="57"/>
      <c r="H18" s="58"/>
      <c r="I18" s="44" t="s">
        <v>69</v>
      </c>
      <c r="J18" s="45"/>
      <c r="K18" s="45"/>
      <c r="L18" s="46"/>
      <c r="M18" s="59" t="s">
        <v>75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9"/>
      <c r="Z18" s="47" t="s">
        <v>44</v>
      </c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9"/>
      <c r="AM18" s="44" t="s">
        <v>76</v>
      </c>
      <c r="AN18" s="45"/>
      <c r="AO18" s="46"/>
      <c r="AP18" s="50" t="s">
        <v>46</v>
      </c>
      <c r="AQ18" s="51"/>
      <c r="AR18" s="52"/>
      <c r="AS18" s="50" t="s">
        <v>60</v>
      </c>
      <c r="AT18" s="51"/>
      <c r="AU18" s="52"/>
      <c r="AV18" s="50" t="s">
        <v>66</v>
      </c>
      <c r="AW18" s="51"/>
      <c r="AX18" s="52"/>
      <c r="AY18" s="41" t="s">
        <v>49</v>
      </c>
      <c r="AZ18" s="42"/>
      <c r="BA18" s="43"/>
      <c r="BB18" s="53">
        <v>45224</v>
      </c>
      <c r="BC18" s="54"/>
      <c r="BD18" s="55"/>
      <c r="BE18" s="53">
        <v>45224</v>
      </c>
      <c r="BF18" s="54"/>
      <c r="BG18" s="55"/>
      <c r="BH18" s="41" t="s">
        <v>9</v>
      </c>
      <c r="BI18" s="42"/>
      <c r="BJ18" s="43"/>
      <c r="BK18" s="53">
        <v>45238</v>
      </c>
      <c r="BL18" s="54"/>
      <c r="BM18" s="55"/>
      <c r="BN18" s="44"/>
      <c r="BO18" s="45"/>
      <c r="BP18" s="45"/>
      <c r="BQ18" s="45"/>
      <c r="BR18" s="45"/>
      <c r="BS18" s="46"/>
    </row>
    <row r="19" spans="1:71" ht="60" customHeight="1" x14ac:dyDescent="0.25">
      <c r="A19" s="7">
        <f>IF(M19="","",COUNTA($M$9:M19))</f>
        <v>11</v>
      </c>
      <c r="B19" s="41" t="s">
        <v>9</v>
      </c>
      <c r="C19" s="43"/>
      <c r="D19" s="56" t="s">
        <v>50</v>
      </c>
      <c r="E19" s="57"/>
      <c r="F19" s="57"/>
      <c r="G19" s="57"/>
      <c r="H19" s="58"/>
      <c r="I19" s="44" t="s">
        <v>69</v>
      </c>
      <c r="J19" s="45"/>
      <c r="K19" s="45"/>
      <c r="L19" s="46"/>
      <c r="M19" s="59" t="s">
        <v>77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9"/>
      <c r="Z19" s="47" t="s">
        <v>44</v>
      </c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9"/>
      <c r="AM19" s="44" t="s">
        <v>78</v>
      </c>
      <c r="AN19" s="45"/>
      <c r="AO19" s="46"/>
      <c r="AP19" s="50" t="s">
        <v>46</v>
      </c>
      <c r="AQ19" s="51"/>
      <c r="AR19" s="52"/>
      <c r="AS19" s="50" t="s">
        <v>60</v>
      </c>
      <c r="AT19" s="51"/>
      <c r="AU19" s="52"/>
      <c r="AV19" s="50" t="s">
        <v>66</v>
      </c>
      <c r="AW19" s="51"/>
      <c r="AX19" s="52"/>
      <c r="AY19" s="41" t="s">
        <v>49</v>
      </c>
      <c r="AZ19" s="42"/>
      <c r="BA19" s="43"/>
      <c r="BB19" s="53">
        <v>45224</v>
      </c>
      <c r="BC19" s="54"/>
      <c r="BD19" s="55"/>
      <c r="BE19" s="53">
        <v>45224</v>
      </c>
      <c r="BF19" s="54"/>
      <c r="BG19" s="55"/>
      <c r="BH19" s="41" t="s">
        <v>9</v>
      </c>
      <c r="BI19" s="42"/>
      <c r="BJ19" s="43"/>
      <c r="BK19" s="53">
        <v>45238</v>
      </c>
      <c r="BL19" s="54"/>
      <c r="BM19" s="55"/>
      <c r="BN19" s="44"/>
      <c r="BO19" s="45"/>
      <c r="BP19" s="45"/>
      <c r="BQ19" s="45"/>
      <c r="BR19" s="45"/>
      <c r="BS19" s="46"/>
    </row>
    <row r="20" spans="1:71" ht="107.25" customHeight="1" x14ac:dyDescent="0.25">
      <c r="A20" s="7">
        <f>IF(M20="","",COUNTA($M$9:M20))</f>
        <v>12</v>
      </c>
      <c r="B20" s="41" t="s">
        <v>9</v>
      </c>
      <c r="C20" s="43"/>
      <c r="D20" s="56" t="s">
        <v>50</v>
      </c>
      <c r="E20" s="57"/>
      <c r="F20" s="57"/>
      <c r="G20" s="57"/>
      <c r="H20" s="58"/>
      <c r="I20" s="44" t="s">
        <v>79</v>
      </c>
      <c r="J20" s="45"/>
      <c r="K20" s="45"/>
      <c r="L20" s="46"/>
      <c r="M20" s="59" t="s">
        <v>80</v>
      </c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9"/>
      <c r="Z20" s="47" t="s">
        <v>44</v>
      </c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9"/>
      <c r="AM20" s="44" t="s">
        <v>81</v>
      </c>
      <c r="AN20" s="45"/>
      <c r="AO20" s="46"/>
      <c r="AP20" s="50" t="s">
        <v>46</v>
      </c>
      <c r="AQ20" s="51"/>
      <c r="AR20" s="52"/>
      <c r="AS20" s="50" t="s">
        <v>60</v>
      </c>
      <c r="AT20" s="51"/>
      <c r="AU20" s="52"/>
      <c r="AV20" s="50" t="s">
        <v>82</v>
      </c>
      <c r="AW20" s="51"/>
      <c r="AX20" s="52"/>
      <c r="AY20" s="41" t="s">
        <v>49</v>
      </c>
      <c r="AZ20" s="42"/>
      <c r="BA20" s="43"/>
      <c r="BB20" s="53">
        <v>45224</v>
      </c>
      <c r="BC20" s="54"/>
      <c r="BD20" s="55"/>
      <c r="BE20" s="53">
        <v>45224</v>
      </c>
      <c r="BF20" s="54"/>
      <c r="BG20" s="55"/>
      <c r="BH20" s="41" t="s">
        <v>9</v>
      </c>
      <c r="BI20" s="42"/>
      <c r="BJ20" s="43"/>
      <c r="BK20" s="53">
        <v>45238</v>
      </c>
      <c r="BL20" s="54"/>
      <c r="BM20" s="55"/>
      <c r="BN20" s="44"/>
      <c r="BO20" s="45"/>
      <c r="BP20" s="45"/>
      <c r="BQ20" s="45"/>
      <c r="BR20" s="45"/>
      <c r="BS20" s="46"/>
    </row>
    <row r="21" spans="1:71" ht="92.25" customHeight="1" x14ac:dyDescent="0.25">
      <c r="A21" s="7">
        <f>IF(M21="","",COUNTA($M$9:M21))</f>
        <v>13</v>
      </c>
      <c r="B21" s="41" t="s">
        <v>9</v>
      </c>
      <c r="C21" s="43"/>
      <c r="D21" s="56" t="s">
        <v>50</v>
      </c>
      <c r="E21" s="57"/>
      <c r="F21" s="57"/>
      <c r="G21" s="57"/>
      <c r="H21" s="58"/>
      <c r="I21" s="44" t="s">
        <v>57</v>
      </c>
      <c r="J21" s="45"/>
      <c r="K21" s="45"/>
      <c r="L21" s="46"/>
      <c r="M21" s="59" t="s">
        <v>83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  <c r="Z21" s="47" t="s">
        <v>84</v>
      </c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9"/>
      <c r="AM21" s="44" t="s">
        <v>85</v>
      </c>
      <c r="AN21" s="45"/>
      <c r="AO21" s="46"/>
      <c r="AP21" s="50" t="s">
        <v>46</v>
      </c>
      <c r="AQ21" s="51"/>
      <c r="AR21" s="52"/>
      <c r="AS21" s="50" t="s">
        <v>60</v>
      </c>
      <c r="AT21" s="51"/>
      <c r="AU21" s="52"/>
      <c r="AV21" s="50" t="s">
        <v>86</v>
      </c>
      <c r="AW21" s="51"/>
      <c r="AX21" s="52"/>
      <c r="AY21" s="41" t="s">
        <v>49</v>
      </c>
      <c r="AZ21" s="42"/>
      <c r="BA21" s="43"/>
      <c r="BB21" s="53">
        <v>45224</v>
      </c>
      <c r="BC21" s="54"/>
      <c r="BD21" s="55"/>
      <c r="BE21" s="53">
        <v>45224</v>
      </c>
      <c r="BF21" s="54"/>
      <c r="BG21" s="55"/>
      <c r="BH21" s="41" t="s">
        <v>9</v>
      </c>
      <c r="BI21" s="42"/>
      <c r="BJ21" s="43"/>
      <c r="BK21" s="53">
        <v>45238</v>
      </c>
      <c r="BL21" s="54"/>
      <c r="BM21" s="55"/>
      <c r="BN21" s="44"/>
      <c r="BO21" s="45"/>
      <c r="BP21" s="45"/>
      <c r="BQ21" s="45"/>
      <c r="BR21" s="45"/>
      <c r="BS21" s="46"/>
    </row>
    <row r="22" spans="1:71" ht="60" customHeight="1" x14ac:dyDescent="0.25">
      <c r="A22" s="7">
        <f>IF(M22="","",COUNTA($M$9:M22))</f>
        <v>14</v>
      </c>
      <c r="B22" s="41" t="s">
        <v>9</v>
      </c>
      <c r="C22" s="43"/>
      <c r="D22" s="56" t="s">
        <v>50</v>
      </c>
      <c r="E22" s="57"/>
      <c r="F22" s="57"/>
      <c r="G22" s="57"/>
      <c r="H22" s="58"/>
      <c r="I22" s="44" t="s">
        <v>69</v>
      </c>
      <c r="J22" s="45"/>
      <c r="K22" s="45"/>
      <c r="L22" s="46"/>
      <c r="M22" s="59" t="s">
        <v>87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9"/>
      <c r="Z22" s="47" t="s">
        <v>44</v>
      </c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9"/>
      <c r="AM22" s="44" t="s">
        <v>85</v>
      </c>
      <c r="AN22" s="45"/>
      <c r="AO22" s="46"/>
      <c r="AP22" s="50" t="s">
        <v>46</v>
      </c>
      <c r="AQ22" s="51"/>
      <c r="AR22" s="52"/>
      <c r="AS22" s="50" t="s">
        <v>60</v>
      </c>
      <c r="AT22" s="51"/>
      <c r="AU22" s="52"/>
      <c r="AV22" s="50" t="s">
        <v>66</v>
      </c>
      <c r="AW22" s="51"/>
      <c r="AX22" s="52"/>
      <c r="AY22" s="41" t="s">
        <v>49</v>
      </c>
      <c r="AZ22" s="42"/>
      <c r="BA22" s="43"/>
      <c r="BB22" s="53">
        <v>45224</v>
      </c>
      <c r="BC22" s="54"/>
      <c r="BD22" s="55"/>
      <c r="BE22" s="53">
        <v>45224</v>
      </c>
      <c r="BF22" s="54"/>
      <c r="BG22" s="55"/>
      <c r="BH22" s="41" t="s">
        <v>9</v>
      </c>
      <c r="BI22" s="42"/>
      <c r="BJ22" s="43"/>
      <c r="BK22" s="53">
        <v>45238</v>
      </c>
      <c r="BL22" s="54"/>
      <c r="BM22" s="55"/>
      <c r="BN22" s="44"/>
      <c r="BO22" s="45"/>
      <c r="BP22" s="45"/>
      <c r="BQ22" s="45"/>
      <c r="BR22" s="45"/>
      <c r="BS22" s="46"/>
    </row>
    <row r="23" spans="1:71" ht="97.5" customHeight="1" x14ac:dyDescent="0.25">
      <c r="A23" s="7">
        <f>IF(M23="","",COUNTA($M$9:M23))</f>
        <v>15</v>
      </c>
      <c r="B23" s="41" t="s">
        <v>9</v>
      </c>
      <c r="C23" s="43"/>
      <c r="D23" s="56" t="s">
        <v>50</v>
      </c>
      <c r="E23" s="57"/>
      <c r="F23" s="57"/>
      <c r="G23" s="57"/>
      <c r="H23" s="58"/>
      <c r="I23" s="44" t="s">
        <v>51</v>
      </c>
      <c r="J23" s="45"/>
      <c r="K23" s="45"/>
      <c r="L23" s="46"/>
      <c r="M23" s="47" t="s">
        <v>88</v>
      </c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9"/>
      <c r="Z23" s="47" t="s">
        <v>89</v>
      </c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9"/>
      <c r="AM23" s="44" t="s">
        <v>85</v>
      </c>
      <c r="AN23" s="45"/>
      <c r="AO23" s="46"/>
      <c r="AP23" s="50" t="s">
        <v>46</v>
      </c>
      <c r="AQ23" s="51"/>
      <c r="AR23" s="52"/>
      <c r="AS23" s="50"/>
      <c r="AT23" s="51"/>
      <c r="AU23" s="52"/>
      <c r="AV23" s="50"/>
      <c r="AW23" s="51"/>
      <c r="AX23" s="52"/>
      <c r="AY23" s="41" t="s">
        <v>49</v>
      </c>
      <c r="AZ23" s="42"/>
      <c r="BA23" s="43"/>
      <c r="BB23" s="53">
        <v>45224</v>
      </c>
      <c r="BC23" s="54"/>
      <c r="BD23" s="55"/>
      <c r="BE23" s="53">
        <v>45224</v>
      </c>
      <c r="BF23" s="54"/>
      <c r="BG23" s="55"/>
      <c r="BH23" s="41" t="s">
        <v>9</v>
      </c>
      <c r="BI23" s="42"/>
      <c r="BJ23" s="43"/>
      <c r="BK23" s="53">
        <v>45238</v>
      </c>
      <c r="BL23" s="54"/>
      <c r="BM23" s="55"/>
      <c r="BN23" s="44"/>
      <c r="BO23" s="45"/>
      <c r="BP23" s="45"/>
      <c r="BQ23" s="45"/>
      <c r="BR23" s="45"/>
      <c r="BS23" s="46"/>
    </row>
    <row r="24" spans="1:71" ht="81.75" customHeight="1" x14ac:dyDescent="0.25">
      <c r="A24" s="7">
        <f>IF(M24="","",COUNTA($M$9:M24))</f>
        <v>16</v>
      </c>
      <c r="B24" s="41" t="s">
        <v>9</v>
      </c>
      <c r="C24" s="43"/>
      <c r="D24" s="56" t="s">
        <v>50</v>
      </c>
      <c r="E24" s="57"/>
      <c r="F24" s="57"/>
      <c r="G24" s="57"/>
      <c r="H24" s="58"/>
      <c r="I24" s="44" t="s">
        <v>90</v>
      </c>
      <c r="J24" s="45"/>
      <c r="K24" s="45"/>
      <c r="L24" s="46"/>
      <c r="M24" s="59" t="s">
        <v>91</v>
      </c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9"/>
      <c r="Z24" s="47" t="s">
        <v>92</v>
      </c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9"/>
      <c r="AM24" s="44" t="s">
        <v>85</v>
      </c>
      <c r="AN24" s="45"/>
      <c r="AO24" s="46"/>
      <c r="AP24" s="50" t="s">
        <v>46</v>
      </c>
      <c r="AQ24" s="51"/>
      <c r="AR24" s="52"/>
      <c r="AS24" s="50" t="s">
        <v>60</v>
      </c>
      <c r="AT24" s="51"/>
      <c r="AU24" s="52"/>
      <c r="AV24" s="50" t="s">
        <v>82</v>
      </c>
      <c r="AW24" s="51"/>
      <c r="AX24" s="52"/>
      <c r="AY24" s="41" t="s">
        <v>49</v>
      </c>
      <c r="AZ24" s="42"/>
      <c r="BA24" s="43"/>
      <c r="BB24" s="53">
        <v>45224</v>
      </c>
      <c r="BC24" s="54"/>
      <c r="BD24" s="55"/>
      <c r="BE24" s="53">
        <v>45224</v>
      </c>
      <c r="BF24" s="54"/>
      <c r="BG24" s="55"/>
      <c r="BH24" s="41" t="s">
        <v>9</v>
      </c>
      <c r="BI24" s="42"/>
      <c r="BJ24" s="43"/>
      <c r="BK24" s="53">
        <v>45238</v>
      </c>
      <c r="BL24" s="54"/>
      <c r="BM24" s="55"/>
      <c r="BN24" s="44"/>
      <c r="BO24" s="45"/>
      <c r="BP24" s="45"/>
      <c r="BQ24" s="45"/>
      <c r="BR24" s="45"/>
      <c r="BS24" s="46"/>
    </row>
    <row r="25" spans="1:71" ht="72" customHeight="1" x14ac:dyDescent="0.25">
      <c r="A25" s="7">
        <f>IF(M25="","",COUNTA($M$9:M25))</f>
        <v>17</v>
      </c>
      <c r="B25" s="41" t="s">
        <v>9</v>
      </c>
      <c r="C25" s="43"/>
      <c r="D25" s="56" t="s">
        <v>50</v>
      </c>
      <c r="E25" s="57"/>
      <c r="F25" s="57"/>
      <c r="G25" s="57"/>
      <c r="H25" s="58"/>
      <c r="I25" s="44" t="s">
        <v>69</v>
      </c>
      <c r="J25" s="45"/>
      <c r="K25" s="45"/>
      <c r="L25" s="46"/>
      <c r="M25" s="105" t="s">
        <v>93</v>
      </c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7"/>
      <c r="Z25" s="47" t="s">
        <v>44</v>
      </c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9"/>
      <c r="AM25" s="44" t="s">
        <v>85</v>
      </c>
      <c r="AN25" s="45"/>
      <c r="AO25" s="46"/>
      <c r="AP25" s="50" t="s">
        <v>46</v>
      </c>
      <c r="AQ25" s="51"/>
      <c r="AR25" s="52"/>
      <c r="AS25" s="50" t="s">
        <v>60</v>
      </c>
      <c r="AT25" s="51"/>
      <c r="AU25" s="52"/>
      <c r="AV25" s="50" t="s">
        <v>66</v>
      </c>
      <c r="AW25" s="51"/>
      <c r="AX25" s="52"/>
      <c r="AY25" s="41" t="s">
        <v>49</v>
      </c>
      <c r="AZ25" s="42"/>
      <c r="BA25" s="43"/>
      <c r="BB25" s="53">
        <v>45224</v>
      </c>
      <c r="BC25" s="54"/>
      <c r="BD25" s="55"/>
      <c r="BE25" s="53">
        <v>45224</v>
      </c>
      <c r="BF25" s="54"/>
      <c r="BG25" s="55"/>
      <c r="BH25" s="41" t="s">
        <v>9</v>
      </c>
      <c r="BI25" s="42"/>
      <c r="BJ25" s="43"/>
      <c r="BK25" s="53">
        <v>45238</v>
      </c>
      <c r="BL25" s="54"/>
      <c r="BM25" s="55"/>
      <c r="BN25" s="44"/>
      <c r="BO25" s="45"/>
      <c r="BP25" s="45"/>
      <c r="BQ25" s="45"/>
      <c r="BR25" s="45"/>
      <c r="BS25" s="46"/>
    </row>
    <row r="26" spans="1:71" ht="92.25" customHeight="1" x14ac:dyDescent="0.25">
      <c r="A26" s="7">
        <f>IF(M26="","",COUNTA($M$9:M26))</f>
        <v>18</v>
      </c>
      <c r="B26" s="41" t="s">
        <v>9</v>
      </c>
      <c r="C26" s="43"/>
      <c r="D26" s="56" t="s">
        <v>50</v>
      </c>
      <c r="E26" s="57"/>
      <c r="F26" s="57"/>
      <c r="G26" s="57"/>
      <c r="H26" s="58"/>
      <c r="I26" s="44" t="s">
        <v>69</v>
      </c>
      <c r="J26" s="45"/>
      <c r="K26" s="45"/>
      <c r="L26" s="46"/>
      <c r="M26" s="59" t="s">
        <v>94</v>
      </c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9"/>
      <c r="Z26" s="47" t="s">
        <v>44</v>
      </c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9"/>
      <c r="AM26" s="44" t="s">
        <v>85</v>
      </c>
      <c r="AN26" s="45"/>
      <c r="AO26" s="46"/>
      <c r="AP26" s="50" t="s">
        <v>46</v>
      </c>
      <c r="AQ26" s="51"/>
      <c r="AR26" s="52"/>
      <c r="AS26" s="50" t="s">
        <v>60</v>
      </c>
      <c r="AT26" s="51"/>
      <c r="AU26" s="52"/>
      <c r="AV26" s="50" t="s">
        <v>66</v>
      </c>
      <c r="AW26" s="51"/>
      <c r="AX26" s="52"/>
      <c r="AY26" s="41" t="s">
        <v>49</v>
      </c>
      <c r="AZ26" s="42"/>
      <c r="BA26" s="43"/>
      <c r="BB26" s="53">
        <v>45224</v>
      </c>
      <c r="BC26" s="54"/>
      <c r="BD26" s="55"/>
      <c r="BE26" s="53">
        <v>45224</v>
      </c>
      <c r="BF26" s="54"/>
      <c r="BG26" s="55"/>
      <c r="BH26" s="41" t="s">
        <v>9</v>
      </c>
      <c r="BI26" s="42"/>
      <c r="BJ26" s="43"/>
      <c r="BK26" s="53">
        <v>45238</v>
      </c>
      <c r="BL26" s="54"/>
      <c r="BM26" s="55"/>
      <c r="BN26" s="44"/>
      <c r="BO26" s="45"/>
      <c r="BP26" s="45"/>
      <c r="BQ26" s="45"/>
      <c r="BR26" s="45"/>
      <c r="BS26" s="46"/>
    </row>
    <row r="27" spans="1:71" ht="96" customHeight="1" x14ac:dyDescent="0.25">
      <c r="A27" s="7">
        <f>IF(M27="","",COUNTA($M$9:M27))</f>
        <v>19</v>
      </c>
      <c r="B27" s="41" t="s">
        <v>9</v>
      </c>
      <c r="C27" s="43"/>
      <c r="D27" s="56" t="s">
        <v>50</v>
      </c>
      <c r="E27" s="57"/>
      <c r="F27" s="57"/>
      <c r="G27" s="57"/>
      <c r="H27" s="58"/>
      <c r="I27" s="44" t="s">
        <v>51</v>
      </c>
      <c r="J27" s="45"/>
      <c r="K27" s="45"/>
      <c r="L27" s="46"/>
      <c r="M27" s="47" t="s">
        <v>95</v>
      </c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9"/>
      <c r="Z27" s="47" t="s">
        <v>96</v>
      </c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9"/>
      <c r="AM27" s="44" t="s">
        <v>85</v>
      </c>
      <c r="AN27" s="45"/>
      <c r="AO27" s="46"/>
      <c r="AP27" s="50" t="s">
        <v>46</v>
      </c>
      <c r="AQ27" s="51"/>
      <c r="AR27" s="52"/>
      <c r="AS27" s="50" t="s">
        <v>55</v>
      </c>
      <c r="AT27" s="51"/>
      <c r="AU27" s="52"/>
      <c r="AV27" s="50" t="s">
        <v>56</v>
      </c>
      <c r="AW27" s="51"/>
      <c r="AX27" s="52"/>
      <c r="AY27" s="41" t="s">
        <v>49</v>
      </c>
      <c r="AZ27" s="42"/>
      <c r="BA27" s="43"/>
      <c r="BB27" s="53">
        <v>45224</v>
      </c>
      <c r="BC27" s="54"/>
      <c r="BD27" s="55"/>
      <c r="BE27" s="53">
        <v>45224</v>
      </c>
      <c r="BF27" s="54"/>
      <c r="BG27" s="55"/>
      <c r="BH27" s="41" t="s">
        <v>9</v>
      </c>
      <c r="BI27" s="42"/>
      <c r="BJ27" s="43"/>
      <c r="BK27" s="53">
        <v>45238</v>
      </c>
      <c r="BL27" s="54"/>
      <c r="BM27" s="55"/>
      <c r="BN27" s="44"/>
      <c r="BO27" s="45"/>
      <c r="BP27" s="45"/>
      <c r="BQ27" s="45"/>
      <c r="BR27" s="45"/>
      <c r="BS27" s="46"/>
    </row>
    <row r="28" spans="1:71" ht="60" customHeight="1" x14ac:dyDescent="0.25">
      <c r="A28" s="7">
        <f>IF(M28="","",COUNTA($M$9:M28))</f>
        <v>20</v>
      </c>
      <c r="B28" s="41" t="s">
        <v>9</v>
      </c>
      <c r="C28" s="43"/>
      <c r="D28" s="56" t="s">
        <v>50</v>
      </c>
      <c r="E28" s="57"/>
      <c r="F28" s="57"/>
      <c r="G28" s="57"/>
      <c r="H28" s="58"/>
      <c r="I28" s="44" t="s">
        <v>69</v>
      </c>
      <c r="J28" s="45"/>
      <c r="K28" s="45"/>
      <c r="L28" s="46"/>
      <c r="M28" s="59" t="s">
        <v>97</v>
      </c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9"/>
      <c r="Z28" s="47" t="s">
        <v>44</v>
      </c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9"/>
      <c r="AM28" s="44" t="s">
        <v>85</v>
      </c>
      <c r="AN28" s="45"/>
      <c r="AO28" s="46"/>
      <c r="AP28" s="50" t="s">
        <v>46</v>
      </c>
      <c r="AQ28" s="51"/>
      <c r="AR28" s="52"/>
      <c r="AS28" s="50" t="s">
        <v>60</v>
      </c>
      <c r="AT28" s="51"/>
      <c r="AU28" s="52"/>
      <c r="AV28" s="50" t="s">
        <v>66</v>
      </c>
      <c r="AW28" s="51"/>
      <c r="AX28" s="52"/>
      <c r="AY28" s="41" t="s">
        <v>49</v>
      </c>
      <c r="AZ28" s="42"/>
      <c r="BA28" s="43"/>
      <c r="BB28" s="53">
        <v>45224</v>
      </c>
      <c r="BC28" s="54"/>
      <c r="BD28" s="55"/>
      <c r="BE28" s="53">
        <v>45224</v>
      </c>
      <c r="BF28" s="54"/>
      <c r="BG28" s="55"/>
      <c r="BH28" s="41" t="s">
        <v>9</v>
      </c>
      <c r="BI28" s="42"/>
      <c r="BJ28" s="43"/>
      <c r="BK28" s="53">
        <v>45238</v>
      </c>
      <c r="BL28" s="54"/>
      <c r="BM28" s="55"/>
      <c r="BN28" s="44"/>
      <c r="BO28" s="45"/>
      <c r="BP28" s="45"/>
      <c r="BQ28" s="45"/>
      <c r="BR28" s="45"/>
      <c r="BS28" s="46"/>
    </row>
    <row r="29" spans="1:71" ht="60" customHeight="1" x14ac:dyDescent="0.25">
      <c r="A29" s="7">
        <f>IF(M29="","",COUNTA($M$9:M29))</f>
        <v>21</v>
      </c>
      <c r="B29" s="41" t="s">
        <v>9</v>
      </c>
      <c r="C29" s="43"/>
      <c r="D29" s="56" t="s">
        <v>50</v>
      </c>
      <c r="E29" s="57"/>
      <c r="F29" s="57"/>
      <c r="G29" s="57"/>
      <c r="H29" s="58"/>
      <c r="I29" s="44" t="s">
        <v>51</v>
      </c>
      <c r="J29" s="45"/>
      <c r="K29" s="45"/>
      <c r="L29" s="46"/>
      <c r="M29" s="47" t="s">
        <v>98</v>
      </c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9"/>
      <c r="Z29" s="47" t="s">
        <v>44</v>
      </c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9"/>
      <c r="AM29" s="44" t="s">
        <v>85</v>
      </c>
      <c r="AN29" s="45"/>
      <c r="AO29" s="46"/>
      <c r="AP29" s="50" t="s">
        <v>46</v>
      </c>
      <c r="AQ29" s="51"/>
      <c r="AR29" s="52"/>
      <c r="AS29" s="50" t="s">
        <v>55</v>
      </c>
      <c r="AT29" s="51"/>
      <c r="AU29" s="52"/>
      <c r="AV29" s="50" t="s">
        <v>56</v>
      </c>
      <c r="AW29" s="51"/>
      <c r="AX29" s="52"/>
      <c r="AY29" s="41" t="s">
        <v>49</v>
      </c>
      <c r="AZ29" s="42"/>
      <c r="BA29" s="43"/>
      <c r="BB29" s="53">
        <v>45224</v>
      </c>
      <c r="BC29" s="54"/>
      <c r="BD29" s="55"/>
      <c r="BE29" s="53">
        <v>45224</v>
      </c>
      <c r="BF29" s="54"/>
      <c r="BG29" s="55"/>
      <c r="BH29" s="41" t="s">
        <v>9</v>
      </c>
      <c r="BI29" s="42"/>
      <c r="BJ29" s="43"/>
      <c r="BK29" s="53">
        <v>45238</v>
      </c>
      <c r="BL29" s="54"/>
      <c r="BM29" s="55"/>
      <c r="BN29" s="44"/>
      <c r="BO29" s="45"/>
      <c r="BP29" s="45"/>
      <c r="BQ29" s="45"/>
      <c r="BR29" s="45"/>
      <c r="BS29" s="46"/>
    </row>
    <row r="30" spans="1:71" ht="60" customHeight="1" x14ac:dyDescent="0.25">
      <c r="A30" s="7">
        <f>IF(M30="","",COUNTA($M$9:M30))</f>
        <v>22</v>
      </c>
      <c r="B30" s="41" t="s">
        <v>9</v>
      </c>
      <c r="C30" s="43"/>
      <c r="D30" s="56" t="s">
        <v>50</v>
      </c>
      <c r="E30" s="57"/>
      <c r="F30" s="57"/>
      <c r="G30" s="57"/>
      <c r="H30" s="58"/>
      <c r="I30" s="44" t="s">
        <v>69</v>
      </c>
      <c r="J30" s="45"/>
      <c r="K30" s="45"/>
      <c r="L30" s="46"/>
      <c r="M30" s="59" t="s">
        <v>99</v>
      </c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9"/>
      <c r="Z30" s="47" t="s">
        <v>44</v>
      </c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9"/>
      <c r="AM30" s="44" t="s">
        <v>100</v>
      </c>
      <c r="AN30" s="45"/>
      <c r="AO30" s="46"/>
      <c r="AP30" s="50" t="s">
        <v>46</v>
      </c>
      <c r="AQ30" s="51"/>
      <c r="AR30" s="52"/>
      <c r="AS30" s="50" t="s">
        <v>60</v>
      </c>
      <c r="AT30" s="51"/>
      <c r="AU30" s="52"/>
      <c r="AV30" s="50" t="s">
        <v>66</v>
      </c>
      <c r="AW30" s="51"/>
      <c r="AX30" s="52"/>
      <c r="AY30" s="41" t="s">
        <v>49</v>
      </c>
      <c r="AZ30" s="42"/>
      <c r="BA30" s="43"/>
      <c r="BB30" s="53">
        <v>45224</v>
      </c>
      <c r="BC30" s="54"/>
      <c r="BD30" s="55"/>
      <c r="BE30" s="53">
        <v>45224</v>
      </c>
      <c r="BF30" s="54"/>
      <c r="BG30" s="55"/>
      <c r="BH30" s="41" t="s">
        <v>9</v>
      </c>
      <c r="BI30" s="42"/>
      <c r="BJ30" s="43"/>
      <c r="BK30" s="53">
        <v>45238</v>
      </c>
      <c r="BL30" s="54"/>
      <c r="BM30" s="55"/>
      <c r="BN30" s="44"/>
      <c r="BO30" s="45"/>
      <c r="BP30" s="45"/>
      <c r="BQ30" s="45"/>
      <c r="BR30" s="45"/>
      <c r="BS30" s="46"/>
    </row>
    <row r="31" spans="1:71" ht="60" customHeight="1" x14ac:dyDescent="0.25">
      <c r="A31" s="7">
        <f>IF(M31="","",COUNTA($M$9:M31))</f>
        <v>23</v>
      </c>
      <c r="B31" s="41" t="s">
        <v>9</v>
      </c>
      <c r="C31" s="43"/>
      <c r="D31" s="56" t="s">
        <v>50</v>
      </c>
      <c r="E31" s="57"/>
      <c r="F31" s="57"/>
      <c r="G31" s="57"/>
      <c r="H31" s="58"/>
      <c r="I31" s="44" t="s">
        <v>67</v>
      </c>
      <c r="J31" s="45"/>
      <c r="K31" s="45"/>
      <c r="L31" s="46"/>
      <c r="M31" s="59" t="s">
        <v>101</v>
      </c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9"/>
      <c r="Z31" s="47" t="s">
        <v>44</v>
      </c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9"/>
      <c r="AM31" s="44" t="s">
        <v>102</v>
      </c>
      <c r="AN31" s="45"/>
      <c r="AO31" s="46"/>
      <c r="AP31" s="50" t="s">
        <v>46</v>
      </c>
      <c r="AQ31" s="51"/>
      <c r="AR31" s="52"/>
      <c r="AS31" s="50" t="s">
        <v>47</v>
      </c>
      <c r="AT31" s="51"/>
      <c r="AU31" s="52"/>
      <c r="AV31" s="50" t="s">
        <v>48</v>
      </c>
      <c r="AW31" s="51"/>
      <c r="AX31" s="52"/>
      <c r="AY31" s="41" t="s">
        <v>49</v>
      </c>
      <c r="AZ31" s="42"/>
      <c r="BA31" s="43"/>
      <c r="BB31" s="53">
        <v>45224</v>
      </c>
      <c r="BC31" s="54"/>
      <c r="BD31" s="55"/>
      <c r="BE31" s="53">
        <v>45224</v>
      </c>
      <c r="BF31" s="54"/>
      <c r="BG31" s="55"/>
      <c r="BH31" s="41" t="s">
        <v>9</v>
      </c>
      <c r="BI31" s="42"/>
      <c r="BJ31" s="43"/>
      <c r="BK31" s="53">
        <v>45238</v>
      </c>
      <c r="BL31" s="54"/>
      <c r="BM31" s="55"/>
      <c r="BN31" s="44"/>
      <c r="BO31" s="45"/>
      <c r="BP31" s="45"/>
      <c r="BQ31" s="45"/>
      <c r="BR31" s="45"/>
      <c r="BS31" s="46"/>
    </row>
    <row r="32" spans="1:71" ht="60" customHeight="1" x14ac:dyDescent="0.25">
      <c r="A32" s="7">
        <f>IF(M32="","",COUNTA($M$9:M32))</f>
        <v>24</v>
      </c>
      <c r="B32" s="41" t="s">
        <v>9</v>
      </c>
      <c r="C32" s="43"/>
      <c r="D32" s="56" t="s">
        <v>103</v>
      </c>
      <c r="E32" s="57"/>
      <c r="F32" s="57"/>
      <c r="G32" s="57"/>
      <c r="H32" s="58"/>
      <c r="I32" s="44" t="s">
        <v>104</v>
      </c>
      <c r="J32" s="45"/>
      <c r="K32" s="45"/>
      <c r="L32" s="46"/>
      <c r="M32" s="47" t="s">
        <v>105</v>
      </c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9"/>
      <c r="Z32" s="47" t="s">
        <v>106</v>
      </c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9"/>
      <c r="AM32" s="44" t="s">
        <v>107</v>
      </c>
      <c r="AN32" s="45"/>
      <c r="AO32" s="46"/>
      <c r="AP32" s="50" t="s">
        <v>46</v>
      </c>
      <c r="AQ32" s="51"/>
      <c r="AR32" s="52"/>
      <c r="AS32" s="50" t="s">
        <v>60</v>
      </c>
      <c r="AT32" s="51"/>
      <c r="AU32" s="52"/>
      <c r="AV32" s="50" t="s">
        <v>108</v>
      </c>
      <c r="AW32" s="51"/>
      <c r="AX32" s="52"/>
      <c r="AY32" s="41" t="s">
        <v>49</v>
      </c>
      <c r="AZ32" s="42"/>
      <c r="BA32" s="43"/>
      <c r="BB32" s="53">
        <v>45224</v>
      </c>
      <c r="BC32" s="54"/>
      <c r="BD32" s="55"/>
      <c r="BE32" s="53">
        <v>45224</v>
      </c>
      <c r="BF32" s="54"/>
      <c r="BG32" s="55"/>
      <c r="BH32" s="41" t="s">
        <v>9</v>
      </c>
      <c r="BI32" s="42"/>
      <c r="BJ32" s="43"/>
      <c r="BK32" s="53">
        <v>45238</v>
      </c>
      <c r="BL32" s="54"/>
      <c r="BM32" s="55"/>
      <c r="BN32" s="44"/>
      <c r="BO32" s="45"/>
      <c r="BP32" s="45"/>
      <c r="BQ32" s="45"/>
      <c r="BR32" s="45"/>
      <c r="BS32" s="46"/>
    </row>
    <row r="33" spans="1:71" ht="60" customHeight="1" x14ac:dyDescent="0.25">
      <c r="A33" s="7">
        <f>IF(M33="","",COUNTA($M$9:M33))</f>
        <v>25</v>
      </c>
      <c r="B33" s="41" t="s">
        <v>9</v>
      </c>
      <c r="C33" s="43"/>
      <c r="D33" s="56" t="s">
        <v>103</v>
      </c>
      <c r="E33" s="57"/>
      <c r="F33" s="57"/>
      <c r="G33" s="57"/>
      <c r="H33" s="58"/>
      <c r="I33" s="44" t="s">
        <v>104</v>
      </c>
      <c r="J33" s="45"/>
      <c r="K33" s="45"/>
      <c r="L33" s="46"/>
      <c r="M33" s="47" t="s">
        <v>109</v>
      </c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9"/>
      <c r="Z33" s="47" t="s">
        <v>44</v>
      </c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9"/>
      <c r="AM33" s="44" t="s">
        <v>107</v>
      </c>
      <c r="AN33" s="45"/>
      <c r="AO33" s="46"/>
      <c r="AP33" s="50" t="s">
        <v>46</v>
      </c>
      <c r="AQ33" s="51"/>
      <c r="AR33" s="52"/>
      <c r="AS33" s="50" t="s">
        <v>60</v>
      </c>
      <c r="AT33" s="51"/>
      <c r="AU33" s="52"/>
      <c r="AV33" s="50" t="s">
        <v>108</v>
      </c>
      <c r="AW33" s="51"/>
      <c r="AX33" s="52"/>
      <c r="AY33" s="41" t="s">
        <v>49</v>
      </c>
      <c r="AZ33" s="42"/>
      <c r="BA33" s="43"/>
      <c r="BB33" s="53">
        <v>45224</v>
      </c>
      <c r="BC33" s="54"/>
      <c r="BD33" s="55"/>
      <c r="BE33" s="53">
        <v>45224</v>
      </c>
      <c r="BF33" s="54"/>
      <c r="BG33" s="55"/>
      <c r="BH33" s="41" t="s">
        <v>9</v>
      </c>
      <c r="BI33" s="42"/>
      <c r="BJ33" s="43"/>
      <c r="BK33" s="53">
        <v>45238</v>
      </c>
      <c r="BL33" s="54"/>
      <c r="BM33" s="55"/>
      <c r="BN33" s="44"/>
      <c r="BO33" s="45"/>
      <c r="BP33" s="45"/>
      <c r="BQ33" s="45"/>
      <c r="BR33" s="45"/>
      <c r="BS33" s="46"/>
    </row>
    <row r="34" spans="1:71" ht="60" customHeight="1" x14ac:dyDescent="0.25">
      <c r="A34" s="7">
        <f>IF(M34="","",COUNTA($M$9:M34))</f>
        <v>26</v>
      </c>
      <c r="B34" s="41" t="s">
        <v>9</v>
      </c>
      <c r="C34" s="43"/>
      <c r="D34" s="56" t="s">
        <v>110</v>
      </c>
      <c r="E34" s="57"/>
      <c r="F34" s="57"/>
      <c r="G34" s="57"/>
      <c r="H34" s="58"/>
      <c r="I34" s="44" t="s">
        <v>104</v>
      </c>
      <c r="J34" s="45"/>
      <c r="K34" s="45"/>
      <c r="L34" s="46"/>
      <c r="M34" s="47" t="s">
        <v>111</v>
      </c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9"/>
      <c r="Z34" s="47" t="s">
        <v>112</v>
      </c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9"/>
      <c r="AM34" s="44" t="s">
        <v>113</v>
      </c>
      <c r="AN34" s="45"/>
      <c r="AO34" s="46"/>
      <c r="AP34" s="50" t="s">
        <v>46</v>
      </c>
      <c r="AQ34" s="51"/>
      <c r="AR34" s="52"/>
      <c r="AS34" s="50" t="s">
        <v>60</v>
      </c>
      <c r="AT34" s="51"/>
      <c r="AU34" s="52"/>
      <c r="AV34" s="50" t="s">
        <v>108</v>
      </c>
      <c r="AW34" s="51"/>
      <c r="AX34" s="52"/>
      <c r="AY34" s="41" t="s">
        <v>49</v>
      </c>
      <c r="AZ34" s="42"/>
      <c r="BA34" s="43"/>
      <c r="BB34" s="53">
        <v>45224</v>
      </c>
      <c r="BC34" s="54"/>
      <c r="BD34" s="55"/>
      <c r="BE34" s="53">
        <v>45224</v>
      </c>
      <c r="BF34" s="54"/>
      <c r="BG34" s="55"/>
      <c r="BH34" s="41" t="s">
        <v>9</v>
      </c>
      <c r="BI34" s="42"/>
      <c r="BJ34" s="43"/>
      <c r="BK34" s="53">
        <v>45238</v>
      </c>
      <c r="BL34" s="54"/>
      <c r="BM34" s="55"/>
      <c r="BN34" s="44"/>
      <c r="BO34" s="45"/>
      <c r="BP34" s="45"/>
      <c r="BQ34" s="45"/>
      <c r="BR34" s="45"/>
      <c r="BS34" s="46"/>
    </row>
    <row r="35" spans="1:71" ht="60" customHeight="1" x14ac:dyDescent="0.25">
      <c r="A35" s="7">
        <f>IF(M35="","",COUNTA($M$9:M35))</f>
        <v>27</v>
      </c>
      <c r="B35" s="41" t="s">
        <v>9</v>
      </c>
      <c r="C35" s="43"/>
      <c r="D35" s="56" t="s">
        <v>114</v>
      </c>
      <c r="E35" s="57"/>
      <c r="F35" s="57"/>
      <c r="G35" s="57"/>
      <c r="H35" s="58"/>
      <c r="I35" s="44" t="s">
        <v>90</v>
      </c>
      <c r="J35" s="45"/>
      <c r="K35" s="45"/>
      <c r="L35" s="46"/>
      <c r="M35" s="47" t="s">
        <v>115</v>
      </c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9"/>
      <c r="Z35" s="47" t="s">
        <v>116</v>
      </c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9"/>
      <c r="AM35" s="44" t="s">
        <v>117</v>
      </c>
      <c r="AN35" s="45"/>
      <c r="AO35" s="46"/>
      <c r="AP35" s="50" t="s">
        <v>46</v>
      </c>
      <c r="AQ35" s="51"/>
      <c r="AR35" s="52"/>
      <c r="AS35" s="50" t="s">
        <v>55</v>
      </c>
      <c r="AT35" s="51"/>
      <c r="AU35" s="52"/>
      <c r="AV35" s="50" t="s">
        <v>56</v>
      </c>
      <c r="AW35" s="51"/>
      <c r="AX35" s="52"/>
      <c r="AY35" s="41" t="s">
        <v>49</v>
      </c>
      <c r="AZ35" s="42"/>
      <c r="BA35" s="43"/>
      <c r="BB35" s="53">
        <v>45224</v>
      </c>
      <c r="BC35" s="54"/>
      <c r="BD35" s="55"/>
      <c r="BE35" s="53">
        <v>45224</v>
      </c>
      <c r="BF35" s="54"/>
      <c r="BG35" s="55"/>
      <c r="BH35" s="41" t="s">
        <v>9</v>
      </c>
      <c r="BI35" s="42"/>
      <c r="BJ35" s="43"/>
      <c r="BK35" s="53">
        <v>45238</v>
      </c>
      <c r="BL35" s="54"/>
      <c r="BM35" s="55"/>
      <c r="BN35" s="44"/>
      <c r="BO35" s="45"/>
      <c r="BP35" s="45"/>
      <c r="BQ35" s="45"/>
      <c r="BR35" s="45"/>
      <c r="BS35" s="46"/>
    </row>
    <row r="36" spans="1:71" ht="60" customHeight="1" x14ac:dyDescent="0.25">
      <c r="A36" s="7" t="str">
        <f>IF(M36="","",COUNTA($M$9:M36))</f>
        <v/>
      </c>
      <c r="B36" s="41"/>
      <c r="C36" s="43"/>
      <c r="D36" s="56"/>
      <c r="E36" s="57"/>
      <c r="F36" s="57"/>
      <c r="G36" s="57"/>
      <c r="H36" s="58"/>
      <c r="I36" s="44"/>
      <c r="J36" s="45"/>
      <c r="K36" s="45"/>
      <c r="L36" s="46"/>
      <c r="M36" s="47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9"/>
      <c r="Z36" s="47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9"/>
      <c r="AM36" s="44"/>
      <c r="AN36" s="45"/>
      <c r="AO36" s="46"/>
      <c r="AP36" s="50"/>
      <c r="AQ36" s="51"/>
      <c r="AR36" s="52"/>
      <c r="AS36" s="50"/>
      <c r="AT36" s="51"/>
      <c r="AU36" s="52"/>
      <c r="AV36" s="50"/>
      <c r="AW36" s="51"/>
      <c r="AX36" s="52"/>
      <c r="AY36" s="41"/>
      <c r="AZ36" s="42"/>
      <c r="BA36" s="43"/>
      <c r="BB36" s="53"/>
      <c r="BC36" s="54"/>
      <c r="BD36" s="55"/>
      <c r="BE36" s="53"/>
      <c r="BF36" s="54"/>
      <c r="BG36" s="55"/>
      <c r="BH36" s="41"/>
      <c r="BI36" s="42"/>
      <c r="BJ36" s="43"/>
      <c r="BK36" s="53"/>
      <c r="BL36" s="54"/>
      <c r="BM36" s="55"/>
      <c r="BN36" s="44"/>
      <c r="BO36" s="45"/>
      <c r="BP36" s="45"/>
      <c r="BQ36" s="45"/>
      <c r="BR36" s="45"/>
      <c r="BS36" s="46"/>
    </row>
    <row r="37" spans="1:71" ht="15" customHeight="1" x14ac:dyDescent="0.25">
      <c r="A37" s="33" t="s">
        <v>118</v>
      </c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</row>
  </sheetData>
  <mergeCells count="470">
    <mergeCell ref="BH34:BJ34"/>
    <mergeCell ref="BK34:BM34"/>
    <mergeCell ref="BN34:BS34"/>
    <mergeCell ref="B35:C35"/>
    <mergeCell ref="D35:H35"/>
    <mergeCell ref="I35:L35"/>
    <mergeCell ref="M35:Y35"/>
    <mergeCell ref="Z35:AL35"/>
    <mergeCell ref="AM35:AO35"/>
    <mergeCell ref="AP35:AR35"/>
    <mergeCell ref="AS35:AU35"/>
    <mergeCell ref="AV35:AX35"/>
    <mergeCell ref="AY35:BA35"/>
    <mergeCell ref="BB35:BD35"/>
    <mergeCell ref="BE35:BG35"/>
    <mergeCell ref="BH35:BJ35"/>
    <mergeCell ref="BK35:BM35"/>
    <mergeCell ref="BN35:BS35"/>
    <mergeCell ref="B34:C34"/>
    <mergeCell ref="D34:H34"/>
    <mergeCell ref="I34:L34"/>
    <mergeCell ref="M34:Y34"/>
    <mergeCell ref="Z34:AL34"/>
    <mergeCell ref="AM34:AO34"/>
    <mergeCell ref="AP34:AR34"/>
    <mergeCell ref="AS34:AU34"/>
    <mergeCell ref="AV34:AX34"/>
    <mergeCell ref="AY32:BA32"/>
    <mergeCell ref="BB32:BD32"/>
    <mergeCell ref="BE32:BG32"/>
    <mergeCell ref="AP32:AR32"/>
    <mergeCell ref="AS32:AU32"/>
    <mergeCell ref="AV32:AX32"/>
    <mergeCell ref="AY34:BA34"/>
    <mergeCell ref="BB34:BD34"/>
    <mergeCell ref="BE34:BG34"/>
    <mergeCell ref="BH32:BJ32"/>
    <mergeCell ref="BK32:BM32"/>
    <mergeCell ref="BN32:BS32"/>
    <mergeCell ref="B33:C33"/>
    <mergeCell ref="D33:H33"/>
    <mergeCell ref="I33:L33"/>
    <mergeCell ref="M33:Y33"/>
    <mergeCell ref="Z33:AL33"/>
    <mergeCell ref="AM33:AO33"/>
    <mergeCell ref="AP33:AR33"/>
    <mergeCell ref="AS33:AU33"/>
    <mergeCell ref="AV33:AX33"/>
    <mergeCell ref="AY33:BA33"/>
    <mergeCell ref="BB33:BD33"/>
    <mergeCell ref="BE33:BG33"/>
    <mergeCell ref="BH33:BJ33"/>
    <mergeCell ref="BK33:BM33"/>
    <mergeCell ref="BN33:BS33"/>
    <mergeCell ref="B32:C32"/>
    <mergeCell ref="D32:H32"/>
    <mergeCell ref="I32:L32"/>
    <mergeCell ref="M32:Y32"/>
    <mergeCell ref="Z32:AL32"/>
    <mergeCell ref="AM32:AO32"/>
    <mergeCell ref="BH29:BJ29"/>
    <mergeCell ref="BK29:BM29"/>
    <mergeCell ref="BN29:BS29"/>
    <mergeCell ref="B31:C31"/>
    <mergeCell ref="D31:H31"/>
    <mergeCell ref="I31:L31"/>
    <mergeCell ref="M31:Y31"/>
    <mergeCell ref="Z31:AL31"/>
    <mergeCell ref="AM31:AO31"/>
    <mergeCell ref="AP31:AR31"/>
    <mergeCell ref="AS31:AU31"/>
    <mergeCell ref="AV31:AX31"/>
    <mergeCell ref="AY31:BA31"/>
    <mergeCell ref="BB31:BD31"/>
    <mergeCell ref="BE31:BG31"/>
    <mergeCell ref="BH31:BJ31"/>
    <mergeCell ref="BK31:BM31"/>
    <mergeCell ref="BN31:BS31"/>
    <mergeCell ref="B29:C29"/>
    <mergeCell ref="D29:H29"/>
    <mergeCell ref="I29:L29"/>
    <mergeCell ref="M29:Y29"/>
    <mergeCell ref="Z29:AL29"/>
    <mergeCell ref="AM29:AO29"/>
    <mergeCell ref="AP29:AR29"/>
    <mergeCell ref="AS29:AU29"/>
    <mergeCell ref="AV29:AX29"/>
    <mergeCell ref="AY27:BA27"/>
    <mergeCell ref="BB27:BD27"/>
    <mergeCell ref="BE27:BG27"/>
    <mergeCell ref="AP27:AR27"/>
    <mergeCell ref="AS27:AU27"/>
    <mergeCell ref="AV27:AX27"/>
    <mergeCell ref="AY29:BA29"/>
    <mergeCell ref="BB29:BD29"/>
    <mergeCell ref="BE29:BG29"/>
    <mergeCell ref="BH27:BJ27"/>
    <mergeCell ref="BK27:BM27"/>
    <mergeCell ref="BN27:BS27"/>
    <mergeCell ref="B28:C28"/>
    <mergeCell ref="D28:H28"/>
    <mergeCell ref="I28:L28"/>
    <mergeCell ref="M28:Y28"/>
    <mergeCell ref="Z28:AL28"/>
    <mergeCell ref="AM28:AO28"/>
    <mergeCell ref="AP28:AR28"/>
    <mergeCell ref="AS28:AU28"/>
    <mergeCell ref="AV28:AX28"/>
    <mergeCell ref="AY28:BA28"/>
    <mergeCell ref="BB28:BD28"/>
    <mergeCell ref="BE28:BG28"/>
    <mergeCell ref="BH28:BJ28"/>
    <mergeCell ref="BK28:BM28"/>
    <mergeCell ref="BN28:BS28"/>
    <mergeCell ref="B27:C27"/>
    <mergeCell ref="D27:H27"/>
    <mergeCell ref="I27:L27"/>
    <mergeCell ref="M27:Y27"/>
    <mergeCell ref="Z27:AL27"/>
    <mergeCell ref="AM27:AO27"/>
    <mergeCell ref="BN25:BS25"/>
    <mergeCell ref="B26:C26"/>
    <mergeCell ref="D26:H26"/>
    <mergeCell ref="I26:L26"/>
    <mergeCell ref="M26:Y26"/>
    <mergeCell ref="Z26:AL26"/>
    <mergeCell ref="AM26:AO26"/>
    <mergeCell ref="AP26:AR26"/>
    <mergeCell ref="AS26:AU26"/>
    <mergeCell ref="AV26:AX26"/>
    <mergeCell ref="AY26:BA26"/>
    <mergeCell ref="BB26:BD26"/>
    <mergeCell ref="BE26:BG26"/>
    <mergeCell ref="BH26:BJ26"/>
    <mergeCell ref="BK26:BM26"/>
    <mergeCell ref="BN26:BS26"/>
    <mergeCell ref="B25:C25"/>
    <mergeCell ref="D25:H25"/>
    <mergeCell ref="I25:L25"/>
    <mergeCell ref="M25:Y25"/>
    <mergeCell ref="Z25:AL25"/>
    <mergeCell ref="AM25:AO25"/>
    <mergeCell ref="AP25:AR25"/>
    <mergeCell ref="AS25:AU25"/>
    <mergeCell ref="AV25:AX25"/>
    <mergeCell ref="BE24:BG24"/>
    <mergeCell ref="BH24:BJ24"/>
    <mergeCell ref="BK24:BM24"/>
    <mergeCell ref="AY25:BA25"/>
    <mergeCell ref="BB25:BD25"/>
    <mergeCell ref="BE25:BG25"/>
    <mergeCell ref="BH25:BJ25"/>
    <mergeCell ref="BK25:BM25"/>
    <mergeCell ref="AY24:BA24"/>
    <mergeCell ref="BB24:BD24"/>
    <mergeCell ref="BN24:BS24"/>
    <mergeCell ref="AY10:BA10"/>
    <mergeCell ref="BB10:BD10"/>
    <mergeCell ref="BE10:BG10"/>
    <mergeCell ref="BH10:BJ10"/>
    <mergeCell ref="BK10:BM10"/>
    <mergeCell ref="BN10:BS10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Y23:BA23"/>
    <mergeCell ref="BB23:BD23"/>
    <mergeCell ref="BE23:BG23"/>
    <mergeCell ref="BH23:BJ23"/>
    <mergeCell ref="BK23:BM23"/>
    <mergeCell ref="BN23:BS23"/>
    <mergeCell ref="B10:C10"/>
    <mergeCell ref="D10:H10"/>
    <mergeCell ref="I10:L10"/>
    <mergeCell ref="M10:Y10"/>
    <mergeCell ref="Z10:AL10"/>
    <mergeCell ref="AM10:AO10"/>
    <mergeCell ref="AP10:AR10"/>
    <mergeCell ref="AS10:AU10"/>
    <mergeCell ref="AV10:AX10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BN7:BS8"/>
    <mergeCell ref="B7:C8"/>
    <mergeCell ref="D7:H8"/>
    <mergeCell ref="I7:L8"/>
    <mergeCell ref="M7:Y8"/>
    <mergeCell ref="Z7:AL8"/>
    <mergeCell ref="BN9:BS9"/>
    <mergeCell ref="AP12:AR12"/>
    <mergeCell ref="AS12:AU12"/>
    <mergeCell ref="AV12:AX12"/>
    <mergeCell ref="AY12:BA12"/>
    <mergeCell ref="BB12:BD12"/>
    <mergeCell ref="BE12:BG12"/>
    <mergeCell ref="BH12:BJ12"/>
    <mergeCell ref="BK12:BM12"/>
    <mergeCell ref="BN12:BS12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2:AO12"/>
    <mergeCell ref="B13:C13"/>
    <mergeCell ref="D13:H13"/>
    <mergeCell ref="I13:L13"/>
    <mergeCell ref="M13:Y13"/>
    <mergeCell ref="Z13:AL13"/>
    <mergeCell ref="AM13:AO13"/>
    <mergeCell ref="M9:Y9"/>
    <mergeCell ref="M12:Y12"/>
    <mergeCell ref="Z9:AL9"/>
    <mergeCell ref="Z12:AL12"/>
    <mergeCell ref="B9:C9"/>
    <mergeCell ref="D9:H9"/>
    <mergeCell ref="D12:H12"/>
    <mergeCell ref="B12:C12"/>
    <mergeCell ref="I9:L9"/>
    <mergeCell ref="I12:L12"/>
    <mergeCell ref="B11:C11"/>
    <mergeCell ref="D11:H11"/>
    <mergeCell ref="I11:L11"/>
    <mergeCell ref="M11:Y11"/>
    <mergeCell ref="Z11:AL11"/>
    <mergeCell ref="AM11:AO11"/>
    <mergeCell ref="AS14:AU14"/>
    <mergeCell ref="BH13:BJ13"/>
    <mergeCell ref="BK13:BM13"/>
    <mergeCell ref="BN13:BS13"/>
    <mergeCell ref="B14:C14"/>
    <mergeCell ref="D14:H14"/>
    <mergeCell ref="I14:L14"/>
    <mergeCell ref="M14:Y14"/>
    <mergeCell ref="Z14:AL14"/>
    <mergeCell ref="AM14:AO14"/>
    <mergeCell ref="AP14:AR14"/>
    <mergeCell ref="AP13:AR13"/>
    <mergeCell ref="AS13:AU13"/>
    <mergeCell ref="AV13:AX13"/>
    <mergeCell ref="AY13:BA13"/>
    <mergeCell ref="BB13:BD13"/>
    <mergeCell ref="BE13:BG13"/>
    <mergeCell ref="BK14:BM14"/>
    <mergeCell ref="BN14:BS14"/>
    <mergeCell ref="AV14:AX14"/>
    <mergeCell ref="AY14:BA14"/>
    <mergeCell ref="BB14:BD14"/>
    <mergeCell ref="BE14:BG14"/>
    <mergeCell ref="BH14:BJ14"/>
    <mergeCell ref="BN15:BS15"/>
    <mergeCell ref="B18:C18"/>
    <mergeCell ref="D18:H18"/>
    <mergeCell ref="I18:L18"/>
    <mergeCell ref="M18:Y18"/>
    <mergeCell ref="Z18:AL18"/>
    <mergeCell ref="AM18:AO18"/>
    <mergeCell ref="AP18:AR18"/>
    <mergeCell ref="AS18:AU18"/>
    <mergeCell ref="AV18:AX18"/>
    <mergeCell ref="AV15:AX15"/>
    <mergeCell ref="AY15:BA15"/>
    <mergeCell ref="BB15:BD15"/>
    <mergeCell ref="BE15:BG15"/>
    <mergeCell ref="BH15:BJ15"/>
    <mergeCell ref="BK15:BM15"/>
    <mergeCell ref="B15:C15"/>
    <mergeCell ref="D15:H15"/>
    <mergeCell ref="I15:L15"/>
    <mergeCell ref="M15:Y15"/>
    <mergeCell ref="Z15:AL15"/>
    <mergeCell ref="AM15:AO15"/>
    <mergeCell ref="AP15:AR15"/>
    <mergeCell ref="AS15:AU15"/>
    <mergeCell ref="BN17:BS17"/>
    <mergeCell ref="AY18:BA18"/>
    <mergeCell ref="BB18:BD18"/>
    <mergeCell ref="BE18:BG18"/>
    <mergeCell ref="BH18:BJ18"/>
    <mergeCell ref="BK18:BM18"/>
    <mergeCell ref="BN18:BS18"/>
    <mergeCell ref="AV17:AX17"/>
    <mergeCell ref="AY17:BA17"/>
    <mergeCell ref="BB17:BD17"/>
    <mergeCell ref="BE17:BG17"/>
    <mergeCell ref="BH17:BJ17"/>
    <mergeCell ref="AS17:AU17"/>
    <mergeCell ref="BH16:BJ16"/>
    <mergeCell ref="BK16:BM16"/>
    <mergeCell ref="BN16:BS16"/>
    <mergeCell ref="B17:C17"/>
    <mergeCell ref="D17:H17"/>
    <mergeCell ref="I17:L17"/>
    <mergeCell ref="M17:Y17"/>
    <mergeCell ref="Z17:AL17"/>
    <mergeCell ref="AM17:AO17"/>
    <mergeCell ref="AP17:AR17"/>
    <mergeCell ref="AP16:AR16"/>
    <mergeCell ref="AS16:AU16"/>
    <mergeCell ref="AV16:AX16"/>
    <mergeCell ref="AY16:BA16"/>
    <mergeCell ref="BB16:BD16"/>
    <mergeCell ref="BE16:BG16"/>
    <mergeCell ref="B16:C16"/>
    <mergeCell ref="D16:H16"/>
    <mergeCell ref="I16:L16"/>
    <mergeCell ref="M16:Y16"/>
    <mergeCell ref="Z16:AL16"/>
    <mergeCell ref="AM16:AO16"/>
    <mergeCell ref="BK17:BM17"/>
    <mergeCell ref="BN19:BS19"/>
    <mergeCell ref="B20:C20"/>
    <mergeCell ref="D20:H20"/>
    <mergeCell ref="I20:L20"/>
    <mergeCell ref="M20:Y20"/>
    <mergeCell ref="Z20:AL20"/>
    <mergeCell ref="AM20:AO20"/>
    <mergeCell ref="AP20:AR20"/>
    <mergeCell ref="AS20:AU20"/>
    <mergeCell ref="AV20:AX20"/>
    <mergeCell ref="AV19:AX19"/>
    <mergeCell ref="AY19:BA19"/>
    <mergeCell ref="BB19:BD19"/>
    <mergeCell ref="BE19:BG19"/>
    <mergeCell ref="BH19:BJ19"/>
    <mergeCell ref="BK19:BM19"/>
    <mergeCell ref="B19:C19"/>
    <mergeCell ref="AM19:AO19"/>
    <mergeCell ref="AP19:AR19"/>
    <mergeCell ref="AS19:AU19"/>
    <mergeCell ref="D19:H19"/>
    <mergeCell ref="I19:L19"/>
    <mergeCell ref="M19:Y19"/>
    <mergeCell ref="Z19:AL19"/>
    <mergeCell ref="AS22:AU22"/>
    <mergeCell ref="BH21:BJ21"/>
    <mergeCell ref="BK21:BM21"/>
    <mergeCell ref="BN21:BS21"/>
    <mergeCell ref="B22:C22"/>
    <mergeCell ref="D22:H22"/>
    <mergeCell ref="I22:L22"/>
    <mergeCell ref="M22:Y22"/>
    <mergeCell ref="Z22:AL22"/>
    <mergeCell ref="AM22:AO22"/>
    <mergeCell ref="AP22:AR22"/>
    <mergeCell ref="AP21:AR21"/>
    <mergeCell ref="AS21:AU21"/>
    <mergeCell ref="AV21:AX21"/>
    <mergeCell ref="AY21:BA21"/>
    <mergeCell ref="BB21:BD21"/>
    <mergeCell ref="BE21:BG21"/>
    <mergeCell ref="B21:C21"/>
    <mergeCell ref="D21:H21"/>
    <mergeCell ref="I21:L21"/>
    <mergeCell ref="BN22:BS22"/>
    <mergeCell ref="BK20:BM20"/>
    <mergeCell ref="BN20:BS20"/>
    <mergeCell ref="B30:C30"/>
    <mergeCell ref="D30:H30"/>
    <mergeCell ref="I30:L30"/>
    <mergeCell ref="M30:Y30"/>
    <mergeCell ref="M21:Y21"/>
    <mergeCell ref="Z21:AL21"/>
    <mergeCell ref="AM21:AO21"/>
    <mergeCell ref="BK22:BM22"/>
    <mergeCell ref="AV22:AX22"/>
    <mergeCell ref="AY22:BA22"/>
    <mergeCell ref="BB22:BD22"/>
    <mergeCell ref="BE22:BG22"/>
    <mergeCell ref="BH22:BJ22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B36:C36"/>
    <mergeCell ref="D36:H36"/>
    <mergeCell ref="I36:L36"/>
    <mergeCell ref="M36:Y36"/>
    <mergeCell ref="Z36:AL36"/>
    <mergeCell ref="AM36:AO36"/>
    <mergeCell ref="AP36:AR36"/>
    <mergeCell ref="AS36:AU36"/>
    <mergeCell ref="AV36:AX36"/>
    <mergeCell ref="AH2:AK2"/>
    <mergeCell ref="AH3:AK3"/>
    <mergeCell ref="AH4:AK4"/>
    <mergeCell ref="AY36:BA36"/>
    <mergeCell ref="BN36:BS36"/>
    <mergeCell ref="Z30:AL30"/>
    <mergeCell ref="AM30:AO30"/>
    <mergeCell ref="AP30:AR30"/>
    <mergeCell ref="AS30:AU30"/>
    <mergeCell ref="BB36:BD36"/>
    <mergeCell ref="BE36:BG36"/>
    <mergeCell ref="BH36:BJ36"/>
    <mergeCell ref="BK36:BM36"/>
    <mergeCell ref="BN30:BS30"/>
    <mergeCell ref="AV30:AX30"/>
    <mergeCell ref="AY30:BA30"/>
    <mergeCell ref="BB30:BD30"/>
    <mergeCell ref="BE30:BG30"/>
    <mergeCell ref="BH30:BJ30"/>
    <mergeCell ref="BK30:BM30"/>
    <mergeCell ref="AY20:BA20"/>
    <mergeCell ref="BB20:BD20"/>
    <mergeCell ref="BE20:BG20"/>
    <mergeCell ref="BH20:BJ20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 xml:space="preserve">&amp;R&amp;11&amp;A - &amp;P&amp;L詳細設計 - 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26CA-B301-465F-86FD-7E0472E9A4DB}">
  <dimension ref="A2:U55"/>
  <sheetViews>
    <sheetView topLeftCell="A42" zoomScale="80" zoomScaleNormal="80" workbookViewId="0">
      <selection activeCell="G89" sqref="G89"/>
    </sheetView>
  </sheetViews>
  <sheetFormatPr defaultRowHeight="14.25" x14ac:dyDescent="0.25"/>
  <sheetData>
    <row r="2" spans="1:21" x14ac:dyDescent="0.25">
      <c r="A2" s="37" t="s">
        <v>119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1" spans="2:2" ht="19.5" x14ac:dyDescent="0.25">
      <c r="B31" s="35" t="s">
        <v>120</v>
      </c>
    </row>
    <row r="53" spans="1:21" x14ac:dyDescent="0.25">
      <c r="A53" s="37" t="s">
        <v>121</v>
      </c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</row>
    <row r="55" spans="1:21" ht="19.5" x14ac:dyDescent="0.25">
      <c r="B55" s="35" t="s">
        <v>120</v>
      </c>
    </row>
  </sheetData>
  <phoneticPr fontId="2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122</v>
      </c>
      <c r="B1" t="s">
        <v>123</v>
      </c>
      <c r="C1" t="s">
        <v>2</v>
      </c>
      <c r="D1" t="s">
        <v>124</v>
      </c>
      <c r="E1" t="s">
        <v>125</v>
      </c>
    </row>
    <row r="2" spans="1:6" x14ac:dyDescent="0.25">
      <c r="A2" t="s">
        <v>126</v>
      </c>
      <c r="B2" t="s">
        <v>127</v>
      </c>
      <c r="C2" t="s">
        <v>128</v>
      </c>
      <c r="D2" t="s">
        <v>129</v>
      </c>
      <c r="E2" t="s">
        <v>130</v>
      </c>
    </row>
    <row r="3" spans="1:6" x14ac:dyDescent="0.25">
      <c r="A3" t="s">
        <v>131</v>
      </c>
      <c r="B3" t="s">
        <v>132</v>
      </c>
      <c r="C3" t="s">
        <v>133</v>
      </c>
      <c r="D3" t="s">
        <v>134</v>
      </c>
      <c r="E3" t="s">
        <v>135</v>
      </c>
    </row>
    <row r="4" spans="1:6" x14ac:dyDescent="0.25">
      <c r="A4" t="s">
        <v>136</v>
      </c>
      <c r="B4" t="s">
        <v>6</v>
      </c>
      <c r="C4" t="s">
        <v>137</v>
      </c>
      <c r="D4" t="s">
        <v>138</v>
      </c>
      <c r="E4" t="s">
        <v>139</v>
      </c>
    </row>
    <row r="5" spans="1:6" x14ac:dyDescent="0.25">
      <c r="A5" t="s">
        <v>140</v>
      </c>
      <c r="B5" t="s">
        <v>141</v>
      </c>
      <c r="C5" t="s">
        <v>142</v>
      </c>
      <c r="D5" t="s">
        <v>143</v>
      </c>
      <c r="E5" t="s">
        <v>144</v>
      </c>
      <c r="F5" t="s">
        <v>145</v>
      </c>
    </row>
    <row r="6" spans="1:6" x14ac:dyDescent="0.25">
      <c r="A6" t="s">
        <v>146</v>
      </c>
      <c r="B6" t="s">
        <v>147</v>
      </c>
      <c r="C6" t="s">
        <v>148</v>
      </c>
      <c r="D6" t="s">
        <v>149</v>
      </c>
      <c r="E6" t="s">
        <v>150</v>
      </c>
    </row>
    <row r="7" spans="1:6" x14ac:dyDescent="0.25">
      <c r="A7" t="s">
        <v>151</v>
      </c>
      <c r="B7" t="s">
        <v>152</v>
      </c>
      <c r="C7" t="s">
        <v>153</v>
      </c>
      <c r="D7" t="s">
        <v>154</v>
      </c>
      <c r="E7" t="s">
        <v>155</v>
      </c>
    </row>
    <row r="8" spans="1:6" x14ac:dyDescent="0.25">
      <c r="B8" t="s">
        <v>156</v>
      </c>
      <c r="C8" t="s">
        <v>157</v>
      </c>
      <c r="D8" t="s">
        <v>158</v>
      </c>
      <c r="E8" t="s">
        <v>159</v>
      </c>
    </row>
    <row r="9" spans="1:6" x14ac:dyDescent="0.25">
      <c r="B9" t="s">
        <v>160</v>
      </c>
      <c r="C9" t="s">
        <v>161</v>
      </c>
      <c r="D9" t="s">
        <v>162</v>
      </c>
      <c r="E9" t="s">
        <v>163</v>
      </c>
    </row>
    <row r="10" spans="1:6" x14ac:dyDescent="0.25">
      <c r="B10" t="s">
        <v>164</v>
      </c>
      <c r="C10" t="s">
        <v>165</v>
      </c>
      <c r="D10" t="s">
        <v>166</v>
      </c>
    </row>
    <row r="11" spans="1:6" x14ac:dyDescent="0.25">
      <c r="B11" t="s">
        <v>167</v>
      </c>
      <c r="C11" t="s">
        <v>168</v>
      </c>
      <c r="D11" t="s">
        <v>169</v>
      </c>
    </row>
    <row r="12" spans="1:6" x14ac:dyDescent="0.25">
      <c r="B12" t="s">
        <v>170</v>
      </c>
      <c r="C12" t="s">
        <v>171</v>
      </c>
      <c r="D12" t="s">
        <v>172</v>
      </c>
    </row>
    <row r="13" spans="1:6" x14ac:dyDescent="0.25">
      <c r="B13" t="s">
        <v>173</v>
      </c>
      <c r="C13" t="s">
        <v>174</v>
      </c>
      <c r="D13" t="s">
        <v>175</v>
      </c>
    </row>
    <row r="14" spans="1:6" x14ac:dyDescent="0.25">
      <c r="C14" t="s">
        <v>176</v>
      </c>
      <c r="D14" t="s">
        <v>177</v>
      </c>
    </row>
    <row r="15" spans="1:6" x14ac:dyDescent="0.25">
      <c r="C15" t="s">
        <v>178</v>
      </c>
      <c r="D15" t="s">
        <v>179</v>
      </c>
    </row>
    <row r="16" spans="1:6" x14ac:dyDescent="0.25">
      <c r="C16" t="s">
        <v>180</v>
      </c>
      <c r="D16" t="s">
        <v>181</v>
      </c>
    </row>
    <row r="17" spans="3:4" x14ac:dyDescent="0.25">
      <c r="C17" t="s">
        <v>182</v>
      </c>
      <c r="D17" t="s">
        <v>183</v>
      </c>
    </row>
    <row r="18" spans="3:4" x14ac:dyDescent="0.25">
      <c r="C18" t="s">
        <v>184</v>
      </c>
      <c r="D18" t="s">
        <v>185</v>
      </c>
    </row>
    <row r="19" spans="3:4" x14ac:dyDescent="0.25">
      <c r="C19" t="s">
        <v>186</v>
      </c>
      <c r="D19" t="s">
        <v>187</v>
      </c>
    </row>
    <row r="20" spans="3:4" x14ac:dyDescent="0.25">
      <c r="C20" t="s">
        <v>188</v>
      </c>
      <c r="D20" t="s">
        <v>189</v>
      </c>
    </row>
    <row r="21" spans="3:4" x14ac:dyDescent="0.25">
      <c r="C21" t="s">
        <v>190</v>
      </c>
      <c r="D21" t="s">
        <v>191</v>
      </c>
    </row>
    <row r="22" spans="3:4" x14ac:dyDescent="0.25">
      <c r="C22" t="s">
        <v>192</v>
      </c>
      <c r="D22" t="s">
        <v>193</v>
      </c>
    </row>
    <row r="23" spans="3:4" x14ac:dyDescent="0.25">
      <c r="C23" t="s">
        <v>194</v>
      </c>
      <c r="D23" t="s">
        <v>195</v>
      </c>
    </row>
    <row r="24" spans="3:4" x14ac:dyDescent="0.25">
      <c r="C24" t="s">
        <v>196</v>
      </c>
      <c r="D24" t="s">
        <v>197</v>
      </c>
    </row>
    <row r="25" spans="3:4" x14ac:dyDescent="0.25">
      <c r="C25" t="s">
        <v>198</v>
      </c>
      <c r="D25" t="s">
        <v>199</v>
      </c>
    </row>
    <row r="26" spans="3:4" x14ac:dyDescent="0.25">
      <c r="C26" t="s">
        <v>200</v>
      </c>
      <c r="D26" t="s">
        <v>201</v>
      </c>
    </row>
    <row r="27" spans="3:4" x14ac:dyDescent="0.25">
      <c r="C27" t="s">
        <v>202</v>
      </c>
      <c r="D27" t="s">
        <v>203</v>
      </c>
    </row>
    <row r="28" spans="3:4" x14ac:dyDescent="0.25">
      <c r="C28" t="s">
        <v>204</v>
      </c>
      <c r="D28" t="s">
        <v>205</v>
      </c>
    </row>
    <row r="29" spans="3:4" x14ac:dyDescent="0.25">
      <c r="C29" t="s">
        <v>206</v>
      </c>
      <c r="D29" t="s">
        <v>207</v>
      </c>
    </row>
    <row r="30" spans="3:4" x14ac:dyDescent="0.25">
      <c r="C30" t="s">
        <v>208</v>
      </c>
      <c r="D30" t="s">
        <v>209</v>
      </c>
    </row>
    <row r="31" spans="3:4" x14ac:dyDescent="0.25">
      <c r="C31" t="s">
        <v>210</v>
      </c>
      <c r="D31" t="s">
        <v>211</v>
      </c>
    </row>
    <row r="32" spans="3:4" x14ac:dyDescent="0.25">
      <c r="C32" t="s">
        <v>212</v>
      </c>
      <c r="D32" t="s">
        <v>213</v>
      </c>
    </row>
    <row r="33" spans="3:4" x14ac:dyDescent="0.25">
      <c r="C33" t="s">
        <v>214</v>
      </c>
      <c r="D33" t="s">
        <v>215</v>
      </c>
    </row>
    <row r="34" spans="3:4" x14ac:dyDescent="0.25">
      <c r="C34" t="s">
        <v>216</v>
      </c>
      <c r="D34" t="s">
        <v>217</v>
      </c>
    </row>
    <row r="35" spans="3:4" x14ac:dyDescent="0.25">
      <c r="C35" t="s">
        <v>218</v>
      </c>
      <c r="D35" t="s">
        <v>219</v>
      </c>
    </row>
    <row r="36" spans="3:4" x14ac:dyDescent="0.25">
      <c r="C36" t="s">
        <v>220</v>
      </c>
      <c r="D36" t="s">
        <v>221</v>
      </c>
    </row>
    <row r="37" spans="3:4" x14ac:dyDescent="0.25">
      <c r="C37" t="s">
        <v>222</v>
      </c>
      <c r="D37" t="s">
        <v>223</v>
      </c>
    </row>
    <row r="38" spans="3:4" x14ac:dyDescent="0.25">
      <c r="C38" t="s">
        <v>224</v>
      </c>
      <c r="D38" t="s">
        <v>225</v>
      </c>
    </row>
    <row r="39" spans="3:4" x14ac:dyDescent="0.25">
      <c r="C39" t="s">
        <v>226</v>
      </c>
      <c r="D39" t="s">
        <v>227</v>
      </c>
    </row>
    <row r="40" spans="3:4" x14ac:dyDescent="0.25">
      <c r="C40" t="s">
        <v>228</v>
      </c>
      <c r="D40" t="s">
        <v>229</v>
      </c>
    </row>
    <row r="41" spans="3:4" x14ac:dyDescent="0.25">
      <c r="C41" t="s">
        <v>230</v>
      </c>
      <c r="D41" t="s">
        <v>231</v>
      </c>
    </row>
    <row r="42" spans="3:4" x14ac:dyDescent="0.25">
      <c r="C42" t="s">
        <v>232</v>
      </c>
      <c r="D42" t="s">
        <v>233</v>
      </c>
    </row>
    <row r="43" spans="3:4" x14ac:dyDescent="0.25">
      <c r="C43" t="s">
        <v>234</v>
      </c>
      <c r="D43" t="s">
        <v>235</v>
      </c>
    </row>
    <row r="44" spans="3:4" x14ac:dyDescent="0.25">
      <c r="C44" t="s">
        <v>236</v>
      </c>
      <c r="D44" t="s">
        <v>237</v>
      </c>
    </row>
    <row r="45" spans="3:4" x14ac:dyDescent="0.25">
      <c r="C45" t="s">
        <v>238</v>
      </c>
      <c r="D45" t="s">
        <v>239</v>
      </c>
    </row>
    <row r="46" spans="3:4" x14ac:dyDescent="0.25">
      <c r="C46" t="s">
        <v>240</v>
      </c>
      <c r="D46" t="s">
        <v>241</v>
      </c>
    </row>
    <row r="47" spans="3:4" x14ac:dyDescent="0.25">
      <c r="C47" t="s">
        <v>242</v>
      </c>
      <c r="D47" t="s">
        <v>243</v>
      </c>
    </row>
    <row r="48" spans="3:4" x14ac:dyDescent="0.25">
      <c r="C48" t="s">
        <v>244</v>
      </c>
      <c r="D48" t="s">
        <v>245</v>
      </c>
    </row>
    <row r="49" spans="3:4" x14ac:dyDescent="0.25">
      <c r="C49" t="s">
        <v>246</v>
      </c>
      <c r="D49" t="s">
        <v>247</v>
      </c>
    </row>
    <row r="50" spans="3:4" x14ac:dyDescent="0.25">
      <c r="C50" t="s">
        <v>248</v>
      </c>
      <c r="D50" t="s">
        <v>249</v>
      </c>
    </row>
    <row r="51" spans="3:4" x14ac:dyDescent="0.25">
      <c r="C51" t="s">
        <v>250</v>
      </c>
      <c r="D51" t="s">
        <v>251</v>
      </c>
    </row>
    <row r="52" spans="3:4" x14ac:dyDescent="0.25">
      <c r="C52" t="s">
        <v>252</v>
      </c>
      <c r="D52" t="s">
        <v>253</v>
      </c>
    </row>
    <row r="53" spans="3:4" x14ac:dyDescent="0.25">
      <c r="C53" t="s">
        <v>254</v>
      </c>
      <c r="D53" t="s">
        <v>255</v>
      </c>
    </row>
    <row r="54" spans="3:4" x14ac:dyDescent="0.25">
      <c r="C54" t="s">
        <v>256</v>
      </c>
      <c r="D54" t="s">
        <v>257</v>
      </c>
    </row>
    <row r="55" spans="3:4" x14ac:dyDescent="0.25">
      <c r="C55" t="s">
        <v>258</v>
      </c>
      <c r="D55" t="s">
        <v>259</v>
      </c>
    </row>
    <row r="56" spans="3:4" x14ac:dyDescent="0.25">
      <c r="C56" t="s">
        <v>260</v>
      </c>
      <c r="D56" t="s">
        <v>261</v>
      </c>
    </row>
    <row r="57" spans="3:4" x14ac:dyDescent="0.25">
      <c r="C57" t="s">
        <v>262</v>
      </c>
      <c r="D57" t="s">
        <v>263</v>
      </c>
    </row>
    <row r="58" spans="3:4" x14ac:dyDescent="0.25">
      <c r="C58" t="s">
        <v>264</v>
      </c>
      <c r="D58" t="s">
        <v>265</v>
      </c>
    </row>
    <row r="59" spans="3:4" x14ac:dyDescent="0.25">
      <c r="C59" t="s">
        <v>266</v>
      </c>
      <c r="D59" t="s">
        <v>267</v>
      </c>
    </row>
    <row r="60" spans="3:4" x14ac:dyDescent="0.25">
      <c r="C60" t="s">
        <v>268</v>
      </c>
      <c r="D60" t="s">
        <v>269</v>
      </c>
    </row>
    <row r="61" spans="3:4" x14ac:dyDescent="0.25">
      <c r="C61" t="s">
        <v>270</v>
      </c>
      <c r="D61" t="s">
        <v>271</v>
      </c>
    </row>
    <row r="62" spans="3:4" x14ac:dyDescent="0.25">
      <c r="C62" t="s">
        <v>272</v>
      </c>
      <c r="D62" t="s">
        <v>273</v>
      </c>
    </row>
    <row r="63" spans="3:4" x14ac:dyDescent="0.25">
      <c r="C63" t="s">
        <v>274</v>
      </c>
      <c r="D63" t="s">
        <v>275</v>
      </c>
    </row>
    <row r="64" spans="3:4" x14ac:dyDescent="0.25">
      <c r="C64" t="s">
        <v>276</v>
      </c>
      <c r="D64" t="s">
        <v>277</v>
      </c>
    </row>
    <row r="65" spans="3:4" x14ac:dyDescent="0.25">
      <c r="C65" t="s">
        <v>278</v>
      </c>
      <c r="D65" t="s">
        <v>279</v>
      </c>
    </row>
    <row r="66" spans="3:4" x14ac:dyDescent="0.25">
      <c r="C66" t="s">
        <v>280</v>
      </c>
      <c r="D66" t="s">
        <v>281</v>
      </c>
    </row>
    <row r="67" spans="3:4" x14ac:dyDescent="0.25">
      <c r="C67" t="s">
        <v>282</v>
      </c>
      <c r="D67" t="s">
        <v>283</v>
      </c>
    </row>
    <row r="68" spans="3:4" x14ac:dyDescent="0.25">
      <c r="C68" t="s">
        <v>284</v>
      </c>
      <c r="D68" t="s">
        <v>285</v>
      </c>
    </row>
    <row r="69" spans="3:4" x14ac:dyDescent="0.25">
      <c r="C69" t="s">
        <v>286</v>
      </c>
      <c r="D69" t="s">
        <v>287</v>
      </c>
    </row>
    <row r="70" spans="3:4" x14ac:dyDescent="0.25">
      <c r="C70" t="s">
        <v>288</v>
      </c>
      <c r="D70" t="s">
        <v>289</v>
      </c>
    </row>
    <row r="71" spans="3:4" x14ac:dyDescent="0.25">
      <c r="C71" t="s">
        <v>290</v>
      </c>
      <c r="D71" t="s">
        <v>291</v>
      </c>
    </row>
    <row r="72" spans="3:4" x14ac:dyDescent="0.25">
      <c r="C72" t="s">
        <v>292</v>
      </c>
      <c r="D72" t="s">
        <v>293</v>
      </c>
    </row>
    <row r="73" spans="3:4" x14ac:dyDescent="0.25">
      <c r="C73" t="s">
        <v>294</v>
      </c>
      <c r="D73" t="s">
        <v>295</v>
      </c>
    </row>
    <row r="74" spans="3:4" x14ac:dyDescent="0.25">
      <c r="C74" t="s">
        <v>296</v>
      </c>
      <c r="D74" t="s">
        <v>297</v>
      </c>
    </row>
    <row r="75" spans="3:4" x14ac:dyDescent="0.25">
      <c r="C75" t="s">
        <v>298</v>
      </c>
      <c r="D75" t="s">
        <v>299</v>
      </c>
    </row>
    <row r="76" spans="3:4" x14ac:dyDescent="0.25">
      <c r="C76" t="s">
        <v>300</v>
      </c>
      <c r="D76" t="s">
        <v>301</v>
      </c>
    </row>
    <row r="77" spans="3:4" x14ac:dyDescent="0.25">
      <c r="C77" t="s">
        <v>302</v>
      </c>
      <c r="D77" t="s">
        <v>303</v>
      </c>
    </row>
    <row r="78" spans="3:4" x14ac:dyDescent="0.25">
      <c r="C78" t="s">
        <v>304</v>
      </c>
      <c r="D78" t="s">
        <v>305</v>
      </c>
    </row>
    <row r="79" spans="3:4" x14ac:dyDescent="0.25">
      <c r="C79" t="s">
        <v>306</v>
      </c>
      <c r="D79" t="s">
        <v>307</v>
      </c>
    </row>
    <row r="80" spans="3:4" x14ac:dyDescent="0.25">
      <c r="C80" t="s">
        <v>308</v>
      </c>
      <c r="D80" t="s">
        <v>309</v>
      </c>
    </row>
    <row r="81" spans="3:4" x14ac:dyDescent="0.25">
      <c r="C81" t="s">
        <v>310</v>
      </c>
      <c r="D81" t="s">
        <v>311</v>
      </c>
    </row>
    <row r="82" spans="3:4" x14ac:dyDescent="0.25">
      <c r="C82" t="s">
        <v>312</v>
      </c>
      <c r="D82" t="s">
        <v>313</v>
      </c>
    </row>
    <row r="83" spans="3:4" x14ac:dyDescent="0.25">
      <c r="C83" t="s">
        <v>314</v>
      </c>
      <c r="D83" t="s">
        <v>315</v>
      </c>
    </row>
    <row r="84" spans="3:4" x14ac:dyDescent="0.25">
      <c r="C84" t="s">
        <v>316</v>
      </c>
      <c r="D84" t="s">
        <v>317</v>
      </c>
    </row>
    <row r="85" spans="3:4" x14ac:dyDescent="0.25">
      <c r="C85" t="s">
        <v>318</v>
      </c>
      <c r="D85" t="s">
        <v>319</v>
      </c>
    </row>
    <row r="86" spans="3:4" x14ac:dyDescent="0.25">
      <c r="C86" t="s">
        <v>320</v>
      </c>
      <c r="D86" t="s">
        <v>321</v>
      </c>
    </row>
    <row r="87" spans="3:4" x14ac:dyDescent="0.25">
      <c r="C87" t="s">
        <v>322</v>
      </c>
      <c r="D87" t="s">
        <v>323</v>
      </c>
    </row>
    <row r="88" spans="3:4" x14ac:dyDescent="0.25">
      <c r="C88" t="s">
        <v>324</v>
      </c>
      <c r="D88" t="s">
        <v>325</v>
      </c>
    </row>
    <row r="89" spans="3:4" x14ac:dyDescent="0.25">
      <c r="C89" t="s">
        <v>326</v>
      </c>
      <c r="D89" t="s">
        <v>327</v>
      </c>
    </row>
    <row r="90" spans="3:4" x14ac:dyDescent="0.25">
      <c r="C90" t="s">
        <v>328</v>
      </c>
      <c r="D90" t="s">
        <v>329</v>
      </c>
    </row>
    <row r="91" spans="3:4" x14ac:dyDescent="0.25">
      <c r="C91" t="s">
        <v>326</v>
      </c>
      <c r="D91" t="s">
        <v>330</v>
      </c>
    </row>
    <row r="92" spans="3:4" x14ac:dyDescent="0.25">
      <c r="C92" t="s">
        <v>331</v>
      </c>
      <c r="D92" t="s">
        <v>332</v>
      </c>
    </row>
    <row r="93" spans="3:4" x14ac:dyDescent="0.25">
      <c r="C93" t="s">
        <v>333</v>
      </c>
      <c r="D93" t="s">
        <v>334</v>
      </c>
    </row>
    <row r="94" spans="3:4" x14ac:dyDescent="0.25">
      <c r="C94" t="s">
        <v>335</v>
      </c>
      <c r="D94" t="s">
        <v>336</v>
      </c>
    </row>
    <row r="95" spans="3:4" x14ac:dyDescent="0.25">
      <c r="C95" t="s">
        <v>337</v>
      </c>
      <c r="D95" t="s">
        <v>338</v>
      </c>
    </row>
    <row r="96" spans="3:4" x14ac:dyDescent="0.25">
      <c r="C96" t="s">
        <v>339</v>
      </c>
      <c r="D96" t="s">
        <v>340</v>
      </c>
    </row>
    <row r="97" spans="3:4" x14ac:dyDescent="0.25">
      <c r="C97" t="s">
        <v>341</v>
      </c>
      <c r="D97" t="s">
        <v>342</v>
      </c>
    </row>
    <row r="98" spans="3:4" x14ac:dyDescent="0.25">
      <c r="C98" t="s">
        <v>343</v>
      </c>
      <c r="D98" t="s">
        <v>344</v>
      </c>
    </row>
    <row r="99" spans="3:4" x14ac:dyDescent="0.25">
      <c r="C99" t="s">
        <v>345</v>
      </c>
      <c r="D99" t="s">
        <v>346</v>
      </c>
    </row>
    <row r="100" spans="3:4" x14ac:dyDescent="0.25">
      <c r="C100" t="s">
        <v>347</v>
      </c>
      <c r="D100" t="s">
        <v>348</v>
      </c>
    </row>
    <row r="101" spans="3:4" x14ac:dyDescent="0.25">
      <c r="C101" t="s">
        <v>349</v>
      </c>
      <c r="D101" t="s">
        <v>350</v>
      </c>
    </row>
    <row r="102" spans="3:4" x14ac:dyDescent="0.25">
      <c r="C102" t="s">
        <v>351</v>
      </c>
      <c r="D102" t="s">
        <v>352</v>
      </c>
    </row>
    <row r="103" spans="3:4" x14ac:dyDescent="0.25">
      <c r="C103" t="s">
        <v>353</v>
      </c>
      <c r="D103" t="s">
        <v>354</v>
      </c>
    </row>
    <row r="104" spans="3:4" x14ac:dyDescent="0.25">
      <c r="C104" t="s">
        <v>355</v>
      </c>
      <c r="D104" t="s">
        <v>356</v>
      </c>
    </row>
    <row r="105" spans="3:4" x14ac:dyDescent="0.25">
      <c r="C105" t="s">
        <v>357</v>
      </c>
      <c r="D105" t="s">
        <v>358</v>
      </c>
    </row>
    <row r="106" spans="3:4" x14ac:dyDescent="0.25">
      <c r="C106" t="s">
        <v>359</v>
      </c>
      <c r="D106" t="s">
        <v>360</v>
      </c>
    </row>
    <row r="107" spans="3:4" x14ac:dyDescent="0.25">
      <c r="C107" t="s">
        <v>361</v>
      </c>
      <c r="D107" t="s">
        <v>362</v>
      </c>
    </row>
    <row r="108" spans="3:4" x14ac:dyDescent="0.25">
      <c r="C108" t="s">
        <v>363</v>
      </c>
      <c r="D108" t="s">
        <v>364</v>
      </c>
    </row>
    <row r="109" spans="3:4" x14ac:dyDescent="0.25">
      <c r="C109" t="s">
        <v>365</v>
      </c>
      <c r="D109" t="s">
        <v>366</v>
      </c>
    </row>
    <row r="110" spans="3:4" x14ac:dyDescent="0.25">
      <c r="C110" t="s">
        <v>367</v>
      </c>
      <c r="D110" t="s">
        <v>368</v>
      </c>
    </row>
    <row r="111" spans="3:4" x14ac:dyDescent="0.25">
      <c r="C111" t="s">
        <v>369</v>
      </c>
      <c r="D111" t="s">
        <v>370</v>
      </c>
    </row>
    <row r="112" spans="3:4" x14ac:dyDescent="0.25">
      <c r="C112" t="s">
        <v>371</v>
      </c>
      <c r="D112" t="s">
        <v>372</v>
      </c>
    </row>
    <row r="113" spans="3:4" x14ac:dyDescent="0.25">
      <c r="C113" t="s">
        <v>373</v>
      </c>
      <c r="D113" t="s">
        <v>374</v>
      </c>
    </row>
    <row r="114" spans="3:4" x14ac:dyDescent="0.25">
      <c r="C114" t="s">
        <v>375</v>
      </c>
      <c r="D114" t="s">
        <v>376</v>
      </c>
    </row>
    <row r="115" spans="3:4" x14ac:dyDescent="0.25">
      <c r="C115" t="s">
        <v>377</v>
      </c>
      <c r="D115" t="s">
        <v>378</v>
      </c>
    </row>
    <row r="116" spans="3:4" x14ac:dyDescent="0.25">
      <c r="C116" t="s">
        <v>379</v>
      </c>
      <c r="D116" t="s">
        <v>380</v>
      </c>
    </row>
    <row r="117" spans="3:4" x14ac:dyDescent="0.25">
      <c r="C117" t="s">
        <v>381</v>
      </c>
      <c r="D117" t="s">
        <v>382</v>
      </c>
    </row>
    <row r="118" spans="3:4" x14ac:dyDescent="0.25">
      <c r="C118" t="s">
        <v>383</v>
      </c>
      <c r="D118" t="s">
        <v>384</v>
      </c>
    </row>
    <row r="119" spans="3:4" x14ac:dyDescent="0.25">
      <c r="C119" t="s">
        <v>385</v>
      </c>
      <c r="D119" t="s">
        <v>386</v>
      </c>
    </row>
    <row r="120" spans="3:4" x14ac:dyDescent="0.25">
      <c r="C120" t="s">
        <v>387</v>
      </c>
      <c r="D120" t="s">
        <v>388</v>
      </c>
    </row>
    <row r="121" spans="3:4" x14ac:dyDescent="0.25">
      <c r="C121" t="s">
        <v>389</v>
      </c>
      <c r="D121" t="s">
        <v>390</v>
      </c>
    </row>
    <row r="122" spans="3:4" x14ac:dyDescent="0.25">
      <c r="C122" t="s">
        <v>391</v>
      </c>
      <c r="D122" t="s">
        <v>392</v>
      </c>
    </row>
    <row r="123" spans="3:4" x14ac:dyDescent="0.25">
      <c r="C123" t="s">
        <v>393</v>
      </c>
      <c r="D123" t="s">
        <v>394</v>
      </c>
    </row>
    <row r="124" spans="3:4" x14ac:dyDescent="0.25">
      <c r="C124" t="s">
        <v>395</v>
      </c>
      <c r="D124" t="s">
        <v>396</v>
      </c>
    </row>
    <row r="125" spans="3:4" x14ac:dyDescent="0.25">
      <c r="C125" t="s">
        <v>397</v>
      </c>
      <c r="D125" t="s">
        <v>398</v>
      </c>
    </row>
    <row r="126" spans="3:4" x14ac:dyDescent="0.25">
      <c r="C126" t="s">
        <v>399</v>
      </c>
      <c r="D126" t="s">
        <v>400</v>
      </c>
    </row>
    <row r="127" spans="3:4" x14ac:dyDescent="0.25">
      <c r="C127" t="s">
        <v>401</v>
      </c>
      <c r="D127" t="s">
        <v>402</v>
      </c>
    </row>
    <row r="128" spans="3:4" x14ac:dyDescent="0.25">
      <c r="C128" t="s">
        <v>403</v>
      </c>
      <c r="D128" t="s">
        <v>404</v>
      </c>
    </row>
    <row r="129" spans="3:4" x14ac:dyDescent="0.25">
      <c r="C129" t="s">
        <v>405</v>
      </c>
      <c r="D129" t="s">
        <v>406</v>
      </c>
    </row>
    <row r="130" spans="3:4" x14ac:dyDescent="0.25">
      <c r="C130" t="s">
        <v>407</v>
      </c>
      <c r="D130" t="s">
        <v>408</v>
      </c>
    </row>
    <row r="131" spans="3:4" x14ac:dyDescent="0.25">
      <c r="C131" t="s">
        <v>409</v>
      </c>
      <c r="D131" t="s">
        <v>410</v>
      </c>
    </row>
    <row r="132" spans="3:4" x14ac:dyDescent="0.25">
      <c r="C132" t="s">
        <v>411</v>
      </c>
      <c r="D132" t="s">
        <v>412</v>
      </c>
    </row>
    <row r="133" spans="3:4" x14ac:dyDescent="0.25">
      <c r="C133" t="s">
        <v>413</v>
      </c>
      <c r="D133" t="s">
        <v>414</v>
      </c>
    </row>
    <row r="134" spans="3:4" x14ac:dyDescent="0.25">
      <c r="C134" t="s">
        <v>415</v>
      </c>
      <c r="D134" t="s">
        <v>416</v>
      </c>
    </row>
    <row r="135" spans="3:4" x14ac:dyDescent="0.25">
      <c r="C135" t="s">
        <v>417</v>
      </c>
      <c r="D135" t="s">
        <v>418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12" sqref="B12"/>
    </sheetView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419</v>
      </c>
      <c r="C2" s="14" t="s">
        <v>420</v>
      </c>
    </row>
    <row r="3" spans="2:3" x14ac:dyDescent="0.25">
      <c r="B3" s="27" t="s">
        <v>419</v>
      </c>
      <c r="C3" s="28" t="s">
        <v>421</v>
      </c>
    </row>
    <row r="4" spans="2:3" ht="30" customHeight="1" x14ac:dyDescent="0.25">
      <c r="B4" s="34" t="s">
        <v>422</v>
      </c>
      <c r="C4" s="20" t="s">
        <v>423</v>
      </c>
    </row>
    <row r="5" spans="2:3" ht="30" customHeight="1" x14ac:dyDescent="0.25">
      <c r="B5" s="23" t="s">
        <v>424</v>
      </c>
      <c r="C5" s="29" t="s">
        <v>425</v>
      </c>
    </row>
    <row r="6" spans="2:3" ht="30" customHeight="1" x14ac:dyDescent="0.25">
      <c r="B6" s="23" t="s">
        <v>426</v>
      </c>
      <c r="C6" s="29" t="s">
        <v>427</v>
      </c>
    </row>
    <row r="7" spans="2:3" ht="30" customHeight="1" x14ac:dyDescent="0.25">
      <c r="B7" s="22" t="s">
        <v>428</v>
      </c>
      <c r="C7" s="22" t="s">
        <v>429</v>
      </c>
    </row>
    <row r="8" spans="2:3" ht="30" customHeight="1" x14ac:dyDescent="0.25">
      <c r="B8" s="22" t="s">
        <v>430</v>
      </c>
      <c r="C8" s="22" t="s">
        <v>431</v>
      </c>
    </row>
    <row r="9" spans="2:3" ht="30" customHeight="1" x14ac:dyDescent="0.25">
      <c r="B9" s="23" t="s">
        <v>432</v>
      </c>
      <c r="C9" s="29" t="s">
        <v>433</v>
      </c>
    </row>
    <row r="10" spans="2:3" ht="30" customHeight="1" x14ac:dyDescent="0.25">
      <c r="B10" s="24" t="s">
        <v>434</v>
      </c>
      <c r="C10" s="24" t="s">
        <v>435</v>
      </c>
    </row>
    <row r="11" spans="2:3" ht="30" customHeight="1" x14ac:dyDescent="0.25">
      <c r="B11" s="23" t="s">
        <v>436</v>
      </c>
      <c r="C11" s="24" t="s">
        <v>437</v>
      </c>
    </row>
    <row r="12" spans="2:3" ht="30" customHeight="1" x14ac:dyDescent="0.25">
      <c r="B12" s="21" t="s">
        <v>438</v>
      </c>
      <c r="C12" s="24" t="s">
        <v>439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440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topLeftCell="A5" zoomScaleNormal="100" zoomScaleSheetLayoutView="80" zoomScalePageLayoutView="80" workbookViewId="0">
      <selection activeCell="C11" sqref="C11"/>
    </sheetView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441</v>
      </c>
      <c r="C2" s="13"/>
      <c r="D2" s="14" t="s">
        <v>420</v>
      </c>
    </row>
    <row r="3" spans="2:4" x14ac:dyDescent="0.25">
      <c r="B3" s="16" t="s">
        <v>442</v>
      </c>
      <c r="C3" s="108" t="s">
        <v>443</v>
      </c>
      <c r="D3" s="108"/>
    </row>
    <row r="4" spans="2:4" x14ac:dyDescent="0.25">
      <c r="B4" s="17" t="s">
        <v>34</v>
      </c>
      <c r="C4" s="18" t="s">
        <v>35</v>
      </c>
      <c r="D4" s="19" t="s">
        <v>444</v>
      </c>
    </row>
    <row r="5" spans="2:4" ht="30" customHeight="1" x14ac:dyDescent="0.25">
      <c r="B5" s="34" t="s">
        <v>60</v>
      </c>
      <c r="C5" s="20" t="s">
        <v>66</v>
      </c>
      <c r="D5" s="20" t="s">
        <v>423</v>
      </c>
    </row>
    <row r="6" spans="2:4" ht="30" customHeight="1" x14ac:dyDescent="0.25">
      <c r="B6" s="23" t="s">
        <v>60</v>
      </c>
      <c r="C6" s="29" t="s">
        <v>445</v>
      </c>
      <c r="D6" s="24" t="s">
        <v>446</v>
      </c>
    </row>
    <row r="7" spans="2:4" ht="30" customHeight="1" x14ac:dyDescent="0.25">
      <c r="B7" s="23" t="s">
        <v>60</v>
      </c>
      <c r="C7" s="29" t="s">
        <v>61</v>
      </c>
      <c r="D7" s="24" t="s">
        <v>447</v>
      </c>
    </row>
    <row r="8" spans="2:4" ht="30" customHeight="1" x14ac:dyDescent="0.25">
      <c r="B8" s="23" t="s">
        <v>448</v>
      </c>
      <c r="C8" s="29" t="s">
        <v>108</v>
      </c>
      <c r="D8" s="24" t="s">
        <v>449</v>
      </c>
    </row>
    <row r="9" spans="2:4" ht="30" customHeight="1" x14ac:dyDescent="0.25">
      <c r="B9" s="23" t="s">
        <v>60</v>
      </c>
      <c r="C9" s="22" t="s">
        <v>86</v>
      </c>
      <c r="D9" s="24" t="s">
        <v>450</v>
      </c>
    </row>
    <row r="10" spans="2:4" ht="30" customHeight="1" x14ac:dyDescent="0.25">
      <c r="B10" s="23" t="s">
        <v>60</v>
      </c>
      <c r="C10" s="22" t="s">
        <v>82</v>
      </c>
      <c r="D10" s="24" t="s">
        <v>451</v>
      </c>
    </row>
    <row r="11" spans="2:4" ht="30" customHeight="1" x14ac:dyDescent="0.25">
      <c r="B11" s="23" t="s">
        <v>55</v>
      </c>
      <c r="C11" s="29" t="s">
        <v>56</v>
      </c>
      <c r="D11" s="24" t="s">
        <v>452</v>
      </c>
    </row>
    <row r="12" spans="2:4" ht="30" customHeight="1" x14ac:dyDescent="0.25">
      <c r="B12" s="23" t="s">
        <v>453</v>
      </c>
      <c r="C12" s="22" t="s">
        <v>454</v>
      </c>
      <c r="D12" s="24" t="s">
        <v>455</v>
      </c>
    </row>
    <row r="13" spans="2:4" ht="30" customHeight="1" x14ac:dyDescent="0.25">
      <c r="B13" s="23" t="s">
        <v>456</v>
      </c>
      <c r="C13" s="24" t="s">
        <v>457</v>
      </c>
      <c r="D13" s="24" t="s">
        <v>458</v>
      </c>
    </row>
    <row r="14" spans="2:4" ht="30" customHeight="1" x14ac:dyDescent="0.25">
      <c r="B14" s="23" t="s">
        <v>459</v>
      </c>
      <c r="C14" s="24" t="s">
        <v>460</v>
      </c>
      <c r="D14" s="24" t="s">
        <v>461</v>
      </c>
    </row>
    <row r="15" spans="2:4" ht="30" customHeight="1" x14ac:dyDescent="0.25">
      <c r="B15" s="23" t="s">
        <v>462</v>
      </c>
      <c r="C15" s="24" t="s">
        <v>463</v>
      </c>
      <c r="D15" s="24" t="s">
        <v>464</v>
      </c>
    </row>
    <row r="16" spans="2:4" ht="30" customHeight="1" x14ac:dyDescent="0.25">
      <c r="B16" s="23" t="s">
        <v>465</v>
      </c>
      <c r="C16" s="24" t="s">
        <v>466</v>
      </c>
      <c r="D16" s="24" t="s">
        <v>467</v>
      </c>
    </row>
    <row r="17" spans="2:4" ht="30" customHeight="1" x14ac:dyDescent="0.25">
      <c r="B17" s="23" t="s">
        <v>468</v>
      </c>
      <c r="C17" s="22" t="s">
        <v>469</v>
      </c>
      <c r="D17" s="24" t="s">
        <v>470</v>
      </c>
    </row>
    <row r="18" spans="2:4" ht="30" customHeight="1" x14ac:dyDescent="0.25">
      <c r="B18" s="23" t="s">
        <v>468</v>
      </c>
      <c r="C18" s="24" t="s">
        <v>471</v>
      </c>
      <c r="D18" s="24" t="s">
        <v>472</v>
      </c>
    </row>
    <row r="19" spans="2:4" ht="30" customHeight="1" x14ac:dyDescent="0.25">
      <c r="B19" s="24" t="s">
        <v>473</v>
      </c>
      <c r="C19" s="24" t="s">
        <v>474</v>
      </c>
      <c r="D19" s="24" t="s">
        <v>475</v>
      </c>
    </row>
    <row r="20" spans="2:4" ht="30" customHeight="1" x14ac:dyDescent="0.25">
      <c r="B20" s="22" t="s">
        <v>47</v>
      </c>
      <c r="C20" s="22" t="s">
        <v>48</v>
      </c>
      <c r="D20" s="24" t="s">
        <v>437</v>
      </c>
    </row>
    <row r="21" spans="2:4" ht="30" customHeight="1" x14ac:dyDescent="0.25">
      <c r="B21" s="22" t="s">
        <v>476</v>
      </c>
      <c r="C21" s="22" t="s">
        <v>477</v>
      </c>
      <c r="D21" s="24" t="s">
        <v>478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440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elements/1.1/"/>
    <ds:schemaRef ds:uri="44fe4817-1a8c-4f6d-9a7a-15a2f9c2ceea"/>
    <ds:schemaRef ds:uri="http://schemas.microsoft.com/office/2006/documentManagement/types"/>
    <ds:schemaRef ds:uri="2ad01a7e-b0cc-482e-be0b-d1161c9cb6dd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378BD7A-872A-4C61-8B36-73C23F1668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レビュー表</vt:lpstr>
      <vt:lpstr>修正案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2023-11-13T08:28:33Z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