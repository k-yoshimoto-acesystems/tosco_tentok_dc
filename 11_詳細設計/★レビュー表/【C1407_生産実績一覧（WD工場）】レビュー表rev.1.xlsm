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5"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15" documentId="13_ncr:1_{8E360D4C-ACBF-44E8-AC6B-442117E0565A}" xr6:coauthVersionLast="47" xr6:coauthVersionMax="47" xr10:uidLastSave="{7EAB6313-40CA-47FC-A209-18E12F6D384F}"/>
  <bookViews>
    <workbookView xWindow="-120" yWindow="-16320" windowWidth="29040" windowHeight="15990" xr2:uid="{00000000-000D-0000-FFFF-FFFF00000000}"/>
  </bookViews>
  <sheets>
    <sheet name="レビュー表" sheetId="1" r:id="rId1"/>
    <sheet name="No15" sheetId="6" r:id="rId2"/>
    <sheet name="マスタ" sheetId="2" r:id="rId3"/>
    <sheet name="指摘区分" sheetId="4" r:id="rId4"/>
    <sheet name="原因区分" sheetId="5" r:id="rId5"/>
  </sheets>
  <externalReferences>
    <externalReference r:id="rId6"/>
  </externalReferences>
  <definedNames>
    <definedName name="ＰＧ指摘件数">[1]表紙!$B$28</definedName>
    <definedName name="_xlnm.Print_Area" localSheetId="4">原因区分!$A$1:$D$26</definedName>
    <definedName name="_xlnm.Print_Area" localSheetId="3">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4">原因区分!#REF!</definedName>
    <definedName name="原因一覧_開始" localSheetId="3">指摘区分!#REF!</definedName>
    <definedName name="原因一覧_開始">#REF!</definedName>
    <definedName name="原因一覧_終了" localSheetId="4">原因区分!$B$26</definedName>
    <definedName name="原因一覧_終了" localSheetId="3">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レビュー表!$A$34</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0" i="1" l="1"/>
  <c r="A32" i="1"/>
  <c r="A31" i="1"/>
  <c r="A26" i="1" l="1"/>
  <c r="A25" i="1"/>
  <c r="A29" i="1"/>
  <c r="A28" i="1"/>
  <c r="A27" i="1"/>
  <c r="A24" i="1"/>
  <c r="A23" i="1"/>
  <c r="A22" i="1"/>
  <c r="A10" i="1" l="1"/>
  <c r="M5" i="1" l="1"/>
  <c r="A33" i="1"/>
  <c r="A21" i="1"/>
  <c r="A20" i="1"/>
  <c r="A19" i="1"/>
  <c r="A18" i="1"/>
  <c r="A16" i="1"/>
  <c r="A15" i="1"/>
  <c r="A17" i="1"/>
  <c r="A14" i="1"/>
  <c r="A13" i="1"/>
  <c r="A12" i="1"/>
  <c r="A11" i="1"/>
  <c r="A9" i="1"/>
  <c r="Z5" i="1"/>
  <c r="W5" i="1"/>
  <c r="Q5" i="1"/>
  <c r="S5" i="1"/>
  <c r="J2" i="1" l="1"/>
</calcChain>
</file>

<file path=xl/sharedStrings.xml><?xml version="1.0" encoding="utf-8"?>
<sst xmlns="http://schemas.openxmlformats.org/spreadsheetml/2006/main" count="689" uniqueCount="495">
  <si>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</si>
  <si>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</si>
  <si>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</si>
  <si>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</si>
  <si>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</si>
  <si>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</si>
  <si>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</si>
  <si>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C1407</t>
    <phoneticPr fontId="2"/>
  </si>
  <si>
    <t>レビューア①</t>
    <phoneticPr fontId="2"/>
  </si>
  <si>
    <t>岡本</t>
    <rPh sb="0" eb="2">
      <t>オカモト</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</si>
  <si>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</si>
  <si>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</si>
  <si>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</si>
  <si>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</si>
  <si>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</si>
  <si>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</si>
  <si>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</si>
  <si>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</si>
  <si>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</si>
  <si>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</si>
  <si>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</si>
  <si>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</si>
  <si>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</si>
  <si>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</si>
  <si>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</si>
  <si>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</si>
  <si>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</si>
  <si>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</si>
  <si>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</si>
  <si>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</si>
  <si>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</si>
  <si>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</si>
  <si>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</si>
  <si>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</si>
  <si>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</si>
  <si>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</si>
  <si>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</si>
  <si>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</si>
  <si>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</si>
  <si>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</si>
  <si>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</si>
  <si>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すべて</t>
    <phoneticPr fontId="2"/>
  </si>
  <si>
    <t>8:設計規約ミス</t>
    <phoneticPr fontId="2"/>
  </si>
  <si>
    <t>A4横で印刷したときに、空白ページや用紙外のコメントが印刷されないようにする。
→　余計な空白行を削除、印刷範囲を調整　などを行う</t>
    <rPh sb="2" eb="3">
      <t>ヨコ</t>
    </rPh>
    <rPh sb="4" eb="6">
      <t>インサツ</t>
    </rPh>
    <rPh sb="12" eb="14">
      <t>クウハク</t>
    </rPh>
    <rPh sb="18" eb="21">
      <t>ヨウシガイ</t>
    </rPh>
    <rPh sb="27" eb="29">
      <t>インサツ</t>
    </rPh>
    <rPh sb="42" eb="44">
      <t>ヨケイ</t>
    </rPh>
    <rPh sb="45" eb="48">
      <t>クウハクギョウ</t>
    </rPh>
    <rPh sb="49" eb="51">
      <t>サクジョ</t>
    </rPh>
    <rPh sb="52" eb="56">
      <t>インサツハンイ</t>
    </rPh>
    <rPh sb="57" eb="59">
      <t>チョウセイ</t>
    </rPh>
    <rPh sb="63" eb="64">
      <t>オコナ</t>
    </rPh>
    <phoneticPr fontId="2"/>
  </si>
  <si>
    <t>左記通り、修正しました。</t>
    <phoneticPr fontId="2"/>
  </si>
  <si>
    <t>全般</t>
    <rPh sb="0" eb="2">
      <t>ゼンパン</t>
    </rPh>
    <phoneticPr fontId="2"/>
  </si>
  <si>
    <t>3:詳細設計</t>
    <rPh sb="2" eb="4">
      <t>ショウサイ</t>
    </rPh>
    <rPh sb="4" eb="6">
      <t>セッケイ</t>
    </rPh>
    <phoneticPr fontId="2"/>
  </si>
  <si>
    <t>9.設計規約ミス</t>
    <phoneticPr fontId="2"/>
  </si>
  <si>
    <t>91.設計規約ミス</t>
    <phoneticPr fontId="2"/>
  </si>
  <si>
    <t>ハイ</t>
    <phoneticPr fontId="2"/>
  </si>
  <si>
    <t>ダウンロード（仕上実績）</t>
    <phoneticPr fontId="2"/>
  </si>
  <si>
    <t>2:記載漏れ</t>
    <phoneticPr fontId="2"/>
  </si>
  <si>
    <t>ダウンロード（仕上実績）との相違点について確認中であることがわかるよう、該当項目の背景色を変え、確認中であることを記載しておく。</t>
    <rPh sb="14" eb="17">
      <t>ソウイテン</t>
    </rPh>
    <rPh sb="21" eb="24">
      <t>カクニンチュウ</t>
    </rPh>
    <rPh sb="36" eb="40">
      <t>ガイトウコウモク</t>
    </rPh>
    <rPh sb="41" eb="44">
      <t>ハイケイショク</t>
    </rPh>
    <rPh sb="45" eb="46">
      <t>カ</t>
    </rPh>
    <rPh sb="48" eb="51">
      <t>カクニンチュウ</t>
    </rPh>
    <rPh sb="57" eb="59">
      <t>キサイ</t>
    </rPh>
    <phoneticPr fontId="2"/>
  </si>
  <si>
    <t>該当項目の背景色を変え、該当項目に「確認中」を記載しました。</t>
    <rPh sb="23" eb="25">
      <t>キサイ</t>
    </rPh>
    <phoneticPr fontId="2"/>
  </si>
  <si>
    <t>1:設計ﾐｽ</t>
    <phoneticPr fontId="2"/>
  </si>
  <si>
    <t>10:記載ミス</t>
    <phoneticPr fontId="2"/>
  </si>
  <si>
    <t>プロセス仕様書</t>
    <rPh sb="4" eb="7">
      <t>シヨウショ</t>
    </rPh>
    <phoneticPr fontId="2"/>
  </si>
  <si>
    <t xml:space="preserve"> 1 初期表示 - 1 -3)
チェックボックスを動的に生成する、共通処理名が記載されていない。</t>
    <rPh sb="3" eb="7">
      <t>ショキヒョウジ</t>
    </rPh>
    <rPh sb="25" eb="27">
      <t>ドウテキ</t>
    </rPh>
    <rPh sb="28" eb="30">
      <t>セイセイ</t>
    </rPh>
    <rPh sb="33" eb="38">
      <t>キョウツウショリメイ</t>
    </rPh>
    <rPh sb="39" eb="41">
      <t>キサイ</t>
    </rPh>
    <phoneticPr fontId="2"/>
  </si>
  <si>
    <t>共通処理名を記載しました。</t>
    <rPh sb="6" eb="8">
      <t>キサイ</t>
    </rPh>
    <phoneticPr fontId="2"/>
  </si>
  <si>
    <t xml:space="preserve"> 1 初期表示 - 1 -3)</t>
    <phoneticPr fontId="2"/>
  </si>
  <si>
    <t>9:設計問合せ</t>
    <phoneticPr fontId="2"/>
  </si>
  <si>
    <t xml:space="preserve"> 1 初期表示 - 1 -5)
"上記以外項目" とあるが、検索条件欄の項目と理解してよいか。</t>
    <rPh sb="17" eb="23">
      <t>ジョウキイガイコウモク</t>
    </rPh>
    <rPh sb="30" eb="35">
      <t>ケンサクジョウケンラン</t>
    </rPh>
    <rPh sb="36" eb="38">
      <t>コウモク</t>
    </rPh>
    <rPh sb="39" eb="41">
      <t>リカイ</t>
    </rPh>
    <phoneticPr fontId="2"/>
  </si>
  <si>
    <t>その通りです。</t>
    <rPh sb="2" eb="3">
      <t>トオ</t>
    </rPh>
    <phoneticPr fontId="2"/>
  </si>
  <si>
    <t xml:space="preserve"> 1 初期表示 - 1 -5)</t>
    <phoneticPr fontId="2"/>
  </si>
  <si>
    <t>9:設計問合せ</t>
  </si>
  <si>
    <t xml:space="preserve"> 1 初期表示 - 1 -6)
システムファイルから設定値が取得できなかったときの、エラー処理が記載されていない。</t>
    <rPh sb="26" eb="29">
      <t>セッテイチ</t>
    </rPh>
    <rPh sb="30" eb="32">
      <t>シュトク</t>
    </rPh>
    <rPh sb="45" eb="47">
      <t>ショリ</t>
    </rPh>
    <rPh sb="48" eb="50">
      <t>キサイ</t>
    </rPh>
    <phoneticPr fontId="2"/>
  </si>
  <si>
    <t>エラー処理を記載しました。</t>
    <rPh sb="6" eb="8">
      <t>キサイ</t>
    </rPh>
    <phoneticPr fontId="2"/>
  </si>
  <si>
    <t xml:space="preserve"> 1 初期表示 - 1 -6)</t>
    <phoneticPr fontId="2"/>
  </si>
  <si>
    <t>1:記載ミス</t>
    <phoneticPr fontId="2"/>
  </si>
  <si>
    <t>2 検索ボタン押下 - 1 - 1)
パラメータ No1 の設定値に　「画面．期間区分」　とあるが、画面項目定義にそのような項目が定義されていない。
→　5 ダウンロードボタン押下 - 2 も同じ</t>
    <rPh sb="2" eb="4">
      <t>ケンサク</t>
    </rPh>
    <rPh sb="7" eb="9">
      <t>オウカ</t>
    </rPh>
    <rPh sb="30" eb="33">
      <t>セッテイチ</t>
    </rPh>
    <rPh sb="36" eb="38">
      <t>ガメン</t>
    </rPh>
    <rPh sb="39" eb="43">
      <t>キカンクブン</t>
    </rPh>
    <rPh sb="50" eb="56">
      <t>ガメンコウモクテイギ</t>
    </rPh>
    <rPh sb="62" eb="64">
      <t>コウモク</t>
    </rPh>
    <rPh sb="65" eb="67">
      <t>テイギ</t>
    </rPh>
    <rPh sb="88" eb="90">
      <t>オウカ</t>
    </rPh>
    <rPh sb="96" eb="97">
      <t>オナ</t>
    </rPh>
    <phoneticPr fontId="2"/>
  </si>
  <si>
    <t>画面.期間区分の定義を追加しました。
2023/10/12
"画面.期間区分（「生産計画　選択」「仕上実績　選択」）"に記載を変更しました。</t>
    <rPh sb="0" eb="2">
      <t>ガメン</t>
    </rPh>
    <rPh sb="8" eb="10">
      <t>テイギ</t>
    </rPh>
    <rPh sb="11" eb="13">
      <t>ツイカ</t>
    </rPh>
    <phoneticPr fontId="2"/>
  </si>
  <si>
    <t>2 検索ボタン押下 - 1 - 2)</t>
    <phoneticPr fontId="2"/>
  </si>
  <si>
    <t>2 検索ボタン押下 - 1 - 1)
パラメータ No13 の設定値に　「画面．設備リスト」　とあるが、チェックボックスではないか。
チェックボックスの値をどう編集するかも明記すること。</t>
    <rPh sb="2" eb="4">
      <t>ケンサク</t>
    </rPh>
    <rPh sb="7" eb="9">
      <t>オウカ</t>
    </rPh>
    <rPh sb="31" eb="34">
      <t>セッテイチ</t>
    </rPh>
    <rPh sb="37" eb="39">
      <t>ガメン</t>
    </rPh>
    <rPh sb="40" eb="42">
      <t>セツビ</t>
    </rPh>
    <rPh sb="76" eb="77">
      <t>アタイ</t>
    </rPh>
    <rPh sb="80" eb="82">
      <t>ヘンシュウ</t>
    </rPh>
    <rPh sb="86" eb="88">
      <t>メイキ</t>
    </rPh>
    <phoneticPr fontId="2"/>
  </si>
  <si>
    <t>チェックボックスの値から設備リストに編集方法を記載しました。</t>
    <rPh sb="18" eb="20">
      <t>ヘンシュウ</t>
    </rPh>
    <rPh sb="20" eb="22">
      <t>ホウホウ</t>
    </rPh>
    <rPh sb="23" eb="25">
      <t>キサイ</t>
    </rPh>
    <phoneticPr fontId="2"/>
  </si>
  <si>
    <t>2 検索ボタン押下 - 1 - 1)</t>
    <phoneticPr fontId="2"/>
  </si>
  <si>
    <t>2 検索ボタン押下 - 1 - 2) - ②
「WD実績明細　表示」 とあるが、画面項目定義では "W/D工場実績情報" となっている。
画面項目定義に合わせること。（他にもあるので、すべて修正）</t>
    <rPh sb="40" eb="46">
      <t>ガメンコウモクテイギ</t>
    </rPh>
    <rPh sb="69" eb="75">
      <t>ガメンコウモクテイギ</t>
    </rPh>
    <rPh sb="76" eb="77">
      <t>ア</t>
    </rPh>
    <rPh sb="84" eb="85">
      <t>ホカ</t>
    </rPh>
    <rPh sb="95" eb="97">
      <t>シュウセイ</t>
    </rPh>
    <phoneticPr fontId="2"/>
  </si>
  <si>
    <t>"W/D工場実績情報"に記載を変更しました。</t>
    <rPh sb="12" eb="14">
      <t>キサイ</t>
    </rPh>
    <rPh sb="15" eb="17">
      <t>ヘンコウ</t>
    </rPh>
    <phoneticPr fontId="2"/>
  </si>
  <si>
    <t>プロセス仕様書</t>
    <phoneticPr fontId="2"/>
  </si>
  <si>
    <t>4:表現曖昧</t>
    <phoneticPr fontId="2"/>
  </si>
  <si>
    <t>2 検索ボタン押下 - 2 - 1)
"システムマスタ．最大表示"　とあるが、どこで取得している値か。</t>
    <rPh sb="28" eb="32">
      <t>サイダイヒョウジ</t>
    </rPh>
    <rPh sb="42" eb="44">
      <t>シュトク</t>
    </rPh>
    <rPh sb="48" eb="49">
      <t>アタイ</t>
    </rPh>
    <phoneticPr fontId="2"/>
  </si>
  <si>
    <t>設定ファイルから最大表示を取得する処理を記載しました。</t>
    <rPh sb="8" eb="12">
      <t>サイダイヒョウジ</t>
    </rPh>
    <rPh sb="13" eb="15">
      <t>シュトク</t>
    </rPh>
    <rPh sb="17" eb="19">
      <t>ショリ</t>
    </rPh>
    <rPh sb="20" eb="22">
      <t>キサイ</t>
    </rPh>
    <phoneticPr fontId="2"/>
  </si>
  <si>
    <t>2 検索ボタン押下 - 2 - 1)</t>
    <phoneticPr fontId="2"/>
  </si>
  <si>
    <t>4:表現曖昧</t>
  </si>
  <si>
    <t>14:表現曖昧</t>
    <phoneticPr fontId="2"/>
  </si>
  <si>
    <t>2 検索ボタン押下 - 3 - 2) - ⑤
番号が飛んでいる。③ではないか。</t>
    <rPh sb="23" eb="25">
      <t>バンゴウ</t>
    </rPh>
    <rPh sb="26" eb="27">
      <t>ト</t>
    </rPh>
    <phoneticPr fontId="2"/>
  </si>
  <si>
    <t>2 検索ボタン押下 - 3の処理を修正しましたので、⑤を削除しました。</t>
    <rPh sb="14" eb="16">
      <t>ショリ</t>
    </rPh>
    <rPh sb="17" eb="19">
      <t>シュウセイ</t>
    </rPh>
    <rPh sb="28" eb="30">
      <t>サクジョ</t>
    </rPh>
    <phoneticPr fontId="2"/>
  </si>
  <si>
    <t xml:space="preserve">2 検索ボタン押下 - 3 - 2) </t>
    <phoneticPr fontId="2"/>
  </si>
  <si>
    <t>2 検索ボタン押下 - 3 - 2) - ⑤
「生産計画情報　丁取入力の場合」 とあるが、丁取入力かどうかはどう判定するのか不明確。</t>
    <rPh sb="24" eb="26">
      <t>セイサン</t>
    </rPh>
    <rPh sb="26" eb="28">
      <t>ケイカク</t>
    </rPh>
    <rPh sb="28" eb="30">
      <t>ジョウホウ</t>
    </rPh>
    <rPh sb="31" eb="32">
      <t>チョウ</t>
    </rPh>
    <rPh sb="32" eb="33">
      <t>トリ</t>
    </rPh>
    <rPh sb="33" eb="35">
      <t>ニュウリョク</t>
    </rPh>
    <rPh sb="36" eb="38">
      <t>バアイ</t>
    </rPh>
    <rPh sb="56" eb="58">
      <t>ハンテイ</t>
    </rPh>
    <rPh sb="62" eb="65">
      <t>フメイカク</t>
    </rPh>
    <phoneticPr fontId="2"/>
  </si>
  <si>
    <t>その処理を記載しました。</t>
    <rPh sb="2" eb="4">
      <t>ショリ</t>
    </rPh>
    <rPh sb="5" eb="7">
      <t>キサイ</t>
    </rPh>
    <phoneticPr fontId="2"/>
  </si>
  <si>
    <t>2 検索ボタン押下 - 3 - 2)</t>
    <phoneticPr fontId="2"/>
  </si>
  <si>
    <t>2 検索ボタン押下 - 3 - 4) - ② - 4.
項目「仕上げ区分」の設定値に　"レスポンス.仕上区分" と記載されているが、"レスポンス.仕上区分名称" ではないか。</t>
    <rPh sb="28" eb="30">
      <t>コウモク</t>
    </rPh>
    <rPh sb="31" eb="33">
      <t>シア</t>
    </rPh>
    <rPh sb="34" eb="36">
      <t>クブン</t>
    </rPh>
    <rPh sb="38" eb="41">
      <t>セッテイチ</t>
    </rPh>
    <rPh sb="50" eb="52">
      <t>シア</t>
    </rPh>
    <rPh sb="52" eb="54">
      <t>クブン</t>
    </rPh>
    <rPh sb="57" eb="59">
      <t>キサイ</t>
    </rPh>
    <rPh sb="77" eb="79">
      <t>メイショウ</t>
    </rPh>
    <phoneticPr fontId="2"/>
  </si>
  <si>
    <t>"レスポンス.仕上区分名称"に記載を変更しました。</t>
    <phoneticPr fontId="2"/>
  </si>
  <si>
    <t>2 検索ボタン押下 - 3 - 2) - ①</t>
    <phoneticPr fontId="2"/>
  </si>
  <si>
    <t>2 検索ボタン押下 - 5
操作ログ No1「検索条件」 の 値 に　「2.4で保持した検索条件の項目IDの一覧」 とあるが、各項目に指定した値は出力しなくてよいのか。
→　他の箇所も同じ</t>
    <rPh sb="14" eb="16">
      <t>ソウサ</t>
    </rPh>
    <rPh sb="23" eb="27">
      <t>ケンサクジョウケン</t>
    </rPh>
    <rPh sb="31" eb="32">
      <t>アタイ</t>
    </rPh>
    <rPh sb="63" eb="66">
      <t>カクコウモク</t>
    </rPh>
    <rPh sb="67" eb="69">
      <t>シテイ</t>
    </rPh>
    <rPh sb="71" eb="72">
      <t>アタイ</t>
    </rPh>
    <rPh sb="73" eb="75">
      <t>シュツリョク</t>
    </rPh>
    <rPh sb="87" eb="88">
      <t>タ</t>
    </rPh>
    <rPh sb="89" eb="91">
      <t>カショ</t>
    </rPh>
    <rPh sb="92" eb="93">
      <t>オナ</t>
    </rPh>
    <phoneticPr fontId="2"/>
  </si>
  <si>
    <t xml:space="preserve">各項目に指定した値に記載を追加しました。
</t>
    <rPh sb="10" eb="12">
      <t>キサイ</t>
    </rPh>
    <rPh sb="13" eb="15">
      <t>ツイカ</t>
    </rPh>
    <phoneticPr fontId="2"/>
  </si>
  <si>
    <t>2 検索ボタン押下 - 4</t>
    <phoneticPr fontId="2"/>
  </si>
  <si>
    <t>3 計画外ボタン押下
4 仕上実績ボタン押下
7 計画終了ボタン押下
8 計画終了解除ボタン押下
9 表示項目設定ボタン押下
遷移先画面でDB更新処理が行われるので、変数.更新フラグ = 1　をセットする必要はない。</t>
    <rPh sb="63" eb="68">
      <t>センイサキガメン</t>
    </rPh>
    <rPh sb="71" eb="75">
      <t>コウシンショリ</t>
    </rPh>
    <rPh sb="76" eb="77">
      <t>オコナ</t>
    </rPh>
    <rPh sb="83" eb="85">
      <t>ヘンスウ</t>
    </rPh>
    <rPh sb="86" eb="88">
      <t>コウシン</t>
    </rPh>
    <rPh sb="102" eb="104">
      <t>ヒツヨウ</t>
    </rPh>
    <phoneticPr fontId="2"/>
  </si>
  <si>
    <t>変数.更新フラグ = 1　をセットする処理を削除しました。</t>
    <rPh sb="19" eb="21">
      <t>ショリ</t>
    </rPh>
    <rPh sb="22" eb="24">
      <t>サクジョ</t>
    </rPh>
    <phoneticPr fontId="2"/>
  </si>
  <si>
    <t>6 一覧 選択
記述がわかりにくい。
「No15」シートのようにまとめてはどうか。</t>
    <rPh sb="2" eb="4">
      <t>イチラン</t>
    </rPh>
    <rPh sb="5" eb="7">
      <t>センタク</t>
    </rPh>
    <rPh sb="8" eb="10">
      <t>キジュツ</t>
    </rPh>
    <phoneticPr fontId="2"/>
  </si>
  <si>
    <t>「No15」シートの通りに、詳細設計書に反映しました。</t>
    <rPh sb="10" eb="11">
      <t>トオ</t>
    </rPh>
    <rPh sb="14" eb="19">
      <t>ショウサイセッケイショ</t>
    </rPh>
    <rPh sb="20" eb="22">
      <t>ハンエイ</t>
    </rPh>
    <phoneticPr fontId="2"/>
  </si>
  <si>
    <t>6 一覧 選択</t>
    <phoneticPr fontId="2"/>
  </si>
  <si>
    <r>
      <t>7 計画終了ボタン押下 - 3
「WD実績情報一覧.計画終了日に</t>
    </r>
    <r>
      <rPr>
        <sz val="10"/>
        <color rgb="FF00B0F0"/>
        <rFont val="Meiryo UI"/>
        <family val="3"/>
        <charset val="128"/>
      </rPr>
      <t>更新した日付</t>
    </r>
    <r>
      <rPr>
        <sz val="10"/>
        <color theme="1"/>
        <rFont val="Meiryo UI"/>
        <family val="2"/>
        <charset val="128"/>
      </rPr>
      <t>を表示する。」とあるが、更新した日付 = システム日付　という理解でよいか。</t>
    </r>
    <rPh sb="50" eb="52">
      <t>コウシン</t>
    </rPh>
    <rPh sb="54" eb="56">
      <t>ヒヅケ</t>
    </rPh>
    <rPh sb="63" eb="65">
      <t>ヒヅケ</t>
    </rPh>
    <rPh sb="69" eb="71">
      <t>リカイ</t>
    </rPh>
    <phoneticPr fontId="2"/>
  </si>
  <si>
    <t>合っていますが、その処理を変更しました。
Updateした後で、W/D工場実績情報一覧　再検索の処理を追加しました。その時、WD実績情報一覧.計画終了日にレスポンス.計画終了日を表示します。</t>
    <rPh sb="0" eb="1">
      <t>ア</t>
    </rPh>
    <rPh sb="10" eb="12">
      <t>ショリ</t>
    </rPh>
    <rPh sb="13" eb="15">
      <t>ヘンコウ</t>
    </rPh>
    <rPh sb="29" eb="30">
      <t>アト</t>
    </rPh>
    <rPh sb="48" eb="50">
      <t>ショリ</t>
    </rPh>
    <rPh sb="51" eb="53">
      <t>ツイカ</t>
    </rPh>
    <rPh sb="60" eb="61">
      <t>トキ</t>
    </rPh>
    <phoneticPr fontId="2"/>
  </si>
  <si>
    <t>7 計画終了ボタン押下 - 3</t>
    <phoneticPr fontId="2"/>
  </si>
  <si>
    <t>8 計画終了解除ボタン押下 - 2 - 1)
COMCZZZZ006　では、「WD工場_更新日」 を update していないが、APIの仕様書は修正中なのか。</t>
    <rPh sb="69" eb="72">
      <t>シヨウショ</t>
    </rPh>
    <rPh sb="73" eb="76">
      <t>シュウセイチュウ</t>
    </rPh>
    <phoneticPr fontId="2"/>
  </si>
  <si>
    <t xml:space="preserve">APIの仕様書は修正しないです、
WD工場_更新日は排他チェックに使用されています。
</t>
    <rPh sb="26" eb="28">
      <t>ハイタ</t>
    </rPh>
    <rPh sb="33" eb="35">
      <t>シヨウ</t>
    </rPh>
    <phoneticPr fontId="2"/>
  </si>
  <si>
    <t>8 計画終了解除ボタン押下 - 2 - 1)</t>
    <phoneticPr fontId="2"/>
  </si>
  <si>
    <t>6:処理検討不足</t>
    <phoneticPr fontId="2"/>
  </si>
  <si>
    <t>11 一覧.丁取№ボタン押下
「丁取情報を表示」 とあるが、表示←→非表示　の切り替えを行うのではないか。</t>
    <rPh sb="18" eb="20">
      <t>ジョウホウ</t>
    </rPh>
    <rPh sb="21" eb="23">
      <t>ヒョウジ</t>
    </rPh>
    <rPh sb="30" eb="32">
      <t>ヒョウジ</t>
    </rPh>
    <rPh sb="34" eb="37">
      <t>ヒヒョウジ</t>
    </rPh>
    <rPh sb="39" eb="40">
      <t>キ</t>
    </rPh>
    <rPh sb="41" eb="42">
      <t>カ</t>
    </rPh>
    <rPh sb="44" eb="45">
      <t>オコナ</t>
    </rPh>
    <phoneticPr fontId="2"/>
  </si>
  <si>
    <t>「丁取情報の表示/非表示を行う。」に記載を更新しました。</t>
    <rPh sb="18" eb="20">
      <t>キサイ</t>
    </rPh>
    <rPh sb="21" eb="23">
      <t>コウシン</t>
    </rPh>
    <phoneticPr fontId="2"/>
  </si>
  <si>
    <t>11 一覧.丁取№ボタン押下</t>
    <phoneticPr fontId="2"/>
  </si>
  <si>
    <t>6:処理検討不足</t>
  </si>
  <si>
    <t>61:ｲﾝﾀｰﾌｪｰｽ設計ﾐｽ</t>
    <phoneticPr fontId="2"/>
  </si>
  <si>
    <t>COMC1407001C</t>
    <phoneticPr fontId="2"/>
  </si>
  <si>
    <t>リクエスト．期間区分　の値が　"keikaku"、"shiage"　となっているが、"1" or "2" ではだめなのか。
→　COMC1407002C　も同じ</t>
    <rPh sb="6" eb="10">
      <t>キカンクブン</t>
    </rPh>
    <rPh sb="12" eb="13">
      <t>アタイ</t>
    </rPh>
    <rPh sb="78" eb="79">
      <t>オナ</t>
    </rPh>
    <phoneticPr fontId="2"/>
  </si>
  <si>
    <t>リクエスト．期間区分　の値に"1" or "2" をセットする処理を修正しました。</t>
    <rPh sb="31" eb="33">
      <t>ショリ</t>
    </rPh>
    <rPh sb="34" eb="36">
      <t>シュウセイ</t>
    </rPh>
    <phoneticPr fontId="2"/>
  </si>
  <si>
    <t>COMC1407001C
COMC1407002C</t>
    <phoneticPr fontId="2"/>
  </si>
  <si>
    <t>リクエスト．設備リスト　には、どのように値がセットされるのか、不明確。
→　COMC1407002C　も同じ</t>
    <rPh sb="6" eb="8">
      <t>セツビ</t>
    </rPh>
    <rPh sb="20" eb="21">
      <t>アタイ</t>
    </rPh>
    <rPh sb="31" eb="34">
      <t>フメイカク</t>
    </rPh>
    <phoneticPr fontId="2"/>
  </si>
  <si>
    <t>配列を文字列に変換する処理を追加しました。</t>
    <rPh sb="11" eb="13">
      <t>ショリ</t>
    </rPh>
    <rPh sb="14" eb="16">
      <t>ツイカ</t>
    </rPh>
    <phoneticPr fontId="2"/>
  </si>
  <si>
    <t>COMC1407001S</t>
    <phoneticPr fontId="2"/>
  </si>
  <si>
    <r>
      <t>1 Select001 - 2 - 1)
order by 句に　「WD実績情報.仕上実績」　と記載されているが、「WD実績情報.仕上実績</t>
    </r>
    <r>
      <rPr>
        <sz val="10"/>
        <color rgb="FFFF0000"/>
        <rFont val="Meiryo UI"/>
        <family val="3"/>
        <charset val="128"/>
      </rPr>
      <t>日</t>
    </r>
    <r>
      <rPr>
        <sz val="10"/>
        <color theme="1"/>
        <rFont val="Meiryo UI"/>
        <family val="2"/>
        <charset val="128"/>
      </rPr>
      <t>」 ではないか。</t>
    </r>
    <rPh sb="30" eb="31">
      <t>ク</t>
    </rPh>
    <rPh sb="48" eb="50">
      <t>キサイ</t>
    </rPh>
    <rPh sb="69" eb="70">
      <t>ヒ</t>
    </rPh>
    <phoneticPr fontId="2"/>
  </si>
  <si>
    <t>仕上実績を仕上実績日に修正しました。</t>
    <rPh sb="9" eb="10">
      <t>ビ</t>
    </rPh>
    <rPh sb="11" eb="13">
      <t>シュウセイ</t>
    </rPh>
    <phoneticPr fontId="2"/>
  </si>
  <si>
    <t>1 Select001 - 2 - 1)</t>
    <phoneticPr fontId="2"/>
  </si>
  <si>
    <t>2 検索ボタン押下 - 5
「配列・検索情報項目ID」というのが、各項目名と入力値を表している、と理解してよいか。</t>
    <rPh sb="15" eb="17">
      <t>ハイレツ</t>
    </rPh>
    <rPh sb="18" eb="20">
      <t>ケンサク</t>
    </rPh>
    <rPh sb="20" eb="22">
      <t>ジョウホウ</t>
    </rPh>
    <rPh sb="22" eb="24">
      <t>コウモク</t>
    </rPh>
    <rPh sb="33" eb="34">
      <t>カク</t>
    </rPh>
    <rPh sb="34" eb="36">
      <t>コウモク</t>
    </rPh>
    <rPh sb="36" eb="37">
      <t>メイ</t>
    </rPh>
    <rPh sb="38" eb="40">
      <t>ニュウリョク</t>
    </rPh>
    <rPh sb="40" eb="41">
      <t>チ</t>
    </rPh>
    <rPh sb="42" eb="43">
      <t>アラワ</t>
    </rPh>
    <rPh sb="49" eb="51">
      <t>リカイ</t>
    </rPh>
    <phoneticPr fontId="2"/>
  </si>
  <si>
    <t>「配列・検索情報項目ID」：
各項目名と入力値ではなくて検索条件の各項目名だけをセットします。</t>
    <rPh sb="28" eb="32">
      <t>ケンサクジョウケン</t>
    </rPh>
    <phoneticPr fontId="2"/>
  </si>
  <si>
    <t>7 計画終了ボタン押下 - 4
「下記の項目を保持して再検索を行う。」 とあるが、よくわからない。
COMC1407001　のリクエスト値にセットする値を、"配列・検索情報項目ID" から取得するということか。</t>
    <rPh sb="68" eb="69">
      <t>チ</t>
    </rPh>
    <rPh sb="75" eb="76">
      <t>アタイ</t>
    </rPh>
    <rPh sb="94" eb="96">
      <t>シュトク</t>
    </rPh>
    <phoneticPr fontId="2"/>
  </si>
  <si>
    <t>COMC1407001のパラメータを修正しました。
COMC1407001のリクエスト値に画面の検索条件をセットします。</t>
    <rPh sb="18" eb="20">
      <t>シュウセイ</t>
    </rPh>
    <rPh sb="45" eb="47">
      <t>ガメン</t>
    </rPh>
    <rPh sb="48" eb="52">
      <t>ケンサクジョウケン</t>
    </rPh>
    <phoneticPr fontId="2"/>
  </si>
  <si>
    <t>7 計画終了ボタン押下 - 5
8 計画終了解除ボタン押下 - 4</t>
    <phoneticPr fontId="2"/>
  </si>
  <si>
    <t>15 戻るボタン押下
16 ログアウトボタン押下
指摘No14 で設計を修正したので、更新フラグ = 1 となる処理がなくなったのではないか。</t>
    <rPh sb="25" eb="27">
      <t>シテキ</t>
    </rPh>
    <rPh sb="33" eb="35">
      <t>セッケイ</t>
    </rPh>
    <rPh sb="36" eb="38">
      <t>シュウセイ</t>
    </rPh>
    <rPh sb="56" eb="58">
      <t>ショリ</t>
    </rPh>
    <phoneticPr fontId="2"/>
  </si>
  <si>
    <t>更新フラグ = 1 となる処理を削除しました。
15.1と16.1の処理が不要となったので、削除しました。</t>
    <rPh sb="16" eb="18">
      <t>サクジョ</t>
    </rPh>
    <rPh sb="35" eb="37">
      <t>ショリ</t>
    </rPh>
    <rPh sb="38" eb="40">
      <t>フヨウ</t>
    </rPh>
    <rPh sb="47" eb="49">
      <t>サクジョ</t>
    </rPh>
    <phoneticPr fontId="2"/>
  </si>
  <si>
    <t>End</t>
    <phoneticPr fontId="2"/>
  </si>
  <si>
    <t>修正例</t>
    <rPh sb="0" eb="3">
      <t>シュウセイレイ</t>
    </rPh>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</si>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</sst>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6">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
      <sz val="10"/>
      <color rgb="FF00B0F0"/>
      <name val="Meiryo UI"/>
      <family val="3"/>
      <charset val="128"/>
    </font>
    <font>
      <sz val="10"/>
      <color theme="1"/>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5">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14" fontId="0" fillId="0" borderId="2"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5" fillId="0" borderId="2" xfId="0" applyFont="1" applyBorder="1" applyAlignment="1">
      <alignment horizontal="left" vertical="top" wrapText="1"/>
    </xf>
    <xf numFmtId="0" fontId="15" fillId="0" borderId="3" xfId="0" applyFont="1" applyBorder="1" applyAlignment="1">
      <alignment horizontal="left" vertical="top" wrapText="1"/>
    </xf>
    <xf numFmtId="0" fontId="15" fillId="0" borderId="4" xfId="0" applyFont="1" applyBorder="1" applyAlignment="1">
      <alignment horizontal="lef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FFCCFF"/>
      <color rgb="FFCCFFFF"/>
      <color rgb="FF0066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14</xdr:col>
      <xdr:colOff>532219</xdr:colOff>
      <xdr:row>20</xdr:row>
      <xdr:rowOff>104377</xdr:rowOff>
    </xdr:to>
    <xdr:pic>
      <xdr:nvPicPr>
        <xdr:cNvPr id="2" name="図 1">
          <a:extLst>
            <a:ext uri="{FF2B5EF4-FFF2-40B4-BE49-F238E27FC236}">
              <a16:creationId xmlns:a16="http://schemas.microsoft.com/office/drawing/2014/main" id="{6B82FCF4-E0CC-7590-DF39-E1EA868C6EF1}"/>
            </a:ext>
          </a:extLst>
        </xdr:cNvPr>
        <xdr:cNvPicPr>
          <a:picLocks noChangeAspect="1"/>
        </xdr:cNvPicPr>
      </xdr:nvPicPr>
      <xdr:blipFill>
        <a:blip xmlns:r="http://schemas.openxmlformats.org/officeDocument/2006/relationships" r:embed="rId1"/>
        <a:stretch>
          <a:fillRect/>
        </a:stretch>
      </xdr:blipFill>
      <xdr:spPr>
        <a:xfrm>
          <a:off x="685800" y="542925"/>
          <a:ext cx="9447619" cy="318095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4"/>
  <sheetViews>
    <sheetView showGridLines="0" tabSelected="1" topLeftCell="A24" zoomScale="85" zoomScaleNormal="85" workbookViewId="0">
      <selection sqref="A1:D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57" t="s">
        <v>0</v>
      </c>
      <c r="B1" s="58"/>
      <c r="C1" s="58"/>
      <c r="D1" s="59"/>
      <c r="E1" s="60" t="s">
        <v>1</v>
      </c>
      <c r="F1" s="58"/>
      <c r="G1" s="59"/>
      <c r="H1" s="60" t="s">
        <v>2</v>
      </c>
      <c r="I1" s="59"/>
      <c r="J1" s="60" t="s">
        <v>3</v>
      </c>
      <c r="K1" s="58"/>
      <c r="L1" s="58"/>
      <c r="M1" s="58"/>
      <c r="N1" s="58"/>
      <c r="O1" s="59"/>
      <c r="P1" s="60" t="s">
        <v>4</v>
      </c>
      <c r="Q1" s="59"/>
    </row>
    <row r="2" spans="1:71" customFormat="1" ht="15" customHeight="1">
      <c r="A2" s="64" t="s">
        <v>5</v>
      </c>
      <c r="B2" s="69"/>
      <c r="C2" s="69"/>
      <c r="D2" s="65"/>
      <c r="E2" s="64" t="s">
        <v>6</v>
      </c>
      <c r="F2" s="69"/>
      <c r="G2" s="65"/>
      <c r="H2" s="64" t="s">
        <v>7</v>
      </c>
      <c r="I2" s="65"/>
      <c r="J2" s="4" t="str">
        <f>IF(H2="","",VLOOKUP(H2,マスタ!C:D,2,FALSE))</f>
        <v>生産実績一覧（W/D工場）</v>
      </c>
      <c r="K2" s="5"/>
      <c r="L2" s="5"/>
      <c r="M2" s="5"/>
      <c r="N2" s="5"/>
      <c r="O2" s="6"/>
      <c r="P2" s="64">
        <v>27</v>
      </c>
      <c r="Q2" s="65"/>
      <c r="AE2" s="10" t="s">
        <v>8</v>
      </c>
      <c r="AF2" s="8"/>
      <c r="AG2" s="9"/>
      <c r="AH2" s="92" t="s">
        <v>9</v>
      </c>
      <c r="AI2" s="93"/>
      <c r="AJ2" s="93"/>
      <c r="AK2" s="94"/>
      <c r="AM2" s="3"/>
      <c r="AN2" s="3"/>
      <c r="AO2" s="3"/>
      <c r="AP2" s="3"/>
      <c r="AQ2" s="3"/>
      <c r="AR2" s="3"/>
      <c r="AS2" s="3"/>
    </row>
    <row r="3" spans="1:71" customFormat="1" ht="15" customHeight="1">
      <c r="AE3" s="10" t="s">
        <v>10</v>
      </c>
      <c r="AF3" s="8"/>
      <c r="AG3" s="9"/>
      <c r="AH3" s="92"/>
      <c r="AI3" s="93"/>
      <c r="AJ3" s="93"/>
      <c r="AK3" s="94"/>
      <c r="AM3" s="3"/>
      <c r="AN3" s="3"/>
      <c r="AO3" s="3"/>
      <c r="AP3" s="3"/>
      <c r="AQ3" s="3"/>
      <c r="AR3" s="3"/>
      <c r="AS3" s="3"/>
    </row>
    <row r="4" spans="1:71" customFormat="1" ht="15" customHeight="1">
      <c r="A4" s="57" t="s">
        <v>11</v>
      </c>
      <c r="B4" s="58"/>
      <c r="C4" s="59"/>
      <c r="D4" s="60" t="s">
        <v>12</v>
      </c>
      <c r="E4" s="58"/>
      <c r="F4" s="59"/>
      <c r="G4" s="60" t="s">
        <v>13</v>
      </c>
      <c r="H4" s="58"/>
      <c r="I4" s="59"/>
      <c r="J4" s="60" t="s">
        <v>14</v>
      </c>
      <c r="K4" s="58"/>
      <c r="L4" s="59"/>
      <c r="M4" s="60" t="s">
        <v>15</v>
      </c>
      <c r="N4" s="58"/>
      <c r="O4" s="59"/>
      <c r="P4" s="12"/>
      <c r="Q4" s="57" t="s">
        <v>16</v>
      </c>
      <c r="R4" s="59"/>
      <c r="S4" s="60" t="s">
        <v>17</v>
      </c>
      <c r="T4" s="58"/>
      <c r="U4" s="58"/>
      <c r="V4" s="59"/>
      <c r="W4" s="60" t="s">
        <v>18</v>
      </c>
      <c r="X4" s="58"/>
      <c r="Y4" s="59"/>
      <c r="Z4" s="60" t="s">
        <v>19</v>
      </c>
      <c r="AA4" s="58"/>
      <c r="AB4" s="59"/>
      <c r="AE4" s="10" t="s">
        <v>20</v>
      </c>
      <c r="AF4" s="8"/>
      <c r="AG4" s="9"/>
      <c r="AH4" s="92"/>
      <c r="AI4" s="93"/>
      <c r="AJ4" s="93"/>
      <c r="AK4" s="94"/>
      <c r="AM4" s="3"/>
      <c r="AN4" s="3"/>
      <c r="AO4" s="3"/>
      <c r="AP4" s="3"/>
      <c r="AQ4" s="3"/>
      <c r="AR4" s="3"/>
      <c r="AS4" s="3"/>
    </row>
    <row r="5" spans="1:71" customFormat="1" ht="15" customHeight="1">
      <c r="A5" s="70">
        <v>1</v>
      </c>
      <c r="B5" s="71"/>
      <c r="C5" s="72"/>
      <c r="D5" s="61">
        <v>45209</v>
      </c>
      <c r="E5" s="62"/>
      <c r="F5" s="63"/>
      <c r="G5" s="66">
        <v>0.67708333333333337</v>
      </c>
      <c r="H5" s="67"/>
      <c r="I5" s="68"/>
      <c r="J5" s="66">
        <v>0.76041666666666663</v>
      </c>
      <c r="K5" s="67"/>
      <c r="L5" s="68"/>
      <c r="M5" s="66">
        <f>J5-G5</f>
        <v>8.3333333333333259E-2</v>
      </c>
      <c r="N5" s="67"/>
      <c r="O5" s="68"/>
      <c r="P5" s="2"/>
      <c r="Q5" s="64">
        <f ca="1">COUNT(INDIRECT("$A9:$A"&amp;ROW(最終行)))</f>
        <v>24</v>
      </c>
      <c r="R5" s="65"/>
      <c r="S5" s="61">
        <f ca="1">IF(MAX(INDIRECT("$BB9:$BB"&amp;ROW(最終行)))=0,"",MAX(INDIRECT("$BB9:$BB"&amp;ROW(最終行))))</f>
        <v>45211</v>
      </c>
      <c r="T5" s="62"/>
      <c r="U5" s="62"/>
      <c r="V5" s="63"/>
      <c r="W5" s="61">
        <f ca="1">IF(MAX(INDIRECT("$BE9:$BE"&amp;ROW(最終行)))=0,"",MAX(INDIRECT("$BE9:$BE"&amp;ROW(最終行))))</f>
        <v>45211</v>
      </c>
      <c r="X5" s="62"/>
      <c r="Y5" s="63"/>
      <c r="Z5" s="61">
        <f ca="1">IF(MAX(INDIRECT("$BK9:$BK"&amp;ROW(最終行)))=0,"",MAX(INDIRECT("$BK9:$BK"&amp;ROW(最終行))))</f>
        <v>45212</v>
      </c>
      <c r="AA5" s="62"/>
      <c r="AB5" s="63"/>
      <c r="AD5" s="11"/>
      <c r="AE5" s="10" t="s">
        <v>21</v>
      </c>
      <c r="AF5" s="8"/>
      <c r="AG5" s="9"/>
      <c r="AH5" s="92"/>
      <c r="AI5" s="93"/>
      <c r="AJ5" s="93"/>
      <c r="AK5" s="94"/>
      <c r="AM5" s="3"/>
      <c r="AN5" s="3"/>
      <c r="AO5" s="3"/>
      <c r="AP5" s="3"/>
      <c r="AQ5" s="3"/>
      <c r="AR5" s="3"/>
      <c r="AS5" s="3"/>
    </row>
    <row r="6" spans="1:71" customFormat="1" ht="15" customHeight="1"/>
    <row r="7" spans="1:71" s="1" customFormat="1" ht="15" customHeight="1">
      <c r="A7" s="73" t="s">
        <v>22</v>
      </c>
      <c r="B7" s="85" t="s">
        <v>23</v>
      </c>
      <c r="C7" s="87"/>
      <c r="D7" s="85" t="s">
        <v>24</v>
      </c>
      <c r="E7" s="86"/>
      <c r="F7" s="86"/>
      <c r="G7" s="86"/>
      <c r="H7" s="87"/>
      <c r="I7" s="85" t="s">
        <v>25</v>
      </c>
      <c r="J7" s="86"/>
      <c r="K7" s="86"/>
      <c r="L7" s="87"/>
      <c r="M7" s="85" t="s">
        <v>26</v>
      </c>
      <c r="N7" s="86"/>
      <c r="O7" s="86"/>
      <c r="P7" s="86"/>
      <c r="Q7" s="86"/>
      <c r="R7" s="86"/>
      <c r="S7" s="86"/>
      <c r="T7" s="86"/>
      <c r="U7" s="86"/>
      <c r="V7" s="86"/>
      <c r="W7" s="86"/>
      <c r="X7" s="86"/>
      <c r="Y7" s="87"/>
      <c r="Z7" s="85" t="s">
        <v>27</v>
      </c>
      <c r="AA7" s="86"/>
      <c r="AB7" s="86"/>
      <c r="AC7" s="86"/>
      <c r="AD7" s="86"/>
      <c r="AE7" s="86"/>
      <c r="AF7" s="86"/>
      <c r="AG7" s="86"/>
      <c r="AH7" s="86"/>
      <c r="AI7" s="86"/>
      <c r="AJ7" s="86"/>
      <c r="AK7" s="86"/>
      <c r="AL7" s="87"/>
      <c r="AM7" s="85" t="s">
        <v>28</v>
      </c>
      <c r="AN7" s="86"/>
      <c r="AO7" s="87"/>
      <c r="AP7" s="75" t="s">
        <v>29</v>
      </c>
      <c r="AQ7" s="75"/>
      <c r="AR7" s="75"/>
      <c r="AS7" s="75"/>
      <c r="AT7" s="75"/>
      <c r="AU7" s="75"/>
      <c r="AV7" s="75"/>
      <c r="AW7" s="75"/>
      <c r="AX7" s="75"/>
      <c r="AY7" s="76" t="s">
        <v>30</v>
      </c>
      <c r="AZ7" s="77"/>
      <c r="BA7" s="77"/>
      <c r="BB7" s="77"/>
      <c r="BC7" s="77"/>
      <c r="BD7" s="77"/>
      <c r="BE7" s="77"/>
      <c r="BF7" s="77"/>
      <c r="BG7" s="78"/>
      <c r="BH7" s="75" t="s">
        <v>31</v>
      </c>
      <c r="BI7" s="75"/>
      <c r="BJ7" s="75"/>
      <c r="BK7" s="75"/>
      <c r="BL7" s="75"/>
      <c r="BM7" s="75"/>
      <c r="BN7" s="76" t="s">
        <v>32</v>
      </c>
      <c r="BO7" s="77"/>
      <c r="BP7" s="77"/>
      <c r="BQ7" s="77"/>
      <c r="BR7" s="77"/>
      <c r="BS7" s="78"/>
    </row>
    <row r="8" spans="1:71" s="1" customFormat="1" ht="15" customHeight="1">
      <c r="A8" s="74"/>
      <c r="B8" s="88"/>
      <c r="C8" s="90"/>
      <c r="D8" s="88"/>
      <c r="E8" s="89"/>
      <c r="F8" s="89"/>
      <c r="G8" s="89"/>
      <c r="H8" s="90"/>
      <c r="I8" s="88"/>
      <c r="J8" s="89"/>
      <c r="K8" s="89"/>
      <c r="L8" s="90"/>
      <c r="M8" s="88"/>
      <c r="N8" s="89"/>
      <c r="O8" s="89"/>
      <c r="P8" s="89"/>
      <c r="Q8" s="89"/>
      <c r="R8" s="89"/>
      <c r="S8" s="89"/>
      <c r="T8" s="89"/>
      <c r="U8" s="89"/>
      <c r="V8" s="89"/>
      <c r="W8" s="89"/>
      <c r="X8" s="89"/>
      <c r="Y8" s="90"/>
      <c r="Z8" s="88"/>
      <c r="AA8" s="89"/>
      <c r="AB8" s="89"/>
      <c r="AC8" s="89"/>
      <c r="AD8" s="89"/>
      <c r="AE8" s="89"/>
      <c r="AF8" s="89"/>
      <c r="AG8" s="89"/>
      <c r="AH8" s="89"/>
      <c r="AI8" s="89"/>
      <c r="AJ8" s="89"/>
      <c r="AK8" s="89"/>
      <c r="AL8" s="90"/>
      <c r="AM8" s="88"/>
      <c r="AN8" s="89"/>
      <c r="AO8" s="90"/>
      <c r="AP8" s="79" t="s">
        <v>33</v>
      </c>
      <c r="AQ8" s="80"/>
      <c r="AR8" s="81"/>
      <c r="AS8" s="79" t="s">
        <v>34</v>
      </c>
      <c r="AT8" s="80"/>
      <c r="AU8" s="81"/>
      <c r="AV8" s="79" t="s">
        <v>35</v>
      </c>
      <c r="AW8" s="80"/>
      <c r="AX8" s="81"/>
      <c r="AY8" s="82" t="s">
        <v>36</v>
      </c>
      <c r="AZ8" s="83"/>
      <c r="BA8" s="84"/>
      <c r="BB8" s="82" t="s">
        <v>37</v>
      </c>
      <c r="BC8" s="83"/>
      <c r="BD8" s="84"/>
      <c r="BE8" s="82" t="s">
        <v>38</v>
      </c>
      <c r="BF8" s="83"/>
      <c r="BG8" s="84"/>
      <c r="BH8" s="79" t="s">
        <v>39</v>
      </c>
      <c r="BI8" s="80"/>
      <c r="BJ8" s="81"/>
      <c r="BK8" s="82" t="s">
        <v>40</v>
      </c>
      <c r="BL8" s="83"/>
      <c r="BM8" s="84"/>
      <c r="BN8" s="79"/>
      <c r="BO8" s="80"/>
      <c r="BP8" s="80"/>
      <c r="BQ8" s="80"/>
      <c r="BR8" s="80"/>
      <c r="BS8" s="81"/>
    </row>
    <row r="9" spans="1:71" ht="60" customHeight="1">
      <c r="A9" s="7">
        <f>IF(M9="","",COUNTA($M$9:M9))</f>
        <v>1</v>
      </c>
      <c r="B9" s="35" t="s">
        <v>9</v>
      </c>
      <c r="C9" s="37"/>
      <c r="D9" s="45" t="s">
        <v>41</v>
      </c>
      <c r="E9" s="46"/>
      <c r="F9" s="46"/>
      <c r="G9" s="46"/>
      <c r="H9" s="47"/>
      <c r="I9" s="43" t="s">
        <v>42</v>
      </c>
      <c r="J9" s="43"/>
      <c r="K9" s="43"/>
      <c r="L9" s="43"/>
      <c r="M9" s="42" t="s">
        <v>43</v>
      </c>
      <c r="N9" s="43"/>
      <c r="O9" s="43"/>
      <c r="P9" s="43"/>
      <c r="Q9" s="43"/>
      <c r="R9" s="43"/>
      <c r="S9" s="43"/>
      <c r="T9" s="43"/>
      <c r="U9" s="43"/>
      <c r="V9" s="43"/>
      <c r="W9" s="43"/>
      <c r="X9" s="43"/>
      <c r="Y9" s="44"/>
      <c r="Z9" s="42" t="s">
        <v>44</v>
      </c>
      <c r="AA9" s="43"/>
      <c r="AB9" s="43"/>
      <c r="AC9" s="43"/>
      <c r="AD9" s="43"/>
      <c r="AE9" s="43"/>
      <c r="AF9" s="43"/>
      <c r="AG9" s="43"/>
      <c r="AH9" s="43"/>
      <c r="AI9" s="43"/>
      <c r="AJ9" s="43"/>
      <c r="AK9" s="43"/>
      <c r="AL9" s="44"/>
      <c r="AM9" s="42" t="s">
        <v>45</v>
      </c>
      <c r="AN9" s="43"/>
      <c r="AO9" s="44"/>
      <c r="AP9" s="51" t="s">
        <v>46</v>
      </c>
      <c r="AQ9" s="52"/>
      <c r="AR9" s="53"/>
      <c r="AS9" s="51" t="s">
        <v>47</v>
      </c>
      <c r="AT9" s="52"/>
      <c r="AU9" s="53"/>
      <c r="AV9" s="51" t="s">
        <v>48</v>
      </c>
      <c r="AW9" s="52"/>
      <c r="AX9" s="53"/>
      <c r="AY9" s="35" t="s">
        <v>49</v>
      </c>
      <c r="AZ9" s="36"/>
      <c r="BA9" s="37"/>
      <c r="BB9" s="38">
        <v>45210</v>
      </c>
      <c r="BC9" s="39"/>
      <c r="BD9" s="40"/>
      <c r="BE9" s="38">
        <v>45210</v>
      </c>
      <c r="BF9" s="39"/>
      <c r="BG9" s="40"/>
      <c r="BH9" s="41" t="s">
        <v>9</v>
      </c>
      <c r="BI9" s="36"/>
      <c r="BJ9" s="37"/>
      <c r="BK9" s="38">
        <v>45210</v>
      </c>
      <c r="BL9" s="39"/>
      <c r="BM9" s="40"/>
      <c r="BN9" s="42"/>
      <c r="BO9" s="43"/>
      <c r="BP9" s="43"/>
      <c r="BQ9" s="43"/>
      <c r="BR9" s="43"/>
      <c r="BS9" s="44"/>
    </row>
    <row r="10" spans="1:71" ht="60" customHeight="1">
      <c r="A10" s="7">
        <f>IF(M10="","",COUNTA($M$9:M10))</f>
        <v>2</v>
      </c>
      <c r="B10" s="35" t="s">
        <v>9</v>
      </c>
      <c r="C10" s="37"/>
      <c r="D10" s="45" t="s">
        <v>50</v>
      </c>
      <c r="E10" s="46"/>
      <c r="F10" s="46"/>
      <c r="G10" s="46"/>
      <c r="H10" s="47"/>
      <c r="I10" s="43" t="s">
        <v>51</v>
      </c>
      <c r="J10" s="43"/>
      <c r="K10" s="43"/>
      <c r="L10" s="43"/>
      <c r="M10" s="48" t="s">
        <v>52</v>
      </c>
      <c r="N10" s="49"/>
      <c r="O10" s="49"/>
      <c r="P10" s="49"/>
      <c r="Q10" s="49"/>
      <c r="R10" s="49"/>
      <c r="S10" s="49"/>
      <c r="T10" s="49"/>
      <c r="U10" s="49"/>
      <c r="V10" s="49"/>
      <c r="W10" s="49"/>
      <c r="X10" s="49"/>
      <c r="Y10" s="50"/>
      <c r="Z10" s="48" t="s">
        <v>53</v>
      </c>
      <c r="AA10" s="49"/>
      <c r="AB10" s="49"/>
      <c r="AC10" s="49"/>
      <c r="AD10" s="49"/>
      <c r="AE10" s="49"/>
      <c r="AF10" s="49"/>
      <c r="AG10" s="49"/>
      <c r="AH10" s="49"/>
      <c r="AI10" s="49"/>
      <c r="AJ10" s="49"/>
      <c r="AK10" s="49"/>
      <c r="AL10" s="50"/>
      <c r="AM10" s="42" t="s">
        <v>50</v>
      </c>
      <c r="AN10" s="43"/>
      <c r="AO10" s="44"/>
      <c r="AP10" s="51" t="s">
        <v>46</v>
      </c>
      <c r="AQ10" s="52"/>
      <c r="AR10" s="53"/>
      <c r="AS10" s="51" t="s">
        <v>54</v>
      </c>
      <c r="AT10" s="52"/>
      <c r="AU10" s="53"/>
      <c r="AV10" s="51" t="s">
        <v>55</v>
      </c>
      <c r="AW10" s="52"/>
      <c r="AX10" s="53"/>
      <c r="AY10" s="35" t="s">
        <v>49</v>
      </c>
      <c r="AZ10" s="36"/>
      <c r="BA10" s="37"/>
      <c r="BB10" s="38">
        <v>45210</v>
      </c>
      <c r="BC10" s="39"/>
      <c r="BD10" s="40"/>
      <c r="BE10" s="38">
        <v>45210</v>
      </c>
      <c r="BF10" s="39"/>
      <c r="BG10" s="40"/>
      <c r="BH10" s="41" t="s">
        <v>9</v>
      </c>
      <c r="BI10" s="36"/>
      <c r="BJ10" s="37"/>
      <c r="BK10" s="38">
        <v>45210</v>
      </c>
      <c r="BL10" s="39"/>
      <c r="BM10" s="40"/>
      <c r="BN10" s="42"/>
      <c r="BO10" s="43"/>
      <c r="BP10" s="43"/>
      <c r="BQ10" s="43"/>
      <c r="BR10" s="43"/>
      <c r="BS10" s="44"/>
    </row>
    <row r="11" spans="1:71" ht="60" customHeight="1">
      <c r="A11" s="7">
        <f>IF(M11="","",COUNTA($M$9:M11))</f>
        <v>3</v>
      </c>
      <c r="B11" s="35" t="s">
        <v>9</v>
      </c>
      <c r="C11" s="37"/>
      <c r="D11" s="45" t="s">
        <v>56</v>
      </c>
      <c r="E11" s="46"/>
      <c r="F11" s="46"/>
      <c r="G11" s="46"/>
      <c r="H11" s="47"/>
      <c r="I11" s="42" t="s">
        <v>51</v>
      </c>
      <c r="J11" s="43"/>
      <c r="K11" s="43"/>
      <c r="L11" s="44"/>
      <c r="M11" s="42" t="s">
        <v>57</v>
      </c>
      <c r="N11" s="43"/>
      <c r="O11" s="43"/>
      <c r="P11" s="43"/>
      <c r="Q11" s="43"/>
      <c r="R11" s="43"/>
      <c r="S11" s="43"/>
      <c r="T11" s="43"/>
      <c r="U11" s="43"/>
      <c r="V11" s="43"/>
      <c r="W11" s="43"/>
      <c r="X11" s="43"/>
      <c r="Y11" s="44"/>
      <c r="Z11" s="42" t="s">
        <v>58</v>
      </c>
      <c r="AA11" s="43"/>
      <c r="AB11" s="43"/>
      <c r="AC11" s="43"/>
      <c r="AD11" s="43"/>
      <c r="AE11" s="43"/>
      <c r="AF11" s="43"/>
      <c r="AG11" s="43"/>
      <c r="AH11" s="43"/>
      <c r="AI11" s="43"/>
      <c r="AJ11" s="43"/>
      <c r="AK11" s="43"/>
      <c r="AL11" s="44"/>
      <c r="AM11" s="42" t="s">
        <v>59</v>
      </c>
      <c r="AN11" s="43"/>
      <c r="AO11" s="44"/>
      <c r="AP11" s="51" t="s">
        <v>46</v>
      </c>
      <c r="AQ11" s="52"/>
      <c r="AR11" s="53"/>
      <c r="AS11" s="51" t="s">
        <v>54</v>
      </c>
      <c r="AT11" s="52"/>
      <c r="AU11" s="53"/>
      <c r="AV11" s="51" t="s">
        <v>55</v>
      </c>
      <c r="AW11" s="52"/>
      <c r="AX11" s="53"/>
      <c r="AY11" s="35" t="s">
        <v>49</v>
      </c>
      <c r="AZ11" s="36"/>
      <c r="BA11" s="37"/>
      <c r="BB11" s="38">
        <v>45210</v>
      </c>
      <c r="BC11" s="39"/>
      <c r="BD11" s="40"/>
      <c r="BE11" s="38">
        <v>45210</v>
      </c>
      <c r="BF11" s="39"/>
      <c r="BG11" s="40"/>
      <c r="BH11" s="41" t="s">
        <v>9</v>
      </c>
      <c r="BI11" s="36"/>
      <c r="BJ11" s="37"/>
      <c r="BK11" s="38">
        <v>45210</v>
      </c>
      <c r="BL11" s="39"/>
      <c r="BM11" s="40"/>
      <c r="BN11" s="42"/>
      <c r="BO11" s="43"/>
      <c r="BP11" s="43"/>
      <c r="BQ11" s="43"/>
      <c r="BR11" s="43"/>
      <c r="BS11" s="44"/>
    </row>
    <row r="12" spans="1:71" ht="60" customHeight="1">
      <c r="A12" s="7">
        <f>IF(M12="","",COUNTA($M$9:M12))</f>
        <v>4</v>
      </c>
      <c r="B12" s="35" t="s">
        <v>9</v>
      </c>
      <c r="C12" s="37"/>
      <c r="D12" s="45" t="s">
        <v>56</v>
      </c>
      <c r="E12" s="46"/>
      <c r="F12" s="46"/>
      <c r="G12" s="46"/>
      <c r="H12" s="47"/>
      <c r="I12" s="42" t="s">
        <v>60</v>
      </c>
      <c r="J12" s="43"/>
      <c r="K12" s="43"/>
      <c r="L12" s="44"/>
      <c r="M12" s="48" t="s">
        <v>61</v>
      </c>
      <c r="N12" s="49"/>
      <c r="O12" s="49"/>
      <c r="P12" s="49"/>
      <c r="Q12" s="49"/>
      <c r="R12" s="49"/>
      <c r="S12" s="49"/>
      <c r="T12" s="49"/>
      <c r="U12" s="49"/>
      <c r="V12" s="49"/>
      <c r="W12" s="49"/>
      <c r="X12" s="49"/>
      <c r="Y12" s="50"/>
      <c r="Z12" s="48" t="s">
        <v>62</v>
      </c>
      <c r="AA12" s="49"/>
      <c r="AB12" s="49"/>
      <c r="AC12" s="49"/>
      <c r="AD12" s="49"/>
      <c r="AE12" s="49"/>
      <c r="AF12" s="49"/>
      <c r="AG12" s="49"/>
      <c r="AH12" s="49"/>
      <c r="AI12" s="49"/>
      <c r="AJ12" s="49"/>
      <c r="AK12" s="49"/>
      <c r="AL12" s="50"/>
      <c r="AM12" s="42" t="s">
        <v>63</v>
      </c>
      <c r="AN12" s="43"/>
      <c r="AO12" s="44"/>
      <c r="AP12" s="51" t="s">
        <v>46</v>
      </c>
      <c r="AQ12" s="52"/>
      <c r="AR12" s="53"/>
      <c r="AS12" s="51" t="s">
        <v>64</v>
      </c>
      <c r="AT12" s="52"/>
      <c r="AU12" s="53"/>
      <c r="AV12" s="51" t="s">
        <v>48</v>
      </c>
      <c r="AW12" s="52"/>
      <c r="AX12" s="53"/>
      <c r="AY12" s="35" t="s">
        <v>49</v>
      </c>
      <c r="AZ12" s="36"/>
      <c r="BA12" s="37"/>
      <c r="BB12" s="38">
        <v>45210</v>
      </c>
      <c r="BC12" s="39"/>
      <c r="BD12" s="40"/>
      <c r="BE12" s="38">
        <v>45210</v>
      </c>
      <c r="BF12" s="39"/>
      <c r="BG12" s="40"/>
      <c r="BH12" s="41" t="s">
        <v>9</v>
      </c>
      <c r="BI12" s="36"/>
      <c r="BJ12" s="37"/>
      <c r="BK12" s="38">
        <v>45210</v>
      </c>
      <c r="BL12" s="39"/>
      <c r="BM12" s="40"/>
      <c r="BN12" s="42"/>
      <c r="BO12" s="43"/>
      <c r="BP12" s="43"/>
      <c r="BQ12" s="43"/>
      <c r="BR12" s="43"/>
      <c r="BS12" s="44"/>
    </row>
    <row r="13" spans="1:71" ht="60" customHeight="1">
      <c r="A13" s="7">
        <f>IF(M13="","",COUNTA($M$9:M13))</f>
        <v>5</v>
      </c>
      <c r="B13" s="35" t="s">
        <v>9</v>
      </c>
      <c r="C13" s="37"/>
      <c r="D13" s="45" t="s">
        <v>56</v>
      </c>
      <c r="E13" s="46"/>
      <c r="F13" s="46"/>
      <c r="G13" s="46"/>
      <c r="H13" s="47"/>
      <c r="I13" s="43" t="s">
        <v>51</v>
      </c>
      <c r="J13" s="43"/>
      <c r="K13" s="43"/>
      <c r="L13" s="43"/>
      <c r="M13" s="48" t="s">
        <v>65</v>
      </c>
      <c r="N13" s="49"/>
      <c r="O13" s="49"/>
      <c r="P13" s="49"/>
      <c r="Q13" s="49"/>
      <c r="R13" s="49"/>
      <c r="S13" s="49"/>
      <c r="T13" s="49"/>
      <c r="U13" s="49"/>
      <c r="V13" s="49"/>
      <c r="W13" s="49"/>
      <c r="X13" s="49"/>
      <c r="Y13" s="50"/>
      <c r="Z13" s="42" t="s">
        <v>66</v>
      </c>
      <c r="AA13" s="43"/>
      <c r="AB13" s="43"/>
      <c r="AC13" s="43"/>
      <c r="AD13" s="43"/>
      <c r="AE13" s="43"/>
      <c r="AF13" s="43"/>
      <c r="AG13" s="43"/>
      <c r="AH13" s="43"/>
      <c r="AI13" s="43"/>
      <c r="AJ13" s="43"/>
      <c r="AK13" s="43"/>
      <c r="AL13" s="44"/>
      <c r="AM13" s="42" t="s">
        <v>67</v>
      </c>
      <c r="AN13" s="43"/>
      <c r="AO13" s="44"/>
      <c r="AP13" s="51" t="s">
        <v>46</v>
      </c>
      <c r="AQ13" s="52"/>
      <c r="AR13" s="53"/>
      <c r="AS13" s="51" t="s">
        <v>54</v>
      </c>
      <c r="AT13" s="52"/>
      <c r="AU13" s="53"/>
      <c r="AV13" s="51" t="s">
        <v>55</v>
      </c>
      <c r="AW13" s="52"/>
      <c r="AX13" s="53"/>
      <c r="AY13" s="35" t="s">
        <v>49</v>
      </c>
      <c r="AZ13" s="36"/>
      <c r="BA13" s="37"/>
      <c r="BB13" s="38">
        <v>45210</v>
      </c>
      <c r="BC13" s="39"/>
      <c r="BD13" s="40"/>
      <c r="BE13" s="38">
        <v>45210</v>
      </c>
      <c r="BF13" s="39"/>
      <c r="BG13" s="40"/>
      <c r="BH13" s="41" t="s">
        <v>9</v>
      </c>
      <c r="BI13" s="36"/>
      <c r="BJ13" s="37"/>
      <c r="BK13" s="38">
        <v>45210</v>
      </c>
      <c r="BL13" s="39"/>
      <c r="BM13" s="40"/>
      <c r="BN13" s="42"/>
      <c r="BO13" s="43"/>
      <c r="BP13" s="43"/>
      <c r="BQ13" s="43"/>
      <c r="BR13" s="43"/>
      <c r="BS13" s="44"/>
    </row>
    <row r="14" spans="1:71" ht="73.5" customHeight="1">
      <c r="A14" s="7">
        <f>IF(M14="","",COUNTA($M$9:M14))</f>
        <v>6</v>
      </c>
      <c r="B14" s="35" t="s">
        <v>9</v>
      </c>
      <c r="C14" s="37"/>
      <c r="D14" s="45" t="s">
        <v>56</v>
      </c>
      <c r="E14" s="46"/>
      <c r="F14" s="46"/>
      <c r="G14" s="46"/>
      <c r="H14" s="47"/>
      <c r="I14" s="42" t="s">
        <v>68</v>
      </c>
      <c r="J14" s="43"/>
      <c r="K14" s="43"/>
      <c r="L14" s="44"/>
      <c r="M14" s="48" t="s">
        <v>69</v>
      </c>
      <c r="N14" s="49"/>
      <c r="O14" s="49"/>
      <c r="P14" s="49"/>
      <c r="Q14" s="49"/>
      <c r="R14" s="49"/>
      <c r="S14" s="49"/>
      <c r="T14" s="49"/>
      <c r="U14" s="49"/>
      <c r="V14" s="49"/>
      <c r="W14" s="49"/>
      <c r="X14" s="49"/>
      <c r="Y14" s="50"/>
      <c r="Z14" s="42" t="s">
        <v>70</v>
      </c>
      <c r="AA14" s="43"/>
      <c r="AB14" s="43"/>
      <c r="AC14" s="43"/>
      <c r="AD14" s="43"/>
      <c r="AE14" s="43"/>
      <c r="AF14" s="43"/>
      <c r="AG14" s="43"/>
      <c r="AH14" s="43"/>
      <c r="AI14" s="43"/>
      <c r="AJ14" s="43"/>
      <c r="AK14" s="43"/>
      <c r="AL14" s="44"/>
      <c r="AM14" s="42" t="s">
        <v>71</v>
      </c>
      <c r="AN14" s="43"/>
      <c r="AO14" s="44"/>
      <c r="AP14" s="51" t="s">
        <v>46</v>
      </c>
      <c r="AQ14" s="52"/>
      <c r="AR14" s="53"/>
      <c r="AS14" s="51" t="s">
        <v>54</v>
      </c>
      <c r="AT14" s="52"/>
      <c r="AU14" s="53"/>
      <c r="AV14" s="51" t="s">
        <v>55</v>
      </c>
      <c r="AW14" s="52"/>
      <c r="AX14" s="53"/>
      <c r="AY14" s="35" t="s">
        <v>49</v>
      </c>
      <c r="AZ14" s="36"/>
      <c r="BA14" s="37"/>
      <c r="BB14" s="38">
        <v>45210</v>
      </c>
      <c r="BC14" s="39"/>
      <c r="BD14" s="40"/>
      <c r="BE14" s="38">
        <v>45210</v>
      </c>
      <c r="BF14" s="39"/>
      <c r="BG14" s="40"/>
      <c r="BH14" s="41" t="s">
        <v>9</v>
      </c>
      <c r="BI14" s="36"/>
      <c r="BJ14" s="37"/>
      <c r="BK14" s="38">
        <v>45211</v>
      </c>
      <c r="BL14" s="39"/>
      <c r="BM14" s="40"/>
      <c r="BN14" s="42"/>
      <c r="BO14" s="43"/>
      <c r="BP14" s="43"/>
      <c r="BQ14" s="43"/>
      <c r="BR14" s="43"/>
      <c r="BS14" s="44"/>
    </row>
    <row r="15" spans="1:71" ht="60" customHeight="1">
      <c r="A15" s="7">
        <f>IF(M15="","",COUNTA($M$9:M15))</f>
        <v>7</v>
      </c>
      <c r="B15" s="35" t="s">
        <v>9</v>
      </c>
      <c r="C15" s="37"/>
      <c r="D15" s="45" t="s">
        <v>56</v>
      </c>
      <c r="E15" s="46"/>
      <c r="F15" s="46"/>
      <c r="G15" s="46"/>
      <c r="H15" s="47"/>
      <c r="I15" s="42" t="s">
        <v>68</v>
      </c>
      <c r="J15" s="43"/>
      <c r="K15" s="43"/>
      <c r="L15" s="44"/>
      <c r="M15" s="48" t="s">
        <v>72</v>
      </c>
      <c r="N15" s="49"/>
      <c r="O15" s="49"/>
      <c r="P15" s="49"/>
      <c r="Q15" s="49"/>
      <c r="R15" s="49"/>
      <c r="S15" s="49"/>
      <c r="T15" s="49"/>
      <c r="U15" s="49"/>
      <c r="V15" s="49"/>
      <c r="W15" s="49"/>
      <c r="X15" s="49"/>
      <c r="Y15" s="50"/>
      <c r="Z15" s="48" t="s">
        <v>73</v>
      </c>
      <c r="AA15" s="49"/>
      <c r="AB15" s="49"/>
      <c r="AC15" s="49"/>
      <c r="AD15" s="49"/>
      <c r="AE15" s="49"/>
      <c r="AF15" s="49"/>
      <c r="AG15" s="49"/>
      <c r="AH15" s="49"/>
      <c r="AI15" s="49"/>
      <c r="AJ15" s="49"/>
      <c r="AK15" s="49"/>
      <c r="AL15" s="50"/>
      <c r="AM15" s="42" t="s">
        <v>74</v>
      </c>
      <c r="AN15" s="43"/>
      <c r="AO15" s="44"/>
      <c r="AP15" s="51" t="s">
        <v>46</v>
      </c>
      <c r="AQ15" s="52"/>
      <c r="AR15" s="53"/>
      <c r="AS15" s="51" t="s">
        <v>54</v>
      </c>
      <c r="AT15" s="52"/>
      <c r="AU15" s="53"/>
      <c r="AV15" s="51" t="s">
        <v>55</v>
      </c>
      <c r="AW15" s="52"/>
      <c r="AX15" s="53"/>
      <c r="AY15" s="35" t="s">
        <v>49</v>
      </c>
      <c r="AZ15" s="36"/>
      <c r="BA15" s="37"/>
      <c r="BB15" s="38">
        <v>45210</v>
      </c>
      <c r="BC15" s="39"/>
      <c r="BD15" s="40"/>
      <c r="BE15" s="38">
        <v>45210</v>
      </c>
      <c r="BF15" s="39"/>
      <c r="BG15" s="40"/>
      <c r="BH15" s="41" t="s">
        <v>9</v>
      </c>
      <c r="BI15" s="36"/>
      <c r="BJ15" s="37"/>
      <c r="BK15" s="38">
        <v>45210</v>
      </c>
      <c r="BL15" s="39"/>
      <c r="BM15" s="40"/>
      <c r="BN15" s="42"/>
      <c r="BO15" s="43"/>
      <c r="BP15" s="43"/>
      <c r="BQ15" s="43"/>
      <c r="BR15" s="43"/>
      <c r="BS15" s="44"/>
    </row>
    <row r="16" spans="1:71" ht="60" customHeight="1">
      <c r="A16" s="7">
        <f>IF(M16="","",COUNTA($M$9:M16))</f>
        <v>8</v>
      </c>
      <c r="B16" s="35" t="s">
        <v>9</v>
      </c>
      <c r="C16" s="37"/>
      <c r="D16" s="45" t="s">
        <v>56</v>
      </c>
      <c r="E16" s="46"/>
      <c r="F16" s="46"/>
      <c r="G16" s="46"/>
      <c r="H16" s="47"/>
      <c r="I16" s="42" t="s">
        <v>68</v>
      </c>
      <c r="J16" s="43"/>
      <c r="K16" s="43"/>
      <c r="L16" s="44"/>
      <c r="M16" s="48" t="s">
        <v>75</v>
      </c>
      <c r="N16" s="49"/>
      <c r="O16" s="49"/>
      <c r="P16" s="49"/>
      <c r="Q16" s="49"/>
      <c r="R16" s="49"/>
      <c r="S16" s="49"/>
      <c r="T16" s="49"/>
      <c r="U16" s="49"/>
      <c r="V16" s="49"/>
      <c r="W16" s="49"/>
      <c r="X16" s="49"/>
      <c r="Y16" s="50"/>
      <c r="Z16" s="48" t="s">
        <v>76</v>
      </c>
      <c r="AA16" s="49"/>
      <c r="AB16" s="49"/>
      <c r="AC16" s="49"/>
      <c r="AD16" s="49"/>
      <c r="AE16" s="49"/>
      <c r="AF16" s="49"/>
      <c r="AG16" s="49"/>
      <c r="AH16" s="49"/>
      <c r="AI16" s="49"/>
      <c r="AJ16" s="49"/>
      <c r="AK16" s="49"/>
      <c r="AL16" s="50"/>
      <c r="AM16" s="42" t="s">
        <v>77</v>
      </c>
      <c r="AN16" s="43"/>
      <c r="AO16" s="44"/>
      <c r="AP16" s="51" t="s">
        <v>46</v>
      </c>
      <c r="AQ16" s="52"/>
      <c r="AR16" s="53"/>
      <c r="AS16" s="51" t="s">
        <v>54</v>
      </c>
      <c r="AT16" s="52"/>
      <c r="AU16" s="53"/>
      <c r="AV16" s="51" t="s">
        <v>55</v>
      </c>
      <c r="AW16" s="52"/>
      <c r="AX16" s="53"/>
      <c r="AY16" s="35" t="s">
        <v>49</v>
      </c>
      <c r="AZ16" s="36"/>
      <c r="BA16" s="37"/>
      <c r="BB16" s="38">
        <v>45210</v>
      </c>
      <c r="BC16" s="39"/>
      <c r="BD16" s="40"/>
      <c r="BE16" s="38">
        <v>45210</v>
      </c>
      <c r="BF16" s="39"/>
      <c r="BG16" s="40"/>
      <c r="BH16" s="41" t="s">
        <v>9</v>
      </c>
      <c r="BI16" s="36"/>
      <c r="BJ16" s="37"/>
      <c r="BK16" s="38">
        <v>45210</v>
      </c>
      <c r="BL16" s="39"/>
      <c r="BM16" s="40"/>
      <c r="BN16" s="42"/>
      <c r="BO16" s="43"/>
      <c r="BP16" s="43"/>
      <c r="BQ16" s="43"/>
      <c r="BR16" s="43"/>
      <c r="BS16" s="44"/>
    </row>
    <row r="17" spans="1:71" ht="60" customHeight="1">
      <c r="A17" s="7">
        <f>IF(M17="","",COUNTA($M$9:M17))</f>
        <v>9</v>
      </c>
      <c r="B17" s="35" t="s">
        <v>9</v>
      </c>
      <c r="C17" s="37"/>
      <c r="D17" s="45" t="s">
        <v>56</v>
      </c>
      <c r="E17" s="46"/>
      <c r="F17" s="46"/>
      <c r="G17" s="46"/>
      <c r="H17" s="47"/>
      <c r="I17" s="42" t="s">
        <v>78</v>
      </c>
      <c r="J17" s="43"/>
      <c r="K17" s="43"/>
      <c r="L17" s="44"/>
      <c r="M17" s="48" t="s">
        <v>79</v>
      </c>
      <c r="N17" s="49"/>
      <c r="O17" s="49"/>
      <c r="P17" s="49"/>
      <c r="Q17" s="49"/>
      <c r="R17" s="49"/>
      <c r="S17" s="49"/>
      <c r="T17" s="49"/>
      <c r="U17" s="49"/>
      <c r="V17" s="49"/>
      <c r="W17" s="49"/>
      <c r="X17" s="49"/>
      <c r="Y17" s="50"/>
      <c r="Z17" s="48" t="s">
        <v>80</v>
      </c>
      <c r="AA17" s="49"/>
      <c r="AB17" s="49"/>
      <c r="AC17" s="49"/>
      <c r="AD17" s="49"/>
      <c r="AE17" s="49"/>
      <c r="AF17" s="49"/>
      <c r="AG17" s="49"/>
      <c r="AH17" s="49"/>
      <c r="AI17" s="49"/>
      <c r="AJ17" s="49"/>
      <c r="AK17" s="49"/>
      <c r="AL17" s="50"/>
      <c r="AM17" s="42" t="s">
        <v>81</v>
      </c>
      <c r="AN17" s="43"/>
      <c r="AO17" s="44"/>
      <c r="AP17" s="51" t="s">
        <v>46</v>
      </c>
      <c r="AQ17" s="52"/>
      <c r="AR17" s="53"/>
      <c r="AS17" s="51" t="s">
        <v>82</v>
      </c>
      <c r="AT17" s="52"/>
      <c r="AU17" s="53"/>
      <c r="AV17" s="51" t="s">
        <v>83</v>
      </c>
      <c r="AW17" s="52"/>
      <c r="AX17" s="53"/>
      <c r="AY17" s="35" t="s">
        <v>49</v>
      </c>
      <c r="AZ17" s="36"/>
      <c r="BA17" s="37"/>
      <c r="BB17" s="38">
        <v>45210</v>
      </c>
      <c r="BC17" s="39"/>
      <c r="BD17" s="40"/>
      <c r="BE17" s="38">
        <v>45210</v>
      </c>
      <c r="BF17" s="39"/>
      <c r="BG17" s="40"/>
      <c r="BH17" s="41" t="s">
        <v>9</v>
      </c>
      <c r="BI17" s="36"/>
      <c r="BJ17" s="37"/>
      <c r="BK17" s="38">
        <v>45210</v>
      </c>
      <c r="BL17" s="39"/>
      <c r="BM17" s="40"/>
      <c r="BN17" s="42"/>
      <c r="BO17" s="43"/>
      <c r="BP17" s="43"/>
      <c r="BQ17" s="43"/>
      <c r="BR17" s="43"/>
      <c r="BS17" s="44"/>
    </row>
    <row r="18" spans="1:71" ht="60" customHeight="1">
      <c r="A18" s="7">
        <f>IF(M18="","",COUNTA($M$9:M18))</f>
        <v>10</v>
      </c>
      <c r="B18" s="35" t="s">
        <v>9</v>
      </c>
      <c r="C18" s="37"/>
      <c r="D18" s="45" t="s">
        <v>56</v>
      </c>
      <c r="E18" s="46"/>
      <c r="F18" s="46"/>
      <c r="G18" s="46"/>
      <c r="H18" s="47"/>
      <c r="I18" s="42" t="s">
        <v>68</v>
      </c>
      <c r="J18" s="43"/>
      <c r="K18" s="43"/>
      <c r="L18" s="44"/>
      <c r="M18" s="48" t="s">
        <v>84</v>
      </c>
      <c r="N18" s="49"/>
      <c r="O18" s="49"/>
      <c r="P18" s="49"/>
      <c r="Q18" s="49"/>
      <c r="R18" s="49"/>
      <c r="S18" s="49"/>
      <c r="T18" s="49"/>
      <c r="U18" s="49"/>
      <c r="V18" s="49"/>
      <c r="W18" s="49"/>
      <c r="X18" s="49"/>
      <c r="Y18" s="50"/>
      <c r="Z18" s="48" t="s">
        <v>85</v>
      </c>
      <c r="AA18" s="49"/>
      <c r="AB18" s="49"/>
      <c r="AC18" s="49"/>
      <c r="AD18" s="49"/>
      <c r="AE18" s="49"/>
      <c r="AF18" s="49"/>
      <c r="AG18" s="49"/>
      <c r="AH18" s="49"/>
      <c r="AI18" s="49"/>
      <c r="AJ18" s="49"/>
      <c r="AK18" s="49"/>
      <c r="AL18" s="50"/>
      <c r="AM18" s="42" t="s">
        <v>86</v>
      </c>
      <c r="AN18" s="43"/>
      <c r="AO18" s="44"/>
      <c r="AP18" s="51" t="s">
        <v>46</v>
      </c>
      <c r="AQ18" s="52"/>
      <c r="AR18" s="53"/>
      <c r="AS18" s="51" t="s">
        <v>54</v>
      </c>
      <c r="AT18" s="52"/>
      <c r="AU18" s="53"/>
      <c r="AV18" s="51" t="s">
        <v>55</v>
      </c>
      <c r="AW18" s="52"/>
      <c r="AX18" s="53"/>
      <c r="AY18" s="35" t="s">
        <v>49</v>
      </c>
      <c r="AZ18" s="36"/>
      <c r="BA18" s="37"/>
      <c r="BB18" s="38">
        <v>45210</v>
      </c>
      <c r="BC18" s="39"/>
      <c r="BD18" s="40"/>
      <c r="BE18" s="38">
        <v>45210</v>
      </c>
      <c r="BF18" s="39"/>
      <c r="BG18" s="40"/>
      <c r="BH18" s="41" t="s">
        <v>9</v>
      </c>
      <c r="BI18" s="36"/>
      <c r="BJ18" s="37"/>
      <c r="BK18" s="38">
        <v>45210</v>
      </c>
      <c r="BL18" s="39"/>
      <c r="BM18" s="40"/>
      <c r="BN18" s="42"/>
      <c r="BO18" s="43"/>
      <c r="BP18" s="43"/>
      <c r="BQ18" s="43"/>
      <c r="BR18" s="43"/>
      <c r="BS18" s="44"/>
    </row>
    <row r="19" spans="1:71" ht="60" customHeight="1">
      <c r="A19" s="7">
        <f>IF(M19="","",COUNTA($M$9:M19))</f>
        <v>11</v>
      </c>
      <c r="B19" s="35" t="s">
        <v>9</v>
      </c>
      <c r="C19" s="37"/>
      <c r="D19" s="45" t="s">
        <v>56</v>
      </c>
      <c r="E19" s="46"/>
      <c r="F19" s="46"/>
      <c r="G19" s="46"/>
      <c r="H19" s="47"/>
      <c r="I19" s="42" t="s">
        <v>78</v>
      </c>
      <c r="J19" s="43"/>
      <c r="K19" s="43"/>
      <c r="L19" s="44"/>
      <c r="M19" s="48" t="s">
        <v>87</v>
      </c>
      <c r="N19" s="49"/>
      <c r="O19" s="49"/>
      <c r="P19" s="49"/>
      <c r="Q19" s="49"/>
      <c r="R19" s="49"/>
      <c r="S19" s="49"/>
      <c r="T19" s="49"/>
      <c r="U19" s="49"/>
      <c r="V19" s="49"/>
      <c r="W19" s="49"/>
      <c r="X19" s="49"/>
      <c r="Y19" s="50"/>
      <c r="Z19" s="48" t="s">
        <v>88</v>
      </c>
      <c r="AA19" s="49"/>
      <c r="AB19" s="49"/>
      <c r="AC19" s="49"/>
      <c r="AD19" s="49"/>
      <c r="AE19" s="49"/>
      <c r="AF19" s="49"/>
      <c r="AG19" s="49"/>
      <c r="AH19" s="49"/>
      <c r="AI19" s="49"/>
      <c r="AJ19" s="49"/>
      <c r="AK19" s="49"/>
      <c r="AL19" s="50"/>
      <c r="AM19" s="42" t="s">
        <v>89</v>
      </c>
      <c r="AN19" s="43"/>
      <c r="AO19" s="44"/>
      <c r="AP19" s="51" t="s">
        <v>46</v>
      </c>
      <c r="AQ19" s="52"/>
      <c r="AR19" s="53"/>
      <c r="AS19" s="51" t="s">
        <v>82</v>
      </c>
      <c r="AT19" s="52"/>
      <c r="AU19" s="53"/>
      <c r="AV19" s="51" t="s">
        <v>83</v>
      </c>
      <c r="AW19" s="52"/>
      <c r="AX19" s="53"/>
      <c r="AY19" s="35" t="s">
        <v>49</v>
      </c>
      <c r="AZ19" s="36"/>
      <c r="BA19" s="37"/>
      <c r="BB19" s="38">
        <v>45210</v>
      </c>
      <c r="BC19" s="39"/>
      <c r="BD19" s="40"/>
      <c r="BE19" s="38">
        <v>45210</v>
      </c>
      <c r="BF19" s="39"/>
      <c r="BG19" s="40"/>
      <c r="BH19" s="41" t="s">
        <v>9</v>
      </c>
      <c r="BI19" s="36"/>
      <c r="BJ19" s="37"/>
      <c r="BK19" s="38">
        <v>45210</v>
      </c>
      <c r="BL19" s="39"/>
      <c r="BM19" s="40"/>
      <c r="BN19" s="42"/>
      <c r="BO19" s="43"/>
      <c r="BP19" s="43"/>
      <c r="BQ19" s="43"/>
      <c r="BR19" s="43"/>
      <c r="BS19" s="44"/>
    </row>
    <row r="20" spans="1:71" ht="60" customHeight="1">
      <c r="A20" s="7">
        <f>IF(M20="","",COUNTA($M$9:M20))</f>
        <v>12</v>
      </c>
      <c r="B20" s="35" t="s">
        <v>9</v>
      </c>
      <c r="C20" s="37"/>
      <c r="D20" s="45" t="s">
        <v>56</v>
      </c>
      <c r="E20" s="46"/>
      <c r="F20" s="46"/>
      <c r="G20" s="46"/>
      <c r="H20" s="47"/>
      <c r="I20" s="42" t="s">
        <v>68</v>
      </c>
      <c r="J20" s="43"/>
      <c r="K20" s="43"/>
      <c r="L20" s="44"/>
      <c r="M20" s="48" t="s">
        <v>90</v>
      </c>
      <c r="N20" s="49"/>
      <c r="O20" s="49"/>
      <c r="P20" s="49"/>
      <c r="Q20" s="49"/>
      <c r="R20" s="49"/>
      <c r="S20" s="49"/>
      <c r="T20" s="49"/>
      <c r="U20" s="49"/>
      <c r="V20" s="49"/>
      <c r="W20" s="49"/>
      <c r="X20" s="49"/>
      <c r="Y20" s="50"/>
      <c r="Z20" s="48" t="s">
        <v>91</v>
      </c>
      <c r="AA20" s="49"/>
      <c r="AB20" s="49"/>
      <c r="AC20" s="49"/>
      <c r="AD20" s="49"/>
      <c r="AE20" s="49"/>
      <c r="AF20" s="49"/>
      <c r="AG20" s="49"/>
      <c r="AH20" s="49"/>
      <c r="AI20" s="49"/>
      <c r="AJ20" s="49"/>
      <c r="AK20" s="49"/>
      <c r="AL20" s="50"/>
      <c r="AM20" s="42" t="s">
        <v>92</v>
      </c>
      <c r="AN20" s="43"/>
      <c r="AO20" s="44"/>
      <c r="AP20" s="51" t="s">
        <v>46</v>
      </c>
      <c r="AQ20" s="52"/>
      <c r="AR20" s="53"/>
      <c r="AS20" s="51" t="s">
        <v>54</v>
      </c>
      <c r="AT20" s="52"/>
      <c r="AU20" s="53"/>
      <c r="AV20" s="51" t="s">
        <v>55</v>
      </c>
      <c r="AW20" s="52"/>
      <c r="AX20" s="53"/>
      <c r="AY20" s="35" t="s">
        <v>49</v>
      </c>
      <c r="AZ20" s="36"/>
      <c r="BA20" s="37"/>
      <c r="BB20" s="38">
        <v>45210</v>
      </c>
      <c r="BC20" s="39"/>
      <c r="BD20" s="40"/>
      <c r="BE20" s="38">
        <v>45210</v>
      </c>
      <c r="BF20" s="39"/>
      <c r="BG20" s="40"/>
      <c r="BH20" s="41" t="s">
        <v>9</v>
      </c>
      <c r="BI20" s="36"/>
      <c r="BJ20" s="37"/>
      <c r="BK20" s="38">
        <v>45210</v>
      </c>
      <c r="BL20" s="39"/>
      <c r="BM20" s="40"/>
      <c r="BN20" s="42"/>
      <c r="BO20" s="43"/>
      <c r="BP20" s="43"/>
      <c r="BQ20" s="43"/>
      <c r="BR20" s="43"/>
      <c r="BS20" s="44"/>
    </row>
    <row r="21" spans="1:71" ht="56.25" customHeight="1">
      <c r="A21" s="7">
        <f>IF(M21="","",COUNTA($M$9:M21))</f>
        <v>13</v>
      </c>
      <c r="B21" s="35" t="s">
        <v>9</v>
      </c>
      <c r="C21" s="37"/>
      <c r="D21" s="45" t="s">
        <v>56</v>
      </c>
      <c r="E21" s="46"/>
      <c r="F21" s="46"/>
      <c r="G21" s="46"/>
      <c r="H21" s="47"/>
      <c r="I21" s="42" t="s">
        <v>60</v>
      </c>
      <c r="J21" s="43"/>
      <c r="K21" s="43"/>
      <c r="L21" s="44"/>
      <c r="M21" s="48" t="s">
        <v>93</v>
      </c>
      <c r="N21" s="49"/>
      <c r="O21" s="49"/>
      <c r="P21" s="49"/>
      <c r="Q21" s="49"/>
      <c r="R21" s="49"/>
      <c r="S21" s="49"/>
      <c r="T21" s="49"/>
      <c r="U21" s="49"/>
      <c r="V21" s="49"/>
      <c r="W21" s="49"/>
      <c r="X21" s="49"/>
      <c r="Y21" s="50"/>
      <c r="Z21" s="48" t="s">
        <v>94</v>
      </c>
      <c r="AA21" s="49"/>
      <c r="AB21" s="49"/>
      <c r="AC21" s="49"/>
      <c r="AD21" s="49"/>
      <c r="AE21" s="49"/>
      <c r="AF21" s="49"/>
      <c r="AG21" s="49"/>
      <c r="AH21" s="49"/>
      <c r="AI21" s="49"/>
      <c r="AJ21" s="49"/>
      <c r="AK21" s="49"/>
      <c r="AL21" s="50"/>
      <c r="AM21" s="42" t="s">
        <v>95</v>
      </c>
      <c r="AN21" s="43"/>
      <c r="AO21" s="44"/>
      <c r="AP21" s="51" t="s">
        <v>46</v>
      </c>
      <c r="AQ21" s="52"/>
      <c r="AR21" s="53"/>
      <c r="AS21" s="51" t="s">
        <v>64</v>
      </c>
      <c r="AT21" s="52"/>
      <c r="AU21" s="53"/>
      <c r="AV21" s="51" t="s">
        <v>48</v>
      </c>
      <c r="AW21" s="52"/>
      <c r="AX21" s="53"/>
      <c r="AY21" s="35" t="s">
        <v>49</v>
      </c>
      <c r="AZ21" s="36"/>
      <c r="BA21" s="37"/>
      <c r="BB21" s="38">
        <v>45210</v>
      </c>
      <c r="BC21" s="39"/>
      <c r="BD21" s="40"/>
      <c r="BE21" s="38">
        <v>45210</v>
      </c>
      <c r="BF21" s="39"/>
      <c r="BG21" s="40"/>
      <c r="BH21" s="41" t="s">
        <v>9</v>
      </c>
      <c r="BI21" s="36"/>
      <c r="BJ21" s="37"/>
      <c r="BK21" s="38">
        <v>45210</v>
      </c>
      <c r="BL21" s="39"/>
      <c r="BM21" s="40"/>
      <c r="BN21" s="42"/>
      <c r="BO21" s="43"/>
      <c r="BP21" s="43"/>
      <c r="BQ21" s="43"/>
      <c r="BR21" s="43"/>
      <c r="BS21" s="44"/>
    </row>
    <row r="22" spans="1:71" ht="100.5" customHeight="1">
      <c r="A22" s="7">
        <f>IF(M22="","",COUNTA($M$9:M22))</f>
        <v>14</v>
      </c>
      <c r="B22" s="35" t="s">
        <v>9</v>
      </c>
      <c r="C22" s="37"/>
      <c r="D22" s="45" t="s">
        <v>56</v>
      </c>
      <c r="E22" s="46"/>
      <c r="F22" s="46"/>
      <c r="G22" s="46"/>
      <c r="H22" s="47"/>
      <c r="I22" s="42" t="s">
        <v>68</v>
      </c>
      <c r="J22" s="43"/>
      <c r="K22" s="43"/>
      <c r="L22" s="44"/>
      <c r="M22" s="48" t="s">
        <v>96</v>
      </c>
      <c r="N22" s="49"/>
      <c r="O22" s="49"/>
      <c r="P22" s="49"/>
      <c r="Q22" s="49"/>
      <c r="R22" s="49"/>
      <c r="S22" s="49"/>
      <c r="T22" s="49"/>
      <c r="U22" s="49"/>
      <c r="V22" s="49"/>
      <c r="W22" s="49"/>
      <c r="X22" s="49"/>
      <c r="Y22" s="50"/>
      <c r="Z22" s="48" t="s">
        <v>97</v>
      </c>
      <c r="AA22" s="49"/>
      <c r="AB22" s="49"/>
      <c r="AC22" s="49"/>
      <c r="AD22" s="49"/>
      <c r="AE22" s="49"/>
      <c r="AF22" s="49"/>
      <c r="AG22" s="49"/>
      <c r="AH22" s="49"/>
      <c r="AI22" s="49"/>
      <c r="AJ22" s="49"/>
      <c r="AK22" s="49"/>
      <c r="AL22" s="50"/>
      <c r="AM22" s="42" t="s">
        <v>77</v>
      </c>
      <c r="AN22" s="43"/>
      <c r="AO22" s="44"/>
      <c r="AP22" s="51" t="s">
        <v>46</v>
      </c>
      <c r="AQ22" s="52"/>
      <c r="AR22" s="53"/>
      <c r="AS22" s="51" t="s">
        <v>54</v>
      </c>
      <c r="AT22" s="52"/>
      <c r="AU22" s="53"/>
      <c r="AV22" s="51" t="s">
        <v>55</v>
      </c>
      <c r="AW22" s="52"/>
      <c r="AX22" s="53"/>
      <c r="AY22" s="35" t="s">
        <v>49</v>
      </c>
      <c r="AZ22" s="36"/>
      <c r="BA22" s="37"/>
      <c r="BB22" s="38">
        <v>45210</v>
      </c>
      <c r="BC22" s="39"/>
      <c r="BD22" s="40"/>
      <c r="BE22" s="38">
        <v>45210</v>
      </c>
      <c r="BF22" s="39"/>
      <c r="BG22" s="40"/>
      <c r="BH22" s="41" t="s">
        <v>9</v>
      </c>
      <c r="BI22" s="36"/>
      <c r="BJ22" s="37"/>
      <c r="BK22" s="38">
        <v>45210</v>
      </c>
      <c r="BL22" s="39"/>
      <c r="BM22" s="40"/>
      <c r="BN22" s="42"/>
      <c r="BO22" s="43"/>
      <c r="BP22" s="43"/>
      <c r="BQ22" s="43"/>
      <c r="BR22" s="43"/>
      <c r="BS22" s="44"/>
    </row>
    <row r="23" spans="1:71" ht="60" customHeight="1">
      <c r="A23" s="7">
        <f>IF(M23="","",COUNTA($M$9:M23))</f>
        <v>15</v>
      </c>
      <c r="B23" s="35" t="s">
        <v>9</v>
      </c>
      <c r="C23" s="37"/>
      <c r="D23" s="45" t="s">
        <v>56</v>
      </c>
      <c r="E23" s="46"/>
      <c r="F23" s="46"/>
      <c r="G23" s="46"/>
      <c r="H23" s="47"/>
      <c r="I23" s="42" t="s">
        <v>78</v>
      </c>
      <c r="J23" s="43"/>
      <c r="K23" s="43"/>
      <c r="L23" s="44"/>
      <c r="M23" s="48" t="s">
        <v>98</v>
      </c>
      <c r="N23" s="49"/>
      <c r="O23" s="49"/>
      <c r="P23" s="49"/>
      <c r="Q23" s="49"/>
      <c r="R23" s="49"/>
      <c r="S23" s="49"/>
      <c r="T23" s="49"/>
      <c r="U23" s="49"/>
      <c r="V23" s="49"/>
      <c r="W23" s="49"/>
      <c r="X23" s="49"/>
      <c r="Y23" s="50"/>
      <c r="Z23" s="48" t="s">
        <v>99</v>
      </c>
      <c r="AA23" s="49"/>
      <c r="AB23" s="49"/>
      <c r="AC23" s="49"/>
      <c r="AD23" s="49"/>
      <c r="AE23" s="49"/>
      <c r="AF23" s="49"/>
      <c r="AG23" s="49"/>
      <c r="AH23" s="49"/>
      <c r="AI23" s="49"/>
      <c r="AJ23" s="49"/>
      <c r="AK23" s="49"/>
      <c r="AL23" s="50"/>
      <c r="AM23" s="42" t="s">
        <v>100</v>
      </c>
      <c r="AN23" s="43"/>
      <c r="AO23" s="44"/>
      <c r="AP23" s="51" t="s">
        <v>46</v>
      </c>
      <c r="AQ23" s="52"/>
      <c r="AR23" s="53"/>
      <c r="AS23" s="51" t="s">
        <v>82</v>
      </c>
      <c r="AT23" s="52"/>
      <c r="AU23" s="53"/>
      <c r="AV23" s="51" t="s">
        <v>83</v>
      </c>
      <c r="AW23" s="52"/>
      <c r="AX23" s="53"/>
      <c r="AY23" s="35" t="s">
        <v>49</v>
      </c>
      <c r="AZ23" s="36"/>
      <c r="BA23" s="37"/>
      <c r="BB23" s="38">
        <v>45210</v>
      </c>
      <c r="BC23" s="39"/>
      <c r="BD23" s="40"/>
      <c r="BE23" s="38">
        <v>45210</v>
      </c>
      <c r="BF23" s="39"/>
      <c r="BG23" s="40"/>
      <c r="BH23" s="41" t="s">
        <v>9</v>
      </c>
      <c r="BI23" s="36"/>
      <c r="BJ23" s="37"/>
      <c r="BK23" s="38">
        <v>45210</v>
      </c>
      <c r="BL23" s="39"/>
      <c r="BM23" s="40"/>
      <c r="BN23" s="42"/>
      <c r="BO23" s="43"/>
      <c r="BP23" s="43"/>
      <c r="BQ23" s="43"/>
      <c r="BR23" s="43"/>
      <c r="BS23" s="44"/>
    </row>
    <row r="24" spans="1:71" ht="73.5" customHeight="1">
      <c r="A24" s="7">
        <f>IF(M24="","",COUNTA($M$9:M24))</f>
        <v>16</v>
      </c>
      <c r="B24" s="35" t="s">
        <v>9</v>
      </c>
      <c r="C24" s="37"/>
      <c r="D24" s="45" t="s">
        <v>56</v>
      </c>
      <c r="E24" s="46"/>
      <c r="F24" s="46"/>
      <c r="G24" s="46"/>
      <c r="H24" s="47"/>
      <c r="I24" s="42" t="s">
        <v>60</v>
      </c>
      <c r="J24" s="43"/>
      <c r="K24" s="43"/>
      <c r="L24" s="44"/>
      <c r="M24" s="48" t="s">
        <v>101</v>
      </c>
      <c r="N24" s="49"/>
      <c r="O24" s="49"/>
      <c r="P24" s="49"/>
      <c r="Q24" s="49"/>
      <c r="R24" s="49"/>
      <c r="S24" s="49"/>
      <c r="T24" s="49"/>
      <c r="U24" s="49"/>
      <c r="V24" s="49"/>
      <c r="W24" s="49"/>
      <c r="X24" s="49"/>
      <c r="Y24" s="50"/>
      <c r="Z24" s="54" t="s">
        <v>102</v>
      </c>
      <c r="AA24" s="55"/>
      <c r="AB24" s="55"/>
      <c r="AC24" s="55"/>
      <c r="AD24" s="55"/>
      <c r="AE24" s="55"/>
      <c r="AF24" s="55"/>
      <c r="AG24" s="55"/>
      <c r="AH24" s="55"/>
      <c r="AI24" s="55"/>
      <c r="AJ24" s="55"/>
      <c r="AK24" s="55"/>
      <c r="AL24" s="56"/>
      <c r="AM24" s="42" t="s">
        <v>103</v>
      </c>
      <c r="AN24" s="43"/>
      <c r="AO24" s="44"/>
      <c r="AP24" s="51" t="s">
        <v>46</v>
      </c>
      <c r="AQ24" s="52"/>
      <c r="AR24" s="53"/>
      <c r="AS24" s="51" t="s">
        <v>64</v>
      </c>
      <c r="AT24" s="52"/>
      <c r="AU24" s="53"/>
      <c r="AV24" s="51" t="s">
        <v>48</v>
      </c>
      <c r="AW24" s="52"/>
      <c r="AX24" s="53"/>
      <c r="AY24" s="35" t="s">
        <v>49</v>
      </c>
      <c r="AZ24" s="36"/>
      <c r="BA24" s="37"/>
      <c r="BB24" s="38">
        <v>45210</v>
      </c>
      <c r="BC24" s="39"/>
      <c r="BD24" s="40"/>
      <c r="BE24" s="38">
        <v>45210</v>
      </c>
      <c r="BF24" s="39"/>
      <c r="BG24" s="40"/>
      <c r="BH24" s="41" t="s">
        <v>9</v>
      </c>
      <c r="BI24" s="36"/>
      <c r="BJ24" s="37"/>
      <c r="BK24" s="38">
        <v>45210</v>
      </c>
      <c r="BL24" s="39"/>
      <c r="BM24" s="40"/>
      <c r="BN24" s="42"/>
      <c r="BO24" s="43"/>
      <c r="BP24" s="43"/>
      <c r="BQ24" s="43"/>
      <c r="BR24" s="43"/>
      <c r="BS24" s="44"/>
    </row>
    <row r="25" spans="1:71" ht="60" customHeight="1">
      <c r="A25" s="7">
        <f>IF(M25="","",COUNTA($M$9:M25))</f>
        <v>17</v>
      </c>
      <c r="B25" s="35" t="s">
        <v>9</v>
      </c>
      <c r="C25" s="37"/>
      <c r="D25" s="45" t="s">
        <v>56</v>
      </c>
      <c r="E25" s="46"/>
      <c r="F25" s="46"/>
      <c r="G25" s="46"/>
      <c r="H25" s="47"/>
      <c r="I25" s="42" t="s">
        <v>60</v>
      </c>
      <c r="J25" s="43"/>
      <c r="K25" s="43"/>
      <c r="L25" s="44"/>
      <c r="M25" s="48" t="s">
        <v>104</v>
      </c>
      <c r="N25" s="49"/>
      <c r="O25" s="49"/>
      <c r="P25" s="49"/>
      <c r="Q25" s="49"/>
      <c r="R25" s="49"/>
      <c r="S25" s="49"/>
      <c r="T25" s="49"/>
      <c r="U25" s="49"/>
      <c r="V25" s="49"/>
      <c r="W25" s="49"/>
      <c r="X25" s="49"/>
      <c r="Y25" s="50"/>
      <c r="Z25" s="48" t="s">
        <v>105</v>
      </c>
      <c r="AA25" s="49"/>
      <c r="AB25" s="49"/>
      <c r="AC25" s="49"/>
      <c r="AD25" s="49"/>
      <c r="AE25" s="49"/>
      <c r="AF25" s="49"/>
      <c r="AG25" s="49"/>
      <c r="AH25" s="49"/>
      <c r="AI25" s="49"/>
      <c r="AJ25" s="49"/>
      <c r="AK25" s="49"/>
      <c r="AL25" s="50"/>
      <c r="AM25" s="42" t="s">
        <v>106</v>
      </c>
      <c r="AN25" s="43"/>
      <c r="AO25" s="44"/>
      <c r="AP25" s="51" t="s">
        <v>46</v>
      </c>
      <c r="AQ25" s="52"/>
      <c r="AR25" s="53"/>
      <c r="AS25" s="51" t="s">
        <v>64</v>
      </c>
      <c r="AT25" s="52"/>
      <c r="AU25" s="53"/>
      <c r="AV25" s="51" t="s">
        <v>48</v>
      </c>
      <c r="AW25" s="52"/>
      <c r="AX25" s="53"/>
      <c r="AY25" s="35" t="s">
        <v>49</v>
      </c>
      <c r="AZ25" s="36"/>
      <c r="BA25" s="37"/>
      <c r="BB25" s="38">
        <v>45210</v>
      </c>
      <c r="BC25" s="39"/>
      <c r="BD25" s="40"/>
      <c r="BE25" s="38">
        <v>45210</v>
      </c>
      <c r="BF25" s="39"/>
      <c r="BG25" s="40"/>
      <c r="BH25" s="41" t="s">
        <v>9</v>
      </c>
      <c r="BI25" s="36"/>
      <c r="BJ25" s="37"/>
      <c r="BK25" s="38">
        <v>45210</v>
      </c>
      <c r="BL25" s="39"/>
      <c r="BM25" s="40"/>
      <c r="BN25" s="42"/>
      <c r="BO25" s="43"/>
      <c r="BP25" s="43"/>
      <c r="BQ25" s="43"/>
      <c r="BR25" s="43"/>
      <c r="BS25" s="44"/>
    </row>
    <row r="26" spans="1:71" ht="60" customHeight="1">
      <c r="A26" s="7">
        <f>IF(M26="","",COUNTA($M$9:M26))</f>
        <v>18</v>
      </c>
      <c r="B26" s="35" t="s">
        <v>9</v>
      </c>
      <c r="C26" s="37"/>
      <c r="D26" s="45" t="s">
        <v>56</v>
      </c>
      <c r="E26" s="46"/>
      <c r="F26" s="46"/>
      <c r="G26" s="46"/>
      <c r="H26" s="47"/>
      <c r="I26" s="42" t="s">
        <v>107</v>
      </c>
      <c r="J26" s="43"/>
      <c r="K26" s="43"/>
      <c r="L26" s="44"/>
      <c r="M26" s="48" t="s">
        <v>108</v>
      </c>
      <c r="N26" s="49"/>
      <c r="O26" s="49"/>
      <c r="P26" s="49"/>
      <c r="Q26" s="49"/>
      <c r="R26" s="49"/>
      <c r="S26" s="49"/>
      <c r="T26" s="49"/>
      <c r="U26" s="49"/>
      <c r="V26" s="49"/>
      <c r="W26" s="49"/>
      <c r="X26" s="49"/>
      <c r="Y26" s="50"/>
      <c r="Z26" s="48" t="s">
        <v>109</v>
      </c>
      <c r="AA26" s="49"/>
      <c r="AB26" s="49"/>
      <c r="AC26" s="49"/>
      <c r="AD26" s="49"/>
      <c r="AE26" s="49"/>
      <c r="AF26" s="49"/>
      <c r="AG26" s="49"/>
      <c r="AH26" s="49"/>
      <c r="AI26" s="49"/>
      <c r="AJ26" s="49"/>
      <c r="AK26" s="49"/>
      <c r="AL26" s="50"/>
      <c r="AM26" s="42" t="s">
        <v>110</v>
      </c>
      <c r="AN26" s="43"/>
      <c r="AO26" s="44"/>
      <c r="AP26" s="51" t="s">
        <v>46</v>
      </c>
      <c r="AQ26" s="52"/>
      <c r="AR26" s="53"/>
      <c r="AS26" s="51" t="s">
        <v>111</v>
      </c>
      <c r="AT26" s="52"/>
      <c r="AU26" s="53"/>
      <c r="AV26" s="51" t="s">
        <v>112</v>
      </c>
      <c r="AW26" s="52"/>
      <c r="AX26" s="53"/>
      <c r="AY26" s="35" t="s">
        <v>49</v>
      </c>
      <c r="AZ26" s="36"/>
      <c r="BA26" s="37"/>
      <c r="BB26" s="38">
        <v>45210</v>
      </c>
      <c r="BC26" s="39"/>
      <c r="BD26" s="40"/>
      <c r="BE26" s="38">
        <v>45210</v>
      </c>
      <c r="BF26" s="39"/>
      <c r="BG26" s="40"/>
      <c r="BH26" s="41" t="s">
        <v>9</v>
      </c>
      <c r="BI26" s="36"/>
      <c r="BJ26" s="37"/>
      <c r="BK26" s="38">
        <v>45210</v>
      </c>
      <c r="BL26" s="39"/>
      <c r="BM26" s="40"/>
      <c r="BN26" s="42"/>
      <c r="BO26" s="43"/>
      <c r="BP26" s="43"/>
      <c r="BQ26" s="43"/>
      <c r="BR26" s="43"/>
      <c r="BS26" s="44"/>
    </row>
    <row r="27" spans="1:71" ht="60" customHeight="1">
      <c r="A27" s="7">
        <f>IF(M27="","",COUNTA($M$9:M27))</f>
        <v>19</v>
      </c>
      <c r="B27" s="35" t="s">
        <v>9</v>
      </c>
      <c r="C27" s="37"/>
      <c r="D27" s="45" t="s">
        <v>113</v>
      </c>
      <c r="E27" s="46"/>
      <c r="F27" s="46"/>
      <c r="G27" s="46"/>
      <c r="H27" s="47"/>
      <c r="I27" s="42" t="s">
        <v>107</v>
      </c>
      <c r="J27" s="43"/>
      <c r="K27" s="43"/>
      <c r="L27" s="44"/>
      <c r="M27" s="48" t="s">
        <v>114</v>
      </c>
      <c r="N27" s="49"/>
      <c r="O27" s="49"/>
      <c r="P27" s="49"/>
      <c r="Q27" s="49"/>
      <c r="R27" s="49"/>
      <c r="S27" s="49"/>
      <c r="T27" s="49"/>
      <c r="U27" s="49"/>
      <c r="V27" s="49"/>
      <c r="W27" s="49"/>
      <c r="X27" s="49"/>
      <c r="Y27" s="50"/>
      <c r="Z27" s="48" t="s">
        <v>115</v>
      </c>
      <c r="AA27" s="49"/>
      <c r="AB27" s="49"/>
      <c r="AC27" s="49"/>
      <c r="AD27" s="49"/>
      <c r="AE27" s="49"/>
      <c r="AF27" s="49"/>
      <c r="AG27" s="49"/>
      <c r="AH27" s="49"/>
      <c r="AI27" s="49"/>
      <c r="AJ27" s="49"/>
      <c r="AK27" s="49"/>
      <c r="AL27" s="50"/>
      <c r="AM27" s="42" t="s">
        <v>116</v>
      </c>
      <c r="AN27" s="43"/>
      <c r="AO27" s="44"/>
      <c r="AP27" s="51" t="s">
        <v>46</v>
      </c>
      <c r="AQ27" s="52"/>
      <c r="AR27" s="53"/>
      <c r="AS27" s="51" t="s">
        <v>111</v>
      </c>
      <c r="AT27" s="52"/>
      <c r="AU27" s="53"/>
      <c r="AV27" s="51" t="s">
        <v>112</v>
      </c>
      <c r="AW27" s="52"/>
      <c r="AX27" s="53"/>
      <c r="AY27" s="35" t="s">
        <v>49</v>
      </c>
      <c r="AZ27" s="36"/>
      <c r="BA27" s="37"/>
      <c r="BB27" s="38">
        <v>45210</v>
      </c>
      <c r="BC27" s="39"/>
      <c r="BD27" s="40"/>
      <c r="BE27" s="38">
        <v>45210</v>
      </c>
      <c r="BF27" s="39"/>
      <c r="BG27" s="40"/>
      <c r="BH27" s="41" t="s">
        <v>9</v>
      </c>
      <c r="BI27" s="36"/>
      <c r="BJ27" s="37"/>
      <c r="BK27" s="38">
        <v>45210</v>
      </c>
      <c r="BL27" s="39"/>
      <c r="BM27" s="40"/>
      <c r="BN27" s="42"/>
      <c r="BO27" s="43"/>
      <c r="BP27" s="43"/>
      <c r="BQ27" s="43"/>
      <c r="BR27" s="43"/>
      <c r="BS27" s="44"/>
    </row>
    <row r="28" spans="1:71" ht="60" customHeight="1">
      <c r="A28" s="7">
        <f>IF(M28="","",COUNTA($M$9:M28))</f>
        <v>20</v>
      </c>
      <c r="B28" s="35" t="s">
        <v>9</v>
      </c>
      <c r="C28" s="37"/>
      <c r="D28" s="45" t="s">
        <v>113</v>
      </c>
      <c r="E28" s="46"/>
      <c r="F28" s="46"/>
      <c r="G28" s="46"/>
      <c r="H28" s="47"/>
      <c r="I28" s="42" t="s">
        <v>78</v>
      </c>
      <c r="J28" s="43"/>
      <c r="K28" s="43"/>
      <c r="L28" s="44"/>
      <c r="M28" s="48" t="s">
        <v>117</v>
      </c>
      <c r="N28" s="49"/>
      <c r="O28" s="49"/>
      <c r="P28" s="49"/>
      <c r="Q28" s="49"/>
      <c r="R28" s="49"/>
      <c r="S28" s="49"/>
      <c r="T28" s="49"/>
      <c r="U28" s="49"/>
      <c r="V28" s="49"/>
      <c r="W28" s="49"/>
      <c r="X28" s="49"/>
      <c r="Y28" s="50"/>
      <c r="Z28" s="48" t="s">
        <v>118</v>
      </c>
      <c r="AA28" s="49"/>
      <c r="AB28" s="49"/>
      <c r="AC28" s="49"/>
      <c r="AD28" s="49"/>
      <c r="AE28" s="49"/>
      <c r="AF28" s="49"/>
      <c r="AG28" s="49"/>
      <c r="AH28" s="49"/>
      <c r="AI28" s="49"/>
      <c r="AJ28" s="49"/>
      <c r="AK28" s="49"/>
      <c r="AL28" s="50"/>
      <c r="AM28" s="42" t="s">
        <v>116</v>
      </c>
      <c r="AN28" s="43"/>
      <c r="AO28" s="44"/>
      <c r="AP28" s="51" t="s">
        <v>46</v>
      </c>
      <c r="AQ28" s="52"/>
      <c r="AR28" s="53"/>
      <c r="AS28" s="51" t="s">
        <v>82</v>
      </c>
      <c r="AT28" s="52"/>
      <c r="AU28" s="53"/>
      <c r="AV28" s="51" t="s">
        <v>83</v>
      </c>
      <c r="AW28" s="52"/>
      <c r="AX28" s="53"/>
      <c r="AY28" s="35" t="s">
        <v>49</v>
      </c>
      <c r="AZ28" s="36"/>
      <c r="BA28" s="37"/>
      <c r="BB28" s="38">
        <v>45210</v>
      </c>
      <c r="BC28" s="39"/>
      <c r="BD28" s="40"/>
      <c r="BE28" s="38">
        <v>45210</v>
      </c>
      <c r="BF28" s="39"/>
      <c r="BG28" s="40"/>
      <c r="BH28" s="41" t="s">
        <v>9</v>
      </c>
      <c r="BI28" s="36"/>
      <c r="BJ28" s="37"/>
      <c r="BK28" s="38">
        <v>45210</v>
      </c>
      <c r="BL28" s="39"/>
      <c r="BM28" s="40"/>
      <c r="BN28" s="42"/>
      <c r="BO28" s="43"/>
      <c r="BP28" s="43"/>
      <c r="BQ28" s="43"/>
      <c r="BR28" s="43"/>
      <c r="BS28" s="44"/>
    </row>
    <row r="29" spans="1:71" ht="60" customHeight="1">
      <c r="A29" s="7">
        <f>IF(M29="","",COUNTA($M$9:M29))</f>
        <v>21</v>
      </c>
      <c r="B29" s="35" t="s">
        <v>9</v>
      </c>
      <c r="C29" s="37"/>
      <c r="D29" s="45" t="s">
        <v>119</v>
      </c>
      <c r="E29" s="46"/>
      <c r="F29" s="46"/>
      <c r="G29" s="46"/>
      <c r="H29" s="47"/>
      <c r="I29" s="42" t="s">
        <v>68</v>
      </c>
      <c r="J29" s="43"/>
      <c r="K29" s="43"/>
      <c r="L29" s="44"/>
      <c r="M29" s="48" t="s">
        <v>120</v>
      </c>
      <c r="N29" s="49"/>
      <c r="O29" s="49"/>
      <c r="P29" s="49"/>
      <c r="Q29" s="49"/>
      <c r="R29" s="49"/>
      <c r="S29" s="49"/>
      <c r="T29" s="49"/>
      <c r="U29" s="49"/>
      <c r="V29" s="49"/>
      <c r="W29" s="49"/>
      <c r="X29" s="49"/>
      <c r="Y29" s="50"/>
      <c r="Z29" s="48" t="s">
        <v>121</v>
      </c>
      <c r="AA29" s="49"/>
      <c r="AB29" s="49"/>
      <c r="AC29" s="49"/>
      <c r="AD29" s="49"/>
      <c r="AE29" s="49"/>
      <c r="AF29" s="49"/>
      <c r="AG29" s="49"/>
      <c r="AH29" s="49"/>
      <c r="AI29" s="49"/>
      <c r="AJ29" s="49"/>
      <c r="AK29" s="49"/>
      <c r="AL29" s="50"/>
      <c r="AM29" s="42" t="s">
        <v>122</v>
      </c>
      <c r="AN29" s="43"/>
      <c r="AO29" s="44"/>
      <c r="AP29" s="51" t="s">
        <v>46</v>
      </c>
      <c r="AQ29" s="52"/>
      <c r="AR29" s="53"/>
      <c r="AS29" s="51" t="s">
        <v>54</v>
      </c>
      <c r="AT29" s="52"/>
      <c r="AU29" s="53"/>
      <c r="AV29" s="51" t="s">
        <v>55</v>
      </c>
      <c r="AW29" s="52"/>
      <c r="AX29" s="53"/>
      <c r="AY29" s="35" t="s">
        <v>49</v>
      </c>
      <c r="AZ29" s="36"/>
      <c r="BA29" s="37"/>
      <c r="BB29" s="38">
        <v>45210</v>
      </c>
      <c r="BC29" s="39"/>
      <c r="BD29" s="40"/>
      <c r="BE29" s="38">
        <v>45210</v>
      </c>
      <c r="BF29" s="39"/>
      <c r="BG29" s="40"/>
      <c r="BH29" s="41" t="s">
        <v>9</v>
      </c>
      <c r="BI29" s="36"/>
      <c r="BJ29" s="37"/>
      <c r="BK29" s="38">
        <v>45210</v>
      </c>
      <c r="BL29" s="39"/>
      <c r="BM29" s="40"/>
      <c r="BN29" s="42"/>
      <c r="BO29" s="43"/>
      <c r="BP29" s="43"/>
      <c r="BQ29" s="43"/>
      <c r="BR29" s="43"/>
      <c r="BS29" s="44"/>
    </row>
    <row r="30" spans="1:71" ht="60" customHeight="1">
      <c r="A30" s="7">
        <f>IF(M30="","",COUNTA($M$9:M30))</f>
        <v>22</v>
      </c>
      <c r="B30" s="35" t="s">
        <v>9</v>
      </c>
      <c r="C30" s="37"/>
      <c r="D30" s="45" t="s">
        <v>56</v>
      </c>
      <c r="E30" s="46"/>
      <c r="F30" s="46"/>
      <c r="G30" s="46"/>
      <c r="H30" s="47"/>
      <c r="I30" s="42" t="s">
        <v>78</v>
      </c>
      <c r="J30" s="43"/>
      <c r="K30" s="43"/>
      <c r="L30" s="44"/>
      <c r="M30" s="48" t="s">
        <v>123</v>
      </c>
      <c r="N30" s="49"/>
      <c r="O30" s="49"/>
      <c r="P30" s="49"/>
      <c r="Q30" s="49"/>
      <c r="R30" s="49"/>
      <c r="S30" s="49"/>
      <c r="T30" s="49"/>
      <c r="U30" s="49"/>
      <c r="V30" s="49"/>
      <c r="W30" s="49"/>
      <c r="X30" s="49"/>
      <c r="Y30" s="50"/>
      <c r="Z30" s="48" t="s">
        <v>124</v>
      </c>
      <c r="AA30" s="49"/>
      <c r="AB30" s="49"/>
      <c r="AC30" s="49"/>
      <c r="AD30" s="49"/>
      <c r="AE30" s="49"/>
      <c r="AF30" s="49"/>
      <c r="AG30" s="49"/>
      <c r="AH30" s="49"/>
      <c r="AI30" s="49"/>
      <c r="AJ30" s="49"/>
      <c r="AK30" s="49"/>
      <c r="AL30" s="50"/>
      <c r="AM30" s="42" t="s">
        <v>95</v>
      </c>
      <c r="AN30" s="43"/>
      <c r="AO30" s="44"/>
      <c r="AP30" s="51" t="s">
        <v>46</v>
      </c>
      <c r="AQ30" s="52"/>
      <c r="AR30" s="53"/>
      <c r="AS30" s="51" t="s">
        <v>82</v>
      </c>
      <c r="AT30" s="52"/>
      <c r="AU30" s="53"/>
      <c r="AV30" s="51" t="s">
        <v>83</v>
      </c>
      <c r="AW30" s="52"/>
      <c r="AX30" s="53"/>
      <c r="AY30" s="35" t="s">
        <v>49</v>
      </c>
      <c r="AZ30" s="36"/>
      <c r="BA30" s="37"/>
      <c r="BB30" s="38">
        <v>45211</v>
      </c>
      <c r="BC30" s="39"/>
      <c r="BD30" s="40"/>
      <c r="BE30" s="38">
        <v>45211</v>
      </c>
      <c r="BF30" s="39"/>
      <c r="BG30" s="40"/>
      <c r="BH30" s="41" t="s">
        <v>9</v>
      </c>
      <c r="BI30" s="36"/>
      <c r="BJ30" s="37"/>
      <c r="BK30" s="38">
        <v>45210</v>
      </c>
      <c r="BL30" s="39"/>
      <c r="BM30" s="40"/>
      <c r="BN30" s="42"/>
      <c r="BO30" s="43"/>
      <c r="BP30" s="43"/>
      <c r="BQ30" s="43"/>
      <c r="BR30" s="43"/>
      <c r="BS30" s="44"/>
    </row>
    <row r="31" spans="1:71" ht="75.75" customHeight="1">
      <c r="A31" s="7">
        <f>IF(M31="","",COUNTA($M$9:M31))</f>
        <v>23</v>
      </c>
      <c r="B31" s="35" t="s">
        <v>9</v>
      </c>
      <c r="C31" s="37"/>
      <c r="D31" s="45" t="s">
        <v>56</v>
      </c>
      <c r="E31" s="46"/>
      <c r="F31" s="46"/>
      <c r="G31" s="46"/>
      <c r="H31" s="47"/>
      <c r="I31" s="42" t="s">
        <v>78</v>
      </c>
      <c r="J31" s="43"/>
      <c r="K31" s="43"/>
      <c r="L31" s="44"/>
      <c r="M31" s="48" t="s">
        <v>125</v>
      </c>
      <c r="N31" s="49"/>
      <c r="O31" s="49"/>
      <c r="P31" s="49"/>
      <c r="Q31" s="49"/>
      <c r="R31" s="49"/>
      <c r="S31" s="49"/>
      <c r="T31" s="49"/>
      <c r="U31" s="49"/>
      <c r="V31" s="49"/>
      <c r="W31" s="49"/>
      <c r="X31" s="49"/>
      <c r="Y31" s="50"/>
      <c r="Z31" s="48" t="s">
        <v>126</v>
      </c>
      <c r="AA31" s="49"/>
      <c r="AB31" s="49"/>
      <c r="AC31" s="49"/>
      <c r="AD31" s="49"/>
      <c r="AE31" s="49"/>
      <c r="AF31" s="49"/>
      <c r="AG31" s="49"/>
      <c r="AH31" s="49"/>
      <c r="AI31" s="49"/>
      <c r="AJ31" s="49"/>
      <c r="AK31" s="49"/>
      <c r="AL31" s="50"/>
      <c r="AM31" s="42" t="s">
        <v>127</v>
      </c>
      <c r="AN31" s="43"/>
      <c r="AO31" s="44"/>
      <c r="AP31" s="51" t="s">
        <v>46</v>
      </c>
      <c r="AQ31" s="52"/>
      <c r="AR31" s="53"/>
      <c r="AS31" s="51" t="s">
        <v>82</v>
      </c>
      <c r="AT31" s="52"/>
      <c r="AU31" s="53"/>
      <c r="AV31" s="51" t="s">
        <v>83</v>
      </c>
      <c r="AW31" s="52"/>
      <c r="AX31" s="53"/>
      <c r="AY31" s="35" t="s">
        <v>49</v>
      </c>
      <c r="AZ31" s="36"/>
      <c r="BA31" s="37"/>
      <c r="BB31" s="38">
        <v>45211</v>
      </c>
      <c r="BC31" s="39"/>
      <c r="BD31" s="40"/>
      <c r="BE31" s="38">
        <v>45211</v>
      </c>
      <c r="BF31" s="39"/>
      <c r="BG31" s="40"/>
      <c r="BH31" s="41" t="s">
        <v>9</v>
      </c>
      <c r="BI31" s="36"/>
      <c r="BJ31" s="37"/>
      <c r="BK31" s="38">
        <v>45212</v>
      </c>
      <c r="BL31" s="39"/>
      <c r="BM31" s="40"/>
      <c r="BN31" s="42"/>
      <c r="BO31" s="43"/>
      <c r="BP31" s="43"/>
      <c r="BQ31" s="43"/>
      <c r="BR31" s="43"/>
      <c r="BS31" s="44"/>
    </row>
    <row r="32" spans="1:71" ht="60" customHeight="1">
      <c r="A32" s="7">
        <f>IF(M32="","",COUNTA($M$9:M32))</f>
        <v>24</v>
      </c>
      <c r="B32" s="35" t="s">
        <v>9</v>
      </c>
      <c r="C32" s="37"/>
      <c r="D32" s="45" t="s">
        <v>56</v>
      </c>
      <c r="E32" s="46"/>
      <c r="F32" s="46"/>
      <c r="G32" s="46"/>
      <c r="H32" s="47"/>
      <c r="I32" s="42" t="s">
        <v>107</v>
      </c>
      <c r="J32" s="43"/>
      <c r="K32" s="43"/>
      <c r="L32" s="44"/>
      <c r="M32" s="48" t="s">
        <v>128</v>
      </c>
      <c r="N32" s="49"/>
      <c r="O32" s="49"/>
      <c r="P32" s="49"/>
      <c r="Q32" s="49"/>
      <c r="R32" s="49"/>
      <c r="S32" s="49"/>
      <c r="T32" s="49"/>
      <c r="U32" s="49"/>
      <c r="V32" s="49"/>
      <c r="W32" s="49"/>
      <c r="X32" s="49"/>
      <c r="Y32" s="50"/>
      <c r="Z32" s="48" t="s">
        <v>129</v>
      </c>
      <c r="AA32" s="49"/>
      <c r="AB32" s="49"/>
      <c r="AC32" s="49"/>
      <c r="AD32" s="49"/>
      <c r="AE32" s="49"/>
      <c r="AF32" s="49"/>
      <c r="AG32" s="49"/>
      <c r="AH32" s="49"/>
      <c r="AI32" s="49"/>
      <c r="AJ32" s="49"/>
      <c r="AK32" s="49"/>
      <c r="AL32" s="50"/>
      <c r="AM32" s="42" t="s">
        <v>77</v>
      </c>
      <c r="AN32" s="43"/>
      <c r="AO32" s="44"/>
      <c r="AP32" s="51" t="s">
        <v>46</v>
      </c>
      <c r="AQ32" s="52"/>
      <c r="AR32" s="53"/>
      <c r="AS32" s="51" t="s">
        <v>111</v>
      </c>
      <c r="AT32" s="52"/>
      <c r="AU32" s="53"/>
      <c r="AV32" s="51" t="s">
        <v>112</v>
      </c>
      <c r="AW32" s="52"/>
      <c r="AX32" s="53"/>
      <c r="AY32" s="35" t="s">
        <v>49</v>
      </c>
      <c r="AZ32" s="36"/>
      <c r="BA32" s="37"/>
      <c r="BB32" s="38">
        <v>45211</v>
      </c>
      <c r="BC32" s="39"/>
      <c r="BD32" s="40"/>
      <c r="BE32" s="38">
        <v>45211</v>
      </c>
      <c r="BF32" s="39"/>
      <c r="BG32" s="40"/>
      <c r="BH32" s="41" t="s">
        <v>9</v>
      </c>
      <c r="BI32" s="36"/>
      <c r="BJ32" s="37"/>
      <c r="BK32" s="38">
        <v>45210</v>
      </c>
      <c r="BL32" s="39"/>
      <c r="BM32" s="40"/>
      <c r="BN32" s="42"/>
      <c r="BO32" s="43"/>
      <c r="BP32" s="43"/>
      <c r="BQ32" s="43"/>
      <c r="BR32" s="43"/>
      <c r="BS32" s="44"/>
    </row>
    <row r="33" spans="1:71" ht="60" customHeight="1">
      <c r="A33" s="7" t="str">
        <f>IF(M33="","",COUNTA($M$9:M33))</f>
        <v/>
      </c>
      <c r="B33" s="35"/>
      <c r="C33" s="37"/>
      <c r="D33" s="45"/>
      <c r="E33" s="46"/>
      <c r="F33" s="46"/>
      <c r="G33" s="46"/>
      <c r="H33" s="47"/>
      <c r="I33" s="42"/>
      <c r="J33" s="43"/>
      <c r="K33" s="43"/>
      <c r="L33" s="44"/>
      <c r="M33" s="48"/>
      <c r="N33" s="49"/>
      <c r="O33" s="49"/>
      <c r="P33" s="49"/>
      <c r="Q33" s="49"/>
      <c r="R33" s="49"/>
      <c r="S33" s="49"/>
      <c r="T33" s="49"/>
      <c r="U33" s="49"/>
      <c r="V33" s="49"/>
      <c r="W33" s="49"/>
      <c r="X33" s="49"/>
      <c r="Y33" s="50"/>
      <c r="Z33" s="48"/>
      <c r="AA33" s="49"/>
      <c r="AB33" s="49"/>
      <c r="AC33" s="49"/>
      <c r="AD33" s="49"/>
      <c r="AE33" s="49"/>
      <c r="AF33" s="49"/>
      <c r="AG33" s="49"/>
      <c r="AH33" s="49"/>
      <c r="AI33" s="49"/>
      <c r="AJ33" s="49"/>
      <c r="AK33" s="49"/>
      <c r="AL33" s="50"/>
      <c r="AM33" s="42"/>
      <c r="AN33" s="43"/>
      <c r="AO33" s="44"/>
      <c r="AP33" s="51"/>
      <c r="AQ33" s="52"/>
      <c r="AR33" s="53"/>
      <c r="AS33" s="51"/>
      <c r="AT33" s="52"/>
      <c r="AU33" s="53"/>
      <c r="AV33" s="51"/>
      <c r="AW33" s="52"/>
      <c r="AX33" s="53"/>
      <c r="AY33" s="35"/>
      <c r="AZ33" s="36"/>
      <c r="BA33" s="37"/>
      <c r="BB33" s="38"/>
      <c r="BC33" s="39"/>
      <c r="BD33" s="40"/>
      <c r="BE33" s="38"/>
      <c r="BF33" s="39"/>
      <c r="BG33" s="40"/>
      <c r="BH33" s="35"/>
      <c r="BI33" s="36"/>
      <c r="BJ33" s="37"/>
      <c r="BK33" s="38"/>
      <c r="BL33" s="39"/>
      <c r="BM33" s="40"/>
      <c r="BN33" s="42"/>
      <c r="BO33" s="43"/>
      <c r="BP33" s="43"/>
      <c r="BQ33" s="43"/>
      <c r="BR33" s="43"/>
      <c r="BS33" s="44"/>
    </row>
    <row r="34" spans="1:71" ht="15" customHeight="1">
      <c r="A34" s="33" t="s">
        <v>130</v>
      </c>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c r="BN34" s="32"/>
      <c r="BO34" s="32"/>
      <c r="BP34" s="32"/>
      <c r="BQ34" s="32"/>
      <c r="BR34" s="32"/>
      <c r="BS34" s="32"/>
    </row>
  </sheetData>
  <mergeCells count="425">
    <mergeCell ref="AH2:AK2"/>
    <mergeCell ref="AH3:AK3"/>
    <mergeCell ref="AH4:AK4"/>
    <mergeCell ref="AY33:BA33"/>
    <mergeCell ref="BN33:BS33"/>
    <mergeCell ref="BB33:BD33"/>
    <mergeCell ref="BE33:BG33"/>
    <mergeCell ref="BH33:BJ33"/>
    <mergeCell ref="BK33:BM33"/>
    <mergeCell ref="AY19:BA19"/>
    <mergeCell ref="BB19:BD19"/>
    <mergeCell ref="BE19:BG19"/>
    <mergeCell ref="BH19:BJ19"/>
    <mergeCell ref="BK19:BM19"/>
    <mergeCell ref="BN19:BS19"/>
    <mergeCell ref="BN20:BS20"/>
    <mergeCell ref="BN21:BS21"/>
    <mergeCell ref="BN18:BS18"/>
    <mergeCell ref="AV18:AX18"/>
    <mergeCell ref="AY18:BA18"/>
    <mergeCell ref="BB18:BD18"/>
    <mergeCell ref="BE18:BG18"/>
    <mergeCell ref="BH18:BJ18"/>
    <mergeCell ref="BK18:BM18"/>
    <mergeCell ref="M22:Y22"/>
    <mergeCell ref="Z22:AL22"/>
    <mergeCell ref="AM22:AO22"/>
    <mergeCell ref="AP22:AR22"/>
    <mergeCell ref="AS22:AU22"/>
    <mergeCell ref="AV22:AX22"/>
    <mergeCell ref="B33:C33"/>
    <mergeCell ref="D33:H33"/>
    <mergeCell ref="I33:L33"/>
    <mergeCell ref="M33:Y33"/>
    <mergeCell ref="Z33:AL33"/>
    <mergeCell ref="AM33:AO33"/>
    <mergeCell ref="AP33:AR33"/>
    <mergeCell ref="AS33:AU33"/>
    <mergeCell ref="AV33:AX33"/>
    <mergeCell ref="D32:H32"/>
    <mergeCell ref="I32:L32"/>
    <mergeCell ref="M32:Y32"/>
    <mergeCell ref="Z32:AL32"/>
    <mergeCell ref="AM32:AO32"/>
    <mergeCell ref="AP32:AR32"/>
    <mergeCell ref="AS32:AU32"/>
    <mergeCell ref="AV32:AX32"/>
    <mergeCell ref="BK21:BM21"/>
    <mergeCell ref="AV21:AX21"/>
    <mergeCell ref="AY21:BA21"/>
    <mergeCell ref="BB21:BD21"/>
    <mergeCell ref="BE21:BG21"/>
    <mergeCell ref="BH21:BJ21"/>
    <mergeCell ref="AS21:AU21"/>
    <mergeCell ref="BH20:BJ20"/>
    <mergeCell ref="BK20:BM20"/>
    <mergeCell ref="AV20:AX20"/>
    <mergeCell ref="AY20:BA20"/>
    <mergeCell ref="BB20:BD20"/>
    <mergeCell ref="BE20:BG20"/>
    <mergeCell ref="B21:C21"/>
    <mergeCell ref="D21:H21"/>
    <mergeCell ref="I21:L21"/>
    <mergeCell ref="M21:Y21"/>
    <mergeCell ref="Z21:AL21"/>
    <mergeCell ref="AM21:AO21"/>
    <mergeCell ref="AP21:AR21"/>
    <mergeCell ref="AP20:AR20"/>
    <mergeCell ref="AS20:AU20"/>
    <mergeCell ref="B20:C20"/>
    <mergeCell ref="D20:H20"/>
    <mergeCell ref="I20:L20"/>
    <mergeCell ref="M20:Y20"/>
    <mergeCell ref="Z20:AL20"/>
    <mergeCell ref="AM20:AO20"/>
    <mergeCell ref="B19:C19"/>
    <mergeCell ref="D19:H19"/>
    <mergeCell ref="I19:L19"/>
    <mergeCell ref="M19:Y19"/>
    <mergeCell ref="Z19:AL19"/>
    <mergeCell ref="AM19:AO19"/>
    <mergeCell ref="AP19:AR19"/>
    <mergeCell ref="AS19:AU19"/>
    <mergeCell ref="AV19:AX19"/>
    <mergeCell ref="B18:C18"/>
    <mergeCell ref="AM18:AO18"/>
    <mergeCell ref="AP18:AR18"/>
    <mergeCell ref="AS18:AU18"/>
    <mergeCell ref="D18:H18"/>
    <mergeCell ref="I18:L18"/>
    <mergeCell ref="M18:Y18"/>
    <mergeCell ref="Z18:AL18"/>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P10:AR10"/>
    <mergeCell ref="AS10:AU10"/>
    <mergeCell ref="AV10:AX10"/>
    <mergeCell ref="AY10:BA10"/>
    <mergeCell ref="BB10:BD10"/>
    <mergeCell ref="BE10:BG10"/>
    <mergeCell ref="BH10:BJ10"/>
    <mergeCell ref="BK10:BM10"/>
    <mergeCell ref="BN10:BS10"/>
    <mergeCell ref="BE22:BG22"/>
    <mergeCell ref="BH22:BJ22"/>
    <mergeCell ref="BK22:BM22"/>
    <mergeCell ref="BN22:BS22"/>
    <mergeCell ref="B23:C23"/>
    <mergeCell ref="D23:H23"/>
    <mergeCell ref="I23:L23"/>
    <mergeCell ref="M23:Y23"/>
    <mergeCell ref="Z23:AL23"/>
    <mergeCell ref="AM23:AO23"/>
    <mergeCell ref="AP23:AR23"/>
    <mergeCell ref="AS23:AU23"/>
    <mergeCell ref="AV23:AX23"/>
    <mergeCell ref="AY23:BA23"/>
    <mergeCell ref="BB23:BD23"/>
    <mergeCell ref="BE23:BG23"/>
    <mergeCell ref="BH23:BJ23"/>
    <mergeCell ref="BK23:BM23"/>
    <mergeCell ref="BN23:BS23"/>
    <mergeCell ref="AY22:BA22"/>
    <mergeCell ref="BB22:BD22"/>
    <mergeCell ref="B22:C22"/>
    <mergeCell ref="D22:H22"/>
    <mergeCell ref="I22:L22"/>
    <mergeCell ref="AY24:BA24"/>
    <mergeCell ref="BB24:BD24"/>
    <mergeCell ref="BE24:BG24"/>
    <mergeCell ref="BH24:BJ24"/>
    <mergeCell ref="BK24:BM24"/>
    <mergeCell ref="BN24:BS24"/>
    <mergeCell ref="B25:C25"/>
    <mergeCell ref="D25:H25"/>
    <mergeCell ref="I25:L25"/>
    <mergeCell ref="B24:C24"/>
    <mergeCell ref="D24:H24"/>
    <mergeCell ref="I24:L24"/>
    <mergeCell ref="M24:Y24"/>
    <mergeCell ref="Z24:AL24"/>
    <mergeCell ref="AM24:AO24"/>
    <mergeCell ref="AP24:AR24"/>
    <mergeCell ref="AS24:AU24"/>
    <mergeCell ref="AV24:AX24"/>
    <mergeCell ref="AV25:AX25"/>
    <mergeCell ref="AY25:BA25"/>
    <mergeCell ref="BB25:BD25"/>
    <mergeCell ref="BE25:BG25"/>
    <mergeCell ref="M25:Y25"/>
    <mergeCell ref="Z25:AL25"/>
    <mergeCell ref="BN27:BS27"/>
    <mergeCell ref="B28:C28"/>
    <mergeCell ref="D28:H28"/>
    <mergeCell ref="I28:L28"/>
    <mergeCell ref="M28:Y28"/>
    <mergeCell ref="Z28:AL28"/>
    <mergeCell ref="AM28:AO28"/>
    <mergeCell ref="AP28:AR28"/>
    <mergeCell ref="AS28:AU28"/>
    <mergeCell ref="AV28:AX28"/>
    <mergeCell ref="AY28:BA28"/>
    <mergeCell ref="BB28:BD28"/>
    <mergeCell ref="BE28:BG28"/>
    <mergeCell ref="BH28:BJ28"/>
    <mergeCell ref="BK28:BM28"/>
    <mergeCell ref="BN28:BS28"/>
    <mergeCell ref="D27:H27"/>
    <mergeCell ref="I27:L27"/>
    <mergeCell ref="M27:Y27"/>
    <mergeCell ref="Z27:AL27"/>
    <mergeCell ref="AM27:AO27"/>
    <mergeCell ref="AP27:AR27"/>
    <mergeCell ref="AS27:AU27"/>
    <mergeCell ref="AV27:AX27"/>
    <mergeCell ref="BN29:BS29"/>
    <mergeCell ref="B29:C29"/>
    <mergeCell ref="D29:H29"/>
    <mergeCell ref="I29:L29"/>
    <mergeCell ref="M29:Y29"/>
    <mergeCell ref="Z29:AL29"/>
    <mergeCell ref="AM29:AO29"/>
    <mergeCell ref="AP29:AR29"/>
    <mergeCell ref="AS29:AU29"/>
    <mergeCell ref="AV29:AX29"/>
    <mergeCell ref="AY29:BA29"/>
    <mergeCell ref="BB29:BD29"/>
    <mergeCell ref="BE29:BG29"/>
    <mergeCell ref="BH29:BJ29"/>
    <mergeCell ref="BK29:BM29"/>
    <mergeCell ref="BN25:BS25"/>
    <mergeCell ref="B26:C26"/>
    <mergeCell ref="D26:H26"/>
    <mergeCell ref="I26:L26"/>
    <mergeCell ref="M26:Y26"/>
    <mergeCell ref="Z26:AL26"/>
    <mergeCell ref="AM26:AO26"/>
    <mergeCell ref="AP26:AR26"/>
    <mergeCell ref="AS26:AU26"/>
    <mergeCell ref="AV26:AX26"/>
    <mergeCell ref="AY26:BA26"/>
    <mergeCell ref="BB26:BD26"/>
    <mergeCell ref="BE26:BG26"/>
    <mergeCell ref="BH26:BJ26"/>
    <mergeCell ref="BK26:BM26"/>
    <mergeCell ref="BN26:BS26"/>
    <mergeCell ref="AM25:AO25"/>
    <mergeCell ref="AP25:AR25"/>
    <mergeCell ref="AS25:AU25"/>
    <mergeCell ref="BE27:BG27"/>
    <mergeCell ref="BH27:BJ27"/>
    <mergeCell ref="BK27:BM27"/>
    <mergeCell ref="B27:C27"/>
    <mergeCell ref="BH25:BJ25"/>
    <mergeCell ref="BK25:BM25"/>
    <mergeCell ref="B31:C31"/>
    <mergeCell ref="D31:H31"/>
    <mergeCell ref="I31:L31"/>
    <mergeCell ref="M31:Y31"/>
    <mergeCell ref="Z31:AL31"/>
    <mergeCell ref="AM31:AO31"/>
    <mergeCell ref="AP31:AR31"/>
    <mergeCell ref="AS31:AU31"/>
    <mergeCell ref="AV31:AX31"/>
    <mergeCell ref="AY31:BA31"/>
    <mergeCell ref="BB31:BD31"/>
    <mergeCell ref="BE31:BG31"/>
    <mergeCell ref="BH31:BJ31"/>
    <mergeCell ref="BK31:BM31"/>
    <mergeCell ref="AY27:BA27"/>
    <mergeCell ref="BB27:BD27"/>
    <mergeCell ref="AY32:BA32"/>
    <mergeCell ref="BB32:BD32"/>
    <mergeCell ref="BE32:BG32"/>
    <mergeCell ref="BH32:BJ32"/>
    <mergeCell ref="BK32:BM32"/>
    <mergeCell ref="BN32:BS32"/>
    <mergeCell ref="B30:C30"/>
    <mergeCell ref="D30:H30"/>
    <mergeCell ref="I30:L30"/>
    <mergeCell ref="M30:Y30"/>
    <mergeCell ref="Z30:AL30"/>
    <mergeCell ref="AM30:AO30"/>
    <mergeCell ref="AP30:AR30"/>
    <mergeCell ref="AS30:AU30"/>
    <mergeCell ref="AV30:AX30"/>
    <mergeCell ref="AY30:BA30"/>
    <mergeCell ref="BB30:BD30"/>
    <mergeCell ref="BE30:BG30"/>
    <mergeCell ref="BH30:BJ30"/>
    <mergeCell ref="BK30:BM30"/>
    <mergeCell ref="BN30:BS30"/>
    <mergeCell ref="BN31:BS31"/>
    <mergeCell ref="B32:C32"/>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生産実績一覧（W/D工場）</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AP10:AR32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9D691-95E7-49CC-8C48-1FC97ECFC2B4}">
  <dimension ref="A3"/>
  <sheetViews>
    <sheetView workbookViewId="0">
      <selection activeCell="G34" sqref="G34"/>
    </sheetView>
  </sheetViews>
  <sheetFormatPr defaultRowHeight="14.25"/>
  <sheetData>
    <row r="3" spans="1:1">
      <c r="A3" t="s">
        <v>131</v>
      </c>
    </row>
  </sheetData>
  <phoneticPr fontId="2"/>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25"/>
  <cols>
    <col min="4" max="4" width="30.625" customWidth="1"/>
  </cols>
  <sheetData>
    <row r="1" spans="1:6">
      <c r="A1" t="s">
        <v>132</v>
      </c>
      <c r="B1" t="s">
        <v>133</v>
      </c>
      <c r="C1" t="s">
        <v>2</v>
      </c>
      <c r="D1" t="s">
        <v>134</v>
      </c>
      <c r="E1" t="s">
        <v>135</v>
      </c>
    </row>
    <row r="2" spans="1:6">
      <c r="A2" t="s">
        <v>136</v>
      </c>
      <c r="B2" t="s">
        <v>137</v>
      </c>
      <c r="C2" t="s">
        <v>138</v>
      </c>
      <c r="D2" t="s">
        <v>139</v>
      </c>
      <c r="E2" t="s">
        <v>140</v>
      </c>
    </row>
    <row r="3" spans="1:6">
      <c r="A3" t="s">
        <v>141</v>
      </c>
      <c r="B3" t="s">
        <v>142</v>
      </c>
      <c r="C3" t="s">
        <v>143</v>
      </c>
      <c r="D3" t="s">
        <v>144</v>
      </c>
      <c r="E3" t="s">
        <v>145</v>
      </c>
    </row>
    <row r="4" spans="1:6">
      <c r="A4" t="s">
        <v>146</v>
      </c>
      <c r="B4" t="s">
        <v>6</v>
      </c>
      <c r="C4" t="s">
        <v>147</v>
      </c>
      <c r="D4" t="s">
        <v>148</v>
      </c>
      <c r="E4" t="s">
        <v>46</v>
      </c>
    </row>
    <row r="5" spans="1:6">
      <c r="A5" t="s">
        <v>149</v>
      </c>
      <c r="B5" t="s">
        <v>150</v>
      </c>
      <c r="C5" t="s">
        <v>151</v>
      </c>
      <c r="D5" t="s">
        <v>152</v>
      </c>
      <c r="E5" t="s">
        <v>153</v>
      </c>
      <c r="F5" t="s">
        <v>154</v>
      </c>
    </row>
    <row r="6" spans="1:6">
      <c r="A6" t="s">
        <v>155</v>
      </c>
      <c r="B6" t="s">
        <v>156</v>
      </c>
      <c r="C6" t="s">
        <v>157</v>
      </c>
      <c r="D6" t="s">
        <v>158</v>
      </c>
      <c r="E6" t="s">
        <v>159</v>
      </c>
    </row>
    <row r="7" spans="1:6">
      <c r="A7" t="s">
        <v>160</v>
      </c>
      <c r="B7" t="s">
        <v>161</v>
      </c>
      <c r="C7" t="s">
        <v>162</v>
      </c>
      <c r="D7" t="s">
        <v>163</v>
      </c>
      <c r="E7" t="s">
        <v>164</v>
      </c>
    </row>
    <row r="8" spans="1:6">
      <c r="B8" t="s">
        <v>165</v>
      </c>
      <c r="C8" t="s">
        <v>166</v>
      </c>
      <c r="D8" t="s">
        <v>167</v>
      </c>
      <c r="E8" t="s">
        <v>168</v>
      </c>
    </row>
    <row r="9" spans="1:6">
      <c r="B9" t="s">
        <v>169</v>
      </c>
      <c r="C9" t="s">
        <v>170</v>
      </c>
      <c r="D9" t="s">
        <v>171</v>
      </c>
      <c r="E9" t="s">
        <v>172</v>
      </c>
    </row>
    <row r="10" spans="1:6">
      <c r="B10" t="s">
        <v>173</v>
      </c>
      <c r="C10" t="s">
        <v>174</v>
      </c>
      <c r="D10" t="s">
        <v>175</v>
      </c>
    </row>
    <row r="11" spans="1:6">
      <c r="B11" t="s">
        <v>176</v>
      </c>
      <c r="C11" t="s">
        <v>177</v>
      </c>
      <c r="D11" t="s">
        <v>178</v>
      </c>
    </row>
    <row r="12" spans="1:6">
      <c r="B12" t="s">
        <v>179</v>
      </c>
      <c r="C12" t="s">
        <v>180</v>
      </c>
      <c r="D12" t="s">
        <v>181</v>
      </c>
    </row>
    <row r="13" spans="1:6">
      <c r="B13" t="s">
        <v>182</v>
      </c>
      <c r="C13" t="s">
        <v>183</v>
      </c>
      <c r="D13" t="s">
        <v>184</v>
      </c>
    </row>
    <row r="14" spans="1:6">
      <c r="C14" t="s">
        <v>185</v>
      </c>
      <c r="D14" t="s">
        <v>186</v>
      </c>
    </row>
    <row r="15" spans="1:6">
      <c r="C15" t="s">
        <v>187</v>
      </c>
      <c r="D15" t="s">
        <v>188</v>
      </c>
    </row>
    <row r="16" spans="1:6">
      <c r="C16" t="s">
        <v>189</v>
      </c>
      <c r="D16" t="s">
        <v>190</v>
      </c>
    </row>
    <row r="17" spans="3:4">
      <c r="C17" t="s">
        <v>191</v>
      </c>
      <c r="D17" t="s">
        <v>192</v>
      </c>
    </row>
    <row r="18" spans="3:4">
      <c r="C18" t="s">
        <v>193</v>
      </c>
      <c r="D18" t="s">
        <v>194</v>
      </c>
    </row>
    <row r="19" spans="3:4">
      <c r="C19" t="s">
        <v>195</v>
      </c>
      <c r="D19" t="s">
        <v>196</v>
      </c>
    </row>
    <row r="20" spans="3:4">
      <c r="C20" t="s">
        <v>197</v>
      </c>
      <c r="D20" t="s">
        <v>198</v>
      </c>
    </row>
    <row r="21" spans="3:4">
      <c r="C21" t="s">
        <v>199</v>
      </c>
      <c r="D21" t="s">
        <v>200</v>
      </c>
    </row>
    <row r="22" spans="3:4">
      <c r="C22" t="s">
        <v>201</v>
      </c>
      <c r="D22" t="s">
        <v>202</v>
      </c>
    </row>
    <row r="23" spans="3:4">
      <c r="C23" t="s">
        <v>203</v>
      </c>
      <c r="D23" t="s">
        <v>204</v>
      </c>
    </row>
    <row r="24" spans="3:4">
      <c r="C24" t="s">
        <v>205</v>
      </c>
      <c r="D24" t="s">
        <v>206</v>
      </c>
    </row>
    <row r="25" spans="3:4">
      <c r="C25" t="s">
        <v>207</v>
      </c>
      <c r="D25" t="s">
        <v>208</v>
      </c>
    </row>
    <row r="26" spans="3:4">
      <c r="C26" t="s">
        <v>209</v>
      </c>
      <c r="D26" t="s">
        <v>210</v>
      </c>
    </row>
    <row r="27" spans="3:4">
      <c r="C27" t="s">
        <v>211</v>
      </c>
      <c r="D27" t="s">
        <v>212</v>
      </c>
    </row>
    <row r="28" spans="3:4">
      <c r="C28" t="s">
        <v>213</v>
      </c>
      <c r="D28" t="s">
        <v>214</v>
      </c>
    </row>
    <row r="29" spans="3:4">
      <c r="C29" t="s">
        <v>215</v>
      </c>
      <c r="D29" t="s">
        <v>216</v>
      </c>
    </row>
    <row r="30" spans="3:4">
      <c r="C30" t="s">
        <v>217</v>
      </c>
      <c r="D30" t="s">
        <v>218</v>
      </c>
    </row>
    <row r="31" spans="3:4">
      <c r="C31" t="s">
        <v>219</v>
      </c>
      <c r="D31" t="s">
        <v>220</v>
      </c>
    </row>
    <row r="32" spans="3:4">
      <c r="C32" t="s">
        <v>221</v>
      </c>
      <c r="D32" t="s">
        <v>222</v>
      </c>
    </row>
    <row r="33" spans="3:4">
      <c r="C33" t="s">
        <v>223</v>
      </c>
      <c r="D33" t="s">
        <v>224</v>
      </c>
    </row>
    <row r="34" spans="3:4">
      <c r="C34" t="s">
        <v>225</v>
      </c>
      <c r="D34" t="s">
        <v>226</v>
      </c>
    </row>
    <row r="35" spans="3:4">
      <c r="C35" t="s">
        <v>227</v>
      </c>
      <c r="D35" t="s">
        <v>228</v>
      </c>
    </row>
    <row r="36" spans="3:4">
      <c r="C36" t="s">
        <v>229</v>
      </c>
      <c r="D36" t="s">
        <v>230</v>
      </c>
    </row>
    <row r="37" spans="3:4">
      <c r="C37" t="s">
        <v>231</v>
      </c>
      <c r="D37" t="s">
        <v>232</v>
      </c>
    </row>
    <row r="38" spans="3:4">
      <c r="C38" t="s">
        <v>233</v>
      </c>
      <c r="D38" t="s">
        <v>234</v>
      </c>
    </row>
    <row r="39" spans="3:4">
      <c r="C39" t="s">
        <v>235</v>
      </c>
      <c r="D39" t="s">
        <v>236</v>
      </c>
    </row>
    <row r="40" spans="3:4">
      <c r="C40" t="s">
        <v>237</v>
      </c>
      <c r="D40" t="s">
        <v>238</v>
      </c>
    </row>
    <row r="41" spans="3:4">
      <c r="C41" t="s">
        <v>239</v>
      </c>
      <c r="D41" t="s">
        <v>240</v>
      </c>
    </row>
    <row r="42" spans="3:4">
      <c r="C42" t="s">
        <v>241</v>
      </c>
      <c r="D42" t="s">
        <v>242</v>
      </c>
    </row>
    <row r="43" spans="3:4">
      <c r="C43" t="s">
        <v>243</v>
      </c>
      <c r="D43" t="s">
        <v>244</v>
      </c>
    </row>
    <row r="44" spans="3:4">
      <c r="C44" t="s">
        <v>245</v>
      </c>
      <c r="D44" t="s">
        <v>246</v>
      </c>
    </row>
    <row r="45" spans="3:4">
      <c r="C45" t="s">
        <v>247</v>
      </c>
      <c r="D45" t="s">
        <v>248</v>
      </c>
    </row>
    <row r="46" spans="3:4">
      <c r="C46" t="s">
        <v>249</v>
      </c>
      <c r="D46" t="s">
        <v>250</v>
      </c>
    </row>
    <row r="47" spans="3:4">
      <c r="C47" t="s">
        <v>251</v>
      </c>
      <c r="D47" t="s">
        <v>252</v>
      </c>
    </row>
    <row r="48" spans="3:4">
      <c r="C48" t="s">
        <v>253</v>
      </c>
      <c r="D48" t="s">
        <v>254</v>
      </c>
    </row>
    <row r="49" spans="3:4">
      <c r="C49" t="s">
        <v>255</v>
      </c>
      <c r="D49" t="s">
        <v>256</v>
      </c>
    </row>
    <row r="50" spans="3:4">
      <c r="C50" t="s">
        <v>257</v>
      </c>
      <c r="D50" t="s">
        <v>258</v>
      </c>
    </row>
    <row r="51" spans="3:4">
      <c r="C51" t="s">
        <v>259</v>
      </c>
      <c r="D51" t="s">
        <v>260</v>
      </c>
    </row>
    <row r="52" spans="3:4">
      <c r="C52" t="s">
        <v>261</v>
      </c>
      <c r="D52" t="s">
        <v>262</v>
      </c>
    </row>
    <row r="53" spans="3:4">
      <c r="C53" t="s">
        <v>263</v>
      </c>
      <c r="D53" t="s">
        <v>264</v>
      </c>
    </row>
    <row r="54" spans="3:4">
      <c r="C54" t="s">
        <v>265</v>
      </c>
      <c r="D54" t="s">
        <v>266</v>
      </c>
    </row>
    <row r="55" spans="3:4">
      <c r="C55" t="s">
        <v>267</v>
      </c>
      <c r="D55" t="s">
        <v>268</v>
      </c>
    </row>
    <row r="56" spans="3:4">
      <c r="C56" t="s">
        <v>269</v>
      </c>
      <c r="D56" t="s">
        <v>270</v>
      </c>
    </row>
    <row r="57" spans="3:4">
      <c r="C57" t="s">
        <v>271</v>
      </c>
      <c r="D57" t="s">
        <v>272</v>
      </c>
    </row>
    <row r="58" spans="3:4">
      <c r="C58" t="s">
        <v>273</v>
      </c>
      <c r="D58" t="s">
        <v>274</v>
      </c>
    </row>
    <row r="59" spans="3:4">
      <c r="C59" t="s">
        <v>275</v>
      </c>
      <c r="D59" t="s">
        <v>276</v>
      </c>
    </row>
    <row r="60" spans="3:4">
      <c r="C60" t="s">
        <v>277</v>
      </c>
      <c r="D60" t="s">
        <v>278</v>
      </c>
    </row>
    <row r="61" spans="3:4">
      <c r="C61" t="s">
        <v>279</v>
      </c>
      <c r="D61" t="s">
        <v>280</v>
      </c>
    </row>
    <row r="62" spans="3:4">
      <c r="C62" t="s">
        <v>281</v>
      </c>
      <c r="D62" t="s">
        <v>282</v>
      </c>
    </row>
    <row r="63" spans="3:4">
      <c r="C63" t="s">
        <v>283</v>
      </c>
      <c r="D63" t="s">
        <v>284</v>
      </c>
    </row>
    <row r="64" spans="3:4">
      <c r="C64" t="s">
        <v>285</v>
      </c>
      <c r="D64" t="s">
        <v>286</v>
      </c>
    </row>
    <row r="65" spans="3:4">
      <c r="C65" t="s">
        <v>287</v>
      </c>
      <c r="D65" t="s">
        <v>288</v>
      </c>
    </row>
    <row r="66" spans="3:4">
      <c r="C66" t="s">
        <v>289</v>
      </c>
      <c r="D66" t="s">
        <v>290</v>
      </c>
    </row>
    <row r="67" spans="3:4">
      <c r="C67" t="s">
        <v>291</v>
      </c>
      <c r="D67" t="s">
        <v>292</v>
      </c>
    </row>
    <row r="68" spans="3:4">
      <c r="C68" t="s">
        <v>293</v>
      </c>
      <c r="D68" t="s">
        <v>294</v>
      </c>
    </row>
    <row r="69" spans="3:4">
      <c r="C69" t="s">
        <v>295</v>
      </c>
      <c r="D69" t="s">
        <v>296</v>
      </c>
    </row>
    <row r="70" spans="3:4">
      <c r="C70" t="s">
        <v>297</v>
      </c>
      <c r="D70" t="s">
        <v>298</v>
      </c>
    </row>
    <row r="71" spans="3:4">
      <c r="C71" t="s">
        <v>299</v>
      </c>
      <c r="D71" t="s">
        <v>300</v>
      </c>
    </row>
    <row r="72" spans="3:4">
      <c r="C72" t="s">
        <v>301</v>
      </c>
      <c r="D72" t="s">
        <v>302</v>
      </c>
    </row>
    <row r="73" spans="3:4">
      <c r="C73" t="s">
        <v>303</v>
      </c>
      <c r="D73" t="s">
        <v>304</v>
      </c>
    </row>
    <row r="74" spans="3:4">
      <c r="C74" t="s">
        <v>305</v>
      </c>
      <c r="D74" t="s">
        <v>306</v>
      </c>
    </row>
    <row r="75" spans="3:4">
      <c r="C75" t="s">
        <v>307</v>
      </c>
      <c r="D75" t="s">
        <v>308</v>
      </c>
    </row>
    <row r="76" spans="3:4">
      <c r="C76" t="s">
        <v>309</v>
      </c>
      <c r="D76" t="s">
        <v>310</v>
      </c>
    </row>
    <row r="77" spans="3:4">
      <c r="C77" t="s">
        <v>311</v>
      </c>
      <c r="D77" t="s">
        <v>312</v>
      </c>
    </row>
    <row r="78" spans="3:4">
      <c r="C78" t="s">
        <v>313</v>
      </c>
      <c r="D78" t="s">
        <v>314</v>
      </c>
    </row>
    <row r="79" spans="3:4">
      <c r="C79" t="s">
        <v>315</v>
      </c>
      <c r="D79" t="s">
        <v>316</v>
      </c>
    </row>
    <row r="80" spans="3:4">
      <c r="C80" t="s">
        <v>317</v>
      </c>
      <c r="D80" t="s">
        <v>318</v>
      </c>
    </row>
    <row r="81" spans="3:4">
      <c r="C81" t="s">
        <v>319</v>
      </c>
      <c r="D81" t="s">
        <v>320</v>
      </c>
    </row>
    <row r="82" spans="3:4">
      <c r="C82" t="s">
        <v>321</v>
      </c>
      <c r="D82" t="s">
        <v>322</v>
      </c>
    </row>
    <row r="83" spans="3:4">
      <c r="C83" t="s">
        <v>323</v>
      </c>
      <c r="D83" t="s">
        <v>324</v>
      </c>
    </row>
    <row r="84" spans="3:4">
      <c r="C84" t="s">
        <v>325</v>
      </c>
      <c r="D84" t="s">
        <v>326</v>
      </c>
    </row>
    <row r="85" spans="3:4">
      <c r="C85" t="s">
        <v>327</v>
      </c>
      <c r="D85" t="s">
        <v>328</v>
      </c>
    </row>
    <row r="86" spans="3:4">
      <c r="C86" t="s">
        <v>329</v>
      </c>
      <c r="D86" t="s">
        <v>330</v>
      </c>
    </row>
    <row r="87" spans="3:4">
      <c r="C87" t="s">
        <v>331</v>
      </c>
      <c r="D87" t="s">
        <v>332</v>
      </c>
    </row>
    <row r="88" spans="3:4">
      <c r="C88" t="s">
        <v>333</v>
      </c>
      <c r="D88" t="s">
        <v>334</v>
      </c>
    </row>
    <row r="89" spans="3:4">
      <c r="C89" t="s">
        <v>335</v>
      </c>
      <c r="D89" t="s">
        <v>336</v>
      </c>
    </row>
    <row r="90" spans="3:4">
      <c r="C90" t="s">
        <v>337</v>
      </c>
      <c r="D90" t="s">
        <v>338</v>
      </c>
    </row>
    <row r="91" spans="3:4">
      <c r="C91" t="s">
        <v>335</v>
      </c>
      <c r="D91" t="s">
        <v>339</v>
      </c>
    </row>
    <row r="92" spans="3:4">
      <c r="C92" t="s">
        <v>340</v>
      </c>
      <c r="D92" t="s">
        <v>341</v>
      </c>
    </row>
    <row r="93" spans="3:4">
      <c r="C93" t="s">
        <v>342</v>
      </c>
      <c r="D93" t="s">
        <v>343</v>
      </c>
    </row>
    <row r="94" spans="3:4">
      <c r="C94" t="s">
        <v>344</v>
      </c>
      <c r="D94" t="s">
        <v>345</v>
      </c>
    </row>
    <row r="95" spans="3:4">
      <c r="C95" t="s">
        <v>346</v>
      </c>
      <c r="D95" t="s">
        <v>347</v>
      </c>
    </row>
    <row r="96" spans="3:4">
      <c r="C96" t="s">
        <v>348</v>
      </c>
      <c r="D96" t="s">
        <v>349</v>
      </c>
    </row>
    <row r="97" spans="3:4">
      <c r="C97" t="s">
        <v>350</v>
      </c>
      <c r="D97" t="s">
        <v>351</v>
      </c>
    </row>
    <row r="98" spans="3:4">
      <c r="C98" t="s">
        <v>352</v>
      </c>
      <c r="D98" t="s">
        <v>353</v>
      </c>
    </row>
    <row r="99" spans="3:4">
      <c r="C99" t="s">
        <v>354</v>
      </c>
      <c r="D99" t="s">
        <v>355</v>
      </c>
    </row>
    <row r="100" spans="3:4">
      <c r="C100" t="s">
        <v>356</v>
      </c>
      <c r="D100" t="s">
        <v>357</v>
      </c>
    </row>
    <row r="101" spans="3:4">
      <c r="C101" t="s">
        <v>358</v>
      </c>
      <c r="D101" t="s">
        <v>359</v>
      </c>
    </row>
    <row r="102" spans="3:4">
      <c r="C102" t="s">
        <v>360</v>
      </c>
      <c r="D102" t="s">
        <v>361</v>
      </c>
    </row>
    <row r="103" spans="3:4">
      <c r="C103" t="s">
        <v>362</v>
      </c>
      <c r="D103" t="s">
        <v>363</v>
      </c>
    </row>
    <row r="104" spans="3:4">
      <c r="C104" t="s">
        <v>364</v>
      </c>
      <c r="D104" t="s">
        <v>365</v>
      </c>
    </row>
    <row r="105" spans="3:4">
      <c r="C105" t="s">
        <v>366</v>
      </c>
      <c r="D105" t="s">
        <v>367</v>
      </c>
    </row>
    <row r="106" spans="3:4">
      <c r="C106" t="s">
        <v>368</v>
      </c>
      <c r="D106" t="s">
        <v>369</v>
      </c>
    </row>
    <row r="107" spans="3:4">
      <c r="C107" t="s">
        <v>370</v>
      </c>
      <c r="D107" t="s">
        <v>371</v>
      </c>
    </row>
    <row r="108" spans="3:4">
      <c r="C108" t="s">
        <v>372</v>
      </c>
      <c r="D108" t="s">
        <v>373</v>
      </c>
    </row>
    <row r="109" spans="3:4">
      <c r="C109" t="s">
        <v>374</v>
      </c>
      <c r="D109" t="s">
        <v>375</v>
      </c>
    </row>
    <row r="110" spans="3:4">
      <c r="C110" t="s">
        <v>376</v>
      </c>
      <c r="D110" t="s">
        <v>377</v>
      </c>
    </row>
    <row r="111" spans="3:4">
      <c r="C111" t="s">
        <v>378</v>
      </c>
      <c r="D111" t="s">
        <v>379</v>
      </c>
    </row>
    <row r="112" spans="3:4">
      <c r="C112" t="s">
        <v>380</v>
      </c>
      <c r="D112" t="s">
        <v>381</v>
      </c>
    </row>
    <row r="113" spans="3:4">
      <c r="C113" t="s">
        <v>382</v>
      </c>
      <c r="D113" t="s">
        <v>383</v>
      </c>
    </row>
    <row r="114" spans="3:4">
      <c r="C114" t="s">
        <v>384</v>
      </c>
      <c r="D114" t="s">
        <v>385</v>
      </c>
    </row>
    <row r="115" spans="3:4">
      <c r="C115" t="s">
        <v>386</v>
      </c>
      <c r="D115" t="s">
        <v>387</v>
      </c>
    </row>
    <row r="116" spans="3:4">
      <c r="C116" t="s">
        <v>388</v>
      </c>
      <c r="D116" t="s">
        <v>389</v>
      </c>
    </row>
    <row r="117" spans="3:4">
      <c r="C117" t="s">
        <v>390</v>
      </c>
      <c r="D117" t="s">
        <v>391</v>
      </c>
    </row>
    <row r="118" spans="3:4">
      <c r="C118" t="s">
        <v>392</v>
      </c>
      <c r="D118" t="s">
        <v>393</v>
      </c>
    </row>
    <row r="119" spans="3:4">
      <c r="C119" t="s">
        <v>394</v>
      </c>
      <c r="D119" t="s">
        <v>395</v>
      </c>
    </row>
    <row r="120" spans="3:4">
      <c r="C120" t="s">
        <v>396</v>
      </c>
      <c r="D120" t="s">
        <v>397</v>
      </c>
    </row>
    <row r="121" spans="3:4">
      <c r="C121" t="s">
        <v>398</v>
      </c>
      <c r="D121" t="s">
        <v>399</v>
      </c>
    </row>
    <row r="122" spans="3:4">
      <c r="C122" t="s">
        <v>400</v>
      </c>
      <c r="D122" t="s">
        <v>401</v>
      </c>
    </row>
    <row r="123" spans="3:4">
      <c r="C123" t="s">
        <v>402</v>
      </c>
      <c r="D123" t="s">
        <v>403</v>
      </c>
    </row>
    <row r="124" spans="3:4">
      <c r="C124" t="s">
        <v>404</v>
      </c>
      <c r="D124" t="s">
        <v>405</v>
      </c>
    </row>
    <row r="125" spans="3:4">
      <c r="C125" t="s">
        <v>406</v>
      </c>
      <c r="D125" t="s">
        <v>407</v>
      </c>
    </row>
    <row r="126" spans="3:4">
      <c r="C126" t="s">
        <v>408</v>
      </c>
      <c r="D126" t="s">
        <v>409</v>
      </c>
    </row>
    <row r="127" spans="3:4">
      <c r="C127" t="s">
        <v>410</v>
      </c>
      <c r="D127" t="s">
        <v>411</v>
      </c>
    </row>
    <row r="128" spans="3:4">
      <c r="C128" t="s">
        <v>412</v>
      </c>
      <c r="D128" t="s">
        <v>413</v>
      </c>
    </row>
    <row r="129" spans="3:4">
      <c r="C129" t="s">
        <v>414</v>
      </c>
      <c r="D129" t="s">
        <v>415</v>
      </c>
    </row>
    <row r="130" spans="3:4">
      <c r="C130" t="s">
        <v>416</v>
      </c>
      <c r="D130" t="s">
        <v>417</v>
      </c>
    </row>
    <row r="131" spans="3:4">
      <c r="C131" t="s">
        <v>418</v>
      </c>
      <c r="D131" t="s">
        <v>419</v>
      </c>
    </row>
    <row r="132" spans="3:4">
      <c r="C132" t="s">
        <v>420</v>
      </c>
      <c r="D132" t="s">
        <v>421</v>
      </c>
    </row>
    <row r="133" spans="3:4">
      <c r="C133" t="s">
        <v>422</v>
      </c>
      <c r="D133" t="s">
        <v>423</v>
      </c>
    </row>
    <row r="134" spans="3:4">
      <c r="C134" t="s">
        <v>424</v>
      </c>
      <c r="D134" t="s">
        <v>425</v>
      </c>
    </row>
    <row r="135" spans="3:4">
      <c r="C135" t="s">
        <v>426</v>
      </c>
      <c r="D135" t="s">
        <v>427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9" sqref="B9"/>
    </sheetView>
  </sheetViews>
  <sheetFormatPr defaultColWidth="7.375" defaultRowHeight="15.75"/>
  <cols>
    <col min="1" max="1" width="2.125" style="15" customWidth="1"/>
    <col min="2" max="2" width="24" style="15" customWidth="1"/>
    <col min="3" max="3" width="80.625" style="15" customWidth="1"/>
    <col min="4" max="16384" width="7.375" style="15"/>
  </cols>
  <sheetData>
    <row r="2" spans="2:3">
      <c r="B2" s="13" t="s">
        <v>428</v>
      </c>
      <c r="C2" s="14" t="s">
        <v>429</v>
      </c>
    </row>
    <row r="3" spans="2:3">
      <c r="B3" s="27" t="s">
        <v>428</v>
      </c>
      <c r="C3" s="28" t="s">
        <v>430</v>
      </c>
    </row>
    <row r="4" spans="2:3" ht="30" customHeight="1">
      <c r="B4" s="34" t="s">
        <v>431</v>
      </c>
      <c r="C4" s="20" t="s">
        <v>432</v>
      </c>
    </row>
    <row r="5" spans="2:3" ht="30" customHeight="1">
      <c r="B5" s="23" t="s">
        <v>433</v>
      </c>
      <c r="C5" s="29" t="s">
        <v>434</v>
      </c>
    </row>
    <row r="6" spans="2:3" ht="30" customHeight="1">
      <c r="B6" s="23" t="s">
        <v>435</v>
      </c>
      <c r="C6" s="29" t="s">
        <v>436</v>
      </c>
    </row>
    <row r="7" spans="2:3" ht="30" customHeight="1">
      <c r="B7" s="22" t="s">
        <v>437</v>
      </c>
      <c r="C7" s="22" t="s">
        <v>438</v>
      </c>
    </row>
    <row r="8" spans="2:3" ht="30" customHeight="1">
      <c r="B8" s="22" t="s">
        <v>439</v>
      </c>
      <c r="C8" s="22" t="s">
        <v>440</v>
      </c>
    </row>
    <row r="9" spans="2:3" ht="30" customHeight="1">
      <c r="B9" s="23" t="s">
        <v>441</v>
      </c>
      <c r="C9" s="29" t="s">
        <v>442</v>
      </c>
    </row>
    <row r="10" spans="2:3" ht="30" customHeight="1">
      <c r="B10" s="24" t="s">
        <v>443</v>
      </c>
      <c r="C10" s="24" t="s">
        <v>444</v>
      </c>
    </row>
    <row r="11" spans="2:3" ht="30" customHeight="1">
      <c r="B11" s="23" t="s">
        <v>445</v>
      </c>
      <c r="C11" s="24" t="s">
        <v>446</v>
      </c>
    </row>
    <row r="12" spans="2:3" ht="30" customHeight="1">
      <c r="B12" s="21" t="s">
        <v>447</v>
      </c>
      <c r="C12" s="24" t="s">
        <v>448</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5">
      <c r="B25" s="25" t="s">
        <v>449</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election activeCell="C16" sqref="C16"/>
    </sheetView>
  </sheetViews>
  <sheetFormatPr defaultColWidth="7.375" defaultRowHeight="15.75"/>
  <cols>
    <col min="1" max="1" width="2.125" style="15" customWidth="1"/>
    <col min="2" max="3" width="24" style="15" customWidth="1"/>
    <col min="4" max="4" width="80.625" style="15" customWidth="1"/>
    <col min="5" max="16384" width="7.375" style="15"/>
  </cols>
  <sheetData>
    <row r="2" spans="2:4">
      <c r="B2" s="13" t="s">
        <v>450</v>
      </c>
      <c r="C2" s="13"/>
      <c r="D2" s="14" t="s">
        <v>429</v>
      </c>
    </row>
    <row r="3" spans="2:4">
      <c r="B3" s="16" t="s">
        <v>451</v>
      </c>
      <c r="C3" s="91" t="s">
        <v>452</v>
      </c>
      <c r="D3" s="91"/>
    </row>
    <row r="4" spans="2:4">
      <c r="B4" s="17" t="s">
        <v>34</v>
      </c>
      <c r="C4" s="18" t="s">
        <v>35</v>
      </c>
      <c r="D4" s="19" t="s">
        <v>453</v>
      </c>
    </row>
    <row r="5" spans="2:4" ht="30" customHeight="1">
      <c r="B5" s="34" t="s">
        <v>54</v>
      </c>
      <c r="C5" s="20" t="s">
        <v>454</v>
      </c>
      <c r="D5" s="20" t="s">
        <v>432</v>
      </c>
    </row>
    <row r="6" spans="2:4" ht="30" customHeight="1">
      <c r="B6" s="23" t="s">
        <v>54</v>
      </c>
      <c r="C6" s="29" t="s">
        <v>455</v>
      </c>
      <c r="D6" s="24" t="s">
        <v>456</v>
      </c>
    </row>
    <row r="7" spans="2:4" ht="30" customHeight="1">
      <c r="B7" s="23" t="s">
        <v>54</v>
      </c>
      <c r="C7" s="29" t="s">
        <v>457</v>
      </c>
      <c r="D7" s="24" t="s">
        <v>458</v>
      </c>
    </row>
    <row r="8" spans="2:4" ht="30" customHeight="1">
      <c r="B8" s="23" t="s">
        <v>54</v>
      </c>
      <c r="C8" s="29" t="s">
        <v>459</v>
      </c>
      <c r="D8" s="24" t="s">
        <v>460</v>
      </c>
    </row>
    <row r="9" spans="2:4" ht="30" customHeight="1">
      <c r="B9" s="23" t="s">
        <v>54</v>
      </c>
      <c r="C9" s="22" t="s">
        <v>461</v>
      </c>
      <c r="D9" s="24" t="s">
        <v>462</v>
      </c>
    </row>
    <row r="10" spans="2:4" ht="30" customHeight="1">
      <c r="B10" s="23" t="s">
        <v>54</v>
      </c>
      <c r="C10" s="22" t="s">
        <v>463</v>
      </c>
      <c r="D10" s="24" t="s">
        <v>464</v>
      </c>
    </row>
    <row r="11" spans="2:4" ht="30" customHeight="1">
      <c r="B11" s="23" t="s">
        <v>465</v>
      </c>
      <c r="C11" s="29" t="s">
        <v>466</v>
      </c>
      <c r="D11" s="24" t="s">
        <v>467</v>
      </c>
    </row>
    <row r="12" spans="2:4" ht="30" customHeight="1">
      <c r="B12" s="23" t="s">
        <v>468</v>
      </c>
      <c r="C12" s="22" t="s">
        <v>469</v>
      </c>
      <c r="D12" s="24" t="s">
        <v>470</v>
      </c>
    </row>
    <row r="13" spans="2:4" ht="30" customHeight="1">
      <c r="B13" s="23" t="s">
        <v>471</v>
      </c>
      <c r="C13" s="24" t="s">
        <v>472</v>
      </c>
      <c r="D13" s="24" t="s">
        <v>473</v>
      </c>
    </row>
    <row r="14" spans="2:4" ht="30" customHeight="1">
      <c r="B14" s="23" t="s">
        <v>474</v>
      </c>
      <c r="C14" s="24" t="s">
        <v>475</v>
      </c>
      <c r="D14" s="24" t="s">
        <v>476</v>
      </c>
    </row>
    <row r="15" spans="2:4" ht="30" customHeight="1">
      <c r="B15" s="23" t="s">
        <v>477</v>
      </c>
      <c r="C15" s="24" t="s">
        <v>478</v>
      </c>
      <c r="D15" s="24" t="s">
        <v>479</v>
      </c>
    </row>
    <row r="16" spans="2:4" ht="30" customHeight="1">
      <c r="B16" s="23" t="s">
        <v>480</v>
      </c>
      <c r="C16" s="24" t="s">
        <v>112</v>
      </c>
      <c r="D16" s="24" t="s">
        <v>481</v>
      </c>
    </row>
    <row r="17" spans="2:4" ht="30" customHeight="1">
      <c r="B17" s="23" t="s">
        <v>482</v>
      </c>
      <c r="C17" s="22" t="s">
        <v>483</v>
      </c>
      <c r="D17" s="24" t="s">
        <v>484</v>
      </c>
    </row>
    <row r="18" spans="2:4" ht="30" customHeight="1">
      <c r="B18" s="23" t="s">
        <v>482</v>
      </c>
      <c r="C18" s="24" t="s">
        <v>485</v>
      </c>
      <c r="D18" s="24" t="s">
        <v>486</v>
      </c>
    </row>
    <row r="19" spans="2:4" ht="30" customHeight="1">
      <c r="B19" s="24" t="s">
        <v>487</v>
      </c>
      <c r="C19" s="24" t="s">
        <v>488</v>
      </c>
      <c r="D19" s="24" t="s">
        <v>489</v>
      </c>
    </row>
    <row r="20" spans="2:4" ht="30" customHeight="1">
      <c r="B20" s="22" t="s">
        <v>490</v>
      </c>
      <c r="C20" s="22" t="s">
        <v>491</v>
      </c>
      <c r="D20" s="24" t="s">
        <v>446</v>
      </c>
    </row>
    <row r="21" spans="2:4" ht="30" customHeight="1">
      <c r="B21" s="22" t="s">
        <v>492</v>
      </c>
      <c r="C21" s="22" t="s">
        <v>493</v>
      </c>
      <c r="D21" s="24" t="s">
        <v>494</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5">
      <c r="B26" s="25" t="s">
        <v>449</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01F60A-80A0-4F1C-B600-9497152AC8C5}"/>
</file>

<file path=customXml/itemProps2.xml><?xml version="1.0" encoding="utf-8"?>
<ds:datastoreItem xmlns:ds="http://schemas.openxmlformats.org/officeDocument/2006/customXml" ds:itemID="{42BFFD2E-9D0D-46DF-9BFC-3133369B5367}"/>
</file>

<file path=customXml/itemProps3.xml><?xml version="1.0" encoding="utf-8"?>
<ds:datastoreItem xmlns:ds="http://schemas.openxmlformats.org/officeDocument/2006/customXml" ds:itemID="{5417E360-9BDB-4D98-A36D-0E33E6E4AD8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2023-10-31T09:03:44Z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