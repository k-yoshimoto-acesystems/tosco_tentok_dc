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50" documentId="11_366706FFE28BF46444578F2AE6778C60EFDB58BF" xr6:coauthVersionLast="47" xr6:coauthVersionMax="47" xr10:uidLastSave="{AF807BE7-2E36-470D-BB0A-44DBE301244E}"/>
  <bookViews>
    <workbookView xWindow="-108" yWindow="-108" windowWidth="23256" windowHeight="131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レビュー表!$A$24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M5" i="1" l="1"/>
  <c r="A23" i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S5" i="1"/>
  <c r="Q5" i="1"/>
  <c r="W5" i="1"/>
  <c r="J2" i="1" l="1"/>
</calcChain>
</file>

<file path=xl/sharedStrings.xml><?xml version="1.0" encoding="utf-8"?>
<sst xmlns="http://schemas.openxmlformats.org/spreadsheetml/2006/main" count="436" uniqueCount="416">
  <si>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</si>
  <si>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</si>
  <si>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</si>
  <si>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</si>
  <si>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</si>
  <si>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</si>
  <si>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</si>
  <si>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C1405</t>
  </si>
  <si>
    <t>レビューイ①</t>
  </si>
  <si>
    <t>早川</t>
  </si>
  <si>
    <t>レビューア①</t>
    <phoneticPr fontId="2"/>
  </si>
  <si>
    <t>下井</t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</si>
  <si>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</si>
  <si>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</si>
  <si>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</si>
  <si>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</si>
  <si>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</si>
  <si>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</si>
  <si>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</si>
  <si>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</si>
  <si>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</si>
  <si>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</si>
  <si>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</si>
  <si>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</si>
  <si>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</si>
  <si>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rev.2</t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</si>
  <si>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</si>
  <si>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</si>
  <si>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</si>
  <si>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</si>
  <si>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</si>
  <si>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</si>
  <si>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</si>
  <si>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</si>
  <si>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</si>
  <si>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</si>
  <si>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</si>
  <si>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</si>
  <si>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</si>
  <si>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</si>
  <si>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</si>
  <si>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</si>
  <si>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</si>
  <si>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</si>
  <si>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</si>
  <si>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</si>
  <si>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</si>
  <si>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COMC1405001S
COMC1405002S
COMC1405003S</t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</si>
  <si>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</si>
  <si>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</si>
  <si>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</si>
  <si>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</si>
  <si>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</si>
  <si>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</si>
  <si>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</si>
  <si>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</si>
  <si>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</si>
  <si>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</si>
  <si>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</si>
  <si>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</si>
  <si>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</si>
  <si>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</si>
  <si>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</si>
  <si>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</si>
  <si>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</si>
  <si>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</si>
  <si>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</si>
  <si>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</si>
  <si>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</si>
  <si>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</si>
  <si>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</si>
  <si>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</si>
  <si>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</si>
  <si>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</si>
  <si>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</si>
  <si>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</si>
  <si>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</si>
  <si>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</si>
  <si>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</si>
  <si>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</si>
  <si>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</si>
  <si>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</si>
  <si>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</si>
  <si>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</si>
  <si>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</si>
  <si>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</si>
  <si>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</si>
  <si>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</si>
  <si>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</si>
  <si>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</si>
  <si>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</si>
  <si>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</si>
  <si>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</si>
  <si>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</si>
  <si>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</si>
  <si>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</si>
  <si>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</si>
  <si>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</si>
  <si>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</si>
  <si>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</si>
  <si>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</si>
  <si>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</si>
  <si>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</si>
  <si>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</si>
  <si>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</si>
  <si>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</si>
  <si>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</si>
  <si>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</si>
  <si>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</si>
  <si>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</si>
  <si>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</si>
  <si>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</si>
  <si>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</si>
  <si>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</si>
  <si>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</si>
  <si>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</si>
  <si>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</si>
  <si>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</si>
  <si>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</si>
  <si>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</si>
  <si>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</si>
  <si>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</si>
  <si>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</si>
  <si>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</si>
  <si>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</si>
  <si>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</si>
  <si>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</si>
  <si>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</si>
  <si>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</si>
  <si>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</si>
  <si>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</si>
  <si>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</si>
  <si>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</si>
  <si>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</si>
  <si>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</si>
  <si>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</si>
  <si>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</si>
  <si>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</si>
  <si>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</si>
  <si>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</si>
  <si>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</si>
  <si>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</si>
  <si>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</si>
  <si>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</si>
  <si>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</si>
  <si>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</si>
  <si>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</si>
  <si>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</si>
  <si>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</si>
  <si>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</si>
  <si>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</si>
  <si>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</si>
  <si>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</si>
  <si>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</si>
  <si>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</si>
  <si>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</si>
  <si>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</si>
  <si>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</si>
  <si>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</si>
  <si>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</si>
  <si>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</si>
  <si>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</si>
  <si>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</si>
  <si>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</si>
  <si>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</si>
  <si>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</si>
  <si>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</si>
  <si>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</si>
  <si>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</si>
  <si>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</si>
  <si>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</si>
  <si>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</si>
  <si>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</si>
  <si>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</si>
  <si>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</si>
  <si>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</si>
  <si>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</si>
  <si>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</si>
  <si>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</si>
  <si>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</si>
  <si>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</si>
  <si>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</si>
  <si>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</si>
  <si>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</si>
  <si>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</si>
  <si>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</si>
  <si>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</si>
  <si>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</si>
  <si>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</si>
  <si>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</si>
  <si>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</si>
  <si>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</si>
  <si>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</si>
  <si>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</si>
  <si>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</si>
  <si>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</si>
  <si>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</si>
  <si>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</si>
  <si>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</si>
  <si>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</si>
  <si>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</si>
  <si>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</si>
  <si>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</si>
  <si>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</si>
  <si>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</si>
  <si>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</si>
  <si>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</si>
  <si>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</si>
  <si>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</si>
  <si>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</si>
  <si>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</si>
  <si>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</si>
  <si>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</si>
  <si>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</si>
  <si>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</si>
  <si>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</si>
  <si>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</si>
  <si>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</si>
  <si>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</si>
  <si>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</si>
  <si>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</si>
  <si>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</si>
  <si>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</si>
  <si>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</si>
  <si>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</si>
  <si>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</si>
  <si>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</si>
  <si>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</si>
  <si>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</si>
  <si>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</si>
  <si>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</si>
  <si>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</si>
  <si>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</si>
  <si>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</si>
  <si>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</si>
  <si>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</si>
  <si>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</si>
  <si>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</si>
  <si>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</si>
  <si>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</si>
  <si>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</si>
  <si>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</si>
  <si>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</si>
  <si>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</si>
  <si>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</si>
  <si>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</si>
  <si>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</si>
  <si>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</si>
  <si>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</si>
  <si>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</si>
  <si>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</si>
  <si>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</si>
  <si>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</si>
  <si>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</si>
  <si>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</si>
  <si>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</si>
  <si>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</si>
  <si>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</si>
  <si>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</si>
  <si>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</si>
  <si>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</si>
  <si>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</si>
  <si>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</si>
  <si>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</si>
  <si>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</si>
  <si>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</si>
  <si>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</si>
  <si>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</si>
  <si>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</si>
  <si>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</si>
  <si>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</si>
  <si>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</si>
  <si>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</si>
  <si>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</si>
  <si>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</si>
  <si>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</si>
  <si>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</si>
  <si>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</si>
  <si>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</si>
  <si>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</si>
  <si>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</si>
  <si>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</si>
  <si>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</si>
  <si>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</si>
  <si>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</si>
  <si>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</si>
  <si>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</si>
  <si>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</si>
  <si>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</si>
  <si>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</si>
  <si>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</si>
  <si>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</si>
  <si>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</si>
  <si>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</si>
  <si>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</si>
  <si>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</si>
  <si>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</si>
  <si>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</si>
  <si>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</si>
  <si>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</si>
  <si>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</si>
  <si>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</si>
  <si>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</si>
  <si>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</si>
  <si>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</si>
  <si>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</si>
  <si>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</si>
  <si>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</si>
  <si>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</si>
  <si>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</si>
  <si>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</si>
  <si>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</si>
  <si>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</si>
  <si>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</si>
  <si>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</si>
  <si>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</si>
  <si>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</si>
  <si>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</si>
  <si>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</si>
  <si>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</si>
  <si>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</si>
  <si>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</si>
  <si>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</si>
  <si>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</si>
  <si>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</si>
  <si>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</si>
  <si>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</si>
  <si>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</si>
  <si>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</si>
  <si>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</si>
  <si>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</si>
  <si>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</si>
  <si>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</si>
  <si>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</si>
  <si>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</si>
  <si>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</si>
  <si>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</si>
  <si>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</si>
  <si>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</si>
  <si>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</si>
  <si>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</si>
  <si>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</si>
  <si>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</si>
  <si>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</si>
  <si>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</si>
  <si>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</si>
  <si>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</si>
  <si>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</si>
  <si>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</si>
  <si>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</si>
  <si>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</si>
  <si>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</si>
  <si>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</si>
  <si>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</si>
  <si>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</si>
  <si>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</si>
  <si>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</si>
  <si>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</si>
  <si>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</si>
  <si>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</si>
  <si>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</si>
  <si>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</si>
  <si>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</si>
  <si>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</si>
  <si>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</si>
  <si>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</si>
  <si>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</si>
  <si>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</si>
  <si>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</si>
  <si>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</si>
  <si>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</si>
  <si>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</si>
  <si>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</si>
  <si>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</si>
  <si>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</si>
  <si>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</si>
  <si>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</si>
  <si>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</si>
  <si>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</si>
  <si>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</si>
  <si>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</si>
  <si>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</si>
  <si>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</si>
  <si>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</si>
  <si>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</si>
  <si>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</si>
  <si>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</si>
  <si>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</si>
  <si>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</si>
  <si>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</si>
  <si>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</si>
  <si>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</si>
  <si>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</si>
  <si>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</si>
  <si>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</si>
  <si>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</si>
  <si>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</si>
  <si>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</si>
  <si>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</si>
  <si>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</si>
  <si>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</si>
  <si>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</si>
  <si>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</si>
  <si>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</si>
  <si>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</si>
  <si>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</si>
  <si>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</si>
  <si>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</si>
  <si>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</si>
  <si>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</si>
  <si>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</si>
  <si>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</si>
  <si>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</si>
  <si>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</si>
  <si>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6:処理検討不足</t>
  </si>
  <si>
    <t>SQL　成形実績情報.作業日に対する画面項目.期間の抽出
おそらく期間FROMとTOのor条件では抽出が効かないと思われる。</t>
    <rPh sb="4" eb="8">
      <t>セイケイジッセキ</t>
    </rPh>
    <rPh sb="8" eb="10">
      <t>ジョウホウ</t>
    </rPh>
    <rPh sb="11" eb="14">
      <t>サギョウビ</t>
    </rPh>
    <rPh sb="15" eb="16">
      <t>タイ</t>
    </rPh>
    <rPh sb="18" eb="22">
      <t>ガメンコウモク</t>
    </rPh>
    <rPh sb="23" eb="25">
      <t>キカン</t>
    </rPh>
    <rPh sb="26" eb="28">
      <t>チュウシュツ</t>
    </rPh>
    <rPh sb="33" eb="35">
      <t>キカン</t>
    </rPh>
    <rPh sb="45" eb="47">
      <t>ジョウケン</t>
    </rPh>
    <rPh sb="49" eb="51">
      <t>チュウシュツ</t>
    </rPh>
    <rPh sb="52" eb="53">
      <t>キ</t>
    </rPh>
    <rPh sb="57" eb="58">
      <t>オモ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</si>
</sst>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4"/>
  <sheetViews>
    <sheetView showGridLines="0" tabSelected="1" workbookViewId="0">
      <selection sqref="A1:D1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 x14ac:dyDescent="0.3">
      <c r="A2" s="84" t="s">
        <v>5</v>
      </c>
      <c r="B2" s="86"/>
      <c r="C2" s="86"/>
      <c r="D2" s="85"/>
      <c r="E2" s="84" t="s">
        <v>6</v>
      </c>
      <c r="F2" s="86" t="s">
        <v>6</v>
      </c>
      <c r="G2" s="85" t="s">
        <v>6</v>
      </c>
      <c r="H2" s="84" t="s">
        <v>7</v>
      </c>
      <c r="I2" s="85"/>
      <c r="J2" s="4" t="str">
        <f>IF(H2="","",VLOOKUP(H2,マスタ!C:D,2,FALSE))</f>
        <v>生産実績一覧（コーヒーフィルタ）</v>
      </c>
      <c r="K2" s="5"/>
      <c r="L2" s="5"/>
      <c r="M2" s="5"/>
      <c r="N2" s="5"/>
      <c r="O2" s="6"/>
      <c r="P2" s="84"/>
      <c r="Q2" s="85"/>
      <c r="AE2" s="10" t="s">
        <v>8</v>
      </c>
      <c r="AF2" s="8"/>
      <c r="AG2" s="9"/>
      <c r="AH2" s="53" t="s">
        <v>9</v>
      </c>
      <c r="AI2" s="54"/>
      <c r="AJ2" s="54"/>
      <c r="AK2" s="55"/>
      <c r="AM2" s="10" t="s">
        <v>10</v>
      </c>
      <c r="AN2" s="8"/>
      <c r="AO2" s="9"/>
      <c r="AP2" s="53" t="s">
        <v>11</v>
      </c>
      <c r="AQ2" s="54"/>
      <c r="AR2" s="54"/>
      <c r="AS2" s="55"/>
    </row>
    <row r="3" spans="1:71" customFormat="1" ht="15" customHeight="1" x14ac:dyDescent="0.3">
      <c r="AE3" s="10" t="s">
        <v>12</v>
      </c>
      <c r="AF3" s="8"/>
      <c r="AG3" s="9"/>
      <c r="AH3" s="53"/>
      <c r="AI3" s="54"/>
      <c r="AJ3" s="54"/>
      <c r="AK3" s="55"/>
      <c r="AM3" s="10" t="s">
        <v>13</v>
      </c>
      <c r="AN3" s="8"/>
      <c r="AO3" s="9"/>
      <c r="AP3" s="53"/>
      <c r="AQ3" s="54"/>
      <c r="AR3" s="54"/>
      <c r="AS3" s="55"/>
    </row>
    <row r="4" spans="1:71" customFormat="1" ht="15" customHeight="1" x14ac:dyDescent="0.3">
      <c r="A4" s="74" t="s">
        <v>14</v>
      </c>
      <c r="B4" s="77"/>
      <c r="C4" s="75"/>
      <c r="D4" s="76" t="s">
        <v>15</v>
      </c>
      <c r="E4" s="77"/>
      <c r="F4" s="75"/>
      <c r="G4" s="76" t="s">
        <v>16</v>
      </c>
      <c r="H4" s="77"/>
      <c r="I4" s="75"/>
      <c r="J4" s="76" t="s">
        <v>17</v>
      </c>
      <c r="K4" s="77"/>
      <c r="L4" s="75"/>
      <c r="M4" s="76" t="s">
        <v>18</v>
      </c>
      <c r="N4" s="77"/>
      <c r="O4" s="75"/>
      <c r="P4" s="12"/>
      <c r="Q4" s="74" t="s">
        <v>19</v>
      </c>
      <c r="R4" s="75"/>
      <c r="S4" s="76" t="s">
        <v>20</v>
      </c>
      <c r="T4" s="77"/>
      <c r="U4" s="77"/>
      <c r="V4" s="75"/>
      <c r="W4" s="76" t="s">
        <v>21</v>
      </c>
      <c r="X4" s="77"/>
      <c r="Y4" s="75"/>
      <c r="Z4" s="76" t="s">
        <v>22</v>
      </c>
      <c r="AA4" s="77"/>
      <c r="AB4" s="75"/>
      <c r="AE4" s="10" t="s">
        <v>23</v>
      </c>
      <c r="AF4" s="8"/>
      <c r="AG4" s="9"/>
      <c r="AH4" s="53"/>
      <c r="AI4" s="54"/>
      <c r="AJ4" s="54"/>
      <c r="AK4" s="55"/>
      <c r="AM4" s="10" t="s">
        <v>24</v>
      </c>
      <c r="AN4" s="8"/>
      <c r="AO4" s="9"/>
      <c r="AP4" s="53"/>
      <c r="AQ4" s="54"/>
      <c r="AR4" s="54"/>
      <c r="AS4" s="55"/>
    </row>
    <row r="5" spans="1:71" customFormat="1" ht="15" customHeight="1" x14ac:dyDescent="0.3">
      <c r="A5" s="87" t="s">
        <v>25</v>
      </c>
      <c r="B5" s="88"/>
      <c r="C5" s="89"/>
      <c r="D5" s="78">
        <v>45264</v>
      </c>
      <c r="E5" s="79"/>
      <c r="F5" s="80"/>
      <c r="G5" s="81"/>
      <c r="H5" s="82"/>
      <c r="I5" s="83"/>
      <c r="J5" s="81"/>
      <c r="K5" s="82"/>
      <c r="L5" s="83"/>
      <c r="M5" s="81">
        <f>J5-G5</f>
        <v>0</v>
      </c>
      <c r="N5" s="82"/>
      <c r="O5" s="83"/>
      <c r="P5" s="2"/>
      <c r="Q5" s="84">
        <f ca="1">COUNT(INDIRECT("$A9:$A"&amp;ROW(最終行)))</f>
        <v>1</v>
      </c>
      <c r="R5" s="85"/>
      <c r="S5" s="78" t="str">
        <f ca="1">IF(MAX(INDIRECT("$BB9:$BB"&amp;ROW(最終行)))=0,"",MAX(INDIRECT("$BB9:$BB"&amp;ROW(最終行))))</f>
        <v/>
      </c>
      <c r="T5" s="79"/>
      <c r="U5" s="79"/>
      <c r="V5" s="80"/>
      <c r="W5" s="78" t="str">
        <f ca="1">IF(MAX(INDIRECT("$BE9:$BE"&amp;ROW(最終行)))=0,"",MAX(INDIRECT("$BE9:$BE"&amp;ROW(最終行))))</f>
        <v/>
      </c>
      <c r="X5" s="79"/>
      <c r="Y5" s="80"/>
      <c r="Z5" s="78" t="str">
        <f ca="1">IF(MAX(INDIRECT("$BK9:$BK"&amp;ROW(最終行)))=0,"",MAX(INDIRECT("$BK9:$BK"&amp;ROW(最終行))))</f>
        <v/>
      </c>
      <c r="AA5" s="79"/>
      <c r="AB5" s="80"/>
      <c r="AD5" s="11"/>
      <c r="AE5" s="10" t="s">
        <v>26</v>
      </c>
      <c r="AF5" s="8"/>
      <c r="AG5" s="9"/>
      <c r="AH5" s="53"/>
      <c r="AI5" s="54"/>
      <c r="AJ5" s="54"/>
      <c r="AK5" s="55"/>
      <c r="AM5" s="10" t="s">
        <v>27</v>
      </c>
      <c r="AN5" s="8"/>
      <c r="AO5" s="9"/>
      <c r="AP5" s="53"/>
      <c r="AQ5" s="54"/>
      <c r="AR5" s="54"/>
      <c r="AS5" s="55"/>
    </row>
    <row r="6" spans="1:71" customFormat="1" ht="15" customHeight="1" x14ac:dyDescent="0.3"/>
    <row r="7" spans="1:71" s="1" customFormat="1" ht="15" customHeight="1" x14ac:dyDescent="0.3">
      <c r="A7" s="68" t="s">
        <v>28</v>
      </c>
      <c r="B7" s="62" t="s">
        <v>29</v>
      </c>
      <c r="C7" s="63"/>
      <c r="D7" s="62" t="s">
        <v>30</v>
      </c>
      <c r="E7" s="66"/>
      <c r="F7" s="66"/>
      <c r="G7" s="66"/>
      <c r="H7" s="63"/>
      <c r="I7" s="62" t="s">
        <v>31</v>
      </c>
      <c r="J7" s="66"/>
      <c r="K7" s="66"/>
      <c r="L7" s="63"/>
      <c r="M7" s="62" t="s">
        <v>32</v>
      </c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3"/>
      <c r="Z7" s="62" t="s">
        <v>33</v>
      </c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3"/>
      <c r="AM7" s="62" t="s">
        <v>34</v>
      </c>
      <c r="AN7" s="66"/>
      <c r="AO7" s="63"/>
      <c r="AP7" s="70" t="s">
        <v>35</v>
      </c>
      <c r="AQ7" s="70"/>
      <c r="AR7" s="70"/>
      <c r="AS7" s="70"/>
      <c r="AT7" s="70"/>
      <c r="AU7" s="70"/>
      <c r="AV7" s="70"/>
      <c r="AW7" s="70"/>
      <c r="AX7" s="70"/>
      <c r="AY7" s="56" t="s">
        <v>36</v>
      </c>
      <c r="AZ7" s="57"/>
      <c r="BA7" s="57"/>
      <c r="BB7" s="57"/>
      <c r="BC7" s="57"/>
      <c r="BD7" s="57"/>
      <c r="BE7" s="57"/>
      <c r="BF7" s="57"/>
      <c r="BG7" s="58"/>
      <c r="BH7" s="70" t="s">
        <v>37</v>
      </c>
      <c r="BI7" s="70"/>
      <c r="BJ7" s="70"/>
      <c r="BK7" s="70"/>
      <c r="BL7" s="70"/>
      <c r="BM7" s="70"/>
      <c r="BN7" s="56" t="s">
        <v>38</v>
      </c>
      <c r="BO7" s="57"/>
      <c r="BP7" s="57"/>
      <c r="BQ7" s="57"/>
      <c r="BR7" s="57"/>
      <c r="BS7" s="58"/>
    </row>
    <row r="8" spans="1:71" s="1" customFormat="1" ht="15" customHeight="1" x14ac:dyDescent="0.3">
      <c r="A8" s="69"/>
      <c r="B8" s="64"/>
      <c r="C8" s="65"/>
      <c r="D8" s="64"/>
      <c r="E8" s="67"/>
      <c r="F8" s="67"/>
      <c r="G8" s="67"/>
      <c r="H8" s="65"/>
      <c r="I8" s="64"/>
      <c r="J8" s="67"/>
      <c r="K8" s="67"/>
      <c r="L8" s="65"/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5"/>
      <c r="Z8" s="64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5"/>
      <c r="AM8" s="64"/>
      <c r="AN8" s="67"/>
      <c r="AO8" s="65"/>
      <c r="AP8" s="59" t="s">
        <v>39</v>
      </c>
      <c r="AQ8" s="60"/>
      <c r="AR8" s="61"/>
      <c r="AS8" s="59" t="s">
        <v>40</v>
      </c>
      <c r="AT8" s="60"/>
      <c r="AU8" s="61"/>
      <c r="AV8" s="59" t="s">
        <v>41</v>
      </c>
      <c r="AW8" s="60"/>
      <c r="AX8" s="61"/>
      <c r="AY8" s="71" t="s">
        <v>42</v>
      </c>
      <c r="AZ8" s="72"/>
      <c r="BA8" s="73"/>
      <c r="BB8" s="71" t="s">
        <v>43</v>
      </c>
      <c r="BC8" s="72"/>
      <c r="BD8" s="73"/>
      <c r="BE8" s="71" t="s">
        <v>44</v>
      </c>
      <c r="BF8" s="72"/>
      <c r="BG8" s="73"/>
      <c r="BH8" s="59" t="s">
        <v>45</v>
      </c>
      <c r="BI8" s="60"/>
      <c r="BJ8" s="61"/>
      <c r="BK8" s="71" t="s">
        <v>46</v>
      </c>
      <c r="BL8" s="72"/>
      <c r="BM8" s="73"/>
      <c r="BN8" s="59"/>
      <c r="BO8" s="60"/>
      <c r="BP8" s="60"/>
      <c r="BQ8" s="60"/>
      <c r="BR8" s="60"/>
      <c r="BS8" s="61"/>
    </row>
    <row r="9" spans="1:71" ht="60" customHeight="1" x14ac:dyDescent="0.3">
      <c r="A9" s="7">
        <f>IF(M9="","",COUNTA($M$9:M9))</f>
        <v>1</v>
      </c>
      <c r="B9" s="47" t="s">
        <v>11</v>
      </c>
      <c r="C9" s="49"/>
      <c r="D9" s="35" t="s">
        <v>47</v>
      </c>
      <c r="E9" s="51"/>
      <c r="F9" s="51"/>
      <c r="G9" s="51"/>
      <c r="H9" s="52"/>
      <c r="I9" s="36" t="s">
        <v>414</v>
      </c>
      <c r="J9" s="36"/>
      <c r="K9" s="36"/>
      <c r="L9" s="36"/>
      <c r="M9" s="35" t="s">
        <v>415</v>
      </c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7"/>
      <c r="Z9" s="35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7"/>
      <c r="AM9" s="35"/>
      <c r="AN9" s="36"/>
      <c r="AO9" s="37"/>
      <c r="AP9" s="41"/>
      <c r="AQ9" s="42"/>
      <c r="AR9" s="43"/>
      <c r="AS9" s="41"/>
      <c r="AT9" s="42"/>
      <c r="AU9" s="43"/>
      <c r="AV9" s="41"/>
      <c r="AW9" s="42"/>
      <c r="AX9" s="43"/>
      <c r="AY9" s="47"/>
      <c r="AZ9" s="48"/>
      <c r="BA9" s="49"/>
      <c r="BB9" s="44"/>
      <c r="BC9" s="45"/>
      <c r="BD9" s="46"/>
      <c r="BE9" s="44"/>
      <c r="BF9" s="45"/>
      <c r="BG9" s="46"/>
      <c r="BH9" s="47"/>
      <c r="BI9" s="48"/>
      <c r="BJ9" s="49"/>
      <c r="BK9" s="44"/>
      <c r="BL9" s="45"/>
      <c r="BM9" s="46"/>
      <c r="BN9" s="35"/>
      <c r="BO9" s="36"/>
      <c r="BP9" s="36"/>
      <c r="BQ9" s="36"/>
      <c r="BR9" s="36"/>
      <c r="BS9" s="37"/>
    </row>
    <row r="10" spans="1:71" ht="60" customHeight="1" x14ac:dyDescent="0.3">
      <c r="A10" s="7" t="str">
        <f>IF(M10="","",COUNTA($M$9:M10))</f>
        <v/>
      </c>
      <c r="B10" s="47"/>
      <c r="C10" s="49"/>
      <c r="D10" s="50"/>
      <c r="E10" s="51"/>
      <c r="F10" s="51"/>
      <c r="G10" s="51"/>
      <c r="H10" s="52"/>
      <c r="I10" s="36"/>
      <c r="J10" s="36"/>
      <c r="K10" s="36"/>
      <c r="L10" s="36"/>
      <c r="M10" s="38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40"/>
      <c r="Z10" s="38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40"/>
      <c r="AM10" s="35"/>
      <c r="AN10" s="36"/>
      <c r="AO10" s="37"/>
      <c r="AP10" s="41"/>
      <c r="AQ10" s="42"/>
      <c r="AR10" s="43"/>
      <c r="AS10" s="41"/>
      <c r="AT10" s="42"/>
      <c r="AU10" s="43"/>
      <c r="AV10" s="41"/>
      <c r="AW10" s="42"/>
      <c r="AX10" s="43"/>
      <c r="AY10" s="47"/>
      <c r="AZ10" s="48"/>
      <c r="BA10" s="49"/>
      <c r="BB10" s="44"/>
      <c r="BC10" s="45"/>
      <c r="BD10" s="46"/>
      <c r="BE10" s="44"/>
      <c r="BF10" s="45"/>
      <c r="BG10" s="46"/>
      <c r="BH10" s="47"/>
      <c r="BI10" s="48"/>
      <c r="BJ10" s="49"/>
      <c r="BK10" s="44"/>
      <c r="BL10" s="45"/>
      <c r="BM10" s="46"/>
      <c r="BN10" s="35"/>
      <c r="BO10" s="36"/>
      <c r="BP10" s="36"/>
      <c r="BQ10" s="36"/>
      <c r="BR10" s="36"/>
      <c r="BS10" s="37"/>
    </row>
    <row r="11" spans="1:71" ht="60" customHeight="1" x14ac:dyDescent="0.3">
      <c r="A11" s="7" t="str">
        <f>IF(M11="","",COUNTA($M$9:M11))</f>
        <v/>
      </c>
      <c r="B11" s="47"/>
      <c r="C11" s="49"/>
      <c r="D11" s="50"/>
      <c r="E11" s="51"/>
      <c r="F11" s="51"/>
      <c r="G11" s="51"/>
      <c r="H11" s="52"/>
      <c r="I11" s="35"/>
      <c r="J11" s="36"/>
      <c r="K11" s="36"/>
      <c r="L11" s="37"/>
      <c r="M11" s="35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7"/>
      <c r="Z11" s="35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7"/>
      <c r="AM11" s="35"/>
      <c r="AN11" s="36"/>
      <c r="AO11" s="37"/>
      <c r="AP11" s="41"/>
      <c r="AQ11" s="42"/>
      <c r="AR11" s="43"/>
      <c r="AS11" s="41"/>
      <c r="AT11" s="42"/>
      <c r="AU11" s="43"/>
      <c r="AV11" s="41"/>
      <c r="AW11" s="42"/>
      <c r="AX11" s="43"/>
      <c r="AY11" s="47"/>
      <c r="AZ11" s="48"/>
      <c r="BA11" s="49"/>
      <c r="BB11" s="44"/>
      <c r="BC11" s="45"/>
      <c r="BD11" s="46"/>
      <c r="BE11" s="44"/>
      <c r="BF11" s="45"/>
      <c r="BG11" s="46"/>
      <c r="BH11" s="47"/>
      <c r="BI11" s="48"/>
      <c r="BJ11" s="49"/>
      <c r="BK11" s="44"/>
      <c r="BL11" s="45"/>
      <c r="BM11" s="46"/>
      <c r="BN11" s="35"/>
      <c r="BO11" s="36"/>
      <c r="BP11" s="36"/>
      <c r="BQ11" s="36"/>
      <c r="BR11" s="36"/>
      <c r="BS11" s="37"/>
    </row>
    <row r="12" spans="1:71" ht="60" customHeight="1" x14ac:dyDescent="0.3">
      <c r="A12" s="7" t="str">
        <f>IF(M12="","",COUNTA($M$9:M12))</f>
        <v/>
      </c>
      <c r="B12" s="47"/>
      <c r="C12" s="49"/>
      <c r="D12" s="50"/>
      <c r="E12" s="51"/>
      <c r="F12" s="51"/>
      <c r="G12" s="51"/>
      <c r="H12" s="52"/>
      <c r="I12" s="35"/>
      <c r="J12" s="36"/>
      <c r="K12" s="36"/>
      <c r="L12" s="37"/>
      <c r="M12" s="38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40"/>
      <c r="Z12" s="38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40"/>
      <c r="AM12" s="35"/>
      <c r="AN12" s="36"/>
      <c r="AO12" s="37"/>
      <c r="AP12" s="41"/>
      <c r="AQ12" s="42"/>
      <c r="AR12" s="43"/>
      <c r="AS12" s="41"/>
      <c r="AT12" s="42"/>
      <c r="AU12" s="43"/>
      <c r="AV12" s="41"/>
      <c r="AW12" s="42"/>
      <c r="AX12" s="43"/>
      <c r="AY12" s="47"/>
      <c r="AZ12" s="48"/>
      <c r="BA12" s="49"/>
      <c r="BB12" s="44"/>
      <c r="BC12" s="45"/>
      <c r="BD12" s="46"/>
      <c r="BE12" s="44"/>
      <c r="BF12" s="45"/>
      <c r="BG12" s="46"/>
      <c r="BH12" s="47"/>
      <c r="BI12" s="48"/>
      <c r="BJ12" s="49"/>
      <c r="BK12" s="44"/>
      <c r="BL12" s="45"/>
      <c r="BM12" s="46"/>
      <c r="BN12" s="35"/>
      <c r="BO12" s="36"/>
      <c r="BP12" s="36"/>
      <c r="BQ12" s="36"/>
      <c r="BR12" s="36"/>
      <c r="BS12" s="37"/>
    </row>
    <row r="13" spans="1:71" ht="60" customHeight="1" x14ac:dyDescent="0.3">
      <c r="A13" s="7" t="str">
        <f>IF(M13="","",COUNTA($M$9:M13))</f>
        <v/>
      </c>
      <c r="B13" s="47"/>
      <c r="C13" s="49"/>
      <c r="D13" s="50"/>
      <c r="E13" s="51"/>
      <c r="F13" s="51"/>
      <c r="G13" s="51"/>
      <c r="H13" s="52"/>
      <c r="I13" s="35"/>
      <c r="J13" s="36"/>
      <c r="K13" s="36"/>
      <c r="L13" s="37"/>
      <c r="M13" s="38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40"/>
      <c r="Z13" s="35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7"/>
      <c r="AM13" s="35"/>
      <c r="AN13" s="36"/>
      <c r="AO13" s="37"/>
      <c r="AP13" s="41"/>
      <c r="AQ13" s="42"/>
      <c r="AR13" s="43"/>
      <c r="AS13" s="41"/>
      <c r="AT13" s="42"/>
      <c r="AU13" s="43"/>
      <c r="AV13" s="41"/>
      <c r="AW13" s="42"/>
      <c r="AX13" s="43"/>
      <c r="AY13" s="47"/>
      <c r="AZ13" s="48"/>
      <c r="BA13" s="49"/>
      <c r="BB13" s="44"/>
      <c r="BC13" s="45"/>
      <c r="BD13" s="46"/>
      <c r="BE13" s="44"/>
      <c r="BF13" s="45"/>
      <c r="BG13" s="46"/>
      <c r="BH13" s="47"/>
      <c r="BI13" s="48"/>
      <c r="BJ13" s="49"/>
      <c r="BK13" s="44"/>
      <c r="BL13" s="45"/>
      <c r="BM13" s="46"/>
      <c r="BN13" s="35"/>
      <c r="BO13" s="36"/>
      <c r="BP13" s="36"/>
      <c r="BQ13" s="36"/>
      <c r="BR13" s="36"/>
      <c r="BS13" s="37"/>
    </row>
    <row r="14" spans="1:71" ht="60" customHeight="1" x14ac:dyDescent="0.3">
      <c r="A14" s="7" t="str">
        <f>IF(M14="","",COUNTA($M$9:M14))</f>
        <v/>
      </c>
      <c r="B14" s="47"/>
      <c r="C14" s="49"/>
      <c r="D14" s="50"/>
      <c r="E14" s="51"/>
      <c r="F14" s="51"/>
      <c r="G14" s="51"/>
      <c r="H14" s="52"/>
      <c r="I14" s="35"/>
      <c r="J14" s="36"/>
      <c r="K14" s="36"/>
      <c r="L14" s="37"/>
      <c r="M14" s="38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40"/>
      <c r="Z14" s="35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7"/>
      <c r="AM14" s="35"/>
      <c r="AN14" s="36"/>
      <c r="AO14" s="37"/>
      <c r="AP14" s="41"/>
      <c r="AQ14" s="42"/>
      <c r="AR14" s="43"/>
      <c r="AS14" s="41"/>
      <c r="AT14" s="42"/>
      <c r="AU14" s="43"/>
      <c r="AV14" s="41"/>
      <c r="AW14" s="42"/>
      <c r="AX14" s="43"/>
      <c r="AY14" s="47"/>
      <c r="AZ14" s="48"/>
      <c r="BA14" s="49"/>
      <c r="BB14" s="44"/>
      <c r="BC14" s="45"/>
      <c r="BD14" s="46"/>
      <c r="BE14" s="44"/>
      <c r="BF14" s="45"/>
      <c r="BG14" s="46"/>
      <c r="BH14" s="47"/>
      <c r="BI14" s="48"/>
      <c r="BJ14" s="49"/>
      <c r="BK14" s="44"/>
      <c r="BL14" s="45"/>
      <c r="BM14" s="46"/>
      <c r="BN14" s="35"/>
      <c r="BO14" s="36"/>
      <c r="BP14" s="36"/>
      <c r="BQ14" s="36"/>
      <c r="BR14" s="36"/>
      <c r="BS14" s="37"/>
    </row>
    <row r="15" spans="1:71" ht="60" customHeight="1" x14ac:dyDescent="0.3">
      <c r="A15" s="7" t="str">
        <f>IF(M15="","",COUNTA($M$9:M15))</f>
        <v/>
      </c>
      <c r="B15" s="47"/>
      <c r="C15" s="49"/>
      <c r="D15" s="50"/>
      <c r="E15" s="51"/>
      <c r="F15" s="51"/>
      <c r="G15" s="51"/>
      <c r="H15" s="52"/>
      <c r="I15" s="35"/>
      <c r="J15" s="36"/>
      <c r="K15" s="36"/>
      <c r="L15" s="37"/>
      <c r="M15" s="38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40"/>
      <c r="Z15" s="38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40"/>
      <c r="AM15" s="35"/>
      <c r="AN15" s="36"/>
      <c r="AO15" s="37"/>
      <c r="AP15" s="41"/>
      <c r="AQ15" s="42"/>
      <c r="AR15" s="43"/>
      <c r="AS15" s="41"/>
      <c r="AT15" s="42"/>
      <c r="AU15" s="43"/>
      <c r="AV15" s="41"/>
      <c r="AW15" s="42"/>
      <c r="AX15" s="43"/>
      <c r="AY15" s="47"/>
      <c r="AZ15" s="48"/>
      <c r="BA15" s="49"/>
      <c r="BB15" s="44"/>
      <c r="BC15" s="45"/>
      <c r="BD15" s="46"/>
      <c r="BE15" s="44"/>
      <c r="BF15" s="45"/>
      <c r="BG15" s="46"/>
      <c r="BH15" s="47"/>
      <c r="BI15" s="48"/>
      <c r="BJ15" s="49"/>
      <c r="BK15" s="44"/>
      <c r="BL15" s="45"/>
      <c r="BM15" s="46"/>
      <c r="BN15" s="35"/>
      <c r="BO15" s="36"/>
      <c r="BP15" s="36"/>
      <c r="BQ15" s="36"/>
      <c r="BR15" s="36"/>
      <c r="BS15" s="37"/>
    </row>
    <row r="16" spans="1:71" ht="60" customHeight="1" x14ac:dyDescent="0.3">
      <c r="A16" s="7" t="str">
        <f>IF(M16="","",COUNTA($M$9:M16))</f>
        <v/>
      </c>
      <c r="B16" s="47"/>
      <c r="C16" s="49"/>
      <c r="D16" s="50"/>
      <c r="E16" s="51"/>
      <c r="F16" s="51"/>
      <c r="G16" s="51"/>
      <c r="H16" s="52"/>
      <c r="I16" s="35"/>
      <c r="J16" s="36"/>
      <c r="K16" s="36"/>
      <c r="L16" s="37"/>
      <c r="M16" s="38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40"/>
      <c r="Z16" s="38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40"/>
      <c r="AM16" s="35"/>
      <c r="AN16" s="36"/>
      <c r="AO16" s="37"/>
      <c r="AP16" s="41"/>
      <c r="AQ16" s="42"/>
      <c r="AR16" s="43"/>
      <c r="AS16" s="41"/>
      <c r="AT16" s="42"/>
      <c r="AU16" s="43"/>
      <c r="AV16" s="41"/>
      <c r="AW16" s="42"/>
      <c r="AX16" s="43"/>
      <c r="AY16" s="47"/>
      <c r="AZ16" s="48"/>
      <c r="BA16" s="49"/>
      <c r="BB16" s="44"/>
      <c r="BC16" s="45"/>
      <c r="BD16" s="46"/>
      <c r="BE16" s="44"/>
      <c r="BF16" s="45"/>
      <c r="BG16" s="46"/>
      <c r="BH16" s="47"/>
      <c r="BI16" s="48"/>
      <c r="BJ16" s="49"/>
      <c r="BK16" s="44"/>
      <c r="BL16" s="45"/>
      <c r="BM16" s="46"/>
      <c r="BN16" s="35"/>
      <c r="BO16" s="36"/>
      <c r="BP16" s="36"/>
      <c r="BQ16" s="36"/>
      <c r="BR16" s="36"/>
      <c r="BS16" s="37"/>
    </row>
    <row r="17" spans="1:71" ht="60" customHeight="1" x14ac:dyDescent="0.3">
      <c r="A17" s="7" t="str">
        <f>IF(M17="","",COUNTA($M$9:M17))</f>
        <v/>
      </c>
      <c r="B17" s="47"/>
      <c r="C17" s="49"/>
      <c r="D17" s="50"/>
      <c r="E17" s="51"/>
      <c r="F17" s="51"/>
      <c r="G17" s="51"/>
      <c r="H17" s="52"/>
      <c r="I17" s="35"/>
      <c r="J17" s="36"/>
      <c r="K17" s="36"/>
      <c r="L17" s="37"/>
      <c r="M17" s="38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40"/>
      <c r="Z17" s="38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40"/>
      <c r="AM17" s="35"/>
      <c r="AN17" s="36"/>
      <c r="AO17" s="37"/>
      <c r="AP17" s="41"/>
      <c r="AQ17" s="42"/>
      <c r="AR17" s="43"/>
      <c r="AS17" s="41"/>
      <c r="AT17" s="42"/>
      <c r="AU17" s="43"/>
      <c r="AV17" s="41"/>
      <c r="AW17" s="42"/>
      <c r="AX17" s="43"/>
      <c r="AY17" s="47"/>
      <c r="AZ17" s="48"/>
      <c r="BA17" s="49"/>
      <c r="BB17" s="44"/>
      <c r="BC17" s="45"/>
      <c r="BD17" s="46"/>
      <c r="BE17" s="44"/>
      <c r="BF17" s="45"/>
      <c r="BG17" s="46"/>
      <c r="BH17" s="47"/>
      <c r="BI17" s="48"/>
      <c r="BJ17" s="49"/>
      <c r="BK17" s="44"/>
      <c r="BL17" s="45"/>
      <c r="BM17" s="46"/>
      <c r="BN17" s="35"/>
      <c r="BO17" s="36"/>
      <c r="BP17" s="36"/>
      <c r="BQ17" s="36"/>
      <c r="BR17" s="36"/>
      <c r="BS17" s="37"/>
    </row>
    <row r="18" spans="1:71" ht="120" customHeight="1" x14ac:dyDescent="0.3">
      <c r="A18" s="7" t="str">
        <f>IF(M18="","",COUNTA($M$9:M18))</f>
        <v/>
      </c>
      <c r="B18" s="47"/>
      <c r="C18" s="49"/>
      <c r="D18" s="50"/>
      <c r="E18" s="51"/>
      <c r="F18" s="51"/>
      <c r="G18" s="51"/>
      <c r="H18" s="52"/>
      <c r="I18" s="35"/>
      <c r="J18" s="36"/>
      <c r="K18" s="36"/>
      <c r="L18" s="37"/>
      <c r="M18" s="38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40"/>
      <c r="Z18" s="38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40"/>
      <c r="AM18" s="35"/>
      <c r="AN18" s="36"/>
      <c r="AO18" s="37"/>
      <c r="AP18" s="41"/>
      <c r="AQ18" s="42"/>
      <c r="AR18" s="43"/>
      <c r="AS18" s="41"/>
      <c r="AT18" s="42"/>
      <c r="AU18" s="43"/>
      <c r="AV18" s="41"/>
      <c r="AW18" s="42"/>
      <c r="AX18" s="43"/>
      <c r="AY18" s="47"/>
      <c r="AZ18" s="48"/>
      <c r="BA18" s="49"/>
      <c r="BB18" s="44"/>
      <c r="BC18" s="45"/>
      <c r="BD18" s="46"/>
      <c r="BE18" s="44"/>
      <c r="BF18" s="45"/>
      <c r="BG18" s="46"/>
      <c r="BH18" s="47"/>
      <c r="BI18" s="48"/>
      <c r="BJ18" s="49"/>
      <c r="BK18" s="44"/>
      <c r="BL18" s="45"/>
      <c r="BM18" s="46"/>
      <c r="BN18" s="35"/>
      <c r="BO18" s="36"/>
      <c r="BP18" s="36"/>
      <c r="BQ18" s="36"/>
      <c r="BR18" s="36"/>
      <c r="BS18" s="37"/>
    </row>
    <row r="19" spans="1:71" ht="60" customHeight="1" x14ac:dyDescent="0.3">
      <c r="A19" s="7" t="str">
        <f>IF(M19="","",COUNTA($M$9:M19))</f>
        <v/>
      </c>
      <c r="B19" s="47"/>
      <c r="C19" s="49"/>
      <c r="D19" s="50"/>
      <c r="E19" s="51"/>
      <c r="F19" s="51"/>
      <c r="G19" s="51"/>
      <c r="H19" s="52"/>
      <c r="I19" s="35"/>
      <c r="J19" s="36"/>
      <c r="K19" s="36"/>
      <c r="L19" s="37"/>
      <c r="M19" s="38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40"/>
      <c r="Z19" s="38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40"/>
      <c r="AM19" s="35"/>
      <c r="AN19" s="36"/>
      <c r="AO19" s="37"/>
      <c r="AP19" s="41"/>
      <c r="AQ19" s="42"/>
      <c r="AR19" s="43"/>
      <c r="AS19" s="41"/>
      <c r="AT19" s="42"/>
      <c r="AU19" s="43"/>
      <c r="AV19" s="41"/>
      <c r="AW19" s="42"/>
      <c r="AX19" s="43"/>
      <c r="AY19" s="47"/>
      <c r="AZ19" s="48"/>
      <c r="BA19" s="49"/>
      <c r="BB19" s="44"/>
      <c r="BC19" s="45"/>
      <c r="BD19" s="46"/>
      <c r="BE19" s="44"/>
      <c r="BF19" s="45"/>
      <c r="BG19" s="46"/>
      <c r="BH19" s="47"/>
      <c r="BI19" s="48"/>
      <c r="BJ19" s="49"/>
      <c r="BK19" s="44"/>
      <c r="BL19" s="45"/>
      <c r="BM19" s="46"/>
      <c r="BN19" s="35"/>
      <c r="BO19" s="36"/>
      <c r="BP19" s="36"/>
      <c r="BQ19" s="36"/>
      <c r="BR19" s="36"/>
      <c r="BS19" s="37"/>
    </row>
    <row r="20" spans="1:71" ht="60" customHeight="1" x14ac:dyDescent="0.3">
      <c r="A20" s="7" t="str">
        <f>IF(M20="","",COUNTA($M$9:M20))</f>
        <v/>
      </c>
      <c r="B20" s="47"/>
      <c r="C20" s="49"/>
      <c r="D20" s="50"/>
      <c r="E20" s="51"/>
      <c r="F20" s="51"/>
      <c r="G20" s="51"/>
      <c r="H20" s="52"/>
      <c r="I20" s="35"/>
      <c r="J20" s="36"/>
      <c r="K20" s="36"/>
      <c r="L20" s="37"/>
      <c r="M20" s="38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40"/>
      <c r="Z20" s="38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40"/>
      <c r="AM20" s="35"/>
      <c r="AN20" s="36"/>
      <c r="AO20" s="37"/>
      <c r="AP20" s="41"/>
      <c r="AQ20" s="42"/>
      <c r="AR20" s="43"/>
      <c r="AS20" s="41"/>
      <c r="AT20" s="42"/>
      <c r="AU20" s="43"/>
      <c r="AV20" s="41"/>
      <c r="AW20" s="42"/>
      <c r="AX20" s="43"/>
      <c r="AY20" s="47"/>
      <c r="AZ20" s="48"/>
      <c r="BA20" s="49"/>
      <c r="BB20" s="44"/>
      <c r="BC20" s="45"/>
      <c r="BD20" s="46"/>
      <c r="BE20" s="44"/>
      <c r="BF20" s="45"/>
      <c r="BG20" s="46"/>
      <c r="BH20" s="47"/>
      <c r="BI20" s="48"/>
      <c r="BJ20" s="49"/>
      <c r="BK20" s="44"/>
      <c r="BL20" s="45"/>
      <c r="BM20" s="46"/>
      <c r="BN20" s="35"/>
      <c r="BO20" s="36"/>
      <c r="BP20" s="36"/>
      <c r="BQ20" s="36"/>
      <c r="BR20" s="36"/>
      <c r="BS20" s="37"/>
    </row>
    <row r="21" spans="1:71" ht="60" customHeight="1" x14ac:dyDescent="0.3">
      <c r="A21" s="7" t="str">
        <f>IF(M21="","",COUNTA($M$9:M21))</f>
        <v/>
      </c>
      <c r="B21" s="47"/>
      <c r="C21" s="49"/>
      <c r="D21" s="50"/>
      <c r="E21" s="51"/>
      <c r="F21" s="51"/>
      <c r="G21" s="51"/>
      <c r="H21" s="52"/>
      <c r="I21" s="35"/>
      <c r="J21" s="36"/>
      <c r="K21" s="36"/>
      <c r="L21" s="37"/>
      <c r="M21" s="38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40"/>
      <c r="Z21" s="38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40"/>
      <c r="AM21" s="35"/>
      <c r="AN21" s="36"/>
      <c r="AO21" s="37"/>
      <c r="AP21" s="41"/>
      <c r="AQ21" s="42"/>
      <c r="AR21" s="43"/>
      <c r="AS21" s="41"/>
      <c r="AT21" s="42"/>
      <c r="AU21" s="43"/>
      <c r="AV21" s="41"/>
      <c r="AW21" s="42"/>
      <c r="AX21" s="43"/>
      <c r="AY21" s="47"/>
      <c r="AZ21" s="48"/>
      <c r="BA21" s="49"/>
      <c r="BB21" s="44"/>
      <c r="BC21" s="45"/>
      <c r="BD21" s="46"/>
      <c r="BE21" s="44"/>
      <c r="BF21" s="45"/>
      <c r="BG21" s="46"/>
      <c r="BH21" s="47"/>
      <c r="BI21" s="48"/>
      <c r="BJ21" s="49"/>
      <c r="BK21" s="44"/>
      <c r="BL21" s="45"/>
      <c r="BM21" s="46"/>
      <c r="BN21" s="35"/>
      <c r="BO21" s="36"/>
      <c r="BP21" s="36"/>
      <c r="BQ21" s="36"/>
      <c r="BR21" s="36"/>
      <c r="BS21" s="37"/>
    </row>
    <row r="22" spans="1:71" ht="60" customHeight="1" x14ac:dyDescent="0.3">
      <c r="A22" s="7" t="str">
        <f>IF(M22="","",COUNTA($M$9:M22))</f>
        <v/>
      </c>
      <c r="B22" s="47"/>
      <c r="C22" s="49"/>
      <c r="D22" s="50"/>
      <c r="E22" s="51"/>
      <c r="F22" s="51"/>
      <c r="G22" s="51"/>
      <c r="H22" s="52"/>
      <c r="I22" s="35"/>
      <c r="J22" s="36"/>
      <c r="K22" s="36"/>
      <c r="L22" s="37"/>
      <c r="M22" s="38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40"/>
      <c r="Z22" s="38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40"/>
      <c r="AM22" s="35"/>
      <c r="AN22" s="36"/>
      <c r="AO22" s="37"/>
      <c r="AP22" s="41"/>
      <c r="AQ22" s="42"/>
      <c r="AR22" s="43"/>
      <c r="AS22" s="41"/>
      <c r="AT22" s="42"/>
      <c r="AU22" s="43"/>
      <c r="AV22" s="41"/>
      <c r="AW22" s="42"/>
      <c r="AX22" s="43"/>
      <c r="AY22" s="47"/>
      <c r="AZ22" s="48"/>
      <c r="BA22" s="49"/>
      <c r="BB22" s="44"/>
      <c r="BC22" s="45"/>
      <c r="BD22" s="46"/>
      <c r="BE22" s="44"/>
      <c r="BF22" s="45"/>
      <c r="BG22" s="46"/>
      <c r="BH22" s="47"/>
      <c r="BI22" s="48"/>
      <c r="BJ22" s="49"/>
      <c r="BK22" s="44"/>
      <c r="BL22" s="45"/>
      <c r="BM22" s="46"/>
      <c r="BN22" s="35"/>
      <c r="BO22" s="36"/>
      <c r="BP22" s="36"/>
      <c r="BQ22" s="36"/>
      <c r="BR22" s="36"/>
      <c r="BS22" s="37"/>
    </row>
    <row r="23" spans="1:71" ht="45" customHeight="1" x14ac:dyDescent="0.3">
      <c r="A23" s="7" t="str">
        <f>IF(M23="","",COUNTA($M$9:M23))</f>
        <v/>
      </c>
      <c r="B23" s="47"/>
      <c r="C23" s="49"/>
      <c r="D23" s="50"/>
      <c r="E23" s="51"/>
      <c r="F23" s="51"/>
      <c r="G23" s="51"/>
      <c r="H23" s="52"/>
      <c r="I23" s="35"/>
      <c r="J23" s="36"/>
      <c r="K23" s="36"/>
      <c r="L23" s="37"/>
      <c r="M23" s="38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40"/>
      <c r="Z23" s="38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40"/>
      <c r="AM23" s="35"/>
      <c r="AN23" s="36"/>
      <c r="AO23" s="37"/>
      <c r="AP23" s="41"/>
      <c r="AQ23" s="42"/>
      <c r="AR23" s="43"/>
      <c r="AS23" s="41"/>
      <c r="AT23" s="42"/>
      <c r="AU23" s="43"/>
      <c r="AV23" s="41"/>
      <c r="AW23" s="42"/>
      <c r="AX23" s="43"/>
      <c r="AY23" s="47"/>
      <c r="AZ23" s="48"/>
      <c r="BA23" s="49"/>
      <c r="BB23" s="44"/>
      <c r="BC23" s="45"/>
      <c r="BD23" s="46"/>
      <c r="BE23" s="44"/>
      <c r="BF23" s="45"/>
      <c r="BG23" s="46"/>
      <c r="BH23" s="47"/>
      <c r="BI23" s="48"/>
      <c r="BJ23" s="49"/>
      <c r="BK23" s="44"/>
      <c r="BL23" s="45"/>
      <c r="BM23" s="46"/>
      <c r="BN23" s="35"/>
      <c r="BO23" s="36"/>
      <c r="BP23" s="36"/>
      <c r="BQ23" s="36"/>
      <c r="BR23" s="36"/>
      <c r="BS23" s="37"/>
    </row>
    <row r="24" spans="1:71" ht="15" customHeight="1" x14ac:dyDescent="0.3">
      <c r="A24" s="33" t="s">
        <v>48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</row>
  </sheetData>
  <mergeCells count="279"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12:C12"/>
    <mergeCell ref="D12:H12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I12:L12"/>
    <mergeCell ref="M12:Y12"/>
    <mergeCell ref="Z12:AL12"/>
    <mergeCell ref="AM12:AO12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18:C18"/>
    <mergeCell ref="AM18:AO18"/>
    <mergeCell ref="AP18:AR18"/>
    <mergeCell ref="AS18:AU18"/>
    <mergeCell ref="D18:H18"/>
    <mergeCell ref="I18:L18"/>
    <mergeCell ref="M18:Y18"/>
    <mergeCell ref="AS16:AU16"/>
    <mergeCell ref="BH15:BJ15"/>
    <mergeCell ref="AY17:BA17"/>
    <mergeCell ref="BB17:BD17"/>
    <mergeCell ref="BE17:BG17"/>
    <mergeCell ref="BH17:BJ17"/>
    <mergeCell ref="BN21:BS21"/>
    <mergeCell ref="BK21:BM21"/>
    <mergeCell ref="AV21:AX21"/>
    <mergeCell ref="AY21:BA21"/>
    <mergeCell ref="BB21:BD21"/>
    <mergeCell ref="BE21:BG21"/>
    <mergeCell ref="BH21:BJ21"/>
    <mergeCell ref="BN19:BS19"/>
    <mergeCell ref="BN18:BS18"/>
    <mergeCell ref="AV19:AX19"/>
    <mergeCell ref="AV18:AX18"/>
    <mergeCell ref="AY18:BA18"/>
    <mergeCell ref="BB18:BD18"/>
    <mergeCell ref="BE18:BG18"/>
    <mergeCell ref="BH18:BJ18"/>
    <mergeCell ref="BK18:BM18"/>
    <mergeCell ref="BH20:BJ20"/>
    <mergeCell ref="BK20:BM20"/>
    <mergeCell ref="BK19:BM19"/>
    <mergeCell ref="AY19:BA19"/>
    <mergeCell ref="BB19:BD19"/>
    <mergeCell ref="BE19:BG19"/>
    <mergeCell ref="BH19:BJ19"/>
    <mergeCell ref="BN20:BS20"/>
    <mergeCell ref="BB20:BD20"/>
    <mergeCell ref="BE20:BG20"/>
    <mergeCell ref="B20:C20"/>
    <mergeCell ref="D20:H20"/>
    <mergeCell ref="I20:L20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B22:C22"/>
    <mergeCell ref="D22:H22"/>
    <mergeCell ref="I22:L22"/>
    <mergeCell ref="M22:Y22"/>
    <mergeCell ref="M20:Y20"/>
    <mergeCell ref="Z20:AL20"/>
    <mergeCell ref="AM20:AO20"/>
    <mergeCell ref="B21:C21"/>
    <mergeCell ref="D21:H21"/>
    <mergeCell ref="I21:L21"/>
    <mergeCell ref="AP2:AS2"/>
    <mergeCell ref="AP3:AS3"/>
    <mergeCell ref="AP4:AS4"/>
    <mergeCell ref="AP5:AS5"/>
    <mergeCell ref="AH2:AK2"/>
    <mergeCell ref="AH3:AK3"/>
    <mergeCell ref="AH4:AK4"/>
    <mergeCell ref="Z18:AL18"/>
    <mergeCell ref="AS21:AU21"/>
    <mergeCell ref="Z21:AL21"/>
    <mergeCell ref="AM21:AO21"/>
    <mergeCell ref="AP21:AR21"/>
    <mergeCell ref="AP20:AR20"/>
    <mergeCell ref="AS20:AU20"/>
    <mergeCell ref="AM9:AO9"/>
    <mergeCell ref="AM11:AO11"/>
    <mergeCell ref="AM10:AO10"/>
    <mergeCell ref="AP10:AR10"/>
    <mergeCell ref="AS10:AU10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Y23:BA23"/>
    <mergeCell ref="AV20:AX20"/>
    <mergeCell ref="AY20:BA20"/>
    <mergeCell ref="M21:Y21"/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生産実績一覧（コーヒーフィルタ）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4" x14ac:dyDescent="0.3"/>
  <cols>
    <col min="4" max="4" width="30.6328125" customWidth="1"/>
  </cols>
  <sheetData>
    <row r="1" spans="1:6" x14ac:dyDescent="0.3">
      <c r="A1" t="s">
        <v>49</v>
      </c>
      <c r="B1" t="s">
        <v>50</v>
      </c>
      <c r="C1" t="s">
        <v>2</v>
      </c>
      <c r="D1" t="s">
        <v>51</v>
      </c>
      <c r="E1" t="s">
        <v>52</v>
      </c>
    </row>
    <row r="2" spans="1:6" x14ac:dyDescent="0.3">
      <c r="A2" t="s">
        <v>53</v>
      </c>
      <c r="B2" t="s">
        <v>54</v>
      </c>
      <c r="C2" t="s">
        <v>55</v>
      </c>
      <c r="D2" t="s">
        <v>56</v>
      </c>
      <c r="E2" t="s">
        <v>57</v>
      </c>
    </row>
    <row r="3" spans="1:6" x14ac:dyDescent="0.3">
      <c r="A3" t="s">
        <v>58</v>
      </c>
      <c r="B3" t="s">
        <v>59</v>
      </c>
      <c r="C3" t="s">
        <v>60</v>
      </c>
      <c r="D3" t="s">
        <v>61</v>
      </c>
      <c r="E3" t="s">
        <v>62</v>
      </c>
    </row>
    <row r="4" spans="1:6" x14ac:dyDescent="0.3">
      <c r="A4" t="s">
        <v>63</v>
      </c>
      <c r="B4" t="s">
        <v>6</v>
      </c>
      <c r="C4" t="s">
        <v>64</v>
      </c>
      <c r="D4" t="s">
        <v>65</v>
      </c>
      <c r="E4" t="s">
        <v>66</v>
      </c>
    </row>
    <row r="5" spans="1:6" x14ac:dyDescent="0.3">
      <c r="A5" t="s">
        <v>67</v>
      </c>
      <c r="B5" t="s">
        <v>68</v>
      </c>
      <c r="C5" t="s">
        <v>69</v>
      </c>
      <c r="D5" t="s">
        <v>70</v>
      </c>
      <c r="E5" t="s">
        <v>71</v>
      </c>
      <c r="F5" t="s">
        <v>72</v>
      </c>
    </row>
    <row r="6" spans="1:6" x14ac:dyDescent="0.3">
      <c r="A6" t="s">
        <v>73</v>
      </c>
      <c r="B6" t="s">
        <v>74</v>
      </c>
      <c r="C6" t="s">
        <v>75</v>
      </c>
      <c r="D6" t="s">
        <v>76</v>
      </c>
      <c r="E6" t="s">
        <v>77</v>
      </c>
    </row>
    <row r="7" spans="1:6" x14ac:dyDescent="0.3">
      <c r="A7" t="s">
        <v>78</v>
      </c>
      <c r="B7" t="s">
        <v>79</v>
      </c>
      <c r="C7" t="s">
        <v>80</v>
      </c>
      <c r="D7" t="s">
        <v>81</v>
      </c>
      <c r="E7" t="s">
        <v>82</v>
      </c>
    </row>
    <row r="8" spans="1:6" x14ac:dyDescent="0.3">
      <c r="B8" t="s">
        <v>83</v>
      </c>
      <c r="C8" t="s">
        <v>84</v>
      </c>
      <c r="D8" t="s">
        <v>85</v>
      </c>
      <c r="E8" t="s">
        <v>86</v>
      </c>
    </row>
    <row r="9" spans="1:6" x14ac:dyDescent="0.3">
      <c r="B9" t="s">
        <v>87</v>
      </c>
      <c r="C9" t="s">
        <v>88</v>
      </c>
      <c r="D9" t="s">
        <v>89</v>
      </c>
      <c r="E9" t="s">
        <v>90</v>
      </c>
    </row>
    <row r="10" spans="1:6" x14ac:dyDescent="0.3">
      <c r="B10" t="s">
        <v>91</v>
      </c>
      <c r="C10" t="s">
        <v>92</v>
      </c>
      <c r="D10" t="s">
        <v>93</v>
      </c>
    </row>
    <row r="11" spans="1:6" x14ac:dyDescent="0.3">
      <c r="B11" t="s">
        <v>94</v>
      </c>
      <c r="C11" t="s">
        <v>95</v>
      </c>
      <c r="D11" t="s">
        <v>96</v>
      </c>
    </row>
    <row r="12" spans="1:6" x14ac:dyDescent="0.3">
      <c r="B12" t="s">
        <v>97</v>
      </c>
      <c r="C12" t="s">
        <v>98</v>
      </c>
      <c r="D12" t="s">
        <v>99</v>
      </c>
    </row>
    <row r="13" spans="1:6" x14ac:dyDescent="0.3">
      <c r="B13" t="s">
        <v>100</v>
      </c>
      <c r="C13" t="s">
        <v>101</v>
      </c>
      <c r="D13" t="s">
        <v>102</v>
      </c>
    </row>
    <row r="14" spans="1:6" x14ac:dyDescent="0.3">
      <c r="C14" t="s">
        <v>103</v>
      </c>
      <c r="D14" t="s">
        <v>104</v>
      </c>
    </row>
    <row r="15" spans="1:6" x14ac:dyDescent="0.3">
      <c r="C15" t="s">
        <v>105</v>
      </c>
      <c r="D15" t="s">
        <v>106</v>
      </c>
    </row>
    <row r="16" spans="1:6" x14ac:dyDescent="0.3">
      <c r="C16" t="s">
        <v>107</v>
      </c>
      <c r="D16" t="s">
        <v>108</v>
      </c>
    </row>
    <row r="17" spans="3:4" x14ac:dyDescent="0.3">
      <c r="C17" t="s">
        <v>109</v>
      </c>
      <c r="D17" t="s">
        <v>110</v>
      </c>
    </row>
    <row r="18" spans="3:4" x14ac:dyDescent="0.3">
      <c r="C18" t="s">
        <v>111</v>
      </c>
      <c r="D18" t="s">
        <v>112</v>
      </c>
    </row>
    <row r="19" spans="3:4" x14ac:dyDescent="0.3">
      <c r="C19" t="s">
        <v>113</v>
      </c>
      <c r="D19" t="s">
        <v>114</v>
      </c>
    </row>
    <row r="20" spans="3:4" x14ac:dyDescent="0.3">
      <c r="C20" t="s">
        <v>115</v>
      </c>
      <c r="D20" t="s">
        <v>116</v>
      </c>
    </row>
    <row r="21" spans="3:4" x14ac:dyDescent="0.3">
      <c r="C21" t="s">
        <v>117</v>
      </c>
      <c r="D21" t="s">
        <v>118</v>
      </c>
    </row>
    <row r="22" spans="3:4" x14ac:dyDescent="0.3">
      <c r="C22" t="s">
        <v>119</v>
      </c>
      <c r="D22" t="s">
        <v>120</v>
      </c>
    </row>
    <row r="23" spans="3:4" x14ac:dyDescent="0.3">
      <c r="C23" t="s">
        <v>121</v>
      </c>
      <c r="D23" t="s">
        <v>122</v>
      </c>
    </row>
    <row r="24" spans="3:4" x14ac:dyDescent="0.3">
      <c r="C24" t="s">
        <v>123</v>
      </c>
      <c r="D24" t="s">
        <v>124</v>
      </c>
    </row>
    <row r="25" spans="3:4" x14ac:dyDescent="0.3">
      <c r="C25" t="s">
        <v>125</v>
      </c>
      <c r="D25" t="s">
        <v>126</v>
      </c>
    </row>
    <row r="26" spans="3:4" x14ac:dyDescent="0.3">
      <c r="C26" t="s">
        <v>127</v>
      </c>
      <c r="D26" t="s">
        <v>128</v>
      </c>
    </row>
    <row r="27" spans="3:4" x14ac:dyDescent="0.3">
      <c r="C27" t="s">
        <v>129</v>
      </c>
      <c r="D27" t="s">
        <v>130</v>
      </c>
    </row>
    <row r="28" spans="3:4" x14ac:dyDescent="0.3">
      <c r="C28" t="s">
        <v>131</v>
      </c>
      <c r="D28" t="s">
        <v>132</v>
      </c>
    </row>
    <row r="29" spans="3:4" x14ac:dyDescent="0.3">
      <c r="C29" t="s">
        <v>133</v>
      </c>
      <c r="D29" t="s">
        <v>134</v>
      </c>
    </row>
    <row r="30" spans="3:4" x14ac:dyDescent="0.3">
      <c r="C30" t="s">
        <v>135</v>
      </c>
      <c r="D30" t="s">
        <v>136</v>
      </c>
    </row>
    <row r="31" spans="3:4" x14ac:dyDescent="0.3">
      <c r="C31" t="s">
        <v>137</v>
      </c>
      <c r="D31" t="s">
        <v>138</v>
      </c>
    </row>
    <row r="32" spans="3:4" x14ac:dyDescent="0.3">
      <c r="C32" t="s">
        <v>139</v>
      </c>
      <c r="D32" t="s">
        <v>140</v>
      </c>
    </row>
    <row r="33" spans="3:4" x14ac:dyDescent="0.3">
      <c r="C33" t="s">
        <v>141</v>
      </c>
      <c r="D33" t="s">
        <v>142</v>
      </c>
    </row>
    <row r="34" spans="3:4" x14ac:dyDescent="0.3">
      <c r="C34" t="s">
        <v>143</v>
      </c>
      <c r="D34" t="s">
        <v>144</v>
      </c>
    </row>
    <row r="35" spans="3:4" x14ac:dyDescent="0.3">
      <c r="C35" t="s">
        <v>145</v>
      </c>
      <c r="D35" t="s">
        <v>146</v>
      </c>
    </row>
    <row r="36" spans="3:4" x14ac:dyDescent="0.3">
      <c r="C36" t="s">
        <v>147</v>
      </c>
      <c r="D36" t="s">
        <v>148</v>
      </c>
    </row>
    <row r="37" spans="3:4" x14ac:dyDescent="0.3">
      <c r="C37" t="s">
        <v>149</v>
      </c>
      <c r="D37" t="s">
        <v>150</v>
      </c>
    </row>
    <row r="38" spans="3:4" x14ac:dyDescent="0.3">
      <c r="C38" t="s">
        <v>151</v>
      </c>
      <c r="D38" t="s">
        <v>152</v>
      </c>
    </row>
    <row r="39" spans="3:4" x14ac:dyDescent="0.3">
      <c r="C39" t="s">
        <v>153</v>
      </c>
      <c r="D39" t="s">
        <v>154</v>
      </c>
    </row>
    <row r="40" spans="3:4" x14ac:dyDescent="0.3">
      <c r="C40" t="s">
        <v>155</v>
      </c>
      <c r="D40" t="s">
        <v>156</v>
      </c>
    </row>
    <row r="41" spans="3:4" x14ac:dyDescent="0.3">
      <c r="C41" t="s">
        <v>157</v>
      </c>
      <c r="D41" t="s">
        <v>158</v>
      </c>
    </row>
    <row r="42" spans="3:4" x14ac:dyDescent="0.3">
      <c r="C42" t="s">
        <v>159</v>
      </c>
      <c r="D42" t="s">
        <v>160</v>
      </c>
    </row>
    <row r="43" spans="3:4" x14ac:dyDescent="0.3">
      <c r="C43" t="s">
        <v>161</v>
      </c>
      <c r="D43" t="s">
        <v>162</v>
      </c>
    </row>
    <row r="44" spans="3:4" x14ac:dyDescent="0.3">
      <c r="C44" t="s">
        <v>163</v>
      </c>
      <c r="D44" t="s">
        <v>164</v>
      </c>
    </row>
    <row r="45" spans="3:4" x14ac:dyDescent="0.3">
      <c r="C45" t="s">
        <v>165</v>
      </c>
      <c r="D45" t="s">
        <v>166</v>
      </c>
    </row>
    <row r="46" spans="3:4" x14ac:dyDescent="0.3">
      <c r="C46" t="s">
        <v>167</v>
      </c>
      <c r="D46" t="s">
        <v>168</v>
      </c>
    </row>
    <row r="47" spans="3:4" x14ac:dyDescent="0.3">
      <c r="C47" t="s">
        <v>169</v>
      </c>
      <c r="D47" t="s">
        <v>170</v>
      </c>
    </row>
    <row r="48" spans="3:4" x14ac:dyDescent="0.3">
      <c r="C48" t="s">
        <v>171</v>
      </c>
      <c r="D48" t="s">
        <v>172</v>
      </c>
    </row>
    <row r="49" spans="3:4" x14ac:dyDescent="0.3">
      <c r="C49" t="s">
        <v>173</v>
      </c>
      <c r="D49" t="s">
        <v>174</v>
      </c>
    </row>
    <row r="50" spans="3:4" x14ac:dyDescent="0.3">
      <c r="C50" t="s">
        <v>175</v>
      </c>
      <c r="D50" t="s">
        <v>176</v>
      </c>
    </row>
    <row r="51" spans="3:4" x14ac:dyDescent="0.3">
      <c r="C51" t="s">
        <v>177</v>
      </c>
      <c r="D51" t="s">
        <v>178</v>
      </c>
    </row>
    <row r="52" spans="3:4" x14ac:dyDescent="0.3">
      <c r="C52" t="s">
        <v>179</v>
      </c>
      <c r="D52" t="s">
        <v>180</v>
      </c>
    </row>
    <row r="53" spans="3:4" x14ac:dyDescent="0.3">
      <c r="C53" t="s">
        <v>181</v>
      </c>
      <c r="D53" t="s">
        <v>182</v>
      </c>
    </row>
    <row r="54" spans="3:4" x14ac:dyDescent="0.3">
      <c r="C54" t="s">
        <v>183</v>
      </c>
      <c r="D54" t="s">
        <v>184</v>
      </c>
    </row>
    <row r="55" spans="3:4" x14ac:dyDescent="0.3">
      <c r="C55" t="s">
        <v>7</v>
      </c>
      <c r="D55" t="s">
        <v>185</v>
      </c>
    </row>
    <row r="56" spans="3:4" x14ac:dyDescent="0.3">
      <c r="C56" t="s">
        <v>186</v>
      </c>
      <c r="D56" t="s">
        <v>187</v>
      </c>
    </row>
    <row r="57" spans="3:4" x14ac:dyDescent="0.3">
      <c r="C57" t="s">
        <v>188</v>
      </c>
      <c r="D57" t="s">
        <v>189</v>
      </c>
    </row>
    <row r="58" spans="3:4" x14ac:dyDescent="0.3">
      <c r="C58" t="s">
        <v>190</v>
      </c>
      <c r="D58" t="s">
        <v>191</v>
      </c>
    </row>
    <row r="59" spans="3:4" x14ac:dyDescent="0.3">
      <c r="C59" t="s">
        <v>192</v>
      </c>
      <c r="D59" t="s">
        <v>193</v>
      </c>
    </row>
    <row r="60" spans="3:4" x14ac:dyDescent="0.3">
      <c r="C60" t="s">
        <v>194</v>
      </c>
      <c r="D60" t="s">
        <v>195</v>
      </c>
    </row>
    <row r="61" spans="3:4" x14ac:dyDescent="0.3">
      <c r="C61" t="s">
        <v>196</v>
      </c>
      <c r="D61" t="s">
        <v>197</v>
      </c>
    </row>
    <row r="62" spans="3:4" x14ac:dyDescent="0.3">
      <c r="C62" t="s">
        <v>198</v>
      </c>
      <c r="D62" t="s">
        <v>199</v>
      </c>
    </row>
    <row r="63" spans="3:4" x14ac:dyDescent="0.3">
      <c r="C63" t="s">
        <v>200</v>
      </c>
      <c r="D63" t="s">
        <v>201</v>
      </c>
    </row>
    <row r="64" spans="3:4" x14ac:dyDescent="0.3">
      <c r="C64" t="s">
        <v>202</v>
      </c>
      <c r="D64" t="s">
        <v>203</v>
      </c>
    </row>
    <row r="65" spans="3:4" x14ac:dyDescent="0.3">
      <c r="C65" t="s">
        <v>204</v>
      </c>
      <c r="D65" t="s">
        <v>205</v>
      </c>
    </row>
    <row r="66" spans="3:4" x14ac:dyDescent="0.3">
      <c r="C66" t="s">
        <v>206</v>
      </c>
      <c r="D66" t="s">
        <v>207</v>
      </c>
    </row>
    <row r="67" spans="3:4" x14ac:dyDescent="0.3">
      <c r="C67" t="s">
        <v>208</v>
      </c>
      <c r="D67" t="s">
        <v>209</v>
      </c>
    </row>
    <row r="68" spans="3:4" x14ac:dyDescent="0.3">
      <c r="C68" t="s">
        <v>210</v>
      </c>
      <c r="D68" t="s">
        <v>211</v>
      </c>
    </row>
    <row r="69" spans="3:4" x14ac:dyDescent="0.3">
      <c r="C69" t="s">
        <v>212</v>
      </c>
      <c r="D69" t="s">
        <v>213</v>
      </c>
    </row>
    <row r="70" spans="3:4" x14ac:dyDescent="0.3">
      <c r="C70" t="s">
        <v>214</v>
      </c>
      <c r="D70" t="s">
        <v>215</v>
      </c>
    </row>
    <row r="71" spans="3:4" x14ac:dyDescent="0.3">
      <c r="C71" t="s">
        <v>216</v>
      </c>
      <c r="D71" t="s">
        <v>217</v>
      </c>
    </row>
    <row r="72" spans="3:4" x14ac:dyDescent="0.3">
      <c r="C72" t="s">
        <v>218</v>
      </c>
      <c r="D72" t="s">
        <v>219</v>
      </c>
    </row>
    <row r="73" spans="3:4" x14ac:dyDescent="0.3">
      <c r="C73" t="s">
        <v>220</v>
      </c>
      <c r="D73" t="s">
        <v>221</v>
      </c>
    </row>
    <row r="74" spans="3:4" x14ac:dyDescent="0.3">
      <c r="C74" t="s">
        <v>222</v>
      </c>
      <c r="D74" t="s">
        <v>223</v>
      </c>
    </row>
    <row r="75" spans="3:4" x14ac:dyDescent="0.3">
      <c r="C75" t="s">
        <v>224</v>
      </c>
      <c r="D75" t="s">
        <v>225</v>
      </c>
    </row>
    <row r="76" spans="3:4" x14ac:dyDescent="0.3">
      <c r="C76" t="s">
        <v>226</v>
      </c>
      <c r="D76" t="s">
        <v>227</v>
      </c>
    </row>
    <row r="77" spans="3:4" x14ac:dyDescent="0.3">
      <c r="C77" t="s">
        <v>228</v>
      </c>
      <c r="D77" t="s">
        <v>229</v>
      </c>
    </row>
    <row r="78" spans="3:4" x14ac:dyDescent="0.3">
      <c r="C78" t="s">
        <v>230</v>
      </c>
      <c r="D78" t="s">
        <v>231</v>
      </c>
    </row>
    <row r="79" spans="3:4" x14ac:dyDescent="0.3">
      <c r="C79" t="s">
        <v>232</v>
      </c>
      <c r="D79" t="s">
        <v>233</v>
      </c>
    </row>
    <row r="80" spans="3:4" x14ac:dyDescent="0.3">
      <c r="C80" t="s">
        <v>234</v>
      </c>
      <c r="D80" t="s">
        <v>235</v>
      </c>
    </row>
    <row r="81" spans="3:4" x14ac:dyDescent="0.3">
      <c r="C81" t="s">
        <v>236</v>
      </c>
      <c r="D81" t="s">
        <v>237</v>
      </c>
    </row>
    <row r="82" spans="3:4" x14ac:dyDescent="0.3">
      <c r="C82" t="s">
        <v>238</v>
      </c>
      <c r="D82" t="s">
        <v>239</v>
      </c>
    </row>
    <row r="83" spans="3:4" x14ac:dyDescent="0.3">
      <c r="C83" t="s">
        <v>240</v>
      </c>
      <c r="D83" t="s">
        <v>241</v>
      </c>
    </row>
    <row r="84" spans="3:4" x14ac:dyDescent="0.3">
      <c r="C84" t="s">
        <v>242</v>
      </c>
      <c r="D84" t="s">
        <v>243</v>
      </c>
    </row>
    <row r="85" spans="3:4" x14ac:dyDescent="0.3">
      <c r="C85" t="s">
        <v>244</v>
      </c>
      <c r="D85" t="s">
        <v>245</v>
      </c>
    </row>
    <row r="86" spans="3:4" x14ac:dyDescent="0.3">
      <c r="C86" t="s">
        <v>246</v>
      </c>
      <c r="D86" t="s">
        <v>247</v>
      </c>
    </row>
    <row r="87" spans="3:4" x14ac:dyDescent="0.3">
      <c r="C87" t="s">
        <v>248</v>
      </c>
      <c r="D87" t="s">
        <v>249</v>
      </c>
    </row>
    <row r="88" spans="3:4" x14ac:dyDescent="0.3">
      <c r="C88" t="s">
        <v>250</v>
      </c>
      <c r="D88" t="s">
        <v>251</v>
      </c>
    </row>
    <row r="89" spans="3:4" x14ac:dyDescent="0.3">
      <c r="C89" t="s">
        <v>252</v>
      </c>
      <c r="D89" t="s">
        <v>253</v>
      </c>
    </row>
    <row r="90" spans="3:4" x14ac:dyDescent="0.3">
      <c r="C90" t="s">
        <v>254</v>
      </c>
      <c r="D90" t="s">
        <v>255</v>
      </c>
    </row>
    <row r="91" spans="3:4" x14ac:dyDescent="0.3">
      <c r="C91" t="s">
        <v>252</v>
      </c>
      <c r="D91" t="s">
        <v>256</v>
      </c>
    </row>
    <row r="92" spans="3:4" x14ac:dyDescent="0.3">
      <c r="C92" t="s">
        <v>257</v>
      </c>
      <c r="D92" t="s">
        <v>258</v>
      </c>
    </row>
    <row r="93" spans="3:4" x14ac:dyDescent="0.3">
      <c r="C93" t="s">
        <v>259</v>
      </c>
      <c r="D93" t="s">
        <v>260</v>
      </c>
    </row>
    <row r="94" spans="3:4" x14ac:dyDescent="0.3">
      <c r="C94" t="s">
        <v>261</v>
      </c>
      <c r="D94" t="s">
        <v>262</v>
      </c>
    </row>
    <row r="95" spans="3:4" x14ac:dyDescent="0.3">
      <c r="C95" t="s">
        <v>263</v>
      </c>
      <c r="D95" t="s">
        <v>264</v>
      </c>
    </row>
    <row r="96" spans="3:4" x14ac:dyDescent="0.3">
      <c r="C96" t="s">
        <v>265</v>
      </c>
      <c r="D96" t="s">
        <v>266</v>
      </c>
    </row>
    <row r="97" spans="3:4" x14ac:dyDescent="0.3">
      <c r="C97" t="s">
        <v>267</v>
      </c>
      <c r="D97" t="s">
        <v>268</v>
      </c>
    </row>
    <row r="98" spans="3:4" x14ac:dyDescent="0.3">
      <c r="C98" t="s">
        <v>269</v>
      </c>
      <c r="D98" t="s">
        <v>270</v>
      </c>
    </row>
    <row r="99" spans="3:4" x14ac:dyDescent="0.3">
      <c r="C99" t="s">
        <v>271</v>
      </c>
      <c r="D99" t="s">
        <v>272</v>
      </c>
    </row>
    <row r="100" spans="3:4" x14ac:dyDescent="0.3">
      <c r="C100" t="s">
        <v>273</v>
      </c>
      <c r="D100" t="s">
        <v>274</v>
      </c>
    </row>
    <row r="101" spans="3:4" x14ac:dyDescent="0.3">
      <c r="C101" t="s">
        <v>275</v>
      </c>
      <c r="D101" t="s">
        <v>276</v>
      </c>
    </row>
    <row r="102" spans="3:4" x14ac:dyDescent="0.3">
      <c r="C102" t="s">
        <v>277</v>
      </c>
      <c r="D102" t="s">
        <v>278</v>
      </c>
    </row>
    <row r="103" spans="3:4" x14ac:dyDescent="0.3">
      <c r="C103" t="s">
        <v>279</v>
      </c>
      <c r="D103" t="s">
        <v>280</v>
      </c>
    </row>
    <row r="104" spans="3:4" x14ac:dyDescent="0.3">
      <c r="C104" t="s">
        <v>281</v>
      </c>
      <c r="D104" t="s">
        <v>282</v>
      </c>
    </row>
    <row r="105" spans="3:4" x14ac:dyDescent="0.3">
      <c r="C105" t="s">
        <v>283</v>
      </c>
      <c r="D105" t="s">
        <v>284</v>
      </c>
    </row>
    <row r="106" spans="3:4" x14ac:dyDescent="0.3">
      <c r="C106" t="s">
        <v>285</v>
      </c>
      <c r="D106" t="s">
        <v>286</v>
      </c>
    </row>
    <row r="107" spans="3:4" x14ac:dyDescent="0.3">
      <c r="C107" t="s">
        <v>287</v>
      </c>
      <c r="D107" t="s">
        <v>288</v>
      </c>
    </row>
    <row r="108" spans="3:4" x14ac:dyDescent="0.3">
      <c r="C108" t="s">
        <v>289</v>
      </c>
      <c r="D108" t="s">
        <v>290</v>
      </c>
    </row>
    <row r="109" spans="3:4" x14ac:dyDescent="0.3">
      <c r="C109" t="s">
        <v>291</v>
      </c>
      <c r="D109" t="s">
        <v>292</v>
      </c>
    </row>
    <row r="110" spans="3:4" x14ac:dyDescent="0.3">
      <c r="C110" t="s">
        <v>293</v>
      </c>
      <c r="D110" t="s">
        <v>294</v>
      </c>
    </row>
    <row r="111" spans="3:4" x14ac:dyDescent="0.3">
      <c r="C111" t="s">
        <v>295</v>
      </c>
      <c r="D111" t="s">
        <v>296</v>
      </c>
    </row>
    <row r="112" spans="3:4" x14ac:dyDescent="0.3">
      <c r="C112" t="s">
        <v>297</v>
      </c>
      <c r="D112" t="s">
        <v>298</v>
      </c>
    </row>
    <row r="113" spans="3:4" x14ac:dyDescent="0.3">
      <c r="C113" t="s">
        <v>299</v>
      </c>
      <c r="D113" t="s">
        <v>300</v>
      </c>
    </row>
    <row r="114" spans="3:4" x14ac:dyDescent="0.3">
      <c r="C114" t="s">
        <v>301</v>
      </c>
      <c r="D114" t="s">
        <v>302</v>
      </c>
    </row>
    <row r="115" spans="3:4" x14ac:dyDescent="0.3">
      <c r="C115" t="s">
        <v>303</v>
      </c>
      <c r="D115" t="s">
        <v>304</v>
      </c>
    </row>
    <row r="116" spans="3:4" x14ac:dyDescent="0.3">
      <c r="C116" t="s">
        <v>305</v>
      </c>
      <c r="D116" t="s">
        <v>306</v>
      </c>
    </row>
    <row r="117" spans="3:4" x14ac:dyDescent="0.3">
      <c r="C117" t="s">
        <v>307</v>
      </c>
      <c r="D117" t="s">
        <v>308</v>
      </c>
    </row>
    <row r="118" spans="3:4" x14ac:dyDescent="0.3">
      <c r="C118" t="s">
        <v>309</v>
      </c>
      <c r="D118" t="s">
        <v>310</v>
      </c>
    </row>
    <row r="119" spans="3:4" x14ac:dyDescent="0.3">
      <c r="C119" t="s">
        <v>311</v>
      </c>
      <c r="D119" t="s">
        <v>312</v>
      </c>
    </row>
    <row r="120" spans="3:4" x14ac:dyDescent="0.3">
      <c r="C120" t="s">
        <v>313</v>
      </c>
      <c r="D120" t="s">
        <v>314</v>
      </c>
    </row>
    <row r="121" spans="3:4" x14ac:dyDescent="0.3">
      <c r="C121" t="s">
        <v>315</v>
      </c>
      <c r="D121" t="s">
        <v>316</v>
      </c>
    </row>
    <row r="122" spans="3:4" x14ac:dyDescent="0.3">
      <c r="C122" t="s">
        <v>317</v>
      </c>
      <c r="D122" t="s">
        <v>318</v>
      </c>
    </row>
    <row r="123" spans="3:4" x14ac:dyDescent="0.3">
      <c r="C123" t="s">
        <v>319</v>
      </c>
      <c r="D123" t="s">
        <v>320</v>
      </c>
    </row>
    <row r="124" spans="3:4" x14ac:dyDescent="0.3">
      <c r="C124" t="s">
        <v>321</v>
      </c>
      <c r="D124" t="s">
        <v>322</v>
      </c>
    </row>
    <row r="125" spans="3:4" x14ac:dyDescent="0.3">
      <c r="C125" t="s">
        <v>323</v>
      </c>
      <c r="D125" t="s">
        <v>324</v>
      </c>
    </row>
    <row r="126" spans="3:4" x14ac:dyDescent="0.3">
      <c r="C126" t="s">
        <v>325</v>
      </c>
      <c r="D126" t="s">
        <v>326</v>
      </c>
    </row>
    <row r="127" spans="3:4" x14ac:dyDescent="0.3">
      <c r="C127" t="s">
        <v>327</v>
      </c>
      <c r="D127" t="s">
        <v>328</v>
      </c>
    </row>
    <row r="128" spans="3:4" x14ac:dyDescent="0.3">
      <c r="C128" t="s">
        <v>329</v>
      </c>
      <c r="D128" t="s">
        <v>330</v>
      </c>
    </row>
    <row r="129" spans="3:4" x14ac:dyDescent="0.3">
      <c r="C129" t="s">
        <v>331</v>
      </c>
      <c r="D129" t="s">
        <v>332</v>
      </c>
    </row>
    <row r="130" spans="3:4" x14ac:dyDescent="0.3">
      <c r="C130" t="s">
        <v>333</v>
      </c>
      <c r="D130" t="s">
        <v>334</v>
      </c>
    </row>
    <row r="131" spans="3:4" x14ac:dyDescent="0.3">
      <c r="C131" t="s">
        <v>335</v>
      </c>
      <c r="D131" t="s">
        <v>336</v>
      </c>
    </row>
    <row r="132" spans="3:4" x14ac:dyDescent="0.3">
      <c r="C132" t="s">
        <v>337</v>
      </c>
      <c r="D132" t="s">
        <v>338</v>
      </c>
    </row>
    <row r="133" spans="3:4" x14ac:dyDescent="0.3">
      <c r="C133" t="s">
        <v>339</v>
      </c>
      <c r="D133" t="s">
        <v>340</v>
      </c>
    </row>
    <row r="134" spans="3:4" x14ac:dyDescent="0.3">
      <c r="C134" t="s">
        <v>341</v>
      </c>
      <c r="D134" t="s">
        <v>342</v>
      </c>
    </row>
    <row r="135" spans="3:4" x14ac:dyDescent="0.3">
      <c r="C135" t="s">
        <v>343</v>
      </c>
      <c r="D135" t="s">
        <v>344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9" sqref="B9"/>
    </sheetView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345</v>
      </c>
      <c r="C2" s="14" t="s">
        <v>346</v>
      </c>
    </row>
    <row r="3" spans="2:3" x14ac:dyDescent="0.3">
      <c r="B3" s="27" t="s">
        <v>345</v>
      </c>
      <c r="C3" s="28" t="s">
        <v>347</v>
      </c>
    </row>
    <row r="4" spans="2:3" ht="30" customHeight="1" x14ac:dyDescent="0.3">
      <c r="B4" s="34" t="s">
        <v>348</v>
      </c>
      <c r="C4" s="20" t="s">
        <v>349</v>
      </c>
    </row>
    <row r="5" spans="2:3" ht="30" customHeight="1" x14ac:dyDescent="0.3">
      <c r="B5" s="23" t="s">
        <v>350</v>
      </c>
      <c r="C5" s="29" t="s">
        <v>351</v>
      </c>
    </row>
    <row r="6" spans="2:3" ht="30" customHeight="1" x14ac:dyDescent="0.3">
      <c r="B6" s="23" t="s">
        <v>352</v>
      </c>
      <c r="C6" s="29" t="s">
        <v>353</v>
      </c>
    </row>
    <row r="7" spans="2:3" ht="30" customHeight="1" x14ac:dyDescent="0.3">
      <c r="B7" s="22" t="s">
        <v>354</v>
      </c>
      <c r="C7" s="22" t="s">
        <v>355</v>
      </c>
    </row>
    <row r="8" spans="2:3" ht="30" customHeight="1" x14ac:dyDescent="0.3">
      <c r="B8" s="22" t="s">
        <v>356</v>
      </c>
      <c r="C8" s="22" t="s">
        <v>357</v>
      </c>
    </row>
    <row r="9" spans="2:3" ht="30" customHeight="1" x14ac:dyDescent="0.3">
      <c r="B9" s="23" t="s">
        <v>358</v>
      </c>
      <c r="C9" s="29" t="s">
        <v>359</v>
      </c>
    </row>
    <row r="10" spans="2:3" ht="30" customHeight="1" x14ac:dyDescent="0.3">
      <c r="B10" s="24" t="s">
        <v>360</v>
      </c>
      <c r="C10" s="24" t="s">
        <v>361</v>
      </c>
    </row>
    <row r="11" spans="2:3" ht="30" customHeight="1" x14ac:dyDescent="0.3">
      <c r="B11" s="23" t="s">
        <v>362</v>
      </c>
      <c r="C11" s="24" t="s">
        <v>363</v>
      </c>
    </row>
    <row r="12" spans="2:3" ht="30" customHeight="1" x14ac:dyDescent="0.3">
      <c r="B12" s="21" t="s">
        <v>364</v>
      </c>
      <c r="C12" s="24" t="s">
        <v>365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366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367</v>
      </c>
      <c r="C2" s="13"/>
      <c r="D2" s="14" t="s">
        <v>346</v>
      </c>
    </row>
    <row r="3" spans="2:4" x14ac:dyDescent="0.3">
      <c r="B3" s="16" t="s">
        <v>368</v>
      </c>
      <c r="C3" s="90" t="s">
        <v>369</v>
      </c>
      <c r="D3" s="90"/>
    </row>
    <row r="4" spans="2:4" x14ac:dyDescent="0.3">
      <c r="B4" s="17" t="s">
        <v>40</v>
      </c>
      <c r="C4" s="18" t="s">
        <v>41</v>
      </c>
      <c r="D4" s="19" t="s">
        <v>370</v>
      </c>
    </row>
    <row r="5" spans="2:4" ht="30" customHeight="1" x14ac:dyDescent="0.3">
      <c r="B5" s="34" t="s">
        <v>371</v>
      </c>
      <c r="C5" s="20" t="s">
        <v>372</v>
      </c>
      <c r="D5" s="20" t="s">
        <v>349</v>
      </c>
    </row>
    <row r="6" spans="2:4" ht="30" customHeight="1" x14ac:dyDescent="0.3">
      <c r="B6" s="23" t="s">
        <v>371</v>
      </c>
      <c r="C6" s="29" t="s">
        <v>373</v>
      </c>
      <c r="D6" s="24" t="s">
        <v>374</v>
      </c>
    </row>
    <row r="7" spans="2:4" ht="30" customHeight="1" x14ac:dyDescent="0.3">
      <c r="B7" s="23" t="s">
        <v>371</v>
      </c>
      <c r="C7" s="29" t="s">
        <v>375</v>
      </c>
      <c r="D7" s="24" t="s">
        <v>376</v>
      </c>
    </row>
    <row r="8" spans="2:4" ht="30" customHeight="1" x14ac:dyDescent="0.3">
      <c r="B8" s="23" t="s">
        <v>371</v>
      </c>
      <c r="C8" s="29" t="s">
        <v>377</v>
      </c>
      <c r="D8" s="24" t="s">
        <v>378</v>
      </c>
    </row>
    <row r="9" spans="2:4" ht="30" customHeight="1" x14ac:dyDescent="0.3">
      <c r="B9" s="23" t="s">
        <v>371</v>
      </c>
      <c r="C9" s="22" t="s">
        <v>379</v>
      </c>
      <c r="D9" s="24" t="s">
        <v>380</v>
      </c>
    </row>
    <row r="10" spans="2:4" ht="30" customHeight="1" x14ac:dyDescent="0.3">
      <c r="B10" s="23" t="s">
        <v>371</v>
      </c>
      <c r="C10" s="22" t="s">
        <v>381</v>
      </c>
      <c r="D10" s="24" t="s">
        <v>382</v>
      </c>
    </row>
    <row r="11" spans="2:4" ht="30" customHeight="1" x14ac:dyDescent="0.3">
      <c r="B11" s="23" t="s">
        <v>383</v>
      </c>
      <c r="C11" s="29" t="s">
        <v>384</v>
      </c>
      <c r="D11" s="24" t="s">
        <v>385</v>
      </c>
    </row>
    <row r="12" spans="2:4" ht="30" customHeight="1" x14ac:dyDescent="0.3">
      <c r="B12" s="23" t="s">
        <v>386</v>
      </c>
      <c r="C12" s="22" t="s">
        <v>387</v>
      </c>
      <c r="D12" s="24" t="s">
        <v>388</v>
      </c>
    </row>
    <row r="13" spans="2:4" ht="30" customHeight="1" x14ac:dyDescent="0.3">
      <c r="B13" s="23" t="s">
        <v>389</v>
      </c>
      <c r="C13" s="24" t="s">
        <v>390</v>
      </c>
      <c r="D13" s="24" t="s">
        <v>391</v>
      </c>
    </row>
    <row r="14" spans="2:4" ht="30" customHeight="1" x14ac:dyDescent="0.3">
      <c r="B14" s="23" t="s">
        <v>392</v>
      </c>
      <c r="C14" s="24" t="s">
        <v>393</v>
      </c>
      <c r="D14" s="24" t="s">
        <v>394</v>
      </c>
    </row>
    <row r="15" spans="2:4" ht="30" customHeight="1" x14ac:dyDescent="0.3">
      <c r="B15" s="23" t="s">
        <v>395</v>
      </c>
      <c r="C15" s="24" t="s">
        <v>396</v>
      </c>
      <c r="D15" s="24" t="s">
        <v>397</v>
      </c>
    </row>
    <row r="16" spans="2:4" ht="30" customHeight="1" x14ac:dyDescent="0.3">
      <c r="B16" s="23" t="s">
        <v>398</v>
      </c>
      <c r="C16" s="24" t="s">
        <v>399</v>
      </c>
      <c r="D16" s="24" t="s">
        <v>400</v>
      </c>
    </row>
    <row r="17" spans="2:4" ht="30" customHeight="1" x14ac:dyDescent="0.3">
      <c r="B17" s="23" t="s">
        <v>401</v>
      </c>
      <c r="C17" s="22" t="s">
        <v>402</v>
      </c>
      <c r="D17" s="24" t="s">
        <v>403</v>
      </c>
    </row>
    <row r="18" spans="2:4" ht="30" customHeight="1" x14ac:dyDescent="0.3">
      <c r="B18" s="23" t="s">
        <v>401</v>
      </c>
      <c r="C18" s="24" t="s">
        <v>404</v>
      </c>
      <c r="D18" s="24" t="s">
        <v>405</v>
      </c>
    </row>
    <row r="19" spans="2:4" ht="30" customHeight="1" x14ac:dyDescent="0.3">
      <c r="B19" s="24" t="s">
        <v>406</v>
      </c>
      <c r="C19" s="24" t="s">
        <v>407</v>
      </c>
      <c r="D19" s="24" t="s">
        <v>408</v>
      </c>
    </row>
    <row r="20" spans="2:4" ht="30" customHeight="1" x14ac:dyDescent="0.3">
      <c r="B20" s="22" t="s">
        <v>409</v>
      </c>
      <c r="C20" s="22" t="s">
        <v>410</v>
      </c>
      <c r="D20" s="24" t="s">
        <v>363</v>
      </c>
    </row>
    <row r="21" spans="2:4" ht="30" customHeight="1" x14ac:dyDescent="0.3">
      <c r="B21" s="22" t="s">
        <v>411</v>
      </c>
      <c r="C21" s="22" t="s">
        <v>412</v>
      </c>
      <c r="D21" s="24" t="s">
        <v>413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366</v>
      </c>
      <c r="C26" s="31"/>
      <c r="D26" s="26"/>
    </row>
  </sheetData>
  <mergeCells count="1">
    <mergeCell ref="C3:D3"/>
  </mergeCells>
  <phoneticPr fontId="2"/>
  <dataValidations disablePrompts="1"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AD58D7EF-329E-47A3-9A10-E86A64FA3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2023-12-04T06:08:40Z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