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924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msdnacesystems.sharepoint.com/sites/22A1106-00/Shared Documents/General/11_詳細設計/★レビュー表/"/>
    </mc:Choice>
  </mc:AlternateContent>
  <xr:revisionPtr revIDLastSave="37" documentId="11_366706FFE28BF46444578F2AE6778C60EFDB58BF" xr6:coauthVersionLast="47" xr6:coauthVersionMax="47" xr10:uidLastSave="{C7033E75-68CC-4609-94C3-A1C71EF3DD77}"/>
  <bookViews>
    <workbookView xWindow="-108" yWindow="-108" windowWidth="23256" windowHeight="13176" xr2:uid="{00000000-000D-0000-FFFF-FFFF00000000}"/>
  </bookViews>
  <sheets>
    <sheet name="レビュー表" sheetId="1" r:id="rId1"/>
    <sheet name="マスタ" sheetId="2" r:id="rId2"/>
    <sheet name="指摘区分" sheetId="4" r:id="rId3"/>
    <sheet name="原因区分" sheetId="5" r:id="rId4"/>
  </sheets>
  <externalReferences>
    <externalReference r:id="rId5"/>
  </externalReferences>
  <definedNames>
    <definedName name="ＰＧ指摘件数">[1]表紙!$B$28</definedName>
    <definedName name="_xlnm.Print_Area" localSheetId="3">原因区分!$A$1:$D$26</definedName>
    <definedName name="_xlnm.Print_Area" localSheetId="2">指摘区分!$A$1:$C$25</definedName>
    <definedName name="_xlnm.Print_Titles" localSheetId="0">レビュー表!$7:$8</definedName>
    <definedName name="ＰＳ指摘件数">[1]表紙!$B$16</definedName>
    <definedName name="ＰＴ仕様書">[1]表紙!$B$3</definedName>
    <definedName name="ＰＴ仕様書指摘件数">[1]表紙!$B$22</definedName>
    <definedName name="サブシステム名">[1]表紙!$I$6</definedName>
    <definedName name="サブシステム名リスト">[1]プロセス!$D$2</definedName>
    <definedName name="プロセス範囲">[1]プロセス!$J$3:$L$21</definedName>
    <definedName name="会社名リスト範囲">[1]コード表!$G$2</definedName>
    <definedName name="開発規模">[1]表紙!$I$12</definedName>
    <definedName name="管理単位_管理単位１">[1]設定シート!$E$2</definedName>
    <definedName name="管理単位_管理単位２">[1]設定シート!$F$2</definedName>
    <definedName name="基本テスト項目数">[1]表紙!$AA$16</definedName>
    <definedName name="基本原因区分１">[1]表紙!$O$62</definedName>
    <definedName name="基本原因区分１０">[1]表紙!$O$71</definedName>
    <definedName name="基本原因区分１１">[1]表紙!$O$72</definedName>
    <definedName name="基本原因区分１２">[1]表紙!$O$73</definedName>
    <definedName name="基本原因区分１３">[1]表紙!$O$74</definedName>
    <definedName name="基本原因区分１４">[1]表紙!$O$75</definedName>
    <definedName name="基本原因区分１５">[1]表紙!$O$76</definedName>
    <definedName name="基本原因区分１６">[1]表紙!$O$77</definedName>
    <definedName name="基本原因区分１７">[1]表紙!$O$78</definedName>
    <definedName name="基本原因区分１８">[1]表紙!$O$79</definedName>
    <definedName name="基本原因区分１９">[1]表紙!$O$80</definedName>
    <definedName name="基本原因区分２">[1]表紙!$O$63</definedName>
    <definedName name="基本原因区分２０">[1]表紙!$O$81</definedName>
    <definedName name="基本原因区分２１">[1]表紙!$O$82</definedName>
    <definedName name="基本原因区分２２">[1]表紙!$O$83</definedName>
    <definedName name="基本原因区分２３">[1]表紙!$O$84</definedName>
    <definedName name="基本原因区分２４">[1]表紙!$O$85</definedName>
    <definedName name="基本原因区分２５">[1]表紙!$O$86</definedName>
    <definedName name="基本原因区分２６">[1]表紙!$O$87</definedName>
    <definedName name="基本原因区分２７">[1]表紙!$O$88</definedName>
    <definedName name="基本原因区分２８">[1]表紙!$O$89</definedName>
    <definedName name="基本原因区分２９">[1]表紙!$O$90</definedName>
    <definedName name="基本原因区分３">[1]表紙!$O$64</definedName>
    <definedName name="基本原因区分３０">[1]表紙!$O$91</definedName>
    <definedName name="基本原因区分３１">[1]表紙!$O$92</definedName>
    <definedName name="基本原因区分３２">[1]表紙!$O$93</definedName>
    <definedName name="基本原因区分３３">[1]表紙!$O$94</definedName>
    <definedName name="基本原因区分３４">[1]表紙!$O$95</definedName>
    <definedName name="基本原因区分３５">[1]表紙!$O$96</definedName>
    <definedName name="基本原因区分３６">[1]表紙!$O$97</definedName>
    <definedName name="基本原因区分３７">[1]表紙!$O$98</definedName>
    <definedName name="基本原因区分３８">[1]表紙!$O$99</definedName>
    <definedName name="基本原因区分３９">[1]表紙!$O$100</definedName>
    <definedName name="基本原因区分４">[1]表紙!$O$65</definedName>
    <definedName name="基本原因区分４０">[1]表紙!$O$101</definedName>
    <definedName name="基本原因区分５">[1]表紙!$O$66</definedName>
    <definedName name="基本原因区分６">[1]表紙!$O$67</definedName>
    <definedName name="基本原因区分７">[1]表紙!$O$68</definedName>
    <definedName name="基本原因区分８">[1]表紙!$O$69</definedName>
    <definedName name="基本原因区分９">[1]表紙!$O$70</definedName>
    <definedName name="基本原因工程１">[1]表紙!$AA$22</definedName>
    <definedName name="基本原因工程１０">[1]表紙!$AA$31</definedName>
    <definedName name="基本原因工程２">[1]表紙!$AA$23</definedName>
    <definedName name="基本原因工程３">[1]表紙!$AA$24</definedName>
    <definedName name="基本原因工程４">[1]表紙!$AA$25</definedName>
    <definedName name="基本原因工程５">[1]表紙!$AA$26</definedName>
    <definedName name="基本原因工程６">[1]表紙!$AA$27</definedName>
    <definedName name="基本原因工程７">[1]表紙!$AA$28</definedName>
    <definedName name="基本原因工程８">[1]表紙!$AA$29</definedName>
    <definedName name="基本原因工程９">[1]表紙!$AA$30</definedName>
    <definedName name="基本障害件数">[1]表紙!$AA$19</definedName>
    <definedName name="共通設定_規模">[1]【変更不可】共通設定!$B$1</definedName>
    <definedName name="業務テスト項目数">[1]表紙!$AG$16</definedName>
    <definedName name="業務プロセス範囲">[1]プロセス!$F$3:$H$9</definedName>
    <definedName name="業務プロセス名">[1]表紙!$I$7</definedName>
    <definedName name="業務原因区分１">[1]表紙!$U$62</definedName>
    <definedName name="業務原因区分１０">[1]表紙!$U$71</definedName>
    <definedName name="業務原因区分１１">[1]表紙!$U$72</definedName>
    <definedName name="業務原因区分１２">[1]表紙!$U$73</definedName>
    <definedName name="業務原因区分１３">[1]表紙!$U$74</definedName>
    <definedName name="業務原因区分１４">[1]表紙!$U$75</definedName>
    <definedName name="業務原因区分１５">[1]表紙!$U$76</definedName>
    <definedName name="業務原因区分１６">[1]表紙!$U$77</definedName>
    <definedName name="業務原因区分１７">[1]表紙!$U$78</definedName>
    <definedName name="業務原因区分１８">[1]表紙!$U$79</definedName>
    <definedName name="業務原因区分１９">[1]表紙!$U$80</definedName>
    <definedName name="業務原因区分２">[1]表紙!$U$63</definedName>
    <definedName name="業務原因区分２０">[1]表紙!$U$81</definedName>
    <definedName name="業務原因区分２１">[1]表紙!$U$82</definedName>
    <definedName name="業務原因区分２２">[1]表紙!$U$83</definedName>
    <definedName name="業務原因区分２３">[1]表紙!$U$84</definedName>
    <definedName name="業務原因区分２４">[1]表紙!$U$85</definedName>
    <definedName name="業務原因区分２５">[1]表紙!$U$86</definedName>
    <definedName name="業務原因区分２６">[1]表紙!$U$87</definedName>
    <definedName name="業務原因区分２７">[1]表紙!$U$88</definedName>
    <definedName name="業務原因区分２８">[1]表紙!$U$89</definedName>
    <definedName name="業務原因区分２９">[1]表紙!$U$90</definedName>
    <definedName name="業務原因区分３">[1]表紙!$U$64</definedName>
    <definedName name="業務原因区分３０">[1]表紙!$U$91</definedName>
    <definedName name="業務原因区分３１">[1]表紙!$U$92</definedName>
    <definedName name="業務原因区分３２">[1]表紙!$U$93</definedName>
    <definedName name="業務原因区分３３">[1]表紙!$U$94</definedName>
    <definedName name="業務原因区分３４">[1]表紙!$U$95</definedName>
    <definedName name="業務原因区分３５">[1]表紙!$U$96</definedName>
    <definedName name="業務原因区分３６">[1]表紙!$U$97</definedName>
    <definedName name="業務原因区分３７">[1]表紙!$U$98</definedName>
    <definedName name="業務原因区分３８">[1]表紙!$U$99</definedName>
    <definedName name="業務原因区分３９">[1]表紙!$U$100</definedName>
    <definedName name="業務原因区分４">[1]表紙!$U$65</definedName>
    <definedName name="業務原因区分４０">[1]表紙!$U$101</definedName>
    <definedName name="業務原因区分５">[1]表紙!$U$66</definedName>
    <definedName name="業務原因区分６">[1]表紙!$U$67</definedName>
    <definedName name="業務原因区分７">[1]表紙!$U$68</definedName>
    <definedName name="業務原因区分８">[1]表紙!$U$69</definedName>
    <definedName name="業務原因区分９">[1]表紙!$U$70</definedName>
    <definedName name="業務原因工程１">[1]表紙!$AG$22</definedName>
    <definedName name="業務原因工程１０">[1]表紙!$AG$31</definedName>
    <definedName name="業務原因工程２">[1]表紙!$AG$23</definedName>
    <definedName name="業務原因工程３">[1]表紙!$AG$24</definedName>
    <definedName name="業務原因工程４">[1]表紙!$AG$25</definedName>
    <definedName name="業務原因工程５">[1]表紙!$AG$26</definedName>
    <definedName name="業務原因工程６">[1]表紙!$AG$27</definedName>
    <definedName name="業務原因工程７">[1]表紙!$AG$28</definedName>
    <definedName name="業務原因工程８">[1]表紙!$AG$29</definedName>
    <definedName name="業務原因工程９">[1]表紙!$AG$30</definedName>
    <definedName name="業務障害件数">[1]表紙!$AG$19</definedName>
    <definedName name="原因一覧_開始" localSheetId="3">原因区分!#REF!</definedName>
    <definedName name="原因一覧_開始" localSheetId="2">指摘区分!#REF!</definedName>
    <definedName name="原因一覧_開始">#REF!</definedName>
    <definedName name="原因一覧_終了" localSheetId="3">原因区分!$B$26</definedName>
    <definedName name="原因一覧_終了" localSheetId="2">指摘区分!$B$25</definedName>
    <definedName name="原因一覧_終了">#REF!</definedName>
    <definedName name="原因区分名１">[1]表紙!$C$62</definedName>
    <definedName name="原因区分名１０">[1]表紙!$C$71</definedName>
    <definedName name="原因区分名１１">[1]表紙!$C$72</definedName>
    <definedName name="原因区分名１２">[1]表紙!$C$73</definedName>
    <definedName name="原因区分名１３">[1]表紙!$C$74</definedName>
    <definedName name="原因区分名１４">[1]表紙!$C$75</definedName>
    <definedName name="原因区分名１５">[1]表紙!$C$76</definedName>
    <definedName name="原因区分名１６">[1]表紙!$C$77</definedName>
    <definedName name="原因区分名１７">[1]表紙!$C$78</definedName>
    <definedName name="原因区分名１８">[1]表紙!$C$79</definedName>
    <definedName name="原因区分名１９">[1]表紙!$C$80</definedName>
    <definedName name="原因区分名２">[1]表紙!$C$63</definedName>
    <definedName name="原因区分名２０">[1]表紙!$C$81</definedName>
    <definedName name="原因区分名２１">[1]表紙!$C$82</definedName>
    <definedName name="原因区分名２２">[1]表紙!$C$83</definedName>
    <definedName name="原因区分名２３">[1]表紙!$C$84</definedName>
    <definedName name="原因区分名２４">[1]表紙!$C$85</definedName>
    <definedName name="原因区分名２５">[1]表紙!$C$86</definedName>
    <definedName name="原因区分名２６">[1]表紙!$C$87</definedName>
    <definedName name="原因区分名２７">[1]表紙!$C$88</definedName>
    <definedName name="原因区分名２８">[1]表紙!$C$89</definedName>
    <definedName name="原因区分名２９">[1]表紙!$C$90</definedName>
    <definedName name="原因区分名３">[1]表紙!$C$64</definedName>
    <definedName name="原因区分名３０">[1]表紙!$C$91</definedName>
    <definedName name="原因区分名３１">[1]表紙!$C$92</definedName>
    <definedName name="原因区分名３２">[1]表紙!$C$93</definedName>
    <definedName name="原因区分名３３">[1]表紙!$C$94</definedName>
    <definedName name="原因区分名３４">[1]表紙!$C$95</definedName>
    <definedName name="原因区分名３５">[1]表紙!$C$96</definedName>
    <definedName name="原因区分名３６">[1]表紙!$C$97</definedName>
    <definedName name="原因区分名３７">[1]表紙!$C$98</definedName>
    <definedName name="原因区分名３８">[1]表紙!$C$99</definedName>
    <definedName name="原因区分名３９">[1]表紙!$C$100</definedName>
    <definedName name="原因区分名４">[1]表紙!$C$65</definedName>
    <definedName name="原因区分名４０">[1]表紙!$C$101</definedName>
    <definedName name="原因区分名５">[1]表紙!$C$66</definedName>
    <definedName name="原因区分名６">[1]表紙!$C$67</definedName>
    <definedName name="原因区分名７">[1]表紙!$C$68</definedName>
    <definedName name="原因区分名８">[1]表紙!$C$69</definedName>
    <definedName name="原因区分名９">[1]表紙!$C$70</definedName>
    <definedName name="原因工程名１">[1]表紙!$U$22</definedName>
    <definedName name="原因工程名１０">[1]表紙!$U$31</definedName>
    <definedName name="原因工程名２">[1]表紙!$U$23</definedName>
    <definedName name="原因工程名３">[1]表紙!$U$24</definedName>
    <definedName name="原因工程名４">[1]表紙!$U$25</definedName>
    <definedName name="原因工程名５">[1]表紙!$U$26</definedName>
    <definedName name="原因工程名６">[1]表紙!$U$27</definedName>
    <definedName name="原因工程名７">[1]表紙!$U$28</definedName>
    <definedName name="原因工程名８">[1]表紙!$U$29</definedName>
    <definedName name="原因工程名９">[1]表紙!$U$30</definedName>
    <definedName name="工程リスト範囲">[1]コード表!$C$2</definedName>
    <definedName name="合計テスト項目数">[1]表紙!$AM$16</definedName>
    <definedName name="合計障害件数">[1]表紙!$AM$19</definedName>
    <definedName name="最終行">レビュー表!$A$24</definedName>
    <definedName name="担当者名リスト範囲">[1]コード表!$I$2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0" i="1" l="1"/>
  <c r="M5" i="1" l="1"/>
  <c r="A23" i="1"/>
  <c r="A22" i="1"/>
  <c r="A21" i="1"/>
  <c r="A20" i="1"/>
  <c r="A19" i="1"/>
  <c r="A18" i="1"/>
  <c r="A16" i="1"/>
  <c r="A15" i="1"/>
  <c r="A17" i="1"/>
  <c r="A14" i="1"/>
  <c r="A13" i="1"/>
  <c r="A12" i="1"/>
  <c r="A11" i="1"/>
  <c r="A9" i="1"/>
  <c r="Z5" i="1"/>
  <c r="S5" i="1"/>
  <c r="Q5" i="1"/>
  <c r="W5" i="1"/>
  <c r="J2" i="1" l="1"/>
</calcChain>
</file>

<file path=xl/sharedStrings.xml><?xml version="1.0" encoding="utf-8"?>
<sst xmlns="http://schemas.openxmlformats.org/spreadsheetml/2006/main" count="425" uniqueCount="410">
  <si>
    <t>レビュードキュメント</t>
  </si>
  <si>
    <t>業務分類</t>
    <rPh sb="0" eb="2">
      <t>ギョウム</t>
    </rPh>
    <rPh sb="2" eb="4">
      <t>ブンルイ</t>
    </rPh>
    <phoneticPr fontId="2"/>
  </si>
  <si>
    <t>機能ID</t>
    <rPh sb="0" eb="2">
      <t>キノウ</t>
    </rPh>
    <phoneticPr fontId="2"/>
  </si>
  <si>
    <t>機能名</t>
    <rPh sb="0" eb="3">
      <t>キノウメイ</t>
    </rPh>
    <phoneticPr fontId="2"/>
  </si>
  <si>
    <t>頁数</t>
  </si>
  <si>
    <t>詳細設計</t>
  </si>
  <si>
    <t>レビューイ①</t>
  </si>
  <si>
    <t>レビューア①</t>
    <phoneticPr fontId="2"/>
  </si>
  <si>
    <t>レビューイ②</t>
  </si>
  <si>
    <t>レビューア②</t>
    <phoneticPr fontId="2"/>
  </si>
  <si>
    <t>レビュー回数</t>
    <rPh sb="4" eb="6">
      <t>カイスウ</t>
    </rPh>
    <phoneticPr fontId="2"/>
  </si>
  <si>
    <t>レビュー開催日</t>
    <rPh sb="4" eb="6">
      <t>カイサイ</t>
    </rPh>
    <rPh sb="6" eb="7">
      <t>ヒ</t>
    </rPh>
    <phoneticPr fontId="2"/>
  </si>
  <si>
    <t>開始時間</t>
    <rPh sb="0" eb="2">
      <t>カイシ</t>
    </rPh>
    <rPh sb="2" eb="4">
      <t>ジカン</t>
    </rPh>
    <phoneticPr fontId="2"/>
  </si>
  <si>
    <t>終了時間</t>
    <rPh sb="0" eb="2">
      <t>シュウリョウ</t>
    </rPh>
    <rPh sb="2" eb="4">
      <t>ジカン</t>
    </rPh>
    <phoneticPr fontId="2"/>
  </si>
  <si>
    <t>レビュー時間</t>
    <rPh sb="4" eb="6">
      <t>ジカン</t>
    </rPh>
    <phoneticPr fontId="2"/>
  </si>
  <si>
    <t>指摘件数</t>
    <rPh sb="0" eb="2">
      <t>シテキ</t>
    </rPh>
    <rPh sb="2" eb="4">
      <t>ケンスウ</t>
    </rPh>
    <phoneticPr fontId="2"/>
  </si>
  <si>
    <t>修正予定完了日</t>
    <rPh sb="0" eb="2">
      <t>シュウセイ</t>
    </rPh>
    <rPh sb="2" eb="4">
      <t>ヨテイ</t>
    </rPh>
    <rPh sb="4" eb="6">
      <t>カンリョウ</t>
    </rPh>
    <rPh sb="6" eb="7">
      <t>ヒ</t>
    </rPh>
    <phoneticPr fontId="2"/>
  </si>
  <si>
    <t>修正完了日</t>
    <rPh sb="0" eb="2">
      <t>シュウセイ</t>
    </rPh>
    <rPh sb="2" eb="4">
      <t>カンリョウ</t>
    </rPh>
    <rPh sb="4" eb="5">
      <t>ヒ</t>
    </rPh>
    <phoneticPr fontId="2"/>
  </si>
  <si>
    <t>修正確認日</t>
    <rPh sb="0" eb="2">
      <t>シュウセイ</t>
    </rPh>
    <rPh sb="2" eb="4">
      <t>カクニン</t>
    </rPh>
    <rPh sb="4" eb="5">
      <t>ヒ</t>
    </rPh>
    <phoneticPr fontId="2"/>
  </si>
  <si>
    <t>レビューイ③</t>
  </si>
  <si>
    <t>レビューア③</t>
    <phoneticPr fontId="2"/>
  </si>
  <si>
    <t>レビューイ④</t>
  </si>
  <si>
    <t>レビューア④</t>
    <phoneticPr fontId="2"/>
  </si>
  <si>
    <t>指摘№</t>
    <rPh sb="0" eb="2">
      <t>シテキ</t>
    </rPh>
    <phoneticPr fontId="2"/>
  </si>
  <si>
    <t>指摘者</t>
    <rPh sb="0" eb="2">
      <t>シテキ</t>
    </rPh>
    <rPh sb="2" eb="3">
      <t>シャ</t>
    </rPh>
    <phoneticPr fontId="2"/>
  </si>
  <si>
    <t>指摘シート・ドキュメント</t>
    <rPh sb="0" eb="2">
      <t>シテキ</t>
    </rPh>
    <phoneticPr fontId="2"/>
  </si>
  <si>
    <t>指摘区分</t>
    <rPh sb="0" eb="2">
      <t>シテキ</t>
    </rPh>
    <rPh sb="2" eb="4">
      <t>クブン</t>
    </rPh>
    <phoneticPr fontId="2"/>
  </si>
  <si>
    <t>指摘内容</t>
    <rPh sb="0" eb="2">
      <t>シテキ</t>
    </rPh>
    <rPh sb="2" eb="4">
      <t>ナイヨウ</t>
    </rPh>
    <phoneticPr fontId="2"/>
  </si>
  <si>
    <t>修正内容</t>
    <rPh sb="0" eb="2">
      <t>シュウセイ</t>
    </rPh>
    <rPh sb="2" eb="4">
      <t>ナイヨウ</t>
    </rPh>
    <phoneticPr fontId="2"/>
  </si>
  <si>
    <t>修正箇所情報</t>
    <rPh sb="0" eb="2">
      <t>シュウセイ</t>
    </rPh>
    <rPh sb="2" eb="4">
      <t>カショ</t>
    </rPh>
    <rPh sb="4" eb="6">
      <t>ジョウホウ</t>
    </rPh>
    <phoneticPr fontId="2"/>
  </si>
  <si>
    <t>原因</t>
    <rPh sb="0" eb="2">
      <t>ゲンイン</t>
    </rPh>
    <phoneticPr fontId="4"/>
  </si>
  <si>
    <t>修正</t>
    <rPh sb="0" eb="2">
      <t>シュウセイ</t>
    </rPh>
    <phoneticPr fontId="4"/>
  </si>
  <si>
    <t>確認</t>
    <rPh sb="0" eb="2">
      <t>カクニン</t>
    </rPh>
    <phoneticPr fontId="4"/>
  </si>
  <si>
    <t>備考</t>
    <rPh sb="0" eb="2">
      <t>ビコウ</t>
    </rPh>
    <phoneticPr fontId="4"/>
  </si>
  <si>
    <t>原因工程</t>
    <rPh sb="0" eb="2">
      <t>ゲンイン</t>
    </rPh>
    <rPh sb="2" eb="4">
      <t>コウテイ</t>
    </rPh>
    <phoneticPr fontId="4"/>
  </si>
  <si>
    <t>原因分類</t>
    <rPh sb="0" eb="2">
      <t>ゲンイン</t>
    </rPh>
    <rPh sb="2" eb="4">
      <t>ブンルイ</t>
    </rPh>
    <phoneticPr fontId="4"/>
  </si>
  <si>
    <t>原因区分</t>
    <rPh sb="0" eb="2">
      <t>ゲンイン</t>
    </rPh>
    <rPh sb="2" eb="4">
      <t>クブン</t>
    </rPh>
    <phoneticPr fontId="4"/>
  </si>
  <si>
    <t>修正担当者</t>
    <rPh sb="0" eb="2">
      <t>シュウセイ</t>
    </rPh>
    <rPh sb="2" eb="5">
      <t>タントウシャ</t>
    </rPh>
    <phoneticPr fontId="4"/>
  </si>
  <si>
    <t>修正予定日</t>
    <rPh sb="0" eb="2">
      <t>シュウセイ</t>
    </rPh>
    <rPh sb="2" eb="5">
      <t>ヨテイビ</t>
    </rPh>
    <phoneticPr fontId="4"/>
  </si>
  <si>
    <t>修正完了日</t>
    <rPh sb="0" eb="2">
      <t>シュウセイ</t>
    </rPh>
    <rPh sb="2" eb="4">
      <t>カンリョウ</t>
    </rPh>
    <rPh sb="4" eb="5">
      <t>ヒ</t>
    </rPh>
    <phoneticPr fontId="4"/>
  </si>
  <si>
    <t>確認担当者</t>
    <rPh sb="0" eb="2">
      <t>カクニン</t>
    </rPh>
    <rPh sb="2" eb="4">
      <t>タントウ</t>
    </rPh>
    <rPh sb="4" eb="5">
      <t>シャ</t>
    </rPh>
    <phoneticPr fontId="4"/>
  </si>
  <si>
    <t>確認日</t>
    <rPh sb="0" eb="2">
      <t>カクニン</t>
    </rPh>
    <rPh sb="2" eb="3">
      <t>ヒ</t>
    </rPh>
    <phoneticPr fontId="4"/>
  </si>
  <si>
    <t>End</t>
    <phoneticPr fontId="2"/>
  </si>
  <si>
    <t>ドキュメント</t>
    <phoneticPr fontId="2"/>
  </si>
  <si>
    <t>業務分類名</t>
    <rPh sb="0" eb="2">
      <t>ギョウム</t>
    </rPh>
    <rPh sb="2" eb="4">
      <t>ブンルイ</t>
    </rPh>
    <rPh sb="4" eb="5">
      <t>メイ</t>
    </rPh>
    <phoneticPr fontId="2"/>
  </si>
  <si>
    <t>機能名</t>
    <rPh sb="0" eb="2">
      <t>キノウ</t>
    </rPh>
    <rPh sb="2" eb="3">
      <t>メイ</t>
    </rPh>
    <phoneticPr fontId="2"/>
  </si>
  <si>
    <t>原因工程</t>
    <rPh sb="0" eb="2">
      <t>ゲンイン</t>
    </rPh>
    <rPh sb="2" eb="4">
      <t>コウテイ</t>
    </rPh>
    <phoneticPr fontId="2"/>
  </si>
  <si>
    <t>基本設計</t>
    <rPh sb="0" eb="2">
      <t>キホン</t>
    </rPh>
    <rPh sb="2" eb="4">
      <t>セッケイ</t>
    </rPh>
    <phoneticPr fontId="2"/>
  </si>
  <si>
    <t>A.受注</t>
  </si>
  <si>
    <t>A0101</t>
  </si>
  <si>
    <t>受注登録</t>
  </si>
  <si>
    <t>1:要件定義</t>
    <rPh sb="2" eb="6">
      <t>ヨウケンテイギ</t>
    </rPh>
    <phoneticPr fontId="2"/>
  </si>
  <si>
    <t>詳細設計</t>
    <rPh sb="0" eb="2">
      <t>ショウサイ</t>
    </rPh>
    <rPh sb="2" eb="4">
      <t>セッケイ</t>
    </rPh>
    <phoneticPr fontId="2"/>
  </si>
  <si>
    <t>B.生産計画</t>
  </si>
  <si>
    <t>A1101</t>
  </si>
  <si>
    <t>受注一覧</t>
  </si>
  <si>
    <t>2:基本設計</t>
    <rPh sb="2" eb="4">
      <t>キホン</t>
    </rPh>
    <rPh sb="4" eb="6">
      <t>セッケイ</t>
    </rPh>
    <phoneticPr fontId="2"/>
  </si>
  <si>
    <t>単体試験</t>
    <rPh sb="0" eb="2">
      <t>タンタイ</t>
    </rPh>
    <rPh sb="2" eb="4">
      <t>シケン</t>
    </rPh>
    <phoneticPr fontId="2"/>
  </si>
  <si>
    <t>C.生産実績</t>
  </si>
  <si>
    <t>A3101</t>
  </si>
  <si>
    <t>ラベル発行</t>
  </si>
  <si>
    <t>3:詳細設計</t>
    <rPh sb="2" eb="4">
      <t>ショウサイ</t>
    </rPh>
    <rPh sb="4" eb="6">
      <t>セッケイ</t>
    </rPh>
    <phoneticPr fontId="2"/>
  </si>
  <si>
    <t>単体実施</t>
    <rPh sb="0" eb="2">
      <t>タンタイ</t>
    </rPh>
    <rPh sb="2" eb="4">
      <t>ジッシ</t>
    </rPh>
    <phoneticPr fontId="2"/>
  </si>
  <si>
    <t>D.出荷</t>
  </si>
  <si>
    <t>A3202</t>
  </si>
  <si>
    <t>用紙セット確認</t>
  </si>
  <si>
    <t>4:開発</t>
    <rPh sb="2" eb="4">
      <t>カイハツ</t>
    </rPh>
    <phoneticPr fontId="2"/>
  </si>
  <si>
    <t>コードレビュー</t>
    <phoneticPr fontId="2"/>
  </si>
  <si>
    <t>結合試験</t>
    <rPh sb="0" eb="2">
      <t>ケツゴウ</t>
    </rPh>
    <rPh sb="2" eb="4">
      <t>シケン</t>
    </rPh>
    <phoneticPr fontId="2"/>
  </si>
  <si>
    <t>E.資材</t>
  </si>
  <si>
    <t>B0101</t>
  </si>
  <si>
    <t>生産計画登録（抄紙）</t>
  </si>
  <si>
    <t>5:単体試験</t>
    <rPh sb="2" eb="4">
      <t>タンタイ</t>
    </rPh>
    <rPh sb="4" eb="6">
      <t>シケン</t>
    </rPh>
    <phoneticPr fontId="2"/>
  </si>
  <si>
    <t>結合実施</t>
    <rPh sb="0" eb="2">
      <t>ケツゴウ</t>
    </rPh>
    <rPh sb="2" eb="4">
      <t>ジッシ</t>
    </rPh>
    <phoneticPr fontId="2"/>
  </si>
  <si>
    <t>F.請求・入金</t>
  </si>
  <si>
    <t>B0102</t>
  </si>
  <si>
    <t>生産計画登録（熱加工）</t>
  </si>
  <si>
    <t>6:単体実施</t>
    <rPh sb="2" eb="4">
      <t>タンタイ</t>
    </rPh>
    <rPh sb="4" eb="6">
      <t>ジッシ</t>
    </rPh>
    <phoneticPr fontId="2"/>
  </si>
  <si>
    <t>G.売上</t>
  </si>
  <si>
    <t>B0103</t>
  </si>
  <si>
    <t>生産計画登録（加工CM）</t>
  </si>
  <si>
    <t>7:結合試験</t>
    <rPh sb="2" eb="4">
      <t>ケツゴウ</t>
    </rPh>
    <rPh sb="4" eb="6">
      <t>シケン</t>
    </rPh>
    <phoneticPr fontId="2"/>
  </si>
  <si>
    <t>H.支払</t>
  </si>
  <si>
    <t>B0104</t>
  </si>
  <si>
    <t>生産計画登録（加工SC）</t>
  </si>
  <si>
    <t>8:結合実施</t>
    <rPh sb="2" eb="4">
      <t>ケツゴウ</t>
    </rPh>
    <rPh sb="4" eb="6">
      <t>ジッシ</t>
    </rPh>
    <phoneticPr fontId="2"/>
  </si>
  <si>
    <t>I.原価</t>
  </si>
  <si>
    <t>B0105</t>
  </si>
  <si>
    <t>生産計画登録（コーヒーフィルタ）</t>
  </si>
  <si>
    <t>J.製品棚卸</t>
  </si>
  <si>
    <t>B0106</t>
  </si>
  <si>
    <t>生産計画登録（パッケージ工場）</t>
  </si>
  <si>
    <t>K.マスタ管理</t>
  </si>
  <si>
    <t>B0107</t>
  </si>
  <si>
    <t>生産計画登録（W/D工場）</t>
  </si>
  <si>
    <t>L.共通</t>
  </si>
  <si>
    <t>B0108</t>
  </si>
  <si>
    <t>生産計画登録（外注加工）</t>
  </si>
  <si>
    <t>B1101</t>
  </si>
  <si>
    <t>生産計画一覧</t>
  </si>
  <si>
    <t>B1102</t>
  </si>
  <si>
    <t>月間生産計画（設備別）</t>
  </si>
  <si>
    <t>B1103</t>
  </si>
  <si>
    <t>月間生産計画（工程別）①</t>
  </si>
  <si>
    <t>B1104</t>
  </si>
  <si>
    <t>月間生産計画（工程別）②</t>
  </si>
  <si>
    <t>B1201</t>
  </si>
  <si>
    <t>在庫推移一覧</t>
  </si>
  <si>
    <t>B1301</t>
  </si>
  <si>
    <t>在庫一覧</t>
  </si>
  <si>
    <t>B0201</t>
  </si>
  <si>
    <t>生産指示登録（原材料）</t>
  </si>
  <si>
    <t>B0202</t>
  </si>
  <si>
    <t>生産指示登録（調薬）</t>
  </si>
  <si>
    <t>B0203</t>
  </si>
  <si>
    <t>生産指示登録（原反）</t>
  </si>
  <si>
    <t>B2101</t>
  </si>
  <si>
    <t>生産計画表（抄紙）</t>
  </si>
  <si>
    <t>B2102</t>
  </si>
  <si>
    <t>生産計画表（熱加工）</t>
  </si>
  <si>
    <t>B2103</t>
  </si>
  <si>
    <t>生産計画表（加工CM）</t>
  </si>
  <si>
    <t>B2104</t>
  </si>
  <si>
    <t>生産計画表（加工SC）</t>
  </si>
  <si>
    <t>B2105</t>
  </si>
  <si>
    <t>生産計画表（コーヒーフィルタ）</t>
  </si>
  <si>
    <t>B2106</t>
  </si>
  <si>
    <t>生産計画表（パッケージ工場）</t>
  </si>
  <si>
    <t>B2107</t>
  </si>
  <si>
    <t>生産計画表（W/D工場）</t>
  </si>
  <si>
    <t>B2201</t>
  </si>
  <si>
    <t>工程表</t>
  </si>
  <si>
    <t>C0101</t>
  </si>
  <si>
    <t>使用実績登録（原材料）</t>
  </si>
  <si>
    <t>C0102</t>
  </si>
  <si>
    <t>使用実績登録（薬品）</t>
  </si>
  <si>
    <t>C0103</t>
  </si>
  <si>
    <t>使用実績登録（調薬）</t>
  </si>
  <si>
    <t>C0104</t>
  </si>
  <si>
    <t>使用実績登録（調合顔料）</t>
  </si>
  <si>
    <t>C1101</t>
  </si>
  <si>
    <t>使用実績一覧</t>
  </si>
  <si>
    <t>C0201</t>
  </si>
  <si>
    <t>パルプ・化繊・薬品配合登録</t>
  </si>
  <si>
    <t>C1201</t>
  </si>
  <si>
    <t>パルプ・化繊・薬品配合一覧</t>
  </si>
  <si>
    <t>C0401</t>
  </si>
  <si>
    <t>抄紙実績登録（抄紙）</t>
  </si>
  <si>
    <t>C0402</t>
  </si>
  <si>
    <t>仕上実績登録（抄紙）</t>
  </si>
  <si>
    <t>C0403</t>
  </si>
  <si>
    <t>加工実績登録（熱加工）</t>
  </si>
  <si>
    <t>C0404</t>
  </si>
  <si>
    <t>仕上実績登録（熱加工）</t>
  </si>
  <si>
    <t>C0405</t>
  </si>
  <si>
    <t>加工実績登録（加工CM）</t>
  </si>
  <si>
    <t>C0406</t>
  </si>
  <si>
    <t>仕上実績登録（加工CM）</t>
  </si>
  <si>
    <t>C0407</t>
  </si>
  <si>
    <t>加工実績登録（加工SC）</t>
  </si>
  <si>
    <t>C0408</t>
  </si>
  <si>
    <t>仕上実績登録（加工SC）</t>
  </si>
  <si>
    <t>C0409</t>
  </si>
  <si>
    <t>成型実績登録</t>
  </si>
  <si>
    <t>C0410</t>
  </si>
  <si>
    <t>包装実績登録</t>
  </si>
  <si>
    <t>C0411</t>
  </si>
  <si>
    <t>パッケージ実績登録</t>
  </si>
  <si>
    <t>C0412</t>
  </si>
  <si>
    <t>仕上実績登録（W/D工場）</t>
  </si>
  <si>
    <t>C0413</t>
  </si>
  <si>
    <t>仕上実績登録（外注加工）</t>
  </si>
  <si>
    <t>C1401</t>
  </si>
  <si>
    <t>生産実績一覧（抄紙）</t>
  </si>
  <si>
    <t>C1402</t>
  </si>
  <si>
    <t>生産実績一覧（熱加工）</t>
  </si>
  <si>
    <t>C1403</t>
  </si>
  <si>
    <t>生産実績一覧（加工CM）</t>
  </si>
  <si>
    <t>C1404</t>
  </si>
  <si>
    <t>生産実績一覧（加工SC）</t>
  </si>
  <si>
    <t>C1405</t>
  </si>
  <si>
    <t>生産実績一覧（コーヒーフィルタ）</t>
  </si>
  <si>
    <t>C1406</t>
  </si>
  <si>
    <t>生産実績一覧（パッケージ工場）</t>
  </si>
  <si>
    <t>C1407</t>
  </si>
  <si>
    <t>生産実績一覧（W/D工場）</t>
  </si>
  <si>
    <t>C1408</t>
  </si>
  <si>
    <t>生産実績一覧（外注加工）</t>
  </si>
  <si>
    <t>C3401</t>
  </si>
  <si>
    <t>作業一覧（抄紙）</t>
  </si>
  <si>
    <t>C3402</t>
  </si>
  <si>
    <t>作業一覧（熱加工）</t>
  </si>
  <si>
    <t>C3403</t>
  </si>
  <si>
    <t>作業一覧（加工CM）</t>
  </si>
  <si>
    <t>C3404</t>
  </si>
  <si>
    <t>作業一覧（加工SC）</t>
  </si>
  <si>
    <t>C3405</t>
  </si>
  <si>
    <t>作業一覧（W/D工場）</t>
  </si>
  <si>
    <t>C0501</t>
  </si>
  <si>
    <t>在庫移動指示登録</t>
  </si>
  <si>
    <t>C0502</t>
  </si>
  <si>
    <t>在庫移動指示登録（パッケージ工場）</t>
  </si>
  <si>
    <t>C0503</t>
  </si>
  <si>
    <t>在庫移動指示登録（外注加工）</t>
  </si>
  <si>
    <t>C1501</t>
  </si>
  <si>
    <t>在庫移動指示一覧</t>
  </si>
  <si>
    <t>C2101</t>
  </si>
  <si>
    <t>在庫移動指図書</t>
  </si>
  <si>
    <t>C0601</t>
  </si>
  <si>
    <t>引取指示登録</t>
  </si>
  <si>
    <t>C1601</t>
  </si>
  <si>
    <t>引取指示一覧</t>
  </si>
  <si>
    <t>C2201</t>
  </si>
  <si>
    <t>引取依頼書</t>
  </si>
  <si>
    <t>C0701</t>
  </si>
  <si>
    <t>加工指示登録（W/D工場）</t>
  </si>
  <si>
    <t>C0702</t>
  </si>
  <si>
    <t>加工指示登録（外注加工）</t>
  </si>
  <si>
    <t>C2301</t>
  </si>
  <si>
    <t>加工指示書</t>
  </si>
  <si>
    <t>D0101</t>
  </si>
  <si>
    <t>出荷指示登録</t>
  </si>
  <si>
    <t>D0102</t>
  </si>
  <si>
    <t>出荷指示登録（海外）</t>
  </si>
  <si>
    <t>D1101</t>
  </si>
  <si>
    <t>出荷指示一覧</t>
  </si>
  <si>
    <t>D1102</t>
  </si>
  <si>
    <t>出荷指示一覧（海外）</t>
  </si>
  <si>
    <t>D0201</t>
  </si>
  <si>
    <t>出荷実績登録</t>
  </si>
  <si>
    <t>D0202</t>
  </si>
  <si>
    <t>出荷実績登録（海外）</t>
  </si>
  <si>
    <t>D3201</t>
  </si>
  <si>
    <t>出荷実績登録（バーコード読取）</t>
  </si>
  <si>
    <t>D1201</t>
  </si>
  <si>
    <t>出荷実績一覧</t>
  </si>
  <si>
    <t>D1202</t>
  </si>
  <si>
    <t>出荷実績一覧（海外）</t>
  </si>
  <si>
    <t>E0101</t>
  </si>
  <si>
    <t>発注指示登録</t>
  </si>
  <si>
    <t>E1101</t>
  </si>
  <si>
    <t>発注指示一覧</t>
  </si>
  <si>
    <t>E0201</t>
  </si>
  <si>
    <t>発注登録</t>
  </si>
  <si>
    <t>E1201</t>
  </si>
  <si>
    <t>発注一覧</t>
  </si>
  <si>
    <t>E0301</t>
  </si>
  <si>
    <t>発注指示選択</t>
  </si>
  <si>
    <t>E0401</t>
  </si>
  <si>
    <t>注文書出力</t>
  </si>
  <si>
    <t>E2401</t>
  </si>
  <si>
    <t>注文書</t>
  </si>
  <si>
    <t>資材受入登録</t>
  </si>
  <si>
    <t>E1401</t>
  </si>
  <si>
    <t>資材受入一覧</t>
  </si>
  <si>
    <t>E1501</t>
  </si>
  <si>
    <t>資材在庫一覧</t>
  </si>
  <si>
    <t>F0101</t>
  </si>
  <si>
    <t>請求書出力</t>
  </si>
  <si>
    <t>F0102</t>
  </si>
  <si>
    <t>請求書出力（プレビュー）</t>
  </si>
  <si>
    <t>F3101</t>
  </si>
  <si>
    <t>入金一覧</t>
  </si>
  <si>
    <t>G0101</t>
  </si>
  <si>
    <t>その他売上登録</t>
  </si>
  <si>
    <t>G0102</t>
  </si>
  <si>
    <t>その他売上登録（海外）</t>
  </si>
  <si>
    <t>G1101</t>
  </si>
  <si>
    <t>その他売上一覧</t>
  </si>
  <si>
    <t>G1102</t>
  </si>
  <si>
    <t>その他売上一覧（海外）</t>
  </si>
  <si>
    <t>G3101</t>
  </si>
  <si>
    <t>売上連携</t>
  </si>
  <si>
    <t>H0101</t>
  </si>
  <si>
    <t>支払予定データ登録</t>
  </si>
  <si>
    <t>H1101</t>
  </si>
  <si>
    <t>支払予定データ一覧</t>
  </si>
  <si>
    <t>H3101</t>
  </si>
  <si>
    <t>支払予定データ連携</t>
  </si>
  <si>
    <t>I0101</t>
  </si>
  <si>
    <t>原価データ登録</t>
  </si>
  <si>
    <t>I1101</t>
  </si>
  <si>
    <t>原価一覧</t>
  </si>
  <si>
    <t>J0101</t>
  </si>
  <si>
    <t>実地棚卸データ登録</t>
  </si>
  <si>
    <t>J1101</t>
  </si>
  <si>
    <t>実地棚卸データ一覧</t>
  </si>
  <si>
    <t>K0102</t>
  </si>
  <si>
    <t>メニューマスタメンテナンス</t>
  </si>
  <si>
    <t>K0103</t>
  </si>
  <si>
    <t>権限マスタメンテナンス</t>
  </si>
  <si>
    <t>K0104</t>
  </si>
  <si>
    <t>品種マスタメンテナンス</t>
  </si>
  <si>
    <t>K0105</t>
  </si>
  <si>
    <t>業者マスタメンテナンス</t>
  </si>
  <si>
    <t>K0106</t>
  </si>
  <si>
    <t>工程マスタメンテナンス</t>
  </si>
  <si>
    <t>K0107</t>
  </si>
  <si>
    <t>品種大分類マスタメンテナンス</t>
  </si>
  <si>
    <t>K0108</t>
  </si>
  <si>
    <t>品種中分類メンテナンス</t>
  </si>
  <si>
    <t>K0109</t>
  </si>
  <si>
    <t>単位コードマスタメンテナンス</t>
  </si>
  <si>
    <t>K0110</t>
  </si>
  <si>
    <t>通貨コードメンテナンス</t>
  </si>
  <si>
    <t>K0111</t>
  </si>
  <si>
    <t>管轄コードメンテナンス</t>
  </si>
  <si>
    <t>K0112</t>
  </si>
  <si>
    <t>保管場所コードメンテナンス</t>
  </si>
  <si>
    <t>K0113</t>
  </si>
  <si>
    <t>採番マスタメンテナンス</t>
  </si>
  <si>
    <t>K0114</t>
  </si>
  <si>
    <t>製品分類マスタメンテナンス</t>
  </si>
  <si>
    <t>K0115</t>
  </si>
  <si>
    <t>利用者マスタメンテナンス</t>
  </si>
  <si>
    <t>K0116</t>
  </si>
  <si>
    <t>部署マスタメンテナンス</t>
  </si>
  <si>
    <t>K0117</t>
  </si>
  <si>
    <t>カレンダーマスタメンテナンス</t>
  </si>
  <si>
    <t>K0118</t>
  </si>
  <si>
    <t>コード名称マスタメンテナンス</t>
  </si>
  <si>
    <t>K0119</t>
  </si>
  <si>
    <t>区分名称マスタメンテナンス</t>
  </si>
  <si>
    <t>K0120</t>
  </si>
  <si>
    <t>承認経路マスタメンテナンス</t>
  </si>
  <si>
    <t>K0121</t>
  </si>
  <si>
    <t>業者品種マスタメンテナンス</t>
  </si>
  <si>
    <t>K0122</t>
  </si>
  <si>
    <t>科目マスタメンテナンス</t>
  </si>
  <si>
    <t>K0123</t>
  </si>
  <si>
    <t>経費マスタメンテナンス</t>
  </si>
  <si>
    <t>K0124</t>
  </si>
  <si>
    <t>原価計算経費マスタメンテナンス</t>
  </si>
  <si>
    <t>L0101</t>
  </si>
  <si>
    <t>ログイン画面</t>
  </si>
  <si>
    <t>L0201</t>
  </si>
  <si>
    <t>メニュー画面</t>
  </si>
  <si>
    <t>L1101</t>
  </si>
  <si>
    <t>端末利用状況一覧</t>
  </si>
  <si>
    <t>L1201</t>
  </si>
  <si>
    <t>ロットトレース一覧</t>
  </si>
  <si>
    <t>指摘区分</t>
    <rPh sb="0" eb="2">
      <t>シテキ</t>
    </rPh>
    <rPh sb="2" eb="4">
      <t>クブン</t>
    </rPh>
    <phoneticPr fontId="4"/>
  </si>
  <si>
    <t>※選択したい行をダブルクリックしてください。</t>
    <rPh sb="1" eb="3">
      <t>センタク</t>
    </rPh>
    <rPh sb="6" eb="7">
      <t>ギョウ</t>
    </rPh>
    <phoneticPr fontId="4"/>
  </si>
  <si>
    <t>指摘区分内容説明</t>
    <rPh sb="0" eb="2">
      <t>シテキ</t>
    </rPh>
    <rPh sb="2" eb="4">
      <t>クブン</t>
    </rPh>
    <rPh sb="4" eb="6">
      <t>ナイヨウ</t>
    </rPh>
    <rPh sb="6" eb="8">
      <t>セツメイ</t>
    </rPh>
    <phoneticPr fontId="4"/>
  </si>
  <si>
    <t>1:記載ミス</t>
    <rPh sb="2" eb="4">
      <t>キサイ</t>
    </rPh>
    <phoneticPr fontId="2"/>
  </si>
  <si>
    <t>記載ミス（誤記等）</t>
    <rPh sb="0" eb="2">
      <t>キサイ</t>
    </rPh>
    <rPh sb="5" eb="7">
      <t>ゴキ</t>
    </rPh>
    <rPh sb="7" eb="8">
      <t>トウ</t>
    </rPh>
    <phoneticPr fontId="2"/>
  </si>
  <si>
    <t>2:記載漏れ</t>
    <rPh sb="2" eb="4">
      <t>キサイ</t>
    </rPh>
    <rPh sb="4" eb="5">
      <t>モ</t>
    </rPh>
    <phoneticPr fontId="2"/>
  </si>
  <si>
    <t>記載漏れ（処理漏れ等）</t>
    <rPh sb="0" eb="2">
      <t>キサイ</t>
    </rPh>
    <rPh sb="2" eb="3">
      <t>モ</t>
    </rPh>
    <rPh sb="5" eb="7">
      <t>ショリ</t>
    </rPh>
    <rPh sb="7" eb="8">
      <t>モ</t>
    </rPh>
    <rPh sb="9" eb="10">
      <t>トウ</t>
    </rPh>
    <phoneticPr fontId="2"/>
  </si>
  <si>
    <t>3:記載不要</t>
    <rPh sb="2" eb="4">
      <t>キサイ</t>
    </rPh>
    <rPh sb="4" eb="6">
      <t>フヨウ</t>
    </rPh>
    <phoneticPr fontId="2"/>
  </si>
  <si>
    <t>記載不要</t>
    <rPh sb="0" eb="2">
      <t>キサイ</t>
    </rPh>
    <rPh sb="2" eb="4">
      <t>フヨウ</t>
    </rPh>
    <phoneticPr fontId="2"/>
  </si>
  <si>
    <t>4:表現曖昧</t>
    <rPh sb="2" eb="4">
      <t>ヒョウゲン</t>
    </rPh>
    <rPh sb="4" eb="6">
      <t>アイマイ</t>
    </rPh>
    <phoneticPr fontId="2"/>
  </si>
  <si>
    <t>表現曖昧（処理に対する文面・表現曖昧等）</t>
    <rPh sb="0" eb="2">
      <t>ヒョウゲン</t>
    </rPh>
    <rPh sb="2" eb="4">
      <t>アイマイ</t>
    </rPh>
    <rPh sb="5" eb="7">
      <t>ショリ</t>
    </rPh>
    <rPh sb="8" eb="9">
      <t>タイ</t>
    </rPh>
    <rPh sb="11" eb="13">
      <t>ブンメン</t>
    </rPh>
    <rPh sb="14" eb="16">
      <t>ヒョウゲン</t>
    </rPh>
    <rPh sb="16" eb="18">
      <t>アイマイ</t>
    </rPh>
    <rPh sb="18" eb="19">
      <t>トウ</t>
    </rPh>
    <phoneticPr fontId="2"/>
  </si>
  <si>
    <t>5:表現統一</t>
    <rPh sb="2" eb="4">
      <t>ヒョウゲン</t>
    </rPh>
    <rPh sb="4" eb="6">
      <t>トウイツ</t>
    </rPh>
    <phoneticPr fontId="2"/>
  </si>
  <si>
    <t>表現統一（一覧化等処理記載内容が判るように改善）</t>
    <rPh sb="0" eb="2">
      <t>ヒョウゲン</t>
    </rPh>
    <rPh sb="2" eb="4">
      <t>トウイツ</t>
    </rPh>
    <rPh sb="5" eb="7">
      <t>イチラン</t>
    </rPh>
    <rPh sb="7" eb="8">
      <t>カ</t>
    </rPh>
    <rPh sb="8" eb="9">
      <t>トウ</t>
    </rPh>
    <rPh sb="9" eb="11">
      <t>ショリ</t>
    </rPh>
    <rPh sb="11" eb="13">
      <t>キサイ</t>
    </rPh>
    <rPh sb="13" eb="15">
      <t>ナイヨウ</t>
    </rPh>
    <rPh sb="16" eb="17">
      <t>ワカ</t>
    </rPh>
    <rPh sb="21" eb="23">
      <t>カイゼン</t>
    </rPh>
    <phoneticPr fontId="2"/>
  </si>
  <si>
    <t>6:処理検討不足</t>
    <rPh sb="2" eb="4">
      <t>ショリ</t>
    </rPh>
    <rPh sb="4" eb="6">
      <t>ケントウ</t>
    </rPh>
    <rPh sb="6" eb="8">
      <t>フソク</t>
    </rPh>
    <phoneticPr fontId="2"/>
  </si>
  <si>
    <t>処理検討不足</t>
    <rPh sb="0" eb="2">
      <t>ショリ</t>
    </rPh>
    <rPh sb="2" eb="4">
      <t>ケントウ</t>
    </rPh>
    <rPh sb="4" eb="6">
      <t>フソク</t>
    </rPh>
    <phoneticPr fontId="2"/>
  </si>
  <si>
    <t>7:ユーザ確認要</t>
    <rPh sb="5" eb="7">
      <t>カクニン</t>
    </rPh>
    <rPh sb="7" eb="8">
      <t>ヨウ</t>
    </rPh>
    <phoneticPr fontId="2"/>
  </si>
  <si>
    <t>ユーザ確認要</t>
    <rPh sb="3" eb="5">
      <t>カクニン</t>
    </rPh>
    <rPh sb="5" eb="6">
      <t>ヨウ</t>
    </rPh>
    <phoneticPr fontId="2"/>
  </si>
  <si>
    <t>8:設計規約ミス</t>
    <rPh sb="2" eb="4">
      <t>セッケイ</t>
    </rPh>
    <rPh sb="4" eb="6">
      <t>キヤク</t>
    </rPh>
    <phoneticPr fontId="2"/>
  </si>
  <si>
    <t>設計ルールに従っていない等</t>
    <rPh sb="0" eb="2">
      <t>セッケイ</t>
    </rPh>
    <rPh sb="6" eb="7">
      <t>シタガ</t>
    </rPh>
    <rPh sb="12" eb="13">
      <t>トウ</t>
    </rPh>
    <phoneticPr fontId="2"/>
  </si>
  <si>
    <t>9:設計問合せ</t>
    <rPh sb="2" eb="4">
      <t>セッケイ</t>
    </rPh>
    <rPh sb="4" eb="6">
      <t>トイアワ</t>
    </rPh>
    <phoneticPr fontId="2"/>
  </si>
  <si>
    <t>設計者への処理確認</t>
    <rPh sb="0" eb="3">
      <t>セッケイシャ</t>
    </rPh>
    <rPh sb="5" eb="7">
      <t>ショリ</t>
    </rPh>
    <rPh sb="7" eb="9">
      <t>カクニン</t>
    </rPh>
    <phoneticPr fontId="2"/>
  </si>
  <si>
    <t>※最終行です。削除しないでください。行を挿入する場合は、この行より上で実施してください。</t>
    <phoneticPr fontId="4"/>
  </si>
  <si>
    <t>原因分類/原因区分/原因区分詳細一覧</t>
    <rPh sb="16" eb="18">
      <t>イチラン</t>
    </rPh>
    <phoneticPr fontId="4"/>
  </si>
  <si>
    <t>Lv1</t>
    <phoneticPr fontId="4"/>
  </si>
  <si>
    <t>Lv2</t>
    <phoneticPr fontId="4"/>
  </si>
  <si>
    <t>原因区分内容説明</t>
    <rPh sb="0" eb="2">
      <t>ゲンイン</t>
    </rPh>
    <rPh sb="2" eb="4">
      <t>クブン</t>
    </rPh>
    <rPh sb="4" eb="6">
      <t>ナイヨウ</t>
    </rPh>
    <rPh sb="6" eb="8">
      <t>セツメイ</t>
    </rPh>
    <phoneticPr fontId="4"/>
  </si>
  <si>
    <t>1:設計ﾐｽ</t>
    <phoneticPr fontId="2"/>
  </si>
  <si>
    <t>10:記載ミス</t>
    <rPh sb="3" eb="5">
      <t>キサイ</t>
    </rPh>
    <phoneticPr fontId="2"/>
  </si>
  <si>
    <t>11:記載漏れ（画面・帳票）</t>
    <rPh sb="3" eb="5">
      <t>キサイ</t>
    </rPh>
    <rPh sb="5" eb="6">
      <t>モ</t>
    </rPh>
    <rPh sb="8" eb="10">
      <t>ガメン</t>
    </rPh>
    <rPh sb="11" eb="13">
      <t>チョウヒョウ</t>
    </rPh>
    <phoneticPr fontId="2"/>
  </si>
  <si>
    <t>画面/帳票の項目過不足、レイアウト設計ミス</t>
    <phoneticPr fontId="2"/>
  </si>
  <si>
    <t>12:記載漏れ（処理）</t>
    <rPh sb="3" eb="5">
      <t>キサイ</t>
    </rPh>
    <rPh sb="5" eb="6">
      <t>モ</t>
    </rPh>
    <rPh sb="8" eb="10">
      <t>ショリ</t>
    </rPh>
    <phoneticPr fontId="2"/>
  </si>
  <si>
    <t>処理に対するボタン処理・イベント処理等の記載漏れ</t>
    <rPh sb="0" eb="2">
      <t>ショリ</t>
    </rPh>
    <rPh sb="3" eb="4">
      <t>タイ</t>
    </rPh>
    <rPh sb="9" eb="11">
      <t>ショリ</t>
    </rPh>
    <rPh sb="16" eb="18">
      <t>ショリ</t>
    </rPh>
    <rPh sb="18" eb="19">
      <t>トウ</t>
    </rPh>
    <rPh sb="20" eb="22">
      <t>キサイ</t>
    </rPh>
    <rPh sb="22" eb="23">
      <t>モ</t>
    </rPh>
    <phoneticPr fontId="2"/>
  </si>
  <si>
    <t>13:記載不要</t>
    <rPh sb="3" eb="5">
      <t>キサイ</t>
    </rPh>
    <rPh sb="5" eb="7">
      <t>フヨウ</t>
    </rPh>
    <phoneticPr fontId="2"/>
  </si>
  <si>
    <t>記載不要の処理</t>
    <rPh sb="5" eb="7">
      <t>ショリ</t>
    </rPh>
    <phoneticPr fontId="2"/>
  </si>
  <si>
    <t>14:表現曖昧</t>
    <rPh sb="3" eb="5">
      <t>ヒョウゲン</t>
    </rPh>
    <rPh sb="5" eb="7">
      <t>アイマイ</t>
    </rPh>
    <phoneticPr fontId="2"/>
  </si>
  <si>
    <t>処理に対しての表現が曖昧　※処理内容の記載・方針は正しい</t>
    <rPh sb="0" eb="2">
      <t>ショリ</t>
    </rPh>
    <rPh sb="3" eb="4">
      <t>タイ</t>
    </rPh>
    <rPh sb="7" eb="9">
      <t>ヒョウゲン</t>
    </rPh>
    <rPh sb="10" eb="12">
      <t>アイマイ</t>
    </rPh>
    <rPh sb="14" eb="16">
      <t>ショリ</t>
    </rPh>
    <rPh sb="16" eb="18">
      <t>ナイヨウ</t>
    </rPh>
    <rPh sb="19" eb="21">
      <t>キサイ</t>
    </rPh>
    <rPh sb="22" eb="24">
      <t>ホウシン</t>
    </rPh>
    <rPh sb="25" eb="26">
      <t>タダ</t>
    </rPh>
    <phoneticPr fontId="2"/>
  </si>
  <si>
    <t>15:表現統一</t>
    <rPh sb="3" eb="5">
      <t>ヒョウゲン</t>
    </rPh>
    <rPh sb="5" eb="7">
      <t>トウイツ</t>
    </rPh>
    <phoneticPr fontId="2"/>
  </si>
  <si>
    <t>処理に対しての表現の統一化</t>
    <rPh sb="0" eb="2">
      <t>ショリ</t>
    </rPh>
    <rPh sb="3" eb="4">
      <t>タイ</t>
    </rPh>
    <rPh sb="7" eb="9">
      <t>ヒョウゲン</t>
    </rPh>
    <rPh sb="10" eb="13">
      <t>トウイツカ</t>
    </rPh>
    <phoneticPr fontId="2"/>
  </si>
  <si>
    <t>2:設計検討不足</t>
    <rPh sb="2" eb="4">
      <t>セッケイ</t>
    </rPh>
    <rPh sb="4" eb="8">
      <t>ケントウフソク</t>
    </rPh>
    <phoneticPr fontId="2"/>
  </si>
  <si>
    <t>21:処理検討不足</t>
    <rPh sb="3" eb="5">
      <t>ショリ</t>
    </rPh>
    <rPh sb="5" eb="7">
      <t>ケントウ</t>
    </rPh>
    <rPh sb="7" eb="9">
      <t>フソク</t>
    </rPh>
    <phoneticPr fontId="2"/>
  </si>
  <si>
    <t>イベント（ボタン処理・項目処理等）処理検討不足による設計仕様ミス</t>
    <rPh sb="8" eb="10">
      <t>ショリ</t>
    </rPh>
    <rPh sb="11" eb="13">
      <t>コウモク</t>
    </rPh>
    <rPh sb="13" eb="15">
      <t>ショリ</t>
    </rPh>
    <rPh sb="15" eb="16">
      <t>トウ</t>
    </rPh>
    <rPh sb="17" eb="19">
      <t>ショリ</t>
    </rPh>
    <rPh sb="19" eb="21">
      <t>ケントウ</t>
    </rPh>
    <rPh sb="21" eb="23">
      <t>フソク</t>
    </rPh>
    <phoneticPr fontId="2"/>
  </si>
  <si>
    <t>3:他機能連携不足</t>
    <rPh sb="2" eb="7">
      <t>タキノウレンケイ</t>
    </rPh>
    <rPh sb="7" eb="9">
      <t>フソク</t>
    </rPh>
    <phoneticPr fontId="2"/>
  </si>
  <si>
    <t>31:他機能連携不足</t>
    <rPh sb="3" eb="6">
      <t>タキノウ</t>
    </rPh>
    <rPh sb="6" eb="8">
      <t>レンケイ</t>
    </rPh>
    <rPh sb="8" eb="10">
      <t>フソク</t>
    </rPh>
    <phoneticPr fontId="2"/>
  </si>
  <si>
    <t>他機能との処理連携不足による設計仕様ミス</t>
    <rPh sb="0" eb="3">
      <t>タキノウ</t>
    </rPh>
    <rPh sb="5" eb="7">
      <t>ショリ</t>
    </rPh>
    <rPh sb="7" eb="9">
      <t>レンケイ</t>
    </rPh>
    <rPh sb="9" eb="11">
      <t>フソク</t>
    </rPh>
    <phoneticPr fontId="2"/>
  </si>
  <si>
    <t>4:共通設計ﾐｽ</t>
    <rPh sb="2" eb="4">
      <t>キョウツウ</t>
    </rPh>
    <phoneticPr fontId="4"/>
  </si>
  <si>
    <t>41:共通処理漏れ</t>
    <rPh sb="5" eb="7">
      <t>ショリ</t>
    </rPh>
    <rPh sb="7" eb="8">
      <t>モ</t>
    </rPh>
    <phoneticPr fontId="2"/>
  </si>
  <si>
    <t>共通処理（共通イベント処理・共通制御等の処理）の記載漏れによる設計仕様ミス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キサイ</t>
    </rPh>
    <rPh sb="26" eb="27">
      <t>モ</t>
    </rPh>
    <phoneticPr fontId="2"/>
  </si>
  <si>
    <t>4:共通検討不足</t>
    <rPh sb="2" eb="4">
      <t>キョウツウ</t>
    </rPh>
    <rPh sb="4" eb="6">
      <t>ケントウ</t>
    </rPh>
    <rPh sb="6" eb="8">
      <t>フソク</t>
    </rPh>
    <phoneticPr fontId="4"/>
  </si>
  <si>
    <t>42:共通処理検討不足</t>
    <rPh sb="5" eb="7">
      <t>ショリ</t>
    </rPh>
    <rPh sb="7" eb="9">
      <t>ケントウ</t>
    </rPh>
    <rPh sb="9" eb="11">
      <t>フソク</t>
    </rPh>
    <phoneticPr fontId="2"/>
  </si>
  <si>
    <t>共通処理（共通イベント処理・共通制御等の処理）の共通処理検討不足による設計仕様ミス</t>
    <rPh sb="0" eb="2">
      <t>キョウツウ</t>
    </rPh>
    <rPh sb="2" eb="4">
      <t>ショリ</t>
    </rPh>
    <rPh sb="5" eb="7">
      <t>キョウツウ</t>
    </rPh>
    <rPh sb="11" eb="13">
      <t>ショリ</t>
    </rPh>
    <rPh sb="14" eb="16">
      <t>キョウツウ</t>
    </rPh>
    <rPh sb="16" eb="18">
      <t>セイギョ</t>
    </rPh>
    <rPh sb="18" eb="19">
      <t>トウ</t>
    </rPh>
    <rPh sb="20" eb="22">
      <t>ショリ</t>
    </rPh>
    <rPh sb="24" eb="26">
      <t>キョウツウ</t>
    </rPh>
    <rPh sb="26" eb="28">
      <t>ショリ</t>
    </rPh>
    <rPh sb="28" eb="30">
      <t>ケントウ</t>
    </rPh>
    <rPh sb="30" eb="32">
      <t>フソク</t>
    </rPh>
    <phoneticPr fontId="2"/>
  </si>
  <si>
    <t>5:共通部品設計ﾐｽ</t>
    <phoneticPr fontId="2"/>
  </si>
  <si>
    <t>51:共通部品設計ﾐｽ</t>
    <phoneticPr fontId="2"/>
  </si>
  <si>
    <t>システム共通部品、業務共通部品などに関する設計仕様ミス</t>
    <phoneticPr fontId="2"/>
  </si>
  <si>
    <t>6:ｲﾝﾀｰﾌｪｰｽ設計ﾐｽ</t>
    <phoneticPr fontId="2"/>
  </si>
  <si>
    <t>61:ｲﾝﾀｰﾌｪｰｽ設計ﾐｽ</t>
    <phoneticPr fontId="2"/>
  </si>
  <si>
    <t xml:space="preserve">関連する外部システムもしくはサブシステム内のインターフェースに関する設計ミス </t>
  </si>
  <si>
    <t>7:DB/ﾌｧｲﾙ設計ﾐｽ</t>
    <phoneticPr fontId="2"/>
  </si>
  <si>
    <t>71:DB記載漏れ・不測</t>
    <rPh sb="5" eb="7">
      <t>キサイ</t>
    </rPh>
    <rPh sb="7" eb="8">
      <t>モ</t>
    </rPh>
    <rPh sb="10" eb="12">
      <t>フソク</t>
    </rPh>
    <phoneticPr fontId="2"/>
  </si>
  <si>
    <t xml:space="preserve">DB構造、ファイル構造、インデックス・リンクなどに関する設計仕様ミス </t>
    <phoneticPr fontId="2"/>
  </si>
  <si>
    <t>72:DB他機能連携不足</t>
    <rPh sb="5" eb="8">
      <t>タキノウ</t>
    </rPh>
    <rPh sb="8" eb="10">
      <t>レンケイ</t>
    </rPh>
    <rPh sb="10" eb="12">
      <t>フソク</t>
    </rPh>
    <phoneticPr fontId="2"/>
  </si>
  <si>
    <t xml:space="preserve">他機能連携に対するDB構造、ファイル構造、インデックス・リンクなどに関する設計仕様ミス </t>
    <rPh sb="3" eb="5">
      <t>レンケイ</t>
    </rPh>
    <rPh sb="6" eb="7">
      <t>タイ</t>
    </rPh>
    <phoneticPr fontId="2"/>
  </si>
  <si>
    <t>8:ユーザ確認要</t>
    <rPh sb="5" eb="7">
      <t>カクニン</t>
    </rPh>
    <rPh sb="7" eb="8">
      <t>ヨウ</t>
    </rPh>
    <phoneticPr fontId="2"/>
  </si>
  <si>
    <t>81:ユーザ確認要</t>
    <rPh sb="6" eb="8">
      <t>カクニン</t>
    </rPh>
    <rPh sb="8" eb="9">
      <t>ヨウ</t>
    </rPh>
    <phoneticPr fontId="2"/>
  </si>
  <si>
    <t>ユーザに確認する事項をまとめる</t>
    <rPh sb="4" eb="6">
      <t>カクニン</t>
    </rPh>
    <rPh sb="8" eb="10">
      <t>ジコウ</t>
    </rPh>
    <phoneticPr fontId="2"/>
  </si>
  <si>
    <t>9.設計規約ミス</t>
    <rPh sb="2" eb="4">
      <t>セッケイ</t>
    </rPh>
    <rPh sb="4" eb="6">
      <t>キヤク</t>
    </rPh>
    <phoneticPr fontId="2"/>
  </si>
  <si>
    <t>91.設計規約ミス</t>
    <rPh sb="3" eb="5">
      <t>セッケイ</t>
    </rPh>
    <rPh sb="5" eb="7">
      <t>キヤク</t>
    </rPh>
    <phoneticPr fontId="2"/>
  </si>
  <si>
    <t>A.指摘誤り</t>
    <rPh sb="2" eb="4">
      <t>シテキ</t>
    </rPh>
    <rPh sb="4" eb="5">
      <t>アヤマ</t>
    </rPh>
    <phoneticPr fontId="2"/>
  </si>
  <si>
    <t>A1:指摘誤り</t>
    <rPh sb="3" eb="5">
      <t>シテキ</t>
    </rPh>
    <rPh sb="5" eb="6">
      <t>アヤマ</t>
    </rPh>
    <phoneticPr fontId="2"/>
  </si>
  <si>
    <t>指摘誤り</t>
    <rPh sb="0" eb="3">
      <t>シテキアヤマ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</si>
</sst>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/mm/dd"/>
    <numFmt numFmtId="177" formatCode="h:mm;@"/>
    <numFmt numFmtId="178" formatCode="&quot;Rev.&quot;\ General"/>
  </numFmts>
  <fonts count="13" x14ac:knownFonts="1">
    <font>
      <sz val="10"/>
      <color theme="1"/>
      <name val="Meiryo UI"/>
      <family val="2"/>
      <charset val="128"/>
    </font>
    <font>
      <sz val="10"/>
      <color theme="0"/>
      <name val="Meiryo UI"/>
      <family val="2"/>
      <charset val="128"/>
    </font>
    <font>
      <sz val="6"/>
      <name val="Meiryo UI"/>
      <family val="2"/>
      <charset val="128"/>
    </font>
    <font>
      <sz val="10"/>
      <color theme="0"/>
      <name val="Meiryo UI"/>
      <family val="3"/>
      <charset val="128"/>
    </font>
    <font>
      <sz val="6"/>
      <name val="ＭＳ Ｐゴシック"/>
      <family val="3"/>
      <charset val="128"/>
    </font>
    <font>
      <sz val="10"/>
      <name val="Meiryo UI"/>
      <family val="3"/>
      <charset val="128"/>
    </font>
    <font>
      <sz val="11"/>
      <name val="ＭＳ Ｐゴシック"/>
      <family val="3"/>
      <charset val="128"/>
    </font>
    <font>
      <b/>
      <sz val="11"/>
      <name val="Meiryo UI"/>
      <family val="3"/>
      <charset val="128"/>
    </font>
    <font>
      <sz val="11"/>
      <name val="Meiryo UI"/>
      <family val="3"/>
      <charset val="128"/>
    </font>
    <font>
      <b/>
      <sz val="11"/>
      <color rgb="FFFF0000"/>
      <name val="Meiryo UI"/>
      <family val="3"/>
      <charset val="128"/>
    </font>
    <font>
      <sz val="10"/>
      <name val="ＭＳ Ｐゴシック"/>
      <family val="3"/>
      <charset val="128"/>
    </font>
    <font>
      <b/>
      <i/>
      <sz val="11"/>
      <name val="Meiryo UI"/>
      <family val="3"/>
      <charset val="128"/>
    </font>
    <font>
      <b/>
      <sz val="12"/>
      <color theme="0"/>
      <name val="Meiryo UI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rgb="FF0066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FFE0"/>
        <bgColor indexed="64"/>
      </patternFill>
    </fill>
    <fill>
      <patternFill patternType="solid">
        <fgColor rgb="FFF0FFFF"/>
        <bgColor indexed="64"/>
      </patternFill>
    </fill>
    <fill>
      <patternFill patternType="solid">
        <fgColor rgb="FFFF0000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</borders>
  <cellStyleXfs count="4">
    <xf numFmtId="0" fontId="0" fillId="0" borderId="0">
      <alignment vertical="center"/>
    </xf>
    <xf numFmtId="0" fontId="6" fillId="0" borderId="0"/>
    <xf numFmtId="0" fontId="10" fillId="0" borderId="0">
      <alignment vertical="center"/>
    </xf>
    <xf numFmtId="0" fontId="6" fillId="0" borderId="0">
      <alignment vertical="center"/>
    </xf>
  </cellStyleXfs>
  <cellXfs count="9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7" fontId="0" fillId="0" borderId="0" xfId="0" applyNumberFormat="1" applyAlignment="1">
      <alignment horizontal="center" vertical="center"/>
    </xf>
    <xf numFmtId="0" fontId="0" fillId="0" borderId="0" xfId="0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0" borderId="1" xfId="0" applyBorder="1" applyAlignment="1">
      <alignment vertical="top"/>
    </xf>
    <xf numFmtId="0" fontId="3" fillId="2" borderId="3" xfId="0" applyFont="1" applyFill="1" applyBorder="1">
      <alignment vertical="center"/>
    </xf>
    <xf numFmtId="0" fontId="3" fillId="2" borderId="4" xfId="0" applyFont="1" applyFill="1" applyBorder="1">
      <alignment vertical="center"/>
    </xf>
    <xf numFmtId="0" fontId="3" fillId="2" borderId="2" xfId="0" applyFont="1" applyFill="1" applyBorder="1">
      <alignment vertical="center"/>
    </xf>
    <xf numFmtId="176" fontId="0" fillId="0" borderId="0" xfId="0" applyNumberForma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7" fillId="0" borderId="0" xfId="1" applyFont="1" applyAlignment="1">
      <alignment vertical="center"/>
    </xf>
    <xf numFmtId="0" fontId="9" fillId="0" borderId="0" xfId="1" applyFont="1" applyAlignment="1">
      <alignment vertical="center"/>
    </xf>
    <xf numFmtId="0" fontId="8" fillId="0" borderId="0" xfId="1" applyFont="1"/>
    <xf numFmtId="0" fontId="7" fillId="4" borderId="13" xfId="1" applyFont="1" applyFill="1" applyBorder="1" applyAlignment="1">
      <alignment horizontal="center" vertical="center"/>
    </xf>
    <xf numFmtId="49" fontId="7" fillId="4" borderId="12" xfId="3" applyNumberFormat="1" applyFont="1" applyFill="1" applyBorder="1" applyAlignment="1">
      <alignment horizontal="center" vertical="center"/>
    </xf>
    <xf numFmtId="49" fontId="11" fillId="4" borderId="7" xfId="3" applyNumberFormat="1" applyFont="1" applyFill="1" applyBorder="1" applyAlignment="1">
      <alignment horizontal="center" vertical="center"/>
    </xf>
    <xf numFmtId="49" fontId="11" fillId="4" borderId="14" xfId="3" applyNumberFormat="1" applyFont="1" applyFill="1" applyBorder="1" applyAlignment="1">
      <alignment horizontal="center" vertical="center"/>
    </xf>
    <xf numFmtId="49" fontId="8" fillId="5" borderId="13" xfId="3" applyNumberFormat="1" applyFont="1" applyFill="1" applyBorder="1" applyAlignment="1">
      <alignment horizontal="left" vertical="center" wrapText="1"/>
    </xf>
    <xf numFmtId="49" fontId="8" fillId="5" borderId="15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>
      <alignment vertical="center"/>
    </xf>
    <xf numFmtId="49" fontId="8" fillId="5" borderId="17" xfId="3" applyNumberFormat="1" applyFont="1" applyFill="1" applyBorder="1" applyAlignment="1">
      <alignment vertical="center" wrapText="1"/>
    </xf>
    <xf numFmtId="49" fontId="8" fillId="5" borderId="16" xfId="3" applyNumberFormat="1" applyFont="1" applyFill="1" applyBorder="1" applyAlignment="1">
      <alignment vertical="center" wrapText="1"/>
    </xf>
    <xf numFmtId="0" fontId="12" fillId="6" borderId="7" xfId="2" applyFont="1" applyFill="1" applyBorder="1">
      <alignment vertical="center"/>
    </xf>
    <xf numFmtId="0" fontId="9" fillId="6" borderId="8" xfId="2" applyFont="1" applyFill="1" applyBorder="1">
      <alignment vertical="center"/>
    </xf>
    <xf numFmtId="49" fontId="7" fillId="4" borderId="1" xfId="3" applyNumberFormat="1" applyFont="1" applyFill="1" applyBorder="1" applyAlignment="1">
      <alignment horizontal="center" vertical="center"/>
    </xf>
    <xf numFmtId="49" fontId="11" fillId="4" borderId="1" xfId="3" applyNumberFormat="1" applyFont="1" applyFill="1" applyBorder="1" applyAlignment="1">
      <alignment horizontal="center" vertical="center"/>
    </xf>
    <xf numFmtId="49" fontId="8" fillId="5" borderId="16" xfId="3" applyNumberFormat="1" applyFont="1" applyFill="1" applyBorder="1" applyAlignment="1">
      <alignment horizontal="left" vertical="center" wrapText="1"/>
    </xf>
    <xf numFmtId="49" fontId="8" fillId="5" borderId="18" xfId="3" applyNumberFormat="1" applyFont="1" applyFill="1" applyBorder="1" applyAlignment="1">
      <alignment vertical="center" wrapText="1"/>
    </xf>
    <xf numFmtId="0" fontId="12" fillId="6" borderId="8" xfId="2" applyFont="1" applyFill="1" applyBorder="1">
      <alignment vertical="center"/>
    </xf>
    <xf numFmtId="0" fontId="0" fillId="2" borderId="0" xfId="0" applyFill="1" applyAlignment="1">
      <alignment vertical="top"/>
    </xf>
    <xf numFmtId="0" fontId="1" fillId="2" borderId="0" xfId="0" applyFont="1" applyFill="1" applyAlignment="1">
      <alignment vertical="top"/>
    </xf>
    <xf numFmtId="49" fontId="8" fillId="5" borderId="19" xfId="3" applyNumberFormat="1" applyFont="1" applyFill="1" applyBorder="1" applyAlignment="1">
      <alignment vertical="center" wrapText="1"/>
    </xf>
    <xf numFmtId="0" fontId="0" fillId="0" borderId="2" xfId="0" applyBorder="1" applyAlignment="1">
      <alignment horizontal="center" vertical="top"/>
    </xf>
    <xf numFmtId="0" fontId="0" fillId="0" borderId="3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0" fillId="0" borderId="2" xfId="0" applyBorder="1" applyAlignment="1">
      <alignment vertical="top" wrapText="1"/>
    </xf>
    <xf numFmtId="0" fontId="0" fillId="0" borderId="3" xfId="0" applyBorder="1" applyAlignment="1">
      <alignment vertical="top" wrapText="1"/>
    </xf>
    <xf numFmtId="0" fontId="0" fillId="0" borderId="4" xfId="0" applyBorder="1" applyAlignment="1">
      <alignment vertical="top" wrapTex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2" xfId="0" applyBorder="1" applyAlignment="1">
      <alignment horizontal="center" vertical="top" wrapText="1"/>
    </xf>
    <xf numFmtId="0" fontId="0" fillId="0" borderId="3" xfId="0" applyBorder="1" applyAlignment="1">
      <alignment horizontal="center" vertical="top" wrapText="1"/>
    </xf>
    <xf numFmtId="0" fontId="0" fillId="0" borderId="4" xfId="0" applyBorder="1" applyAlignment="1">
      <alignment horizontal="center" vertical="top" wrapText="1"/>
    </xf>
    <xf numFmtId="176" fontId="0" fillId="0" borderId="2" xfId="0" applyNumberFormat="1" applyBorder="1" applyAlignment="1">
      <alignment horizontal="center" vertical="top"/>
    </xf>
    <xf numFmtId="176" fontId="0" fillId="0" borderId="3" xfId="0" applyNumberFormat="1" applyBorder="1" applyAlignment="1">
      <alignment horizontal="center" vertical="top"/>
    </xf>
    <xf numFmtId="176" fontId="0" fillId="0" borderId="4" xfId="0" applyNumberFormat="1" applyBorder="1" applyAlignment="1">
      <alignment horizontal="center" vertical="top"/>
    </xf>
    <xf numFmtId="0" fontId="0" fillId="0" borderId="2" xfId="0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4" xfId="0" applyBorder="1" applyAlignment="1">
      <alignment vertical="top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5" fillId="3" borderId="9" xfId="0" applyFont="1" applyFill="1" applyBorder="1" applyAlignment="1">
      <alignment horizontal="center" vertical="center" wrapText="1"/>
    </xf>
    <xf numFmtId="0" fontId="5" fillId="3" borderId="5" xfId="0" applyFont="1" applyFill="1" applyBorder="1" applyAlignment="1">
      <alignment horizontal="center" vertical="center" wrapText="1"/>
    </xf>
    <xf numFmtId="0" fontId="5" fillId="3" borderId="10" xfId="0" applyFont="1" applyFill="1" applyBorder="1" applyAlignment="1">
      <alignment horizontal="center" vertical="center" wrapText="1"/>
    </xf>
    <xf numFmtId="0" fontId="5" fillId="3" borderId="7" xfId="0" applyFont="1" applyFill="1" applyBorder="1" applyAlignment="1">
      <alignment horizontal="center" vertical="center" wrapText="1"/>
    </xf>
    <xf numFmtId="0" fontId="5" fillId="3" borderId="8" xfId="0" applyFont="1" applyFill="1" applyBorder="1" applyAlignment="1">
      <alignment horizontal="center" vertical="center" wrapText="1"/>
    </xf>
    <xf numFmtId="0" fontId="5" fillId="3" borderId="11" xfId="0" applyFont="1" applyFill="1" applyBorder="1" applyAlignment="1">
      <alignment horizontal="center" vertical="center" wrapText="1"/>
    </xf>
    <xf numFmtId="0" fontId="0" fillId="3" borderId="9" xfId="0" applyFill="1" applyBorder="1" applyAlignment="1">
      <alignment horizontal="center" vertical="center"/>
    </xf>
    <xf numFmtId="0" fontId="0" fillId="3" borderId="10" xfId="0" applyFill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3" borderId="11" xfId="0" applyFill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 wrapText="1"/>
    </xf>
    <xf numFmtId="0" fontId="0" fillId="3" borderId="12" xfId="0" applyFill="1" applyBorder="1" applyAlignment="1">
      <alignment horizontal="center" vertical="center" wrapText="1"/>
    </xf>
    <xf numFmtId="0" fontId="5" fillId="3" borderId="1" xfId="0" applyFont="1" applyFill="1" applyBorder="1" applyAlignment="1">
      <alignment horizontal="center" vertical="center" wrapText="1"/>
    </xf>
    <xf numFmtId="0" fontId="5" fillId="3" borderId="2" xfId="0" applyFont="1" applyFill="1" applyBorder="1" applyAlignment="1">
      <alignment horizontal="center" vertical="center" wrapText="1"/>
    </xf>
    <xf numFmtId="0" fontId="5" fillId="3" borderId="3" xfId="0" applyFont="1" applyFill="1" applyBorder="1" applyAlignment="1">
      <alignment horizontal="center" vertical="center" wrapText="1"/>
    </xf>
    <xf numFmtId="0" fontId="5" fillId="3" borderId="4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176" fontId="0" fillId="0" borderId="4" xfId="0" applyNumberFormat="1" applyBorder="1" applyAlignment="1">
      <alignment horizontal="center" vertical="center"/>
    </xf>
    <xf numFmtId="177" fontId="0" fillId="0" borderId="2" xfId="0" applyNumberFormat="1" applyBorder="1" applyAlignment="1">
      <alignment horizontal="center" vertical="center"/>
    </xf>
    <xf numFmtId="177" fontId="0" fillId="0" borderId="3" xfId="0" applyNumberFormat="1" applyBorder="1" applyAlignment="1">
      <alignment horizontal="center" vertical="center"/>
    </xf>
    <xf numFmtId="177" fontId="0" fillId="0" borderId="4" xfId="0" applyNumberForma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8" fontId="0" fillId="0" borderId="2" xfId="0" applyNumberFormat="1" applyBorder="1" applyAlignment="1">
      <alignment horizontal="center" vertical="center"/>
    </xf>
    <xf numFmtId="178" fontId="0" fillId="0" borderId="3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0" fontId="7" fillId="4" borderId="13" xfId="1" applyFont="1" applyFill="1" applyBorder="1" applyAlignment="1">
      <alignment horizontal="center" vertical="center"/>
    </xf>
  </cellXfs>
  <cellStyles count="4">
    <cellStyle name="標準" xfId="0" builtinId="0"/>
    <cellStyle name="標準 2" xfId="1" xr:uid="{00000000-0005-0000-0000-000001000000}"/>
    <cellStyle name="標準 4" xfId="3" xr:uid="{00000000-0005-0000-0000-000002000000}"/>
    <cellStyle name="標準_質問内容結果" xfId="2" xr:uid="{00000000-0005-0000-0000-000003000000}"/>
  </cellStyles>
  <dxfs count="0"/>
  <tableStyles count="0" defaultTableStyle="TableStyleMedium2" defaultPivotStyle="PivotStyleLight16"/>
  <colors>
    <mruColors>
      <color rgb="FFCCFFFF"/>
      <color rgb="FF0066FF"/>
      <color rgb="FFFFCCFF"/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externalLink" Target="externalLinks/externalLink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1._JOBOld\1901436_&#23500;&#22763;&#36890;&#65295;&#12471;&#12473;&#12513;&#12483;&#12463;&#12473;%20SNICS%20I&#65295;F&#12469;&#12540;&#12496;&#12471;&#12473;&#12486;&#12512;\01_&#21336;&#20307;&#20181;&#27096;&#26360;\SNCS&#20966;&#29702;&#19968;&#35239;_PT&#20181;&#27096;&#26360;&#20860;&#25104;&#32318;&#26360;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表紙"/>
      <sheetName val="PT仕様書の使用方法"/>
      <sheetName val="基本_start"/>
      <sheetName val="基本_オン_1"/>
      <sheetName val="優先順更新"/>
      <sheetName val="基本_end"/>
      <sheetName val="業務_start"/>
      <sheetName val="業務_end"/>
      <sheetName val="コード表"/>
      <sheetName val="原因区分"/>
      <sheetName val="設定シート"/>
      <sheetName val="プロセス"/>
      <sheetName val="バージョン情報"/>
      <sheetName val="【変更不可】共通設定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/>
      <sheetData sheetId="11"/>
      <sheetData sheetId="12" refreshError="1"/>
      <sheetData sheetId="13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BS24"/>
  <sheetViews>
    <sheetView showGridLines="0" tabSelected="1" workbookViewId="0">
      <selection activeCell="AE2" sqref="AE2:AK5"/>
    </sheetView>
  </sheetViews>
  <sheetFormatPr defaultColWidth="3.6328125" defaultRowHeight="15" customHeight="1" x14ac:dyDescent="0.3"/>
  <cols>
    <col min="1" max="1" width="4.6328125" style="3" customWidth="1"/>
    <col min="2" max="16" width="3.6328125" style="3" customWidth="1"/>
    <col min="17" max="17" width="3.6328125" style="3"/>
    <col min="18" max="23" width="3.6328125" style="3" customWidth="1"/>
    <col min="24" max="16384" width="3.6328125" style="3"/>
  </cols>
  <sheetData>
    <row r="1" spans="1:71" customFormat="1" ht="15" customHeight="1" x14ac:dyDescent="0.3">
      <c r="A1" s="74" t="s">
        <v>0</v>
      </c>
      <c r="B1" s="77"/>
      <c r="C1" s="77"/>
      <c r="D1" s="75"/>
      <c r="E1" s="76" t="s">
        <v>1</v>
      </c>
      <c r="F1" s="77"/>
      <c r="G1" s="75"/>
      <c r="H1" s="76" t="s">
        <v>2</v>
      </c>
      <c r="I1" s="75"/>
      <c r="J1" s="76" t="s">
        <v>3</v>
      </c>
      <c r="K1" s="77"/>
      <c r="L1" s="77"/>
      <c r="M1" s="77"/>
      <c r="N1" s="77"/>
      <c r="O1" s="75"/>
      <c r="P1" s="76" t="s">
        <v>4</v>
      </c>
      <c r="Q1" s="75"/>
    </row>
    <row r="2" spans="1:71" customFormat="1" ht="15" customHeight="1" x14ac:dyDescent="0.3">
      <c r="A2" s="84" t="s">
        <v>5</v>
      </c>
      <c r="B2" s="86"/>
      <c r="C2" s="86"/>
      <c r="D2" s="85"/>
      <c r="E2" s="84"/>
      <c r="F2" s="86"/>
      <c r="G2" s="85"/>
      <c r="H2" s="84"/>
      <c r="I2" s="85"/>
      <c r="J2" s="4" t="str">
        <f>IF(H2="","",VLOOKUP(H2,マスタ!C:D,2,FALSE))</f>
        <v/>
      </c>
      <c r="K2" s="5"/>
      <c r="L2" s="5"/>
      <c r="M2" s="5"/>
      <c r="N2" s="5"/>
      <c r="O2" s="6"/>
      <c r="P2" s="84"/>
      <c r="Q2" s="85"/>
      <c r="AE2" s="10" t="s">
        <v>6</v>
      </c>
      <c r="AF2" s="8"/>
      <c r="AG2" s="9"/>
      <c r="AH2" s="53"/>
      <c r="AI2" s="54"/>
      <c r="AJ2" s="54"/>
      <c r="AK2" s="55"/>
      <c r="AM2" s="10" t="s">
        <v>7</v>
      </c>
      <c r="AN2" s="8"/>
      <c r="AO2" s="9"/>
      <c r="AP2" s="53"/>
      <c r="AQ2" s="54"/>
      <c r="AR2" s="54"/>
      <c r="AS2" s="55"/>
    </row>
    <row r="3" spans="1:71" customFormat="1" ht="15" customHeight="1" x14ac:dyDescent="0.3">
      <c r="AE3" s="10" t="s">
        <v>8</v>
      </c>
      <c r="AF3" s="8"/>
      <c r="AG3" s="9"/>
      <c r="AH3" s="53"/>
      <c r="AI3" s="54"/>
      <c r="AJ3" s="54"/>
      <c r="AK3" s="55"/>
      <c r="AM3" s="10" t="s">
        <v>9</v>
      </c>
      <c r="AN3" s="8"/>
      <c r="AO3" s="9"/>
      <c r="AP3" s="53"/>
      <c r="AQ3" s="54"/>
      <c r="AR3" s="54"/>
      <c r="AS3" s="55"/>
    </row>
    <row r="4" spans="1:71" customFormat="1" ht="15" customHeight="1" x14ac:dyDescent="0.3">
      <c r="A4" s="74" t="s">
        <v>10</v>
      </c>
      <c r="B4" s="77"/>
      <c r="C4" s="75"/>
      <c r="D4" s="76" t="s">
        <v>11</v>
      </c>
      <c r="E4" s="77"/>
      <c r="F4" s="75"/>
      <c r="G4" s="76" t="s">
        <v>12</v>
      </c>
      <c r="H4" s="77"/>
      <c r="I4" s="75"/>
      <c r="J4" s="76" t="s">
        <v>13</v>
      </c>
      <c r="K4" s="77"/>
      <c r="L4" s="75"/>
      <c r="M4" s="76" t="s">
        <v>14</v>
      </c>
      <c r="N4" s="77"/>
      <c r="O4" s="75"/>
      <c r="P4" s="12"/>
      <c r="Q4" s="74" t="s">
        <v>15</v>
      </c>
      <c r="R4" s="75"/>
      <c r="S4" s="76" t="s">
        <v>16</v>
      </c>
      <c r="T4" s="77"/>
      <c r="U4" s="77"/>
      <c r="V4" s="75"/>
      <c r="W4" s="76" t="s">
        <v>17</v>
      </c>
      <c r="X4" s="77"/>
      <c r="Y4" s="75"/>
      <c r="Z4" s="76" t="s">
        <v>18</v>
      </c>
      <c r="AA4" s="77"/>
      <c r="AB4" s="75"/>
      <c r="AE4" s="10" t="s">
        <v>19</v>
      </c>
      <c r="AF4" s="8"/>
      <c r="AG4" s="9"/>
      <c r="AH4" s="53"/>
      <c r="AI4" s="54"/>
      <c r="AJ4" s="54"/>
      <c r="AK4" s="55"/>
      <c r="AM4" s="10" t="s">
        <v>20</v>
      </c>
      <c r="AN4" s="8"/>
      <c r="AO4" s="9"/>
      <c r="AP4" s="53"/>
      <c r="AQ4" s="54"/>
      <c r="AR4" s="54"/>
      <c r="AS4" s="55"/>
    </row>
    <row r="5" spans="1:71" customFormat="1" ht="15" customHeight="1" x14ac:dyDescent="0.3">
      <c r="A5" s="87"/>
      <c r="B5" s="88"/>
      <c r="C5" s="89"/>
      <c r="D5" s="78"/>
      <c r="E5" s="79"/>
      <c r="F5" s="80"/>
      <c r="G5" s="81"/>
      <c r="H5" s="82"/>
      <c r="I5" s="83"/>
      <c r="J5" s="81"/>
      <c r="K5" s="82"/>
      <c r="L5" s="83"/>
      <c r="M5" s="81">
        <f>J5-G5</f>
        <v>0</v>
      </c>
      <c r="N5" s="82"/>
      <c r="O5" s="83"/>
      <c r="P5" s="2"/>
      <c r="Q5" s="84">
        <f ca="1">COUNT(INDIRECT("$A9:$A"&amp;ROW(最終行)))</f>
        <v>0</v>
      </c>
      <c r="R5" s="85"/>
      <c r="S5" s="78" t="str">
        <f ca="1">IF(MAX(INDIRECT("$BB9:$BB"&amp;ROW(最終行)))=0,"",MAX(INDIRECT("$BB9:$BB"&amp;ROW(最終行))))</f>
        <v/>
      </c>
      <c r="T5" s="79"/>
      <c r="U5" s="79"/>
      <c r="V5" s="80"/>
      <c r="W5" s="78" t="str">
        <f ca="1">IF(MAX(INDIRECT("$BE9:$BE"&amp;ROW(最終行)))=0,"",MAX(INDIRECT("$BE9:$BE"&amp;ROW(最終行))))</f>
        <v/>
      </c>
      <c r="X5" s="79"/>
      <c r="Y5" s="80"/>
      <c r="Z5" s="78" t="str">
        <f ca="1">IF(MAX(INDIRECT("$BK9:$BK"&amp;ROW(最終行)))=0,"",MAX(INDIRECT("$BK9:$BK"&amp;ROW(最終行))))</f>
        <v/>
      </c>
      <c r="AA5" s="79"/>
      <c r="AB5" s="80"/>
      <c r="AD5" s="11"/>
      <c r="AE5" s="10" t="s">
        <v>21</v>
      </c>
      <c r="AF5" s="8"/>
      <c r="AG5" s="9"/>
      <c r="AH5" s="53"/>
      <c r="AI5" s="54"/>
      <c r="AJ5" s="54"/>
      <c r="AK5" s="55"/>
      <c r="AM5" s="10" t="s">
        <v>22</v>
      </c>
      <c r="AN5" s="8"/>
      <c r="AO5" s="9"/>
      <c r="AP5" s="53"/>
      <c r="AQ5" s="54"/>
      <c r="AR5" s="54"/>
      <c r="AS5" s="55"/>
    </row>
    <row r="6" spans="1:71" customFormat="1" ht="15" customHeight="1" x14ac:dyDescent="0.3"/>
    <row r="7" spans="1:71" s="1" customFormat="1" ht="15" customHeight="1" x14ac:dyDescent="0.3">
      <c r="A7" s="68" t="s">
        <v>23</v>
      </c>
      <c r="B7" s="62" t="s">
        <v>24</v>
      </c>
      <c r="C7" s="63"/>
      <c r="D7" s="62" t="s">
        <v>25</v>
      </c>
      <c r="E7" s="66"/>
      <c r="F7" s="66"/>
      <c r="G7" s="66"/>
      <c r="H7" s="63"/>
      <c r="I7" s="62" t="s">
        <v>26</v>
      </c>
      <c r="J7" s="66"/>
      <c r="K7" s="66"/>
      <c r="L7" s="63"/>
      <c r="M7" s="62" t="s">
        <v>27</v>
      </c>
      <c r="N7" s="66"/>
      <c r="O7" s="66"/>
      <c r="P7" s="66"/>
      <c r="Q7" s="66"/>
      <c r="R7" s="66"/>
      <c r="S7" s="66"/>
      <c r="T7" s="66"/>
      <c r="U7" s="66"/>
      <c r="V7" s="66"/>
      <c r="W7" s="66"/>
      <c r="X7" s="66"/>
      <c r="Y7" s="63"/>
      <c r="Z7" s="62" t="s">
        <v>28</v>
      </c>
      <c r="AA7" s="66"/>
      <c r="AB7" s="66"/>
      <c r="AC7" s="66"/>
      <c r="AD7" s="66"/>
      <c r="AE7" s="66"/>
      <c r="AF7" s="66"/>
      <c r="AG7" s="66"/>
      <c r="AH7" s="66"/>
      <c r="AI7" s="66"/>
      <c r="AJ7" s="66"/>
      <c r="AK7" s="66"/>
      <c r="AL7" s="63"/>
      <c r="AM7" s="62" t="s">
        <v>29</v>
      </c>
      <c r="AN7" s="66"/>
      <c r="AO7" s="63"/>
      <c r="AP7" s="70" t="s">
        <v>30</v>
      </c>
      <c r="AQ7" s="70"/>
      <c r="AR7" s="70"/>
      <c r="AS7" s="70"/>
      <c r="AT7" s="70"/>
      <c r="AU7" s="70"/>
      <c r="AV7" s="70"/>
      <c r="AW7" s="70"/>
      <c r="AX7" s="70"/>
      <c r="AY7" s="56" t="s">
        <v>31</v>
      </c>
      <c r="AZ7" s="57"/>
      <c r="BA7" s="57"/>
      <c r="BB7" s="57"/>
      <c r="BC7" s="57"/>
      <c r="BD7" s="57"/>
      <c r="BE7" s="57"/>
      <c r="BF7" s="57"/>
      <c r="BG7" s="58"/>
      <c r="BH7" s="70" t="s">
        <v>32</v>
      </c>
      <c r="BI7" s="70"/>
      <c r="BJ7" s="70"/>
      <c r="BK7" s="70"/>
      <c r="BL7" s="70"/>
      <c r="BM7" s="70"/>
      <c r="BN7" s="56" t="s">
        <v>33</v>
      </c>
      <c r="BO7" s="57"/>
      <c r="BP7" s="57"/>
      <c r="BQ7" s="57"/>
      <c r="BR7" s="57"/>
      <c r="BS7" s="58"/>
    </row>
    <row r="8" spans="1:71" s="1" customFormat="1" ht="15" customHeight="1" x14ac:dyDescent="0.3">
      <c r="A8" s="69"/>
      <c r="B8" s="64"/>
      <c r="C8" s="65"/>
      <c r="D8" s="64"/>
      <c r="E8" s="67"/>
      <c r="F8" s="67"/>
      <c r="G8" s="67"/>
      <c r="H8" s="65"/>
      <c r="I8" s="64"/>
      <c r="J8" s="67"/>
      <c r="K8" s="67"/>
      <c r="L8" s="65"/>
      <c r="M8" s="64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5"/>
      <c r="Z8" s="64"/>
      <c r="AA8" s="67"/>
      <c r="AB8" s="67"/>
      <c r="AC8" s="67"/>
      <c r="AD8" s="67"/>
      <c r="AE8" s="67"/>
      <c r="AF8" s="67"/>
      <c r="AG8" s="67"/>
      <c r="AH8" s="67"/>
      <c r="AI8" s="67"/>
      <c r="AJ8" s="67"/>
      <c r="AK8" s="67"/>
      <c r="AL8" s="65"/>
      <c r="AM8" s="64"/>
      <c r="AN8" s="67"/>
      <c r="AO8" s="65"/>
      <c r="AP8" s="59" t="s">
        <v>34</v>
      </c>
      <c r="AQ8" s="60"/>
      <c r="AR8" s="61"/>
      <c r="AS8" s="59" t="s">
        <v>35</v>
      </c>
      <c r="AT8" s="60"/>
      <c r="AU8" s="61"/>
      <c r="AV8" s="59" t="s">
        <v>36</v>
      </c>
      <c r="AW8" s="60"/>
      <c r="AX8" s="61"/>
      <c r="AY8" s="71" t="s">
        <v>37</v>
      </c>
      <c r="AZ8" s="72"/>
      <c r="BA8" s="73"/>
      <c r="BB8" s="71" t="s">
        <v>38</v>
      </c>
      <c r="BC8" s="72"/>
      <c r="BD8" s="73"/>
      <c r="BE8" s="71" t="s">
        <v>39</v>
      </c>
      <c r="BF8" s="72"/>
      <c r="BG8" s="73"/>
      <c r="BH8" s="59" t="s">
        <v>40</v>
      </c>
      <c r="BI8" s="60"/>
      <c r="BJ8" s="61"/>
      <c r="BK8" s="71" t="s">
        <v>41</v>
      </c>
      <c r="BL8" s="72"/>
      <c r="BM8" s="73"/>
      <c r="BN8" s="59"/>
      <c r="BO8" s="60"/>
      <c r="BP8" s="60"/>
      <c r="BQ8" s="60"/>
      <c r="BR8" s="60"/>
      <c r="BS8" s="61"/>
    </row>
    <row r="9" spans="1:71" ht="60" customHeight="1" x14ac:dyDescent="0.3">
      <c r="A9" s="7" t="str">
        <f>IF(M9="","",COUNTA($M$9:M9))</f>
        <v/>
      </c>
      <c r="B9" s="35"/>
      <c r="C9" s="37"/>
      <c r="D9" s="50"/>
      <c r="E9" s="51"/>
      <c r="F9" s="51"/>
      <c r="G9" s="51"/>
      <c r="H9" s="52"/>
      <c r="I9" s="39"/>
      <c r="J9" s="39"/>
      <c r="K9" s="39"/>
      <c r="L9" s="39"/>
      <c r="M9" s="38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40"/>
      <c r="Z9" s="38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40"/>
      <c r="AM9" s="38"/>
      <c r="AN9" s="39"/>
      <c r="AO9" s="40"/>
      <c r="AP9" s="44"/>
      <c r="AQ9" s="45"/>
      <c r="AR9" s="46"/>
      <c r="AS9" s="44"/>
      <c r="AT9" s="45"/>
      <c r="AU9" s="46"/>
      <c r="AV9" s="44"/>
      <c r="AW9" s="45"/>
      <c r="AX9" s="46"/>
      <c r="AY9" s="35"/>
      <c r="AZ9" s="36"/>
      <c r="BA9" s="37"/>
      <c r="BB9" s="47"/>
      <c r="BC9" s="48"/>
      <c r="BD9" s="49"/>
      <c r="BE9" s="47"/>
      <c r="BF9" s="48"/>
      <c r="BG9" s="49"/>
      <c r="BH9" s="35"/>
      <c r="BI9" s="36"/>
      <c r="BJ9" s="37"/>
      <c r="BK9" s="47"/>
      <c r="BL9" s="48"/>
      <c r="BM9" s="49"/>
      <c r="BN9" s="38"/>
      <c r="BO9" s="39"/>
      <c r="BP9" s="39"/>
      <c r="BQ9" s="39"/>
      <c r="BR9" s="39"/>
      <c r="BS9" s="40"/>
    </row>
    <row r="10" spans="1:71" ht="60" customHeight="1" x14ac:dyDescent="0.3">
      <c r="A10" s="7" t="str">
        <f>IF(M10="","",COUNTA($M$9:M10))</f>
        <v/>
      </c>
      <c r="B10" s="35"/>
      <c r="C10" s="37"/>
      <c r="D10" s="50"/>
      <c r="E10" s="51"/>
      <c r="F10" s="51"/>
      <c r="G10" s="51"/>
      <c r="H10" s="52"/>
      <c r="I10" s="39"/>
      <c r="J10" s="39"/>
      <c r="K10" s="39"/>
      <c r="L10" s="39"/>
      <c r="M10" s="41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3"/>
      <c r="Z10" s="41"/>
      <c r="AA10" s="42"/>
      <c r="AB10" s="42"/>
      <c r="AC10" s="42"/>
      <c r="AD10" s="42"/>
      <c r="AE10" s="42"/>
      <c r="AF10" s="42"/>
      <c r="AG10" s="42"/>
      <c r="AH10" s="42"/>
      <c r="AI10" s="42"/>
      <c r="AJ10" s="42"/>
      <c r="AK10" s="42"/>
      <c r="AL10" s="43"/>
      <c r="AM10" s="38"/>
      <c r="AN10" s="39"/>
      <c r="AO10" s="40"/>
      <c r="AP10" s="44"/>
      <c r="AQ10" s="45"/>
      <c r="AR10" s="46"/>
      <c r="AS10" s="44"/>
      <c r="AT10" s="45"/>
      <c r="AU10" s="46"/>
      <c r="AV10" s="44"/>
      <c r="AW10" s="45"/>
      <c r="AX10" s="46"/>
      <c r="AY10" s="35"/>
      <c r="AZ10" s="36"/>
      <c r="BA10" s="37"/>
      <c r="BB10" s="47"/>
      <c r="BC10" s="48"/>
      <c r="BD10" s="49"/>
      <c r="BE10" s="47"/>
      <c r="BF10" s="48"/>
      <c r="BG10" s="49"/>
      <c r="BH10" s="35"/>
      <c r="BI10" s="36"/>
      <c r="BJ10" s="37"/>
      <c r="BK10" s="47"/>
      <c r="BL10" s="48"/>
      <c r="BM10" s="49"/>
      <c r="BN10" s="38"/>
      <c r="BO10" s="39"/>
      <c r="BP10" s="39"/>
      <c r="BQ10" s="39"/>
      <c r="BR10" s="39"/>
      <c r="BS10" s="40"/>
    </row>
    <row r="11" spans="1:71" ht="60" customHeight="1" x14ac:dyDescent="0.3">
      <c r="A11" s="7" t="str">
        <f>IF(M11="","",COUNTA($M$9:M11))</f>
        <v/>
      </c>
      <c r="B11" s="35"/>
      <c r="C11" s="37"/>
      <c r="D11" s="50"/>
      <c r="E11" s="51"/>
      <c r="F11" s="51"/>
      <c r="G11" s="51"/>
      <c r="H11" s="52"/>
      <c r="I11" s="38"/>
      <c r="J11" s="39"/>
      <c r="K11" s="39"/>
      <c r="L11" s="40"/>
      <c r="M11" s="38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40"/>
      <c r="Z11" s="38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40"/>
      <c r="AM11" s="38"/>
      <c r="AN11" s="39"/>
      <c r="AO11" s="40"/>
      <c r="AP11" s="44"/>
      <c r="AQ11" s="45"/>
      <c r="AR11" s="46"/>
      <c r="AS11" s="44"/>
      <c r="AT11" s="45"/>
      <c r="AU11" s="46"/>
      <c r="AV11" s="44"/>
      <c r="AW11" s="45"/>
      <c r="AX11" s="46"/>
      <c r="AY11" s="35"/>
      <c r="AZ11" s="36"/>
      <c r="BA11" s="37"/>
      <c r="BB11" s="47"/>
      <c r="BC11" s="48"/>
      <c r="BD11" s="49"/>
      <c r="BE11" s="47"/>
      <c r="BF11" s="48"/>
      <c r="BG11" s="49"/>
      <c r="BH11" s="35"/>
      <c r="BI11" s="36"/>
      <c r="BJ11" s="37"/>
      <c r="BK11" s="47"/>
      <c r="BL11" s="48"/>
      <c r="BM11" s="49"/>
      <c r="BN11" s="38"/>
      <c r="BO11" s="39"/>
      <c r="BP11" s="39"/>
      <c r="BQ11" s="39"/>
      <c r="BR11" s="39"/>
      <c r="BS11" s="40"/>
    </row>
    <row r="12" spans="1:71" ht="60" customHeight="1" x14ac:dyDescent="0.3">
      <c r="A12" s="7" t="str">
        <f>IF(M12="","",COUNTA($M$9:M12))</f>
        <v/>
      </c>
      <c r="B12" s="35"/>
      <c r="C12" s="37"/>
      <c r="D12" s="50"/>
      <c r="E12" s="51"/>
      <c r="F12" s="51"/>
      <c r="G12" s="51"/>
      <c r="H12" s="52"/>
      <c r="I12" s="38"/>
      <c r="J12" s="39"/>
      <c r="K12" s="39"/>
      <c r="L12" s="40"/>
      <c r="M12" s="41"/>
      <c r="N12" s="42"/>
      <c r="O12" s="42"/>
      <c r="P12" s="42"/>
      <c r="Q12" s="42"/>
      <c r="R12" s="42"/>
      <c r="S12" s="42"/>
      <c r="T12" s="42"/>
      <c r="U12" s="42"/>
      <c r="V12" s="42"/>
      <c r="W12" s="42"/>
      <c r="X12" s="42"/>
      <c r="Y12" s="43"/>
      <c r="Z12" s="41"/>
      <c r="AA12" s="42"/>
      <c r="AB12" s="42"/>
      <c r="AC12" s="42"/>
      <c r="AD12" s="42"/>
      <c r="AE12" s="42"/>
      <c r="AF12" s="42"/>
      <c r="AG12" s="42"/>
      <c r="AH12" s="42"/>
      <c r="AI12" s="42"/>
      <c r="AJ12" s="42"/>
      <c r="AK12" s="42"/>
      <c r="AL12" s="43"/>
      <c r="AM12" s="38"/>
      <c r="AN12" s="39"/>
      <c r="AO12" s="40"/>
      <c r="AP12" s="44"/>
      <c r="AQ12" s="45"/>
      <c r="AR12" s="46"/>
      <c r="AS12" s="44"/>
      <c r="AT12" s="45"/>
      <c r="AU12" s="46"/>
      <c r="AV12" s="44"/>
      <c r="AW12" s="45"/>
      <c r="AX12" s="46"/>
      <c r="AY12" s="35"/>
      <c r="AZ12" s="36"/>
      <c r="BA12" s="37"/>
      <c r="BB12" s="47"/>
      <c r="BC12" s="48"/>
      <c r="BD12" s="49"/>
      <c r="BE12" s="47"/>
      <c r="BF12" s="48"/>
      <c r="BG12" s="49"/>
      <c r="BH12" s="35"/>
      <c r="BI12" s="36"/>
      <c r="BJ12" s="37"/>
      <c r="BK12" s="47"/>
      <c r="BL12" s="48"/>
      <c r="BM12" s="49"/>
      <c r="BN12" s="38"/>
      <c r="BO12" s="39"/>
      <c r="BP12" s="39"/>
      <c r="BQ12" s="39"/>
      <c r="BR12" s="39"/>
      <c r="BS12" s="40"/>
    </row>
    <row r="13" spans="1:71" ht="60" customHeight="1" x14ac:dyDescent="0.3">
      <c r="A13" s="7" t="str">
        <f>IF(M13="","",COUNTA($M$9:M13))</f>
        <v/>
      </c>
      <c r="B13" s="35"/>
      <c r="C13" s="37"/>
      <c r="D13" s="50"/>
      <c r="E13" s="51"/>
      <c r="F13" s="51"/>
      <c r="G13" s="51"/>
      <c r="H13" s="52"/>
      <c r="I13" s="38"/>
      <c r="J13" s="39"/>
      <c r="K13" s="39"/>
      <c r="L13" s="40"/>
      <c r="M13" s="41"/>
      <c r="N13" s="42"/>
      <c r="O13" s="42"/>
      <c r="P13" s="42"/>
      <c r="Q13" s="42"/>
      <c r="R13" s="42"/>
      <c r="S13" s="42"/>
      <c r="T13" s="42"/>
      <c r="U13" s="42"/>
      <c r="V13" s="42"/>
      <c r="W13" s="42"/>
      <c r="X13" s="42"/>
      <c r="Y13" s="43"/>
      <c r="Z13" s="38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40"/>
      <c r="AM13" s="38"/>
      <c r="AN13" s="39"/>
      <c r="AO13" s="40"/>
      <c r="AP13" s="44"/>
      <c r="AQ13" s="45"/>
      <c r="AR13" s="46"/>
      <c r="AS13" s="44"/>
      <c r="AT13" s="45"/>
      <c r="AU13" s="46"/>
      <c r="AV13" s="44"/>
      <c r="AW13" s="45"/>
      <c r="AX13" s="46"/>
      <c r="AY13" s="35"/>
      <c r="AZ13" s="36"/>
      <c r="BA13" s="37"/>
      <c r="BB13" s="47"/>
      <c r="BC13" s="48"/>
      <c r="BD13" s="49"/>
      <c r="BE13" s="47"/>
      <c r="BF13" s="48"/>
      <c r="BG13" s="49"/>
      <c r="BH13" s="35"/>
      <c r="BI13" s="36"/>
      <c r="BJ13" s="37"/>
      <c r="BK13" s="47"/>
      <c r="BL13" s="48"/>
      <c r="BM13" s="49"/>
      <c r="BN13" s="38"/>
      <c r="BO13" s="39"/>
      <c r="BP13" s="39"/>
      <c r="BQ13" s="39"/>
      <c r="BR13" s="39"/>
      <c r="BS13" s="40"/>
    </row>
    <row r="14" spans="1:71" ht="60" customHeight="1" x14ac:dyDescent="0.3">
      <c r="A14" s="7" t="str">
        <f>IF(M14="","",COUNTA($M$9:M14))</f>
        <v/>
      </c>
      <c r="B14" s="35"/>
      <c r="C14" s="37"/>
      <c r="D14" s="50"/>
      <c r="E14" s="51"/>
      <c r="F14" s="51"/>
      <c r="G14" s="51"/>
      <c r="H14" s="52"/>
      <c r="I14" s="38"/>
      <c r="J14" s="39"/>
      <c r="K14" s="39"/>
      <c r="L14" s="40"/>
      <c r="M14" s="41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3"/>
      <c r="Z14" s="38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40"/>
      <c r="AM14" s="38"/>
      <c r="AN14" s="39"/>
      <c r="AO14" s="40"/>
      <c r="AP14" s="44"/>
      <c r="AQ14" s="45"/>
      <c r="AR14" s="46"/>
      <c r="AS14" s="44"/>
      <c r="AT14" s="45"/>
      <c r="AU14" s="46"/>
      <c r="AV14" s="44"/>
      <c r="AW14" s="45"/>
      <c r="AX14" s="46"/>
      <c r="AY14" s="35"/>
      <c r="AZ14" s="36"/>
      <c r="BA14" s="37"/>
      <c r="BB14" s="47"/>
      <c r="BC14" s="48"/>
      <c r="BD14" s="49"/>
      <c r="BE14" s="47"/>
      <c r="BF14" s="48"/>
      <c r="BG14" s="49"/>
      <c r="BH14" s="35"/>
      <c r="BI14" s="36"/>
      <c r="BJ14" s="37"/>
      <c r="BK14" s="47"/>
      <c r="BL14" s="48"/>
      <c r="BM14" s="49"/>
      <c r="BN14" s="38"/>
      <c r="BO14" s="39"/>
      <c r="BP14" s="39"/>
      <c r="BQ14" s="39"/>
      <c r="BR14" s="39"/>
      <c r="BS14" s="40"/>
    </row>
    <row r="15" spans="1:71" ht="60" customHeight="1" x14ac:dyDescent="0.3">
      <c r="A15" s="7" t="str">
        <f>IF(M15="","",COUNTA($M$9:M15))</f>
        <v/>
      </c>
      <c r="B15" s="35"/>
      <c r="C15" s="37"/>
      <c r="D15" s="50"/>
      <c r="E15" s="51"/>
      <c r="F15" s="51"/>
      <c r="G15" s="51"/>
      <c r="H15" s="52"/>
      <c r="I15" s="38"/>
      <c r="J15" s="39"/>
      <c r="K15" s="39"/>
      <c r="L15" s="40"/>
      <c r="M15" s="41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3"/>
      <c r="Z15" s="41"/>
      <c r="AA15" s="42"/>
      <c r="AB15" s="42"/>
      <c r="AC15" s="42"/>
      <c r="AD15" s="42"/>
      <c r="AE15" s="42"/>
      <c r="AF15" s="42"/>
      <c r="AG15" s="42"/>
      <c r="AH15" s="42"/>
      <c r="AI15" s="42"/>
      <c r="AJ15" s="42"/>
      <c r="AK15" s="42"/>
      <c r="AL15" s="43"/>
      <c r="AM15" s="38"/>
      <c r="AN15" s="39"/>
      <c r="AO15" s="40"/>
      <c r="AP15" s="44"/>
      <c r="AQ15" s="45"/>
      <c r="AR15" s="46"/>
      <c r="AS15" s="44"/>
      <c r="AT15" s="45"/>
      <c r="AU15" s="46"/>
      <c r="AV15" s="44"/>
      <c r="AW15" s="45"/>
      <c r="AX15" s="46"/>
      <c r="AY15" s="35"/>
      <c r="AZ15" s="36"/>
      <c r="BA15" s="37"/>
      <c r="BB15" s="47"/>
      <c r="BC15" s="48"/>
      <c r="BD15" s="49"/>
      <c r="BE15" s="47"/>
      <c r="BF15" s="48"/>
      <c r="BG15" s="49"/>
      <c r="BH15" s="35"/>
      <c r="BI15" s="36"/>
      <c r="BJ15" s="37"/>
      <c r="BK15" s="47"/>
      <c r="BL15" s="48"/>
      <c r="BM15" s="49"/>
      <c r="BN15" s="38"/>
      <c r="BO15" s="39"/>
      <c r="BP15" s="39"/>
      <c r="BQ15" s="39"/>
      <c r="BR15" s="39"/>
      <c r="BS15" s="40"/>
    </row>
    <row r="16" spans="1:71" ht="60" customHeight="1" x14ac:dyDescent="0.3">
      <c r="A16" s="7" t="str">
        <f>IF(M16="","",COUNTA($M$9:M16))</f>
        <v/>
      </c>
      <c r="B16" s="35"/>
      <c r="C16" s="37"/>
      <c r="D16" s="50"/>
      <c r="E16" s="51"/>
      <c r="F16" s="51"/>
      <c r="G16" s="51"/>
      <c r="H16" s="52"/>
      <c r="I16" s="38"/>
      <c r="J16" s="39"/>
      <c r="K16" s="39"/>
      <c r="L16" s="40"/>
      <c r="M16" s="41"/>
      <c r="N16" s="42"/>
      <c r="O16" s="42"/>
      <c r="P16" s="42"/>
      <c r="Q16" s="42"/>
      <c r="R16" s="42"/>
      <c r="S16" s="42"/>
      <c r="T16" s="42"/>
      <c r="U16" s="42"/>
      <c r="V16" s="42"/>
      <c r="W16" s="42"/>
      <c r="X16" s="42"/>
      <c r="Y16" s="43"/>
      <c r="Z16" s="41"/>
      <c r="AA16" s="42"/>
      <c r="AB16" s="42"/>
      <c r="AC16" s="42"/>
      <c r="AD16" s="42"/>
      <c r="AE16" s="42"/>
      <c r="AF16" s="42"/>
      <c r="AG16" s="42"/>
      <c r="AH16" s="42"/>
      <c r="AI16" s="42"/>
      <c r="AJ16" s="42"/>
      <c r="AK16" s="42"/>
      <c r="AL16" s="43"/>
      <c r="AM16" s="38"/>
      <c r="AN16" s="39"/>
      <c r="AO16" s="40"/>
      <c r="AP16" s="44"/>
      <c r="AQ16" s="45"/>
      <c r="AR16" s="46"/>
      <c r="AS16" s="44"/>
      <c r="AT16" s="45"/>
      <c r="AU16" s="46"/>
      <c r="AV16" s="44"/>
      <c r="AW16" s="45"/>
      <c r="AX16" s="46"/>
      <c r="AY16" s="35"/>
      <c r="AZ16" s="36"/>
      <c r="BA16" s="37"/>
      <c r="BB16" s="47"/>
      <c r="BC16" s="48"/>
      <c r="BD16" s="49"/>
      <c r="BE16" s="47"/>
      <c r="BF16" s="48"/>
      <c r="BG16" s="49"/>
      <c r="BH16" s="35"/>
      <c r="BI16" s="36"/>
      <c r="BJ16" s="37"/>
      <c r="BK16" s="47"/>
      <c r="BL16" s="48"/>
      <c r="BM16" s="49"/>
      <c r="BN16" s="38"/>
      <c r="BO16" s="39"/>
      <c r="BP16" s="39"/>
      <c r="BQ16" s="39"/>
      <c r="BR16" s="39"/>
      <c r="BS16" s="40"/>
    </row>
    <row r="17" spans="1:71" ht="60" customHeight="1" x14ac:dyDescent="0.3">
      <c r="A17" s="7" t="str">
        <f>IF(M17="","",COUNTA($M$9:M17))</f>
        <v/>
      </c>
      <c r="B17" s="35"/>
      <c r="C17" s="37"/>
      <c r="D17" s="50"/>
      <c r="E17" s="51"/>
      <c r="F17" s="51"/>
      <c r="G17" s="51"/>
      <c r="H17" s="52"/>
      <c r="I17" s="38"/>
      <c r="J17" s="39"/>
      <c r="K17" s="39"/>
      <c r="L17" s="40"/>
      <c r="M17" s="41"/>
      <c r="N17" s="42"/>
      <c r="O17" s="42"/>
      <c r="P17" s="42"/>
      <c r="Q17" s="42"/>
      <c r="R17" s="42"/>
      <c r="S17" s="42"/>
      <c r="T17" s="42"/>
      <c r="U17" s="42"/>
      <c r="V17" s="42"/>
      <c r="W17" s="42"/>
      <c r="X17" s="42"/>
      <c r="Y17" s="43"/>
      <c r="Z17" s="41"/>
      <c r="AA17" s="42"/>
      <c r="AB17" s="42"/>
      <c r="AC17" s="42"/>
      <c r="AD17" s="42"/>
      <c r="AE17" s="42"/>
      <c r="AF17" s="42"/>
      <c r="AG17" s="42"/>
      <c r="AH17" s="42"/>
      <c r="AI17" s="42"/>
      <c r="AJ17" s="42"/>
      <c r="AK17" s="42"/>
      <c r="AL17" s="43"/>
      <c r="AM17" s="38"/>
      <c r="AN17" s="39"/>
      <c r="AO17" s="40"/>
      <c r="AP17" s="44"/>
      <c r="AQ17" s="45"/>
      <c r="AR17" s="46"/>
      <c r="AS17" s="44"/>
      <c r="AT17" s="45"/>
      <c r="AU17" s="46"/>
      <c r="AV17" s="44"/>
      <c r="AW17" s="45"/>
      <c r="AX17" s="46"/>
      <c r="AY17" s="35"/>
      <c r="AZ17" s="36"/>
      <c r="BA17" s="37"/>
      <c r="BB17" s="47"/>
      <c r="BC17" s="48"/>
      <c r="BD17" s="49"/>
      <c r="BE17" s="47"/>
      <c r="BF17" s="48"/>
      <c r="BG17" s="49"/>
      <c r="BH17" s="35"/>
      <c r="BI17" s="36"/>
      <c r="BJ17" s="37"/>
      <c r="BK17" s="47"/>
      <c r="BL17" s="48"/>
      <c r="BM17" s="49"/>
      <c r="BN17" s="38"/>
      <c r="BO17" s="39"/>
      <c r="BP17" s="39"/>
      <c r="BQ17" s="39"/>
      <c r="BR17" s="39"/>
      <c r="BS17" s="40"/>
    </row>
    <row r="18" spans="1:71" ht="120" customHeight="1" x14ac:dyDescent="0.3">
      <c r="A18" s="7" t="str">
        <f>IF(M18="","",COUNTA($M$9:M18))</f>
        <v/>
      </c>
      <c r="B18" s="35"/>
      <c r="C18" s="37"/>
      <c r="D18" s="50"/>
      <c r="E18" s="51"/>
      <c r="F18" s="51"/>
      <c r="G18" s="51"/>
      <c r="H18" s="52"/>
      <c r="I18" s="38"/>
      <c r="J18" s="39"/>
      <c r="K18" s="39"/>
      <c r="L18" s="40"/>
      <c r="M18" s="41"/>
      <c r="N18" s="42"/>
      <c r="O18" s="42"/>
      <c r="P18" s="42"/>
      <c r="Q18" s="42"/>
      <c r="R18" s="42"/>
      <c r="S18" s="42"/>
      <c r="T18" s="42"/>
      <c r="U18" s="42"/>
      <c r="V18" s="42"/>
      <c r="W18" s="42"/>
      <c r="X18" s="42"/>
      <c r="Y18" s="43"/>
      <c r="Z18" s="41"/>
      <c r="AA18" s="42"/>
      <c r="AB18" s="42"/>
      <c r="AC18" s="42"/>
      <c r="AD18" s="42"/>
      <c r="AE18" s="42"/>
      <c r="AF18" s="42"/>
      <c r="AG18" s="42"/>
      <c r="AH18" s="42"/>
      <c r="AI18" s="42"/>
      <c r="AJ18" s="42"/>
      <c r="AK18" s="42"/>
      <c r="AL18" s="43"/>
      <c r="AM18" s="38"/>
      <c r="AN18" s="39"/>
      <c r="AO18" s="40"/>
      <c r="AP18" s="44"/>
      <c r="AQ18" s="45"/>
      <c r="AR18" s="46"/>
      <c r="AS18" s="44"/>
      <c r="AT18" s="45"/>
      <c r="AU18" s="46"/>
      <c r="AV18" s="44"/>
      <c r="AW18" s="45"/>
      <c r="AX18" s="46"/>
      <c r="AY18" s="35"/>
      <c r="AZ18" s="36"/>
      <c r="BA18" s="37"/>
      <c r="BB18" s="47"/>
      <c r="BC18" s="48"/>
      <c r="BD18" s="49"/>
      <c r="BE18" s="47"/>
      <c r="BF18" s="48"/>
      <c r="BG18" s="49"/>
      <c r="BH18" s="35"/>
      <c r="BI18" s="36"/>
      <c r="BJ18" s="37"/>
      <c r="BK18" s="47"/>
      <c r="BL18" s="48"/>
      <c r="BM18" s="49"/>
      <c r="BN18" s="38"/>
      <c r="BO18" s="39"/>
      <c r="BP18" s="39"/>
      <c r="BQ18" s="39"/>
      <c r="BR18" s="39"/>
      <c r="BS18" s="40"/>
    </row>
    <row r="19" spans="1:71" ht="60" customHeight="1" x14ac:dyDescent="0.3">
      <c r="A19" s="7" t="str">
        <f>IF(M19="","",COUNTA($M$9:M19))</f>
        <v/>
      </c>
      <c r="B19" s="35"/>
      <c r="C19" s="37"/>
      <c r="D19" s="50"/>
      <c r="E19" s="51"/>
      <c r="F19" s="51"/>
      <c r="G19" s="51"/>
      <c r="H19" s="52"/>
      <c r="I19" s="38"/>
      <c r="J19" s="39"/>
      <c r="K19" s="39"/>
      <c r="L19" s="40"/>
      <c r="M19" s="41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1"/>
      <c r="AA19" s="42"/>
      <c r="AB19" s="42"/>
      <c r="AC19" s="42"/>
      <c r="AD19" s="42"/>
      <c r="AE19" s="42"/>
      <c r="AF19" s="42"/>
      <c r="AG19" s="42"/>
      <c r="AH19" s="42"/>
      <c r="AI19" s="42"/>
      <c r="AJ19" s="42"/>
      <c r="AK19" s="42"/>
      <c r="AL19" s="43"/>
      <c r="AM19" s="38"/>
      <c r="AN19" s="39"/>
      <c r="AO19" s="40"/>
      <c r="AP19" s="44"/>
      <c r="AQ19" s="45"/>
      <c r="AR19" s="46"/>
      <c r="AS19" s="44"/>
      <c r="AT19" s="45"/>
      <c r="AU19" s="46"/>
      <c r="AV19" s="44"/>
      <c r="AW19" s="45"/>
      <c r="AX19" s="46"/>
      <c r="AY19" s="35"/>
      <c r="AZ19" s="36"/>
      <c r="BA19" s="37"/>
      <c r="BB19" s="47"/>
      <c r="BC19" s="48"/>
      <c r="BD19" s="49"/>
      <c r="BE19" s="47"/>
      <c r="BF19" s="48"/>
      <c r="BG19" s="49"/>
      <c r="BH19" s="35"/>
      <c r="BI19" s="36"/>
      <c r="BJ19" s="37"/>
      <c r="BK19" s="47"/>
      <c r="BL19" s="48"/>
      <c r="BM19" s="49"/>
      <c r="BN19" s="38"/>
      <c r="BO19" s="39"/>
      <c r="BP19" s="39"/>
      <c r="BQ19" s="39"/>
      <c r="BR19" s="39"/>
      <c r="BS19" s="40"/>
    </row>
    <row r="20" spans="1:71" ht="60" customHeight="1" x14ac:dyDescent="0.3">
      <c r="A20" s="7" t="str">
        <f>IF(M20="","",COUNTA($M$9:M20))</f>
        <v/>
      </c>
      <c r="B20" s="35"/>
      <c r="C20" s="37"/>
      <c r="D20" s="50"/>
      <c r="E20" s="51"/>
      <c r="F20" s="51"/>
      <c r="G20" s="51"/>
      <c r="H20" s="52"/>
      <c r="I20" s="38"/>
      <c r="J20" s="39"/>
      <c r="K20" s="39"/>
      <c r="L20" s="40"/>
      <c r="M20" s="41"/>
      <c r="N20" s="42"/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3"/>
      <c r="Z20" s="41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3"/>
      <c r="AM20" s="38"/>
      <c r="AN20" s="39"/>
      <c r="AO20" s="40"/>
      <c r="AP20" s="44"/>
      <c r="AQ20" s="45"/>
      <c r="AR20" s="46"/>
      <c r="AS20" s="44"/>
      <c r="AT20" s="45"/>
      <c r="AU20" s="46"/>
      <c r="AV20" s="44"/>
      <c r="AW20" s="45"/>
      <c r="AX20" s="46"/>
      <c r="AY20" s="35"/>
      <c r="AZ20" s="36"/>
      <c r="BA20" s="37"/>
      <c r="BB20" s="47"/>
      <c r="BC20" s="48"/>
      <c r="BD20" s="49"/>
      <c r="BE20" s="47"/>
      <c r="BF20" s="48"/>
      <c r="BG20" s="49"/>
      <c r="BH20" s="35"/>
      <c r="BI20" s="36"/>
      <c r="BJ20" s="37"/>
      <c r="BK20" s="47"/>
      <c r="BL20" s="48"/>
      <c r="BM20" s="49"/>
      <c r="BN20" s="38"/>
      <c r="BO20" s="39"/>
      <c r="BP20" s="39"/>
      <c r="BQ20" s="39"/>
      <c r="BR20" s="39"/>
      <c r="BS20" s="40"/>
    </row>
    <row r="21" spans="1:71" ht="60" customHeight="1" x14ac:dyDescent="0.3">
      <c r="A21" s="7" t="str">
        <f>IF(M21="","",COUNTA($M$9:M21))</f>
        <v/>
      </c>
      <c r="B21" s="35"/>
      <c r="C21" s="37"/>
      <c r="D21" s="50"/>
      <c r="E21" s="51"/>
      <c r="F21" s="51"/>
      <c r="G21" s="51"/>
      <c r="H21" s="52"/>
      <c r="I21" s="38"/>
      <c r="J21" s="39"/>
      <c r="K21" s="39"/>
      <c r="L21" s="40"/>
      <c r="M21" s="41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1"/>
      <c r="AA21" s="42"/>
      <c r="AB21" s="42"/>
      <c r="AC21" s="42"/>
      <c r="AD21" s="42"/>
      <c r="AE21" s="42"/>
      <c r="AF21" s="42"/>
      <c r="AG21" s="42"/>
      <c r="AH21" s="42"/>
      <c r="AI21" s="42"/>
      <c r="AJ21" s="42"/>
      <c r="AK21" s="42"/>
      <c r="AL21" s="43"/>
      <c r="AM21" s="38"/>
      <c r="AN21" s="39"/>
      <c r="AO21" s="40"/>
      <c r="AP21" s="44"/>
      <c r="AQ21" s="45"/>
      <c r="AR21" s="46"/>
      <c r="AS21" s="44"/>
      <c r="AT21" s="45"/>
      <c r="AU21" s="46"/>
      <c r="AV21" s="44"/>
      <c r="AW21" s="45"/>
      <c r="AX21" s="46"/>
      <c r="AY21" s="35"/>
      <c r="AZ21" s="36"/>
      <c r="BA21" s="37"/>
      <c r="BB21" s="47"/>
      <c r="BC21" s="48"/>
      <c r="BD21" s="49"/>
      <c r="BE21" s="47"/>
      <c r="BF21" s="48"/>
      <c r="BG21" s="49"/>
      <c r="BH21" s="35"/>
      <c r="BI21" s="36"/>
      <c r="BJ21" s="37"/>
      <c r="BK21" s="47"/>
      <c r="BL21" s="48"/>
      <c r="BM21" s="49"/>
      <c r="BN21" s="38"/>
      <c r="BO21" s="39"/>
      <c r="BP21" s="39"/>
      <c r="BQ21" s="39"/>
      <c r="BR21" s="39"/>
      <c r="BS21" s="40"/>
    </row>
    <row r="22" spans="1:71" ht="60" customHeight="1" x14ac:dyDescent="0.3">
      <c r="A22" s="7" t="str">
        <f>IF(M22="","",COUNTA($M$9:M22))</f>
        <v/>
      </c>
      <c r="B22" s="35"/>
      <c r="C22" s="37"/>
      <c r="D22" s="50"/>
      <c r="E22" s="51"/>
      <c r="F22" s="51"/>
      <c r="G22" s="51"/>
      <c r="H22" s="52"/>
      <c r="I22" s="38"/>
      <c r="J22" s="39"/>
      <c r="K22" s="39"/>
      <c r="L22" s="40"/>
      <c r="M22" s="41"/>
      <c r="N22" s="42"/>
      <c r="O22" s="42"/>
      <c r="P22" s="42"/>
      <c r="Q22" s="42"/>
      <c r="R22" s="42"/>
      <c r="S22" s="42"/>
      <c r="T22" s="42"/>
      <c r="U22" s="42"/>
      <c r="V22" s="42"/>
      <c r="W22" s="42"/>
      <c r="X22" s="42"/>
      <c r="Y22" s="43"/>
      <c r="Z22" s="41"/>
      <c r="AA22" s="42"/>
      <c r="AB22" s="42"/>
      <c r="AC22" s="42"/>
      <c r="AD22" s="42"/>
      <c r="AE22" s="42"/>
      <c r="AF22" s="42"/>
      <c r="AG22" s="42"/>
      <c r="AH22" s="42"/>
      <c r="AI22" s="42"/>
      <c r="AJ22" s="42"/>
      <c r="AK22" s="42"/>
      <c r="AL22" s="43"/>
      <c r="AM22" s="38"/>
      <c r="AN22" s="39"/>
      <c r="AO22" s="40"/>
      <c r="AP22" s="44"/>
      <c r="AQ22" s="45"/>
      <c r="AR22" s="46"/>
      <c r="AS22" s="44"/>
      <c r="AT22" s="45"/>
      <c r="AU22" s="46"/>
      <c r="AV22" s="44"/>
      <c r="AW22" s="45"/>
      <c r="AX22" s="46"/>
      <c r="AY22" s="35"/>
      <c r="AZ22" s="36"/>
      <c r="BA22" s="37"/>
      <c r="BB22" s="47"/>
      <c r="BC22" s="48"/>
      <c r="BD22" s="49"/>
      <c r="BE22" s="47"/>
      <c r="BF22" s="48"/>
      <c r="BG22" s="49"/>
      <c r="BH22" s="35"/>
      <c r="BI22" s="36"/>
      <c r="BJ22" s="37"/>
      <c r="BK22" s="47"/>
      <c r="BL22" s="48"/>
      <c r="BM22" s="49"/>
      <c r="BN22" s="38"/>
      <c r="BO22" s="39"/>
      <c r="BP22" s="39"/>
      <c r="BQ22" s="39"/>
      <c r="BR22" s="39"/>
      <c r="BS22" s="40"/>
    </row>
    <row r="23" spans="1:71" ht="45" customHeight="1" x14ac:dyDescent="0.3">
      <c r="A23" s="7" t="str">
        <f>IF(M23="","",COUNTA($M$9:M23))</f>
        <v/>
      </c>
      <c r="B23" s="35"/>
      <c r="C23" s="37"/>
      <c r="D23" s="50"/>
      <c r="E23" s="51"/>
      <c r="F23" s="51"/>
      <c r="G23" s="51"/>
      <c r="H23" s="52"/>
      <c r="I23" s="38"/>
      <c r="J23" s="39"/>
      <c r="K23" s="39"/>
      <c r="L23" s="40"/>
      <c r="M23" s="41"/>
      <c r="N23" s="42"/>
      <c r="O23" s="42"/>
      <c r="P23" s="42"/>
      <c r="Q23" s="42"/>
      <c r="R23" s="42"/>
      <c r="S23" s="42"/>
      <c r="T23" s="42"/>
      <c r="U23" s="42"/>
      <c r="V23" s="42"/>
      <c r="W23" s="42"/>
      <c r="X23" s="42"/>
      <c r="Y23" s="43"/>
      <c r="Z23" s="41"/>
      <c r="AA23" s="42"/>
      <c r="AB23" s="42"/>
      <c r="AC23" s="42"/>
      <c r="AD23" s="42"/>
      <c r="AE23" s="42"/>
      <c r="AF23" s="42"/>
      <c r="AG23" s="42"/>
      <c r="AH23" s="42"/>
      <c r="AI23" s="42"/>
      <c r="AJ23" s="42"/>
      <c r="AK23" s="42"/>
      <c r="AL23" s="43"/>
      <c r="AM23" s="38"/>
      <c r="AN23" s="39"/>
      <c r="AO23" s="40"/>
      <c r="AP23" s="44"/>
      <c r="AQ23" s="45"/>
      <c r="AR23" s="46"/>
      <c r="AS23" s="44"/>
      <c r="AT23" s="45"/>
      <c r="AU23" s="46"/>
      <c r="AV23" s="44"/>
      <c r="AW23" s="45"/>
      <c r="AX23" s="46"/>
      <c r="AY23" s="35"/>
      <c r="AZ23" s="36"/>
      <c r="BA23" s="37"/>
      <c r="BB23" s="47"/>
      <c r="BC23" s="48"/>
      <c r="BD23" s="49"/>
      <c r="BE23" s="47"/>
      <c r="BF23" s="48"/>
      <c r="BG23" s="49"/>
      <c r="BH23" s="35"/>
      <c r="BI23" s="36"/>
      <c r="BJ23" s="37"/>
      <c r="BK23" s="47"/>
      <c r="BL23" s="48"/>
      <c r="BM23" s="49"/>
      <c r="BN23" s="38"/>
      <c r="BO23" s="39"/>
      <c r="BP23" s="39"/>
      <c r="BQ23" s="39"/>
      <c r="BR23" s="39"/>
      <c r="BS23" s="40"/>
    </row>
    <row r="24" spans="1:71" ht="15" customHeight="1" x14ac:dyDescent="0.3">
      <c r="A24" s="33" t="s">
        <v>42</v>
      </c>
      <c r="B24" s="32"/>
      <c r="C24" s="32"/>
      <c r="D24" s="32"/>
      <c r="E24" s="32"/>
      <c r="F24" s="32"/>
      <c r="G24" s="32"/>
      <c r="H24" s="32"/>
      <c r="I24" s="32"/>
      <c r="J24" s="32"/>
      <c r="K24" s="32"/>
      <c r="L24" s="32"/>
      <c r="M24" s="32"/>
      <c r="N24" s="32"/>
      <c r="O24" s="32"/>
      <c r="P24" s="32"/>
      <c r="Q24" s="32"/>
      <c r="R24" s="32"/>
      <c r="S24" s="32"/>
      <c r="T24" s="32"/>
      <c r="U24" s="32"/>
      <c r="V24" s="32"/>
      <c r="W24" s="32"/>
      <c r="X24" s="32"/>
      <c r="Y24" s="32"/>
      <c r="Z24" s="32"/>
      <c r="AA24" s="32"/>
      <c r="AB24" s="32"/>
      <c r="AC24" s="32"/>
      <c r="AD24" s="32"/>
      <c r="AE24" s="32"/>
      <c r="AF24" s="32"/>
      <c r="AG24" s="32"/>
      <c r="AH24" s="32"/>
      <c r="AI24" s="32"/>
      <c r="AJ24" s="32"/>
      <c r="AK24" s="32"/>
      <c r="AL24" s="32"/>
      <c r="AM24" s="32"/>
      <c r="AN24" s="32"/>
      <c r="AO24" s="32"/>
      <c r="AP24" s="32"/>
      <c r="AQ24" s="32"/>
      <c r="AR24" s="32"/>
      <c r="AS24" s="32"/>
      <c r="AT24" s="32"/>
      <c r="AU24" s="32"/>
      <c r="AV24" s="32"/>
      <c r="AW24" s="32"/>
      <c r="AX24" s="32"/>
      <c r="AY24" s="32"/>
      <c r="AZ24" s="32"/>
      <c r="BA24" s="32"/>
      <c r="BB24" s="32"/>
      <c r="BC24" s="32"/>
      <c r="BD24" s="32"/>
      <c r="BE24" s="32"/>
      <c r="BF24" s="32"/>
      <c r="BG24" s="32"/>
      <c r="BH24" s="32"/>
      <c r="BI24" s="32"/>
      <c r="BJ24" s="32"/>
      <c r="BK24" s="32"/>
      <c r="BL24" s="32"/>
      <c r="BM24" s="32"/>
      <c r="BN24" s="32"/>
      <c r="BO24" s="32"/>
      <c r="BP24" s="32"/>
      <c r="BQ24" s="32"/>
      <c r="BR24" s="32"/>
      <c r="BS24" s="32"/>
    </row>
  </sheetData>
  <mergeCells count="279">
    <mergeCell ref="AP10:AR10"/>
    <mergeCell ref="AS10:AU10"/>
    <mergeCell ref="AV10:AX10"/>
    <mergeCell ref="AY10:BA10"/>
    <mergeCell ref="BB10:BD10"/>
    <mergeCell ref="BE10:BG10"/>
    <mergeCell ref="BH10:BJ10"/>
    <mergeCell ref="BK10:BM10"/>
    <mergeCell ref="BN10:BS10"/>
    <mergeCell ref="A1:D1"/>
    <mergeCell ref="E1:G1"/>
    <mergeCell ref="H1:I1"/>
    <mergeCell ref="J1:O1"/>
    <mergeCell ref="A4:C4"/>
    <mergeCell ref="D4:F4"/>
    <mergeCell ref="M4:O4"/>
    <mergeCell ref="D5:F5"/>
    <mergeCell ref="Q5:R5"/>
    <mergeCell ref="J5:L5"/>
    <mergeCell ref="M5:O5"/>
    <mergeCell ref="A2:D2"/>
    <mergeCell ref="H2:I2"/>
    <mergeCell ref="E2:G2"/>
    <mergeCell ref="A5:C5"/>
    <mergeCell ref="P1:Q1"/>
    <mergeCell ref="P2:Q2"/>
    <mergeCell ref="A7:A8"/>
    <mergeCell ref="AP7:AX7"/>
    <mergeCell ref="AY7:BG7"/>
    <mergeCell ref="BH7:BM7"/>
    <mergeCell ref="AP8:AR8"/>
    <mergeCell ref="AS8:AU8"/>
    <mergeCell ref="AV8:AX8"/>
    <mergeCell ref="AY8:BA8"/>
    <mergeCell ref="Q4:R4"/>
    <mergeCell ref="S4:V4"/>
    <mergeCell ref="W4:Y4"/>
    <mergeCell ref="Z5:AB5"/>
    <mergeCell ref="Z4:AB4"/>
    <mergeCell ref="G4:I4"/>
    <mergeCell ref="G5:I5"/>
    <mergeCell ref="J4:L4"/>
    <mergeCell ref="S5:V5"/>
    <mergeCell ref="W5:Y5"/>
    <mergeCell ref="BB8:BD8"/>
    <mergeCell ref="BE8:BG8"/>
    <mergeCell ref="BH8:BJ8"/>
    <mergeCell ref="BK8:BM8"/>
    <mergeCell ref="AM7:AO8"/>
    <mergeCell ref="AH5:AK5"/>
    <mergeCell ref="BN7:BS8"/>
    <mergeCell ref="B7:C8"/>
    <mergeCell ref="D7:H8"/>
    <mergeCell ref="I7:L8"/>
    <mergeCell ref="M7:Y8"/>
    <mergeCell ref="Z7:AL8"/>
    <mergeCell ref="BN9:BS9"/>
    <mergeCell ref="AP11:AR11"/>
    <mergeCell ref="AS11:AU11"/>
    <mergeCell ref="AV11:AX11"/>
    <mergeCell ref="AY11:BA11"/>
    <mergeCell ref="BB11:BD11"/>
    <mergeCell ref="BE11:BG11"/>
    <mergeCell ref="BH11:BJ11"/>
    <mergeCell ref="BK11:BM11"/>
    <mergeCell ref="BN11:BS11"/>
    <mergeCell ref="AV9:AX9"/>
    <mergeCell ref="AY9:BA9"/>
    <mergeCell ref="BB9:BD9"/>
    <mergeCell ref="BE9:BG9"/>
    <mergeCell ref="BH9:BJ9"/>
    <mergeCell ref="BK9:BM9"/>
    <mergeCell ref="AP9:AR9"/>
    <mergeCell ref="AS9:AU9"/>
    <mergeCell ref="AM9:AO9"/>
    <mergeCell ref="AM11:AO11"/>
    <mergeCell ref="B12:C12"/>
    <mergeCell ref="D12:H12"/>
    <mergeCell ref="I12:L12"/>
    <mergeCell ref="M12:Y12"/>
    <mergeCell ref="Z12:AL12"/>
    <mergeCell ref="AM12:AO12"/>
    <mergeCell ref="M9:Y9"/>
    <mergeCell ref="M11:Y11"/>
    <mergeCell ref="Z9:AL9"/>
    <mergeCell ref="Z11:AL11"/>
    <mergeCell ref="B9:C9"/>
    <mergeCell ref="D9:H9"/>
    <mergeCell ref="D11:H11"/>
    <mergeCell ref="B11:C11"/>
    <mergeCell ref="I9:L9"/>
    <mergeCell ref="I11:L11"/>
    <mergeCell ref="B10:C10"/>
    <mergeCell ref="D10:H10"/>
    <mergeCell ref="I10:L10"/>
    <mergeCell ref="M10:Y10"/>
    <mergeCell ref="Z10:AL10"/>
    <mergeCell ref="AM10:AO10"/>
    <mergeCell ref="BK12:BM12"/>
    <mergeCell ref="BN12:BS12"/>
    <mergeCell ref="B13:C13"/>
    <mergeCell ref="D13:H13"/>
    <mergeCell ref="I13:L13"/>
    <mergeCell ref="M13:Y13"/>
    <mergeCell ref="Z13:AL13"/>
    <mergeCell ref="AM13:AO13"/>
    <mergeCell ref="AP13:AR13"/>
    <mergeCell ref="AP12:AR12"/>
    <mergeCell ref="AS12:AU12"/>
    <mergeCell ref="AV12:AX12"/>
    <mergeCell ref="AY12:BA12"/>
    <mergeCell ref="BB12:BD12"/>
    <mergeCell ref="BE12:BG12"/>
    <mergeCell ref="BK13:BM13"/>
    <mergeCell ref="BN13:BS13"/>
    <mergeCell ref="AV13:AX13"/>
    <mergeCell ref="AY13:BA13"/>
    <mergeCell ref="BB13:BD13"/>
    <mergeCell ref="BE13:BG13"/>
    <mergeCell ref="BH13:BJ13"/>
    <mergeCell ref="D14:H14"/>
    <mergeCell ref="I14:L14"/>
    <mergeCell ref="M14:Y14"/>
    <mergeCell ref="Z14:AL14"/>
    <mergeCell ref="AM14:AO14"/>
    <mergeCell ref="AP14:AR14"/>
    <mergeCell ref="AS14:AU14"/>
    <mergeCell ref="AS13:AU13"/>
    <mergeCell ref="BH12:BJ12"/>
    <mergeCell ref="BK17:BM17"/>
    <mergeCell ref="BN17:BS17"/>
    <mergeCell ref="AV16:AX16"/>
    <mergeCell ref="AY16:BA16"/>
    <mergeCell ref="BB16:BD16"/>
    <mergeCell ref="BE16:BG16"/>
    <mergeCell ref="BH16:BJ16"/>
    <mergeCell ref="BN14:BS14"/>
    <mergeCell ref="B17:C17"/>
    <mergeCell ref="D17:H17"/>
    <mergeCell ref="I17:L17"/>
    <mergeCell ref="M17:Y17"/>
    <mergeCell ref="Z17:AL17"/>
    <mergeCell ref="AM17:AO17"/>
    <mergeCell ref="AP17:AR17"/>
    <mergeCell ref="AS17:AU17"/>
    <mergeCell ref="AV17:AX17"/>
    <mergeCell ref="AV14:AX14"/>
    <mergeCell ref="AY14:BA14"/>
    <mergeCell ref="BB14:BD14"/>
    <mergeCell ref="BE14:BG14"/>
    <mergeCell ref="BH14:BJ14"/>
    <mergeCell ref="BK14:BM14"/>
    <mergeCell ref="B14:C14"/>
    <mergeCell ref="BK15:BM15"/>
    <mergeCell ref="BN15:BS15"/>
    <mergeCell ref="B16:C16"/>
    <mergeCell ref="D16:H16"/>
    <mergeCell ref="I16:L16"/>
    <mergeCell ref="M16:Y16"/>
    <mergeCell ref="Z16:AL16"/>
    <mergeCell ref="AM16:AO16"/>
    <mergeCell ref="AP16:AR16"/>
    <mergeCell ref="AP15:AR15"/>
    <mergeCell ref="AS15:AU15"/>
    <mergeCell ref="AV15:AX15"/>
    <mergeCell ref="AY15:BA15"/>
    <mergeCell ref="BB15:BD15"/>
    <mergeCell ref="BE15:BG15"/>
    <mergeCell ref="B15:C15"/>
    <mergeCell ref="D15:H15"/>
    <mergeCell ref="I15:L15"/>
    <mergeCell ref="M15:Y15"/>
    <mergeCell ref="Z15:AL15"/>
    <mergeCell ref="AM15:AO15"/>
    <mergeCell ref="BK16:BM16"/>
    <mergeCell ref="BN16:BS16"/>
    <mergeCell ref="B18:C18"/>
    <mergeCell ref="AM18:AO18"/>
    <mergeCell ref="AP18:AR18"/>
    <mergeCell ref="AS18:AU18"/>
    <mergeCell ref="D18:H18"/>
    <mergeCell ref="I18:L18"/>
    <mergeCell ref="M18:Y18"/>
    <mergeCell ref="AS16:AU16"/>
    <mergeCell ref="BH15:BJ15"/>
    <mergeCell ref="AY17:BA17"/>
    <mergeCell ref="BB17:BD17"/>
    <mergeCell ref="BE17:BG17"/>
    <mergeCell ref="BH17:BJ17"/>
    <mergeCell ref="BN21:BS21"/>
    <mergeCell ref="BK21:BM21"/>
    <mergeCell ref="AV21:AX21"/>
    <mergeCell ref="AY21:BA21"/>
    <mergeCell ref="BB21:BD21"/>
    <mergeCell ref="BE21:BG21"/>
    <mergeCell ref="BH21:BJ21"/>
    <mergeCell ref="BN19:BS19"/>
    <mergeCell ref="BN18:BS18"/>
    <mergeCell ref="AV19:AX19"/>
    <mergeCell ref="AV18:AX18"/>
    <mergeCell ref="AY18:BA18"/>
    <mergeCell ref="BB18:BD18"/>
    <mergeCell ref="BE18:BG18"/>
    <mergeCell ref="BH18:BJ18"/>
    <mergeCell ref="BK18:BM18"/>
    <mergeCell ref="BH20:BJ20"/>
    <mergeCell ref="BK20:BM20"/>
    <mergeCell ref="BK19:BM19"/>
    <mergeCell ref="AY19:BA19"/>
    <mergeCell ref="BB19:BD19"/>
    <mergeCell ref="BE19:BG19"/>
    <mergeCell ref="BH19:BJ19"/>
    <mergeCell ref="BN20:BS20"/>
    <mergeCell ref="B21:C21"/>
    <mergeCell ref="D21:H21"/>
    <mergeCell ref="I21:L21"/>
    <mergeCell ref="M21:Y21"/>
    <mergeCell ref="Z21:AL21"/>
    <mergeCell ref="AM21:AO21"/>
    <mergeCell ref="AP21:AR21"/>
    <mergeCell ref="AP20:AR20"/>
    <mergeCell ref="AS20:AU20"/>
    <mergeCell ref="AV20:AX20"/>
    <mergeCell ref="AY20:BA20"/>
    <mergeCell ref="BB20:BD20"/>
    <mergeCell ref="BE20:BG20"/>
    <mergeCell ref="B20:C20"/>
    <mergeCell ref="D20:H20"/>
    <mergeCell ref="I20:L20"/>
    <mergeCell ref="B23:C23"/>
    <mergeCell ref="D23:H23"/>
    <mergeCell ref="I23:L23"/>
    <mergeCell ref="M23:Y23"/>
    <mergeCell ref="Z23:AL23"/>
    <mergeCell ref="AM23:AO23"/>
    <mergeCell ref="AP23:AR23"/>
    <mergeCell ref="AS23:AU23"/>
    <mergeCell ref="AV23:AX23"/>
    <mergeCell ref="B22:C22"/>
    <mergeCell ref="D22:H22"/>
    <mergeCell ref="I22:L22"/>
    <mergeCell ref="M22:Y22"/>
    <mergeCell ref="M20:Y20"/>
    <mergeCell ref="Z20:AL20"/>
    <mergeCell ref="AM20:AO20"/>
    <mergeCell ref="AP2:AS2"/>
    <mergeCell ref="AP3:AS3"/>
    <mergeCell ref="AP4:AS4"/>
    <mergeCell ref="AP5:AS5"/>
    <mergeCell ref="AH2:AK2"/>
    <mergeCell ref="AH3:AK3"/>
    <mergeCell ref="AH4:AK4"/>
    <mergeCell ref="Z18:AL18"/>
    <mergeCell ref="AS21:AU21"/>
    <mergeCell ref="B19:C19"/>
    <mergeCell ref="D19:H19"/>
    <mergeCell ref="I19:L19"/>
    <mergeCell ref="M19:Y19"/>
    <mergeCell ref="Z19:AL19"/>
    <mergeCell ref="AM19:AO19"/>
    <mergeCell ref="AP19:AR19"/>
    <mergeCell ref="AS19:AU19"/>
    <mergeCell ref="AY23:BA23"/>
    <mergeCell ref="BN23:BS23"/>
    <mergeCell ref="Z22:AL22"/>
    <mergeCell ref="AM22:AO22"/>
    <mergeCell ref="AP22:AR22"/>
    <mergeCell ref="AS22:AU22"/>
    <mergeCell ref="BB23:BD23"/>
    <mergeCell ref="BE23:BG23"/>
    <mergeCell ref="BH23:BJ23"/>
    <mergeCell ref="BK23:BM23"/>
    <mergeCell ref="BN22:BS22"/>
    <mergeCell ref="AV22:AX22"/>
    <mergeCell ref="AY22:BA22"/>
    <mergeCell ref="BB22:BD22"/>
    <mergeCell ref="BE22:BG22"/>
    <mergeCell ref="BH22:BJ22"/>
    <mergeCell ref="BK22:BM22"/>
  </mergeCells>
  <phoneticPr fontId="2"/>
  <pageMargins left="0.19685039370078741" right="0.19685039370078741" top="0.39370078740157483" bottom="0.39370078740157483" header="0.39370078740157483" footer="0.19685039370078741"/>
  <pageSetup paperSize="9" scale="50" fitToHeight="0" orientation="landscape" r:id="rId1"/>
  <headerFooter>
    <oddFooter xml:space="preserve">&amp;R&amp;11&amp;A - &amp;P&amp;L詳細設計 - </oddFooter>
  </headerFooter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000-000000000000}">
          <x14:formula1>
            <xm:f>マスタ!$B$2:$B$13</xm:f>
          </x14:formula1>
          <xm:sqref>E2</xm:sqref>
        </x14:dataValidation>
        <x14:dataValidation type="list" allowBlank="1" showInputMessage="1" showErrorMessage="1" xr:uid="{00000000-0002-0000-0000-000001000000}">
          <x14:formula1>
            <xm:f>マスタ!$A$2:$A$7</xm:f>
          </x14:formula1>
          <xm:sqref>A2:D2</xm:sqref>
        </x14:dataValidation>
        <x14:dataValidation type="list" allowBlank="1" showInputMessage="1" showErrorMessage="1" xr:uid="{00000000-0002-0000-0000-000002000000}">
          <x14:formula1>
            <xm:f>マスタ!$E$2:$E$9</xm:f>
          </x14:formula1>
          <xm:sqref>AP9:AR22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5"/>
  <sheetViews>
    <sheetView workbookViewId="0"/>
  </sheetViews>
  <sheetFormatPr defaultRowHeight="14.4" x14ac:dyDescent="0.3"/>
  <cols>
    <col min="4" max="4" width="30.6328125" customWidth="1"/>
  </cols>
  <sheetData>
    <row r="1" spans="1:6" x14ac:dyDescent="0.3">
      <c r="A1" t="s">
        <v>43</v>
      </c>
      <c r="B1" t="s">
        <v>44</v>
      </c>
      <c r="C1" t="s">
        <v>2</v>
      </c>
      <c r="D1" t="s">
        <v>45</v>
      </c>
      <c r="E1" t="s">
        <v>46</v>
      </c>
    </row>
    <row r="2" spans="1:6" x14ac:dyDescent="0.3">
      <c r="A2" t="s">
        <v>47</v>
      </c>
      <c r="B2" t="s">
        <v>48</v>
      </c>
      <c r="C2" t="s">
        <v>49</v>
      </c>
      <c r="D2" t="s">
        <v>50</v>
      </c>
      <c r="E2" t="s">
        <v>51</v>
      </c>
    </row>
    <row r="3" spans="1:6" x14ac:dyDescent="0.3">
      <c r="A3" t="s">
        <v>52</v>
      </c>
      <c r="B3" t="s">
        <v>53</v>
      </c>
      <c r="C3" t="s">
        <v>54</v>
      </c>
      <c r="D3" t="s">
        <v>55</v>
      </c>
      <c r="E3" t="s">
        <v>56</v>
      </c>
    </row>
    <row r="4" spans="1:6" x14ac:dyDescent="0.3">
      <c r="A4" t="s">
        <v>57</v>
      </c>
      <c r="B4" t="s">
        <v>58</v>
      </c>
      <c r="C4" t="s">
        <v>59</v>
      </c>
      <c r="D4" t="s">
        <v>60</v>
      </c>
      <c r="E4" t="s">
        <v>61</v>
      </c>
    </row>
    <row r="5" spans="1:6" x14ac:dyDescent="0.3">
      <c r="A5" t="s">
        <v>62</v>
      </c>
      <c r="B5" t="s">
        <v>63</v>
      </c>
      <c r="C5" t="s">
        <v>64</v>
      </c>
      <c r="D5" t="s">
        <v>65</v>
      </c>
      <c r="E5" t="s">
        <v>66</v>
      </c>
      <c r="F5" t="s">
        <v>67</v>
      </c>
    </row>
    <row r="6" spans="1:6" x14ac:dyDescent="0.3">
      <c r="A6" t="s">
        <v>68</v>
      </c>
      <c r="B6" t="s">
        <v>69</v>
      </c>
      <c r="C6" t="s">
        <v>70</v>
      </c>
      <c r="D6" t="s">
        <v>71</v>
      </c>
      <c r="E6" t="s">
        <v>72</v>
      </c>
    </row>
    <row r="7" spans="1:6" x14ac:dyDescent="0.3">
      <c r="A7" t="s">
        <v>73</v>
      </c>
      <c r="B7" t="s">
        <v>74</v>
      </c>
      <c r="C7" t="s">
        <v>75</v>
      </c>
      <c r="D7" t="s">
        <v>76</v>
      </c>
      <c r="E7" t="s">
        <v>77</v>
      </c>
    </row>
    <row r="8" spans="1:6" x14ac:dyDescent="0.3">
      <c r="B8" t="s">
        <v>78</v>
      </c>
      <c r="C8" t="s">
        <v>79</v>
      </c>
      <c r="D8" t="s">
        <v>80</v>
      </c>
      <c r="E8" t="s">
        <v>81</v>
      </c>
    </row>
    <row r="9" spans="1:6" x14ac:dyDescent="0.3">
      <c r="B9" t="s">
        <v>82</v>
      </c>
      <c r="C9" t="s">
        <v>83</v>
      </c>
      <c r="D9" t="s">
        <v>84</v>
      </c>
      <c r="E9" t="s">
        <v>85</v>
      </c>
    </row>
    <row r="10" spans="1:6" x14ac:dyDescent="0.3">
      <c r="B10" t="s">
        <v>86</v>
      </c>
      <c r="C10" t="s">
        <v>87</v>
      </c>
      <c r="D10" t="s">
        <v>88</v>
      </c>
    </row>
    <row r="11" spans="1:6" x14ac:dyDescent="0.3">
      <c r="B11" t="s">
        <v>89</v>
      </c>
      <c r="C11" t="s">
        <v>90</v>
      </c>
      <c r="D11" t="s">
        <v>91</v>
      </c>
    </row>
    <row r="12" spans="1:6" x14ac:dyDescent="0.3">
      <c r="B12" t="s">
        <v>92</v>
      </c>
      <c r="C12" t="s">
        <v>93</v>
      </c>
      <c r="D12" t="s">
        <v>94</v>
      </c>
    </row>
    <row r="13" spans="1:6" x14ac:dyDescent="0.3">
      <c r="B13" t="s">
        <v>95</v>
      </c>
      <c r="C13" t="s">
        <v>96</v>
      </c>
      <c r="D13" t="s">
        <v>97</v>
      </c>
    </row>
    <row r="14" spans="1:6" x14ac:dyDescent="0.3">
      <c r="C14" t="s">
        <v>98</v>
      </c>
      <c r="D14" t="s">
        <v>99</v>
      </c>
    </row>
    <row r="15" spans="1:6" x14ac:dyDescent="0.3">
      <c r="C15" t="s">
        <v>100</v>
      </c>
      <c r="D15" t="s">
        <v>101</v>
      </c>
    </row>
    <row r="16" spans="1:6" x14ac:dyDescent="0.3">
      <c r="C16" t="s">
        <v>102</v>
      </c>
      <c r="D16" t="s">
        <v>103</v>
      </c>
    </row>
    <row r="17" spans="3:4" x14ac:dyDescent="0.3">
      <c r="C17" t="s">
        <v>104</v>
      </c>
      <c r="D17" t="s">
        <v>105</v>
      </c>
    </row>
    <row r="18" spans="3:4" x14ac:dyDescent="0.3">
      <c r="C18" t="s">
        <v>106</v>
      </c>
      <c r="D18" t="s">
        <v>107</v>
      </c>
    </row>
    <row r="19" spans="3:4" x14ac:dyDescent="0.3">
      <c r="C19" t="s">
        <v>108</v>
      </c>
      <c r="D19" t="s">
        <v>109</v>
      </c>
    </row>
    <row r="20" spans="3:4" x14ac:dyDescent="0.3">
      <c r="C20" t="s">
        <v>110</v>
      </c>
      <c r="D20" t="s">
        <v>111</v>
      </c>
    </row>
    <row r="21" spans="3:4" x14ac:dyDescent="0.3">
      <c r="C21" t="s">
        <v>112</v>
      </c>
      <c r="D21" t="s">
        <v>113</v>
      </c>
    </row>
    <row r="22" spans="3:4" x14ac:dyDescent="0.3">
      <c r="C22" t="s">
        <v>114</v>
      </c>
      <c r="D22" t="s">
        <v>115</v>
      </c>
    </row>
    <row r="23" spans="3:4" x14ac:dyDescent="0.3">
      <c r="C23" t="s">
        <v>116</v>
      </c>
      <c r="D23" t="s">
        <v>117</v>
      </c>
    </row>
    <row r="24" spans="3:4" x14ac:dyDescent="0.3">
      <c r="C24" t="s">
        <v>118</v>
      </c>
      <c r="D24" t="s">
        <v>119</v>
      </c>
    </row>
    <row r="25" spans="3:4" x14ac:dyDescent="0.3">
      <c r="C25" t="s">
        <v>120</v>
      </c>
      <c r="D25" t="s">
        <v>121</v>
      </c>
    </row>
    <row r="26" spans="3:4" x14ac:dyDescent="0.3">
      <c r="C26" t="s">
        <v>122</v>
      </c>
      <c r="D26" t="s">
        <v>123</v>
      </c>
    </row>
    <row r="27" spans="3:4" x14ac:dyDescent="0.3">
      <c r="C27" t="s">
        <v>124</v>
      </c>
      <c r="D27" t="s">
        <v>125</v>
      </c>
    </row>
    <row r="28" spans="3:4" x14ac:dyDescent="0.3">
      <c r="C28" t="s">
        <v>126</v>
      </c>
      <c r="D28" t="s">
        <v>127</v>
      </c>
    </row>
    <row r="29" spans="3:4" x14ac:dyDescent="0.3">
      <c r="C29" t="s">
        <v>128</v>
      </c>
      <c r="D29" t="s">
        <v>129</v>
      </c>
    </row>
    <row r="30" spans="3:4" x14ac:dyDescent="0.3">
      <c r="C30" t="s">
        <v>130</v>
      </c>
      <c r="D30" t="s">
        <v>131</v>
      </c>
    </row>
    <row r="31" spans="3:4" x14ac:dyDescent="0.3">
      <c r="C31" t="s">
        <v>132</v>
      </c>
      <c r="D31" t="s">
        <v>133</v>
      </c>
    </row>
    <row r="32" spans="3:4" x14ac:dyDescent="0.3">
      <c r="C32" t="s">
        <v>134</v>
      </c>
      <c r="D32" t="s">
        <v>135</v>
      </c>
    </row>
    <row r="33" spans="3:4" x14ac:dyDescent="0.3">
      <c r="C33" t="s">
        <v>136</v>
      </c>
      <c r="D33" t="s">
        <v>137</v>
      </c>
    </row>
    <row r="34" spans="3:4" x14ac:dyDescent="0.3">
      <c r="C34" t="s">
        <v>138</v>
      </c>
      <c r="D34" t="s">
        <v>139</v>
      </c>
    </row>
    <row r="35" spans="3:4" x14ac:dyDescent="0.3">
      <c r="C35" t="s">
        <v>140</v>
      </c>
      <c r="D35" t="s">
        <v>141</v>
      </c>
    </row>
    <row r="36" spans="3:4" x14ac:dyDescent="0.3">
      <c r="C36" t="s">
        <v>142</v>
      </c>
      <c r="D36" t="s">
        <v>143</v>
      </c>
    </row>
    <row r="37" spans="3:4" x14ac:dyDescent="0.3">
      <c r="C37" t="s">
        <v>144</v>
      </c>
      <c r="D37" t="s">
        <v>145</v>
      </c>
    </row>
    <row r="38" spans="3:4" x14ac:dyDescent="0.3">
      <c r="C38" t="s">
        <v>146</v>
      </c>
      <c r="D38" t="s">
        <v>147</v>
      </c>
    </row>
    <row r="39" spans="3:4" x14ac:dyDescent="0.3">
      <c r="C39" t="s">
        <v>148</v>
      </c>
      <c r="D39" t="s">
        <v>149</v>
      </c>
    </row>
    <row r="40" spans="3:4" x14ac:dyDescent="0.3">
      <c r="C40" t="s">
        <v>150</v>
      </c>
      <c r="D40" t="s">
        <v>151</v>
      </c>
    </row>
    <row r="41" spans="3:4" x14ac:dyDescent="0.3">
      <c r="C41" t="s">
        <v>152</v>
      </c>
      <c r="D41" t="s">
        <v>153</v>
      </c>
    </row>
    <row r="42" spans="3:4" x14ac:dyDescent="0.3">
      <c r="C42" t="s">
        <v>154</v>
      </c>
      <c r="D42" t="s">
        <v>155</v>
      </c>
    </row>
    <row r="43" spans="3:4" x14ac:dyDescent="0.3">
      <c r="C43" t="s">
        <v>156</v>
      </c>
      <c r="D43" t="s">
        <v>157</v>
      </c>
    </row>
    <row r="44" spans="3:4" x14ac:dyDescent="0.3">
      <c r="C44" t="s">
        <v>158</v>
      </c>
      <c r="D44" t="s">
        <v>159</v>
      </c>
    </row>
    <row r="45" spans="3:4" x14ac:dyDescent="0.3">
      <c r="C45" t="s">
        <v>160</v>
      </c>
      <c r="D45" t="s">
        <v>161</v>
      </c>
    </row>
    <row r="46" spans="3:4" x14ac:dyDescent="0.3">
      <c r="C46" t="s">
        <v>162</v>
      </c>
      <c r="D46" t="s">
        <v>163</v>
      </c>
    </row>
    <row r="47" spans="3:4" x14ac:dyDescent="0.3">
      <c r="C47" t="s">
        <v>164</v>
      </c>
      <c r="D47" t="s">
        <v>165</v>
      </c>
    </row>
    <row r="48" spans="3:4" x14ac:dyDescent="0.3">
      <c r="C48" t="s">
        <v>166</v>
      </c>
      <c r="D48" t="s">
        <v>167</v>
      </c>
    </row>
    <row r="49" spans="3:4" x14ac:dyDescent="0.3">
      <c r="C49" t="s">
        <v>168</v>
      </c>
      <c r="D49" t="s">
        <v>169</v>
      </c>
    </row>
    <row r="50" spans="3:4" x14ac:dyDescent="0.3">
      <c r="C50" t="s">
        <v>170</v>
      </c>
      <c r="D50" t="s">
        <v>171</v>
      </c>
    </row>
    <row r="51" spans="3:4" x14ac:dyDescent="0.3">
      <c r="C51" t="s">
        <v>172</v>
      </c>
      <c r="D51" t="s">
        <v>173</v>
      </c>
    </row>
    <row r="52" spans="3:4" x14ac:dyDescent="0.3">
      <c r="C52" t="s">
        <v>174</v>
      </c>
      <c r="D52" t="s">
        <v>175</v>
      </c>
    </row>
    <row r="53" spans="3:4" x14ac:dyDescent="0.3">
      <c r="C53" t="s">
        <v>176</v>
      </c>
      <c r="D53" t="s">
        <v>177</v>
      </c>
    </row>
    <row r="54" spans="3:4" x14ac:dyDescent="0.3">
      <c r="C54" t="s">
        <v>178</v>
      </c>
      <c r="D54" t="s">
        <v>179</v>
      </c>
    </row>
    <row r="55" spans="3:4" x14ac:dyDescent="0.3">
      <c r="C55" t="s">
        <v>180</v>
      </c>
      <c r="D55" t="s">
        <v>181</v>
      </c>
    </row>
    <row r="56" spans="3:4" x14ac:dyDescent="0.3">
      <c r="C56" t="s">
        <v>182</v>
      </c>
      <c r="D56" t="s">
        <v>183</v>
      </c>
    </row>
    <row r="57" spans="3:4" x14ac:dyDescent="0.3">
      <c r="C57" t="s">
        <v>184</v>
      </c>
      <c r="D57" t="s">
        <v>185</v>
      </c>
    </row>
    <row r="58" spans="3:4" x14ac:dyDescent="0.3">
      <c r="C58" t="s">
        <v>186</v>
      </c>
      <c r="D58" t="s">
        <v>187</v>
      </c>
    </row>
    <row r="59" spans="3:4" x14ac:dyDescent="0.3">
      <c r="C59" t="s">
        <v>188</v>
      </c>
      <c r="D59" t="s">
        <v>189</v>
      </c>
    </row>
    <row r="60" spans="3:4" x14ac:dyDescent="0.3">
      <c r="C60" t="s">
        <v>190</v>
      </c>
      <c r="D60" t="s">
        <v>191</v>
      </c>
    </row>
    <row r="61" spans="3:4" x14ac:dyDescent="0.3">
      <c r="C61" t="s">
        <v>192</v>
      </c>
      <c r="D61" t="s">
        <v>193</v>
      </c>
    </row>
    <row r="62" spans="3:4" x14ac:dyDescent="0.3">
      <c r="C62" t="s">
        <v>194</v>
      </c>
      <c r="D62" t="s">
        <v>195</v>
      </c>
    </row>
    <row r="63" spans="3:4" x14ac:dyDescent="0.3">
      <c r="C63" t="s">
        <v>196</v>
      </c>
      <c r="D63" t="s">
        <v>197</v>
      </c>
    </row>
    <row r="64" spans="3:4" x14ac:dyDescent="0.3">
      <c r="C64" t="s">
        <v>198</v>
      </c>
      <c r="D64" t="s">
        <v>199</v>
      </c>
    </row>
    <row r="65" spans="3:4" x14ac:dyDescent="0.3">
      <c r="C65" t="s">
        <v>200</v>
      </c>
      <c r="D65" t="s">
        <v>201</v>
      </c>
    </row>
    <row r="66" spans="3:4" x14ac:dyDescent="0.3">
      <c r="C66" t="s">
        <v>202</v>
      </c>
      <c r="D66" t="s">
        <v>203</v>
      </c>
    </row>
    <row r="67" spans="3:4" x14ac:dyDescent="0.3">
      <c r="C67" t="s">
        <v>204</v>
      </c>
      <c r="D67" t="s">
        <v>205</v>
      </c>
    </row>
    <row r="68" spans="3:4" x14ac:dyDescent="0.3">
      <c r="C68" t="s">
        <v>206</v>
      </c>
      <c r="D68" t="s">
        <v>207</v>
      </c>
    </row>
    <row r="69" spans="3:4" x14ac:dyDescent="0.3">
      <c r="C69" t="s">
        <v>208</v>
      </c>
      <c r="D69" t="s">
        <v>209</v>
      </c>
    </row>
    <row r="70" spans="3:4" x14ac:dyDescent="0.3">
      <c r="C70" t="s">
        <v>210</v>
      </c>
      <c r="D70" t="s">
        <v>211</v>
      </c>
    </row>
    <row r="71" spans="3:4" x14ac:dyDescent="0.3">
      <c r="C71" t="s">
        <v>212</v>
      </c>
      <c r="D71" t="s">
        <v>213</v>
      </c>
    </row>
    <row r="72" spans="3:4" x14ac:dyDescent="0.3">
      <c r="C72" t="s">
        <v>214</v>
      </c>
      <c r="D72" t="s">
        <v>215</v>
      </c>
    </row>
    <row r="73" spans="3:4" x14ac:dyDescent="0.3">
      <c r="C73" t="s">
        <v>216</v>
      </c>
      <c r="D73" t="s">
        <v>217</v>
      </c>
    </row>
    <row r="74" spans="3:4" x14ac:dyDescent="0.3">
      <c r="C74" t="s">
        <v>218</v>
      </c>
      <c r="D74" t="s">
        <v>219</v>
      </c>
    </row>
    <row r="75" spans="3:4" x14ac:dyDescent="0.3">
      <c r="C75" t="s">
        <v>220</v>
      </c>
      <c r="D75" t="s">
        <v>221</v>
      </c>
    </row>
    <row r="76" spans="3:4" x14ac:dyDescent="0.3">
      <c r="C76" t="s">
        <v>222</v>
      </c>
      <c r="D76" t="s">
        <v>223</v>
      </c>
    </row>
    <row r="77" spans="3:4" x14ac:dyDescent="0.3">
      <c r="C77" t="s">
        <v>224</v>
      </c>
      <c r="D77" t="s">
        <v>225</v>
      </c>
    </row>
    <row r="78" spans="3:4" x14ac:dyDescent="0.3">
      <c r="C78" t="s">
        <v>226</v>
      </c>
      <c r="D78" t="s">
        <v>227</v>
      </c>
    </row>
    <row r="79" spans="3:4" x14ac:dyDescent="0.3">
      <c r="C79" t="s">
        <v>228</v>
      </c>
      <c r="D79" t="s">
        <v>229</v>
      </c>
    </row>
    <row r="80" spans="3:4" x14ac:dyDescent="0.3">
      <c r="C80" t="s">
        <v>230</v>
      </c>
      <c r="D80" t="s">
        <v>231</v>
      </c>
    </row>
    <row r="81" spans="3:4" x14ac:dyDescent="0.3">
      <c r="C81" t="s">
        <v>232</v>
      </c>
      <c r="D81" t="s">
        <v>233</v>
      </c>
    </row>
    <row r="82" spans="3:4" x14ac:dyDescent="0.3">
      <c r="C82" t="s">
        <v>234</v>
      </c>
      <c r="D82" t="s">
        <v>235</v>
      </c>
    </row>
    <row r="83" spans="3:4" x14ac:dyDescent="0.3">
      <c r="C83" t="s">
        <v>236</v>
      </c>
      <c r="D83" t="s">
        <v>237</v>
      </c>
    </row>
    <row r="84" spans="3:4" x14ac:dyDescent="0.3">
      <c r="C84" t="s">
        <v>238</v>
      </c>
      <c r="D84" t="s">
        <v>239</v>
      </c>
    </row>
    <row r="85" spans="3:4" x14ac:dyDescent="0.3">
      <c r="C85" t="s">
        <v>240</v>
      </c>
      <c r="D85" t="s">
        <v>241</v>
      </c>
    </row>
    <row r="86" spans="3:4" x14ac:dyDescent="0.3">
      <c r="C86" t="s">
        <v>242</v>
      </c>
      <c r="D86" t="s">
        <v>243</v>
      </c>
    </row>
    <row r="87" spans="3:4" x14ac:dyDescent="0.3">
      <c r="C87" t="s">
        <v>244</v>
      </c>
      <c r="D87" t="s">
        <v>245</v>
      </c>
    </row>
    <row r="88" spans="3:4" x14ac:dyDescent="0.3">
      <c r="C88" t="s">
        <v>246</v>
      </c>
      <c r="D88" t="s">
        <v>247</v>
      </c>
    </row>
    <row r="89" spans="3:4" x14ac:dyDescent="0.3">
      <c r="C89" t="s">
        <v>248</v>
      </c>
      <c r="D89" t="s">
        <v>249</v>
      </c>
    </row>
    <row r="90" spans="3:4" x14ac:dyDescent="0.3">
      <c r="C90" t="s">
        <v>250</v>
      </c>
      <c r="D90" t="s">
        <v>251</v>
      </c>
    </row>
    <row r="91" spans="3:4" x14ac:dyDescent="0.3">
      <c r="C91" t="s">
        <v>248</v>
      </c>
      <c r="D91" t="s">
        <v>252</v>
      </c>
    </row>
    <row r="92" spans="3:4" x14ac:dyDescent="0.3">
      <c r="C92" t="s">
        <v>253</v>
      </c>
      <c r="D92" t="s">
        <v>254</v>
      </c>
    </row>
    <row r="93" spans="3:4" x14ac:dyDescent="0.3">
      <c r="C93" t="s">
        <v>255</v>
      </c>
      <c r="D93" t="s">
        <v>256</v>
      </c>
    </row>
    <row r="94" spans="3:4" x14ac:dyDescent="0.3">
      <c r="C94" t="s">
        <v>257</v>
      </c>
      <c r="D94" t="s">
        <v>258</v>
      </c>
    </row>
    <row r="95" spans="3:4" x14ac:dyDescent="0.3">
      <c r="C95" t="s">
        <v>259</v>
      </c>
      <c r="D95" t="s">
        <v>260</v>
      </c>
    </row>
    <row r="96" spans="3:4" x14ac:dyDescent="0.3">
      <c r="C96" t="s">
        <v>261</v>
      </c>
      <c r="D96" t="s">
        <v>262</v>
      </c>
    </row>
    <row r="97" spans="3:4" x14ac:dyDescent="0.3">
      <c r="C97" t="s">
        <v>263</v>
      </c>
      <c r="D97" t="s">
        <v>264</v>
      </c>
    </row>
    <row r="98" spans="3:4" x14ac:dyDescent="0.3">
      <c r="C98" t="s">
        <v>265</v>
      </c>
      <c r="D98" t="s">
        <v>266</v>
      </c>
    </row>
    <row r="99" spans="3:4" x14ac:dyDescent="0.3">
      <c r="C99" t="s">
        <v>267</v>
      </c>
      <c r="D99" t="s">
        <v>268</v>
      </c>
    </row>
    <row r="100" spans="3:4" x14ac:dyDescent="0.3">
      <c r="C100" t="s">
        <v>269</v>
      </c>
      <c r="D100" t="s">
        <v>270</v>
      </c>
    </row>
    <row r="101" spans="3:4" x14ac:dyDescent="0.3">
      <c r="C101" t="s">
        <v>271</v>
      </c>
      <c r="D101" t="s">
        <v>272</v>
      </c>
    </row>
    <row r="102" spans="3:4" x14ac:dyDescent="0.3">
      <c r="C102" t="s">
        <v>273</v>
      </c>
      <c r="D102" t="s">
        <v>274</v>
      </c>
    </row>
    <row r="103" spans="3:4" x14ac:dyDescent="0.3">
      <c r="C103" t="s">
        <v>275</v>
      </c>
      <c r="D103" t="s">
        <v>276</v>
      </c>
    </row>
    <row r="104" spans="3:4" x14ac:dyDescent="0.3">
      <c r="C104" t="s">
        <v>277</v>
      </c>
      <c r="D104" t="s">
        <v>278</v>
      </c>
    </row>
    <row r="105" spans="3:4" x14ac:dyDescent="0.3">
      <c r="C105" t="s">
        <v>279</v>
      </c>
      <c r="D105" t="s">
        <v>280</v>
      </c>
    </row>
    <row r="106" spans="3:4" x14ac:dyDescent="0.3">
      <c r="C106" t="s">
        <v>281</v>
      </c>
      <c r="D106" t="s">
        <v>282</v>
      </c>
    </row>
    <row r="107" spans="3:4" x14ac:dyDescent="0.3">
      <c r="C107" t="s">
        <v>283</v>
      </c>
      <c r="D107" t="s">
        <v>284</v>
      </c>
    </row>
    <row r="108" spans="3:4" x14ac:dyDescent="0.3">
      <c r="C108" t="s">
        <v>285</v>
      </c>
      <c r="D108" t="s">
        <v>286</v>
      </c>
    </row>
    <row r="109" spans="3:4" x14ac:dyDescent="0.3">
      <c r="C109" t="s">
        <v>287</v>
      </c>
      <c r="D109" t="s">
        <v>288</v>
      </c>
    </row>
    <row r="110" spans="3:4" x14ac:dyDescent="0.3">
      <c r="C110" t="s">
        <v>289</v>
      </c>
      <c r="D110" t="s">
        <v>290</v>
      </c>
    </row>
    <row r="111" spans="3:4" x14ac:dyDescent="0.3">
      <c r="C111" t="s">
        <v>291</v>
      </c>
      <c r="D111" t="s">
        <v>292</v>
      </c>
    </row>
    <row r="112" spans="3:4" x14ac:dyDescent="0.3">
      <c r="C112" t="s">
        <v>293</v>
      </c>
      <c r="D112" t="s">
        <v>294</v>
      </c>
    </row>
    <row r="113" spans="3:4" x14ac:dyDescent="0.3">
      <c r="C113" t="s">
        <v>295</v>
      </c>
      <c r="D113" t="s">
        <v>296</v>
      </c>
    </row>
    <row r="114" spans="3:4" x14ac:dyDescent="0.3">
      <c r="C114" t="s">
        <v>297</v>
      </c>
      <c r="D114" t="s">
        <v>298</v>
      </c>
    </row>
    <row r="115" spans="3:4" x14ac:dyDescent="0.3">
      <c r="C115" t="s">
        <v>299</v>
      </c>
      <c r="D115" t="s">
        <v>300</v>
      </c>
    </row>
    <row r="116" spans="3:4" x14ac:dyDescent="0.3">
      <c r="C116" t="s">
        <v>301</v>
      </c>
      <c r="D116" t="s">
        <v>302</v>
      </c>
    </row>
    <row r="117" spans="3:4" x14ac:dyDescent="0.3">
      <c r="C117" t="s">
        <v>303</v>
      </c>
      <c r="D117" t="s">
        <v>304</v>
      </c>
    </row>
    <row r="118" spans="3:4" x14ac:dyDescent="0.3">
      <c r="C118" t="s">
        <v>305</v>
      </c>
      <c r="D118" t="s">
        <v>306</v>
      </c>
    </row>
    <row r="119" spans="3:4" x14ac:dyDescent="0.3">
      <c r="C119" t="s">
        <v>307</v>
      </c>
      <c r="D119" t="s">
        <v>308</v>
      </c>
    </row>
    <row r="120" spans="3:4" x14ac:dyDescent="0.3">
      <c r="C120" t="s">
        <v>309</v>
      </c>
      <c r="D120" t="s">
        <v>310</v>
      </c>
    </row>
    <row r="121" spans="3:4" x14ac:dyDescent="0.3">
      <c r="C121" t="s">
        <v>311</v>
      </c>
      <c r="D121" t="s">
        <v>312</v>
      </c>
    </row>
    <row r="122" spans="3:4" x14ac:dyDescent="0.3">
      <c r="C122" t="s">
        <v>313</v>
      </c>
      <c r="D122" t="s">
        <v>314</v>
      </c>
    </row>
    <row r="123" spans="3:4" x14ac:dyDescent="0.3">
      <c r="C123" t="s">
        <v>315</v>
      </c>
      <c r="D123" t="s">
        <v>316</v>
      </c>
    </row>
    <row r="124" spans="3:4" x14ac:dyDescent="0.3">
      <c r="C124" t="s">
        <v>317</v>
      </c>
      <c r="D124" t="s">
        <v>318</v>
      </c>
    </row>
    <row r="125" spans="3:4" x14ac:dyDescent="0.3">
      <c r="C125" t="s">
        <v>319</v>
      </c>
      <c r="D125" t="s">
        <v>320</v>
      </c>
    </row>
    <row r="126" spans="3:4" x14ac:dyDescent="0.3">
      <c r="C126" t="s">
        <v>321</v>
      </c>
      <c r="D126" t="s">
        <v>322</v>
      </c>
    </row>
    <row r="127" spans="3:4" x14ac:dyDescent="0.3">
      <c r="C127" t="s">
        <v>323</v>
      </c>
      <c r="D127" t="s">
        <v>324</v>
      </c>
    </row>
    <row r="128" spans="3:4" x14ac:dyDescent="0.3">
      <c r="C128" t="s">
        <v>325</v>
      </c>
      <c r="D128" t="s">
        <v>326</v>
      </c>
    </row>
    <row r="129" spans="3:4" x14ac:dyDescent="0.3">
      <c r="C129" t="s">
        <v>327</v>
      </c>
      <c r="D129" t="s">
        <v>328</v>
      </c>
    </row>
    <row r="130" spans="3:4" x14ac:dyDescent="0.3">
      <c r="C130" t="s">
        <v>329</v>
      </c>
      <c r="D130" t="s">
        <v>330</v>
      </c>
    </row>
    <row r="131" spans="3:4" x14ac:dyDescent="0.3">
      <c r="C131" t="s">
        <v>331</v>
      </c>
      <c r="D131" t="s">
        <v>332</v>
      </c>
    </row>
    <row r="132" spans="3:4" x14ac:dyDescent="0.3">
      <c r="C132" t="s">
        <v>333</v>
      </c>
      <c r="D132" t="s">
        <v>334</v>
      </c>
    </row>
    <row r="133" spans="3:4" x14ac:dyDescent="0.3">
      <c r="C133" t="s">
        <v>335</v>
      </c>
      <c r="D133" t="s">
        <v>336</v>
      </c>
    </row>
    <row r="134" spans="3:4" x14ac:dyDescent="0.3">
      <c r="C134" t="s">
        <v>337</v>
      </c>
      <c r="D134" t="s">
        <v>338</v>
      </c>
    </row>
    <row r="135" spans="3:4" x14ac:dyDescent="0.3">
      <c r="C135" t="s">
        <v>339</v>
      </c>
      <c r="D135" t="s">
        <v>340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B2:C25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2" width="24" style="15" customWidth="1"/>
    <col min="3" max="3" width="80.6328125" style="15" customWidth="1"/>
    <col min="4" max="16384" width="7.36328125" style="15"/>
  </cols>
  <sheetData>
    <row r="2" spans="2:3" x14ac:dyDescent="0.3">
      <c r="B2" s="13" t="s">
        <v>341</v>
      </c>
      <c r="C2" s="14" t="s">
        <v>342</v>
      </c>
    </row>
    <row r="3" spans="2:3" x14ac:dyDescent="0.3">
      <c r="B3" s="27" t="s">
        <v>341</v>
      </c>
      <c r="C3" s="28" t="s">
        <v>343</v>
      </c>
    </row>
    <row r="4" spans="2:3" ht="30" customHeight="1" x14ac:dyDescent="0.3">
      <c r="B4" s="34" t="s">
        <v>344</v>
      </c>
      <c r="C4" s="20" t="s">
        <v>345</v>
      </c>
    </row>
    <row r="5" spans="2:3" ht="30" customHeight="1" x14ac:dyDescent="0.3">
      <c r="B5" s="23" t="s">
        <v>346</v>
      </c>
      <c r="C5" s="29" t="s">
        <v>347</v>
      </c>
    </row>
    <row r="6" spans="2:3" ht="30" customHeight="1" x14ac:dyDescent="0.3">
      <c r="B6" s="23" t="s">
        <v>348</v>
      </c>
      <c r="C6" s="29" t="s">
        <v>349</v>
      </c>
    </row>
    <row r="7" spans="2:3" ht="30" customHeight="1" x14ac:dyDescent="0.3">
      <c r="B7" s="22" t="s">
        <v>350</v>
      </c>
      <c r="C7" s="22" t="s">
        <v>351</v>
      </c>
    </row>
    <row r="8" spans="2:3" ht="30" customHeight="1" x14ac:dyDescent="0.3">
      <c r="B8" s="22" t="s">
        <v>352</v>
      </c>
      <c r="C8" s="22" t="s">
        <v>353</v>
      </c>
    </row>
    <row r="9" spans="2:3" ht="30" customHeight="1" x14ac:dyDescent="0.3">
      <c r="B9" s="23" t="s">
        <v>354</v>
      </c>
      <c r="C9" s="29" t="s">
        <v>355</v>
      </c>
    </row>
    <row r="10" spans="2:3" ht="30" customHeight="1" x14ac:dyDescent="0.3">
      <c r="B10" s="24" t="s">
        <v>356</v>
      </c>
      <c r="C10" s="24" t="s">
        <v>357</v>
      </c>
    </row>
    <row r="11" spans="2:3" ht="30" customHeight="1" x14ac:dyDescent="0.3">
      <c r="B11" s="23" t="s">
        <v>358</v>
      </c>
      <c r="C11" s="24" t="s">
        <v>359</v>
      </c>
    </row>
    <row r="12" spans="2:3" ht="30" customHeight="1" x14ac:dyDescent="0.3">
      <c r="B12" s="21" t="s">
        <v>360</v>
      </c>
      <c r="C12" s="24" t="s">
        <v>361</v>
      </c>
    </row>
    <row r="13" spans="2:3" ht="30" customHeight="1" x14ac:dyDescent="0.3">
      <c r="B13" s="23"/>
      <c r="C13" s="24"/>
    </row>
    <row r="14" spans="2:3" ht="30" customHeight="1" x14ac:dyDescent="0.3">
      <c r="B14" s="23"/>
      <c r="C14" s="24"/>
    </row>
    <row r="15" spans="2:3" ht="30" customHeight="1" x14ac:dyDescent="0.3">
      <c r="B15" s="23"/>
      <c r="C15" s="22"/>
    </row>
    <row r="16" spans="2:3" ht="30" customHeight="1" x14ac:dyDescent="0.3">
      <c r="B16" s="23"/>
      <c r="C16" s="24"/>
    </row>
    <row r="17" spans="2:3" ht="30" customHeight="1" x14ac:dyDescent="0.3">
      <c r="B17" s="24"/>
      <c r="C17" s="24"/>
    </row>
    <row r="18" spans="2:3" ht="30" customHeight="1" x14ac:dyDescent="0.3">
      <c r="B18" s="22"/>
      <c r="C18" s="24"/>
    </row>
    <row r="19" spans="2:3" ht="30" customHeight="1" x14ac:dyDescent="0.3">
      <c r="B19" s="24"/>
      <c r="C19" s="24"/>
    </row>
    <row r="20" spans="2:3" ht="30" customHeight="1" x14ac:dyDescent="0.3">
      <c r="B20" s="24"/>
      <c r="C20" s="24"/>
    </row>
    <row r="21" spans="2:3" ht="30" customHeight="1" x14ac:dyDescent="0.3">
      <c r="B21" s="24"/>
      <c r="C21" s="24"/>
    </row>
    <row r="22" spans="2:3" ht="30" customHeight="1" x14ac:dyDescent="0.3">
      <c r="B22" s="22"/>
      <c r="C22" s="24"/>
    </row>
    <row r="23" spans="2:3" ht="30" customHeight="1" x14ac:dyDescent="0.3">
      <c r="B23" s="24"/>
      <c r="C23" s="24"/>
    </row>
    <row r="24" spans="2:3" ht="30" customHeight="1" x14ac:dyDescent="0.3">
      <c r="B24" s="30"/>
      <c r="C24" s="30"/>
    </row>
    <row r="25" spans="2:3" ht="16.2" x14ac:dyDescent="0.3">
      <c r="B25" s="25" t="s">
        <v>362</v>
      </c>
      <c r="C25" s="26"/>
    </row>
  </sheetData>
  <phoneticPr fontId="2"/>
  <dataValidations count="1">
    <dataValidation type="textLength" operator="lessThanOrEqual" allowBlank="1" showInputMessage="1" showErrorMessage="1" sqref="B18:B24 B4:C17" xr:uid="{00000000-0002-0000-02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B2:D26"/>
  <sheetViews>
    <sheetView showGridLines="0" zoomScaleNormal="100" zoomScaleSheetLayoutView="80" zoomScalePageLayoutView="80" workbookViewId="0"/>
  </sheetViews>
  <sheetFormatPr defaultColWidth="7.36328125" defaultRowHeight="15" x14ac:dyDescent="0.3"/>
  <cols>
    <col min="1" max="1" width="2.08984375" style="15" customWidth="1"/>
    <col min="2" max="3" width="24" style="15" customWidth="1"/>
    <col min="4" max="4" width="80.6328125" style="15" customWidth="1"/>
    <col min="5" max="16384" width="7.36328125" style="15"/>
  </cols>
  <sheetData>
    <row r="2" spans="2:4" x14ac:dyDescent="0.3">
      <c r="B2" s="13" t="s">
        <v>363</v>
      </c>
      <c r="C2" s="13"/>
      <c r="D2" s="14" t="s">
        <v>342</v>
      </c>
    </row>
    <row r="3" spans="2:4" x14ac:dyDescent="0.3">
      <c r="B3" s="16" t="s">
        <v>364</v>
      </c>
      <c r="C3" s="90" t="s">
        <v>365</v>
      </c>
      <c r="D3" s="90"/>
    </row>
    <row r="4" spans="2:4" x14ac:dyDescent="0.3">
      <c r="B4" s="17" t="s">
        <v>35</v>
      </c>
      <c r="C4" s="18" t="s">
        <v>36</v>
      </c>
      <c r="D4" s="19" t="s">
        <v>366</v>
      </c>
    </row>
    <row r="5" spans="2:4" ht="30" customHeight="1" x14ac:dyDescent="0.3">
      <c r="B5" s="34" t="s">
        <v>367</v>
      </c>
      <c r="C5" s="20" t="s">
        <v>368</v>
      </c>
      <c r="D5" s="20" t="s">
        <v>345</v>
      </c>
    </row>
    <row r="6" spans="2:4" ht="30" customHeight="1" x14ac:dyDescent="0.3">
      <c r="B6" s="23" t="s">
        <v>367</v>
      </c>
      <c r="C6" s="29" t="s">
        <v>369</v>
      </c>
      <c r="D6" s="24" t="s">
        <v>370</v>
      </c>
    </row>
    <row r="7" spans="2:4" ht="30" customHeight="1" x14ac:dyDescent="0.3">
      <c r="B7" s="23" t="s">
        <v>367</v>
      </c>
      <c r="C7" s="29" t="s">
        <v>371</v>
      </c>
      <c r="D7" s="24" t="s">
        <v>372</v>
      </c>
    </row>
    <row r="8" spans="2:4" ht="30" customHeight="1" x14ac:dyDescent="0.3">
      <c r="B8" s="23" t="s">
        <v>367</v>
      </c>
      <c r="C8" s="29" t="s">
        <v>373</v>
      </c>
      <c r="D8" s="24" t="s">
        <v>374</v>
      </c>
    </row>
    <row r="9" spans="2:4" ht="30" customHeight="1" x14ac:dyDescent="0.3">
      <c r="B9" s="23" t="s">
        <v>367</v>
      </c>
      <c r="C9" s="22" t="s">
        <v>375</v>
      </c>
      <c r="D9" s="24" t="s">
        <v>376</v>
      </c>
    </row>
    <row r="10" spans="2:4" ht="30" customHeight="1" x14ac:dyDescent="0.3">
      <c r="B10" s="23" t="s">
        <v>367</v>
      </c>
      <c r="C10" s="22" t="s">
        <v>377</v>
      </c>
      <c r="D10" s="24" t="s">
        <v>378</v>
      </c>
    </row>
    <row r="11" spans="2:4" ht="30" customHeight="1" x14ac:dyDescent="0.3">
      <c r="B11" s="23" t="s">
        <v>379</v>
      </c>
      <c r="C11" s="29" t="s">
        <v>380</v>
      </c>
      <c r="D11" s="24" t="s">
        <v>381</v>
      </c>
    </row>
    <row r="12" spans="2:4" ht="30" customHeight="1" x14ac:dyDescent="0.3">
      <c r="B12" s="23" t="s">
        <v>382</v>
      </c>
      <c r="C12" s="22" t="s">
        <v>383</v>
      </c>
      <c r="D12" s="24" t="s">
        <v>384</v>
      </c>
    </row>
    <row r="13" spans="2:4" ht="30" customHeight="1" x14ac:dyDescent="0.3">
      <c r="B13" s="23" t="s">
        <v>385</v>
      </c>
      <c r="C13" s="24" t="s">
        <v>386</v>
      </c>
      <c r="D13" s="24" t="s">
        <v>387</v>
      </c>
    </row>
    <row r="14" spans="2:4" ht="30" customHeight="1" x14ac:dyDescent="0.3">
      <c r="B14" s="23" t="s">
        <v>388</v>
      </c>
      <c r="C14" s="24" t="s">
        <v>389</v>
      </c>
      <c r="D14" s="24" t="s">
        <v>390</v>
      </c>
    </row>
    <row r="15" spans="2:4" ht="30" customHeight="1" x14ac:dyDescent="0.3">
      <c r="B15" s="23" t="s">
        <v>391</v>
      </c>
      <c r="C15" s="24" t="s">
        <v>392</v>
      </c>
      <c r="D15" s="24" t="s">
        <v>393</v>
      </c>
    </row>
    <row r="16" spans="2:4" ht="30" customHeight="1" x14ac:dyDescent="0.3">
      <c r="B16" s="23" t="s">
        <v>394</v>
      </c>
      <c r="C16" s="24" t="s">
        <v>395</v>
      </c>
      <c r="D16" s="24" t="s">
        <v>396</v>
      </c>
    </row>
    <row r="17" spans="2:4" ht="30" customHeight="1" x14ac:dyDescent="0.3">
      <c r="B17" s="23" t="s">
        <v>397</v>
      </c>
      <c r="C17" s="22" t="s">
        <v>398</v>
      </c>
      <c r="D17" s="24" t="s">
        <v>399</v>
      </c>
    </row>
    <row r="18" spans="2:4" ht="30" customHeight="1" x14ac:dyDescent="0.3">
      <c r="B18" s="23" t="s">
        <v>397</v>
      </c>
      <c r="C18" s="24" t="s">
        <v>400</v>
      </c>
      <c r="D18" s="24" t="s">
        <v>401</v>
      </c>
    </row>
    <row r="19" spans="2:4" ht="30" customHeight="1" x14ac:dyDescent="0.3">
      <c r="B19" s="24" t="s">
        <v>402</v>
      </c>
      <c r="C19" s="24" t="s">
        <v>403</v>
      </c>
      <c r="D19" s="24" t="s">
        <v>404</v>
      </c>
    </row>
    <row r="20" spans="2:4" ht="30" customHeight="1" x14ac:dyDescent="0.3">
      <c r="B20" s="22" t="s">
        <v>405</v>
      </c>
      <c r="C20" s="22" t="s">
        <v>406</v>
      </c>
      <c r="D20" s="24" t="s">
        <v>359</v>
      </c>
    </row>
    <row r="21" spans="2:4" ht="30" customHeight="1" x14ac:dyDescent="0.3">
      <c r="B21" s="22" t="s">
        <v>407</v>
      </c>
      <c r="C21" s="22" t="s">
        <v>408</v>
      </c>
      <c r="D21" s="24" t="s">
        <v>409</v>
      </c>
    </row>
    <row r="22" spans="2:4" ht="30" customHeight="1" x14ac:dyDescent="0.3">
      <c r="B22" s="24"/>
      <c r="C22" s="24"/>
      <c r="D22" s="24"/>
    </row>
    <row r="23" spans="2:4" ht="30" customHeight="1" x14ac:dyDescent="0.3">
      <c r="B23" s="22"/>
      <c r="C23" s="22"/>
      <c r="D23" s="24"/>
    </row>
    <row r="24" spans="2:4" ht="30" customHeight="1" x14ac:dyDescent="0.3">
      <c r="B24" s="24"/>
      <c r="C24" s="24"/>
      <c r="D24" s="24"/>
    </row>
    <row r="25" spans="2:4" ht="30" customHeight="1" x14ac:dyDescent="0.3">
      <c r="B25" s="30"/>
      <c r="C25" s="30"/>
      <c r="D25" s="30"/>
    </row>
    <row r="26" spans="2:4" ht="16.2" x14ac:dyDescent="0.3">
      <c r="B26" s="25" t="s">
        <v>362</v>
      </c>
      <c r="C26" s="31"/>
      <c r="D26" s="26"/>
    </row>
  </sheetData>
  <mergeCells count="1">
    <mergeCell ref="C3:D3"/>
  </mergeCells>
  <phoneticPr fontId="2"/>
  <dataValidations count="1">
    <dataValidation type="textLength" operator="lessThanOrEqual" allowBlank="1" showInputMessage="1" showErrorMessage="1" sqref="D20 B5:C25 D5" xr:uid="{00000000-0002-0000-0300-000000000000}">
      <formula1>40</formula1>
    </dataValidation>
  </dataValidations>
  <pageMargins left="0.27559055118110237" right="0.27559055118110237" top="0.39370078740157483" bottom="0.35433070866141736" header="0.39370078740157483" footer="0.39370078740157483"/>
  <pageSetup paperSize="9" scale="75" orientation="landscape" r:id="rId1"/>
  <headerFooter>
    <oddFooter>&amp;L&amp;"Meiryo UI,標準"FUJITSU CONFIDENTIAL&amp;R&amp;"Meiryo UI,標準"All Rights Reserved, Copyright (C) 富士通株式会社 2017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08FF3A34676D824697E700815E8AA6A8" ma:contentTypeVersion="13" ma:contentTypeDescription="新しいドキュメントを作成します。" ma:contentTypeScope="" ma:versionID="ddf6ee8e52445465c0a7404d1205d416">
  <xsd:schema xmlns:xsd="http://www.w3.org/2001/XMLSchema" xmlns:xs="http://www.w3.org/2001/XMLSchema" xmlns:p="http://schemas.microsoft.com/office/2006/metadata/properties" xmlns:ns2="44fe4817-1a8c-4f6d-9a7a-15a2f9c2ceea" xmlns:ns3="2ad01a7e-b0cc-482e-be0b-d1161c9cb6dd" targetNamespace="http://schemas.microsoft.com/office/2006/metadata/properties" ma:root="true" ma:fieldsID="f446b65a1e89f5a19241f3a45b467c8a" ns2:_="" ns3:_="">
    <xsd:import namespace="44fe4817-1a8c-4f6d-9a7a-15a2f9c2ceea"/>
    <xsd:import namespace="2ad01a7e-b0cc-482e-be0b-d1161c9cb6d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4fe4817-1a8c-4f6d-9a7a-15a2f9c2ceea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画像タグ" ma:readOnly="false" ma:fieldId="{5cf76f15-5ced-4ddc-b409-7134ff3c332f}" ma:taxonomyMulti="true" ma:sspId="9af9b40b-1e02-41df-a02a-f7cdeb5c05d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5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ad01a7e-b0cc-482e-be0b-d1161c9cb6dd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f23d7e2-ce68-4abd-b181-8ce7ce528754}" ma:internalName="TaxCatchAll" ma:showField="CatchAllData" ma:web="2ad01a7e-b0cc-482e-be0b-d1161c9cb6d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44fe4817-1a8c-4f6d-9a7a-15a2f9c2ceea">
      <Terms xmlns="http://schemas.microsoft.com/office/infopath/2007/PartnerControls"/>
    </lcf76f155ced4ddcb4097134ff3c332f>
    <TaxCatchAll xmlns="2ad01a7e-b0cc-482e-be0b-d1161c9cb6dd" xsi:nil="true"/>
  </documentManagement>
</p:properties>
</file>

<file path=customXml/itemProps1.xml><?xml version="1.0" encoding="utf-8"?>
<ds:datastoreItem xmlns:ds="http://schemas.openxmlformats.org/officeDocument/2006/customXml" ds:itemID="{AD58D7EF-329E-47A3-9A10-E86A64FA3BA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4fe4817-1a8c-4f6d-9a7a-15a2f9c2ceea"/>
    <ds:schemaRef ds:uri="2ad01a7e-b0cc-482e-be0b-d1161c9cb6d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417E360-9BDB-4D98-A36D-0E33E6E4AD8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2BFFD2E-9D0D-46DF-9BFC-3133369B5367}">
  <ds:schemaRefs>
    <ds:schemaRef ds:uri="http://schemas.microsoft.com/office/2006/metadata/properties"/>
    <ds:schemaRef ds:uri="http://schemas.microsoft.com/office/infopath/2007/PartnerControls"/>
    <ds:schemaRef ds:uri="44fe4817-1a8c-4f6d-9a7a-15a2f9c2ceea"/>
    <ds:schemaRef ds:uri="2ad01a7e-b0cc-482e-be0b-d1161c9cb6d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4</vt:i4>
      </vt:variant>
      <vt:variant>
        <vt:lpstr>名前付き一覧</vt:lpstr>
      </vt:variant>
      <vt:variant>
        <vt:i4>6</vt:i4>
      </vt:variant>
    </vt:vector>
  </HeadingPairs>
  <TitlesOfParts>
    <vt:vector size="10" baseType="lpstr">
      <vt:lpstr>レビュー表</vt:lpstr>
      <vt:lpstr>マスタ</vt:lpstr>
      <vt:lpstr>指摘区分</vt:lpstr>
      <vt:lpstr>原因区分</vt:lpstr>
      <vt:lpstr>原因区分!Print_Area</vt:lpstr>
      <vt:lpstr>指摘区分!Print_Area</vt:lpstr>
      <vt:lpstr>レビュー表!Print_Titles</vt:lpstr>
      <vt:lpstr>原因区分!原因一覧_終了</vt:lpstr>
      <vt:lpstr>指摘区分!原因一覧_終了</vt:lpstr>
      <vt:lpstr>最終行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末永 健治</dc:creator>
  <cp:keywords/>
  <dc:description/>
  <cp:lastModifiedBy>下井蓮生</cp:lastModifiedBy>
  <cp:revision/>
  <dcterms:created xsi:type="dcterms:W3CDTF">2022-11-02T07:26:10Z</dcterms:created>
  <dcterms:modified xsi:type="dcterms:W3CDTF">2023-11-07T07:01:38Z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0x01010008FF3A34676D824697E700815E8AA6A8</vt:lpwstr>
  </property>
  <property fmtid="{D5CDD505-2E9C-101B-9397-08002B2CF9AE}" pid="3" name="MediaServiceImageTags">
    <vt:lpwstr/>
  </property>
</Properties>
</file>