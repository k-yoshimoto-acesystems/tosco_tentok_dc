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docProps/app.xml" ContentType="application/vnd.openxmlformats-officedocument.extended-propertie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11.xml" ContentType="application/vnd.openxmlformats-officedocument.spreadsheetml.comments+xml"/>
  <Override PartName="/xl/comments9.xml" ContentType="application/vnd.openxmlformats-officedocument.spreadsheetml.comments+xml"/>
  <Override PartName="/xl/comments12.xml" ContentType="application/vnd.openxmlformats-officedocument.spreadsheetml.comments+xml"/>
  <Override PartName="/xl/comments4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alcChain.xml" ContentType="application/vnd.openxmlformats-officedocument.spreadsheetml.calcChain+xml"/>
  <Override PartName="/xl/comments10.xml" ContentType="application/vnd.openxmlformats-officedocument.spreadsheetml.comments+xml"/>
  <Override PartName="/docProps/core.xml" ContentType="application/vnd.openxmlformats-package.core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\\t4fsv13\JOB\2021\開発\天間\2100747_天間特殊製紙／新基幹システム_2基本設計以降\31_基本設計\04.テーブル設計\"/>
    </mc:Choice>
  </mc:AlternateContent>
  <xr:revisionPtr revIDLastSave="0" documentId="13_ncr:1_{42E6982B-2975-41D7-8666-1439520D9036}" xr6:coauthVersionLast="47" xr6:coauthVersionMax="47" xr10:uidLastSave="{00000000-0000-0000-0000-000000000000}"/>
  <bookViews>
    <workbookView xWindow="480" yWindow="408" windowWidth="22560" windowHeight="12168" tabRatio="923" firstSheet="1" activeTab="2" xr2:uid="{00000000-000D-0000-FFFF-FFFF00000000}"/>
  </bookViews>
  <sheets>
    <sheet name="マクロ" sheetId="57" state="hidden" r:id="rId1"/>
    <sheet name="テーブル一覧" sheetId="58" r:id="rId2"/>
    <sheet name="出荷指示情報" sheetId="91" r:id="rId3"/>
    <sheet name="出荷指示明細情報（受注）" sheetId="92" r:id="rId4"/>
    <sheet name="出荷指示明細情報（在庫）" sheetId="93" r:id="rId5"/>
    <sheet name="出荷指示明細情報（荷札）" sheetId="105" r:id="rId6"/>
    <sheet name="ロット№読取情報" sheetId="98" r:id="rId7"/>
    <sheet name="出荷実績情報" sheetId="94" r:id="rId8"/>
    <sheet name="出荷実績明細情報（受注）" sheetId="95" r:id="rId9"/>
    <sheet name="出荷実績明細情報（在庫）" sheetId="96" r:id="rId10"/>
    <sheet name="出荷実績明細情報（ロット№）" sheetId="97" r:id="rId11"/>
    <sheet name="積込場所グループ情報" sheetId="102" r:id="rId12"/>
    <sheet name="積込場所情報" sheetId="100" r:id="rId13"/>
    <sheet name="外貨レート情報" sheetId="101" r:id="rId14"/>
    <sheet name="路線便帳票印刷情報" sheetId="103" r:id="rId15"/>
    <sheet name="路線便帳票印刷明細情報" sheetId="104" r:id="rId16"/>
    <sheet name="項目一覧" sheetId="60" r:id="rId17"/>
    <sheet name="項目一覧 (項目別)" sheetId="61" r:id="rId18"/>
    <sheet name="Sheet1" sheetId="99" r:id="rId19"/>
  </sheets>
  <functionGroups builtInGroupCount="19"/>
  <definedNames>
    <definedName name="_xlnm._FilterDatabase" localSheetId="18" hidden="1">Sheet1!$A$1:$B$250</definedName>
    <definedName name="_xlnm._FilterDatabase" localSheetId="1" hidden="1">テーブル一覧!#REF!</definedName>
    <definedName name="_xlnm._FilterDatabase" localSheetId="6" hidden="1">ロット№読取情報!$A$6:$BD$16</definedName>
    <definedName name="_xlnm._FilterDatabase" localSheetId="13" hidden="1">外貨レート情報!$A$6:$BD$18</definedName>
    <definedName name="_xlnm._FilterDatabase" localSheetId="16" hidden="1">項目一覧!$A$3:$I$801</definedName>
    <definedName name="_xlnm._FilterDatabase" localSheetId="17" hidden="1">'項目一覧 (項目別)'!$A$3:$I$800</definedName>
    <definedName name="_xlnm._FilterDatabase" localSheetId="2" hidden="1">出荷指示情報!$A$6:$BD$48</definedName>
    <definedName name="_xlnm._FilterDatabase" localSheetId="5" hidden="1">'出荷指示明細情報（荷札）'!$A$6:$BD$18</definedName>
    <definedName name="_xlnm._FilterDatabase" localSheetId="4" hidden="1">'出荷指示明細情報（在庫）'!$A$6:$BD$28</definedName>
    <definedName name="_xlnm._FilterDatabase" localSheetId="3" hidden="1">'出荷指示明細情報（受注）'!$A$6:$BD$40</definedName>
    <definedName name="_xlnm._FilterDatabase" localSheetId="7" hidden="1">出荷実績情報!$A$6:$BD$35</definedName>
    <definedName name="_xlnm._FilterDatabase" localSheetId="10" hidden="1">'出荷実績明細情報（ロット№）'!$A$6:$BD$21</definedName>
    <definedName name="_xlnm._FilterDatabase" localSheetId="9" hidden="1">'出荷実績明細情報（在庫）'!$A$6:$BD$28</definedName>
    <definedName name="_xlnm._FilterDatabase" localSheetId="8" hidden="1">'出荷実績明細情報（受注）'!$A$6:$BD$42</definedName>
    <definedName name="_xlnm._FilterDatabase" localSheetId="11" hidden="1">積込場所グループ情報!$A$6:$BD$18</definedName>
    <definedName name="_xlnm._FilterDatabase" localSheetId="12" hidden="1">積込場所情報!$A$6:$BD$20</definedName>
    <definedName name="_xlnm._FilterDatabase" localSheetId="14" hidden="1">路線便帳票印刷情報!$A$6:$BD$31</definedName>
    <definedName name="_xlnm._FilterDatabase" localSheetId="15" hidden="1">路線便帳票印刷明細情報!$A$6:$BD$18</definedName>
    <definedName name="_xlnm.Print_Titles" localSheetId="1">テーブル一覧!$1:$6</definedName>
    <definedName name="_xlnm.Print_Titles" localSheetId="6">ロット№読取情報!$1:$7</definedName>
    <definedName name="_xlnm.Print_Titles" localSheetId="13">外貨レート情報!$1:$7</definedName>
    <definedName name="_xlnm.Print_Titles" localSheetId="16">項目一覧!$1:$3</definedName>
    <definedName name="_xlnm.Print_Titles" localSheetId="17">'項目一覧 (項目別)'!$1:$3</definedName>
    <definedName name="_xlnm.Print_Titles" localSheetId="2">出荷指示情報!$1:$7</definedName>
    <definedName name="_xlnm.Print_Titles" localSheetId="5">'出荷指示明細情報（荷札）'!$1:$7</definedName>
    <definedName name="_xlnm.Print_Titles" localSheetId="4">'出荷指示明細情報（在庫）'!$1:$7</definedName>
    <definedName name="_xlnm.Print_Titles" localSheetId="3">'出荷指示明細情報（受注）'!$1:$7</definedName>
    <definedName name="_xlnm.Print_Titles" localSheetId="7">出荷実績情報!$1:$7</definedName>
    <definedName name="_xlnm.Print_Titles" localSheetId="10">'出荷実績明細情報（ロット№）'!$1:$7</definedName>
    <definedName name="_xlnm.Print_Titles" localSheetId="9">'出荷実績明細情報（在庫）'!$1:$7</definedName>
    <definedName name="_xlnm.Print_Titles" localSheetId="8">'出荷実績明細情報（受注）'!$1:$7</definedName>
    <definedName name="_xlnm.Print_Titles" localSheetId="11">積込場所グループ情報!$1:$7</definedName>
    <definedName name="_xlnm.Print_Titles" localSheetId="12">積込場所情報!$1:$7</definedName>
    <definedName name="_xlnm.Print_Titles" localSheetId="14">路線便帳票印刷情報!$1:$7</definedName>
    <definedName name="_xlnm.Print_Titles" localSheetId="15">路線便帳票印刷明細情報!$1:$7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4" i="95" l="1"/>
  <c r="I14" i="95"/>
  <c r="A14" i="92"/>
  <c r="I14" i="92"/>
  <c r="A11" i="94"/>
  <c r="I11" i="94" l="1"/>
  <c r="I11" i="91" l="1"/>
  <c r="A11" i="91"/>
  <c r="I8" i="98"/>
  <c r="A10" i="58" l="1"/>
  <c r="A11" i="58"/>
  <c r="A12" i="58"/>
  <c r="A13" i="58"/>
  <c r="A14" i="58"/>
  <c r="I9" i="105"/>
  <c r="I8" i="105"/>
  <c r="A44" i="105"/>
  <c r="A43" i="105"/>
  <c r="A42" i="105"/>
  <c r="A41" i="105"/>
  <c r="A40" i="105"/>
  <c r="A39" i="105"/>
  <c r="A38" i="105"/>
  <c r="A37" i="105"/>
  <c r="A36" i="105"/>
  <c r="A35" i="105"/>
  <c r="A34" i="105"/>
  <c r="A33" i="105"/>
  <c r="A32" i="105"/>
  <c r="A31" i="105"/>
  <c r="A30" i="105"/>
  <c r="A29" i="105"/>
  <c r="A28" i="105"/>
  <c r="A27" i="105"/>
  <c r="A26" i="105"/>
  <c r="A25" i="105"/>
  <c r="A24" i="105"/>
  <c r="A23" i="105"/>
  <c r="A22" i="105"/>
  <c r="A21" i="105"/>
  <c r="I20" i="105"/>
  <c r="A20" i="105"/>
  <c r="I19" i="105"/>
  <c r="A19" i="105"/>
  <c r="I18" i="105"/>
  <c r="A18" i="105"/>
  <c r="I17" i="105"/>
  <c r="A17" i="105"/>
  <c r="I16" i="105"/>
  <c r="A16" i="105"/>
  <c r="I15" i="105"/>
  <c r="A15" i="105"/>
  <c r="I14" i="105"/>
  <c r="A14" i="105"/>
  <c r="I13" i="105"/>
  <c r="A13" i="105"/>
  <c r="I12" i="105"/>
  <c r="A12" i="105"/>
  <c r="I11" i="105"/>
  <c r="A11" i="105"/>
  <c r="I10" i="105"/>
  <c r="A10" i="105"/>
  <c r="A9" i="105"/>
  <c r="A8" i="105"/>
  <c r="Y4" i="105"/>
  <c r="Y2" i="105"/>
  <c r="R2" i="105"/>
  <c r="A43" i="94" l="1"/>
  <c r="A42" i="94"/>
  <c r="A81" i="91"/>
  <c r="A80" i="91"/>
  <c r="A79" i="91"/>
  <c r="A78" i="91"/>
  <c r="A77" i="91"/>
  <c r="A76" i="91"/>
  <c r="A75" i="91"/>
  <c r="A74" i="91"/>
  <c r="A73" i="91"/>
  <c r="A72" i="91"/>
  <c r="A71" i="91"/>
  <c r="A70" i="91"/>
  <c r="A69" i="91"/>
  <c r="A68" i="91"/>
  <c r="A67" i="91"/>
  <c r="A66" i="91"/>
  <c r="A65" i="91"/>
  <c r="A64" i="91"/>
  <c r="A63" i="91"/>
  <c r="A62" i="91"/>
  <c r="A61" i="91"/>
  <c r="A60" i="91"/>
  <c r="A59" i="91"/>
  <c r="A58" i="91"/>
  <c r="A57" i="91"/>
  <c r="A56" i="91"/>
  <c r="A55" i="91"/>
  <c r="A54" i="91"/>
  <c r="A43" i="104"/>
  <c r="A42" i="104"/>
  <c r="A41" i="104"/>
  <c r="A40" i="104"/>
  <c r="A39" i="104"/>
  <c r="A38" i="104"/>
  <c r="A37" i="104"/>
  <c r="A36" i="104"/>
  <c r="A35" i="104"/>
  <c r="A34" i="104"/>
  <c r="A33" i="104"/>
  <c r="A32" i="104"/>
  <c r="A31" i="104"/>
  <c r="A44" i="104"/>
  <c r="A30" i="104"/>
  <c r="A29" i="104"/>
  <c r="A28" i="104"/>
  <c r="A27" i="104"/>
  <c r="A26" i="104"/>
  <c r="A25" i="104"/>
  <c r="A24" i="104"/>
  <c r="A23" i="104"/>
  <c r="A22" i="104"/>
  <c r="A21" i="104"/>
  <c r="I20" i="104"/>
  <c r="A20" i="104"/>
  <c r="I19" i="104"/>
  <c r="A19" i="104"/>
  <c r="I18" i="104"/>
  <c r="A18" i="104"/>
  <c r="I17" i="104"/>
  <c r="A17" i="104"/>
  <c r="I16" i="104"/>
  <c r="A16" i="104"/>
  <c r="I15" i="104"/>
  <c r="A15" i="104"/>
  <c r="I14" i="104"/>
  <c r="A14" i="104"/>
  <c r="I13" i="104"/>
  <c r="A13" i="104"/>
  <c r="I12" i="104"/>
  <c r="A12" i="104"/>
  <c r="I11" i="104"/>
  <c r="A11" i="104"/>
  <c r="I10" i="104"/>
  <c r="A10" i="104"/>
  <c r="I9" i="104"/>
  <c r="A9" i="104"/>
  <c r="I8" i="104"/>
  <c r="A8" i="104"/>
  <c r="Y4" i="104"/>
  <c r="Y2" i="104"/>
  <c r="R2" i="104"/>
  <c r="A34" i="103"/>
  <c r="A35" i="103"/>
  <c r="A10" i="103"/>
  <c r="A11" i="103"/>
  <c r="A12" i="103"/>
  <c r="A13" i="103"/>
  <c r="A14" i="103"/>
  <c r="A15" i="103"/>
  <c r="A16" i="103"/>
  <c r="A17" i="103"/>
  <c r="A18" i="103"/>
  <c r="A19" i="103"/>
  <c r="A20" i="103"/>
  <c r="A21" i="103"/>
  <c r="A22" i="103"/>
  <c r="A23" i="103"/>
  <c r="A24" i="103"/>
  <c r="A25" i="103"/>
  <c r="A26" i="103"/>
  <c r="A27" i="103"/>
  <c r="A28" i="103"/>
  <c r="A29" i="103"/>
  <c r="A30" i="103"/>
  <c r="A31" i="103"/>
  <c r="A32" i="103"/>
  <c r="A33" i="103"/>
  <c r="A43" i="103"/>
  <c r="A42" i="103"/>
  <c r="A41" i="103"/>
  <c r="A40" i="103"/>
  <c r="A39" i="103"/>
  <c r="A38" i="103"/>
  <c r="A37" i="103"/>
  <c r="I15" i="103" l="1"/>
  <c r="I14" i="103"/>
  <c r="I13" i="103"/>
  <c r="I9" i="103"/>
  <c r="A9" i="103"/>
  <c r="A44" i="103"/>
  <c r="A36" i="103"/>
  <c r="I33" i="103"/>
  <c r="I32" i="103"/>
  <c r="I31" i="103"/>
  <c r="I30" i="103"/>
  <c r="I29" i="103"/>
  <c r="I28" i="103"/>
  <c r="I27" i="103"/>
  <c r="I26" i="103"/>
  <c r="I25" i="103"/>
  <c r="I24" i="103"/>
  <c r="I23" i="103"/>
  <c r="I22" i="103"/>
  <c r="I21" i="103"/>
  <c r="I20" i="103"/>
  <c r="I19" i="103"/>
  <c r="I18" i="103"/>
  <c r="I17" i="103"/>
  <c r="I16" i="103"/>
  <c r="I12" i="103"/>
  <c r="I11" i="103"/>
  <c r="I10" i="103"/>
  <c r="I8" i="103"/>
  <c r="A8" i="103"/>
  <c r="Y4" i="103"/>
  <c r="Y2" i="103"/>
  <c r="R2" i="103"/>
  <c r="I25" i="94"/>
  <c r="A25" i="94"/>
  <c r="I29" i="94"/>
  <c r="A29" i="94"/>
  <c r="I29" i="91"/>
  <c r="A29" i="91"/>
  <c r="I24" i="91"/>
  <c r="A24" i="91"/>
  <c r="I27" i="93" l="1"/>
  <c r="I26" i="93"/>
  <c r="I25" i="93"/>
  <c r="I24" i="93"/>
  <c r="I23" i="93"/>
  <c r="I22" i="93"/>
  <c r="I21" i="93"/>
  <c r="I20" i="93"/>
  <c r="I19" i="93"/>
  <c r="I18" i="93"/>
  <c r="I17" i="93"/>
  <c r="I16" i="93"/>
  <c r="I15" i="93"/>
  <c r="I14" i="93"/>
  <c r="I13" i="93"/>
  <c r="I12" i="93"/>
  <c r="I11" i="93"/>
  <c r="I10" i="93"/>
  <c r="I9" i="93"/>
  <c r="I28" i="93"/>
  <c r="I9" i="100" l="1"/>
  <c r="A9" i="100"/>
  <c r="I9" i="102"/>
  <c r="A9" i="102"/>
  <c r="I10" i="102"/>
  <c r="A10" i="102"/>
  <c r="A11" i="102"/>
  <c r="A12" i="102"/>
  <c r="A13" i="102"/>
  <c r="A14" i="100"/>
  <c r="A15" i="100"/>
  <c r="A16" i="100"/>
  <c r="A17" i="100"/>
  <c r="A18" i="100"/>
  <c r="A19" i="100"/>
  <c r="A20" i="100"/>
  <c r="A21" i="100"/>
  <c r="A22" i="100"/>
  <c r="A23" i="100"/>
  <c r="A24" i="100"/>
  <c r="A44" i="102"/>
  <c r="A43" i="102"/>
  <c r="A42" i="102"/>
  <c r="A41" i="102"/>
  <c r="A40" i="102"/>
  <c r="A39" i="102"/>
  <c r="A38" i="102"/>
  <c r="A37" i="102"/>
  <c r="A36" i="102"/>
  <c r="A35" i="102"/>
  <c r="A34" i="102"/>
  <c r="A33" i="102"/>
  <c r="A32" i="102"/>
  <c r="A31" i="102"/>
  <c r="A30" i="102"/>
  <c r="A29" i="102"/>
  <c r="A28" i="102"/>
  <c r="A27" i="102"/>
  <c r="A26" i="102"/>
  <c r="A25" i="102"/>
  <c r="A24" i="102"/>
  <c r="A23" i="102"/>
  <c r="A22" i="102"/>
  <c r="I18" i="102"/>
  <c r="A18" i="102"/>
  <c r="I17" i="102"/>
  <c r="A17" i="102"/>
  <c r="I16" i="102"/>
  <c r="A16" i="102"/>
  <c r="I15" i="102"/>
  <c r="A15" i="102"/>
  <c r="I14" i="102"/>
  <c r="A14" i="102"/>
  <c r="I13" i="102"/>
  <c r="I12" i="102"/>
  <c r="I11" i="102"/>
  <c r="A21" i="102"/>
  <c r="A20" i="102"/>
  <c r="A19" i="102"/>
  <c r="I8" i="102"/>
  <c r="A8" i="102"/>
  <c r="Y4" i="102"/>
  <c r="Y2" i="102"/>
  <c r="R2" i="102"/>
  <c r="A19" i="101"/>
  <c r="A20" i="101"/>
  <c r="A21" i="101"/>
  <c r="A11" i="101"/>
  <c r="A12" i="101"/>
  <c r="A44" i="101" l="1"/>
  <c r="A43" i="101"/>
  <c r="A42" i="101"/>
  <c r="A41" i="101"/>
  <c r="A40" i="101"/>
  <c r="A39" i="101"/>
  <c r="A38" i="101"/>
  <c r="A37" i="101"/>
  <c r="A36" i="101"/>
  <c r="A35" i="101"/>
  <c r="A34" i="101"/>
  <c r="A33" i="101"/>
  <c r="A32" i="101"/>
  <c r="A31" i="101"/>
  <c r="A30" i="101"/>
  <c r="A29" i="101"/>
  <c r="A28" i="101"/>
  <c r="A27" i="101"/>
  <c r="A26" i="101"/>
  <c r="A25" i="101"/>
  <c r="A24" i="101"/>
  <c r="A23" i="101"/>
  <c r="A22" i="101"/>
  <c r="I18" i="101"/>
  <c r="A18" i="101"/>
  <c r="I17" i="101"/>
  <c r="A17" i="101"/>
  <c r="I16" i="101"/>
  <c r="A16" i="101"/>
  <c r="I15" i="101"/>
  <c r="A15" i="101"/>
  <c r="I14" i="101"/>
  <c r="A14" i="101"/>
  <c r="I13" i="101"/>
  <c r="A13" i="101"/>
  <c r="I12" i="101"/>
  <c r="I11" i="101"/>
  <c r="I10" i="101"/>
  <c r="A10" i="101"/>
  <c r="I9" i="101"/>
  <c r="A9" i="101"/>
  <c r="I8" i="101"/>
  <c r="A8" i="101"/>
  <c r="Y4" i="101"/>
  <c r="Y2" i="101"/>
  <c r="R2" i="101"/>
  <c r="A44" i="100"/>
  <c r="A43" i="100"/>
  <c r="A42" i="100"/>
  <c r="A41" i="100"/>
  <c r="A40" i="100"/>
  <c r="A39" i="100"/>
  <c r="A38" i="100"/>
  <c r="A37" i="100"/>
  <c r="A36" i="100"/>
  <c r="A35" i="100"/>
  <c r="A34" i="100"/>
  <c r="A33" i="100"/>
  <c r="A32" i="100"/>
  <c r="A31" i="100"/>
  <c r="A30" i="100"/>
  <c r="A29" i="100"/>
  <c r="A28" i="100"/>
  <c r="A27" i="100"/>
  <c r="A26" i="100"/>
  <c r="A25" i="100"/>
  <c r="I20" i="100"/>
  <c r="I19" i="100"/>
  <c r="I18" i="100"/>
  <c r="I17" i="100"/>
  <c r="I16" i="100"/>
  <c r="I15" i="100"/>
  <c r="I14" i="100"/>
  <c r="I13" i="100"/>
  <c r="A13" i="100"/>
  <c r="I12" i="100"/>
  <c r="A12" i="100"/>
  <c r="I11" i="100"/>
  <c r="A11" i="100"/>
  <c r="I10" i="100"/>
  <c r="A10" i="100"/>
  <c r="I8" i="100"/>
  <c r="A8" i="100"/>
  <c r="Y4" i="100"/>
  <c r="Y2" i="100"/>
  <c r="R2" i="100"/>
  <c r="I9" i="98" l="1"/>
  <c r="I10" i="98"/>
  <c r="I11" i="98"/>
  <c r="I12" i="98"/>
  <c r="I13" i="98"/>
  <c r="I14" i="98"/>
  <c r="I15" i="98"/>
  <c r="I16" i="98"/>
  <c r="I9" i="94"/>
  <c r="I10" i="94"/>
  <c r="I12" i="94"/>
  <c r="I13" i="94"/>
  <c r="I27" i="94"/>
  <c r="I14" i="94"/>
  <c r="I15" i="94"/>
  <c r="I16" i="94"/>
  <c r="I17" i="94"/>
  <c r="I26" i="94"/>
  <c r="I18" i="94"/>
  <c r="I19" i="94"/>
  <c r="I20" i="94"/>
  <c r="I21" i="94"/>
  <c r="I28" i="94"/>
  <c r="I22" i="94"/>
  <c r="I23" i="94"/>
  <c r="I24" i="94"/>
  <c r="I30" i="94"/>
  <c r="I31" i="94"/>
  <c r="I32" i="94"/>
  <c r="I33" i="94"/>
  <c r="I34" i="94"/>
  <c r="I35" i="94"/>
  <c r="I36" i="94"/>
  <c r="I37" i="94"/>
  <c r="I9" i="95"/>
  <c r="I10" i="95"/>
  <c r="I11" i="95"/>
  <c r="I12" i="95"/>
  <c r="I13" i="95"/>
  <c r="I15" i="95"/>
  <c r="I16" i="95"/>
  <c r="I17" i="95"/>
  <c r="I18" i="95"/>
  <c r="I19" i="95"/>
  <c r="I20" i="95"/>
  <c r="I21" i="95"/>
  <c r="I22" i="95"/>
  <c r="I23" i="95"/>
  <c r="I24" i="95"/>
  <c r="I25" i="95"/>
  <c r="I26" i="95"/>
  <c r="I27" i="95"/>
  <c r="I28" i="95"/>
  <c r="I29" i="95"/>
  <c r="I30" i="95"/>
  <c r="I31" i="95"/>
  <c r="I32" i="95"/>
  <c r="I33" i="95"/>
  <c r="I34" i="95"/>
  <c r="I35" i="95"/>
  <c r="I36" i="95"/>
  <c r="I37" i="95"/>
  <c r="I38" i="95"/>
  <c r="I39" i="95"/>
  <c r="I40" i="95"/>
  <c r="I41" i="95"/>
  <c r="I42" i="95"/>
  <c r="I9" i="96"/>
  <c r="I10" i="96"/>
  <c r="I11" i="96"/>
  <c r="I12" i="96"/>
  <c r="I13" i="96"/>
  <c r="I14" i="96"/>
  <c r="I15" i="96"/>
  <c r="I16" i="96"/>
  <c r="I17" i="96"/>
  <c r="I18" i="96"/>
  <c r="I19" i="96"/>
  <c r="I20" i="96"/>
  <c r="I21" i="96"/>
  <c r="I22" i="96"/>
  <c r="I23" i="96"/>
  <c r="I24" i="96"/>
  <c r="I25" i="96"/>
  <c r="I26" i="96"/>
  <c r="I27" i="96"/>
  <c r="I28" i="96"/>
  <c r="I9" i="97"/>
  <c r="I10" i="97"/>
  <c r="I11" i="97"/>
  <c r="I12" i="97"/>
  <c r="I13" i="97"/>
  <c r="I14" i="97"/>
  <c r="I15" i="97"/>
  <c r="I16" i="97"/>
  <c r="I17" i="97"/>
  <c r="I18" i="97"/>
  <c r="I19" i="97"/>
  <c r="I20" i="97"/>
  <c r="I21" i="97"/>
  <c r="I8" i="97"/>
  <c r="I8" i="96"/>
  <c r="I8" i="95"/>
  <c r="I8" i="94"/>
  <c r="I8" i="93"/>
  <c r="I9" i="92"/>
  <c r="I10" i="92"/>
  <c r="I11" i="92"/>
  <c r="I12" i="92"/>
  <c r="I13" i="92"/>
  <c r="I15" i="92"/>
  <c r="I16" i="92"/>
  <c r="I17" i="92"/>
  <c r="I18" i="92"/>
  <c r="I19" i="92"/>
  <c r="I20" i="92"/>
  <c r="I21" i="92"/>
  <c r="I22" i="92"/>
  <c r="I23" i="92"/>
  <c r="I24" i="92"/>
  <c r="I25" i="92"/>
  <c r="I26" i="92"/>
  <c r="I27" i="92"/>
  <c r="I28" i="92"/>
  <c r="I29" i="92"/>
  <c r="I30" i="92"/>
  <c r="I31" i="92"/>
  <c r="I32" i="92"/>
  <c r="I33" i="92"/>
  <c r="I34" i="92"/>
  <c r="I35" i="92"/>
  <c r="I36" i="92"/>
  <c r="I37" i="92"/>
  <c r="I38" i="92"/>
  <c r="I39" i="92"/>
  <c r="I40" i="92"/>
  <c r="I8" i="92"/>
  <c r="I14" i="91" l="1"/>
  <c r="I15" i="91"/>
  <c r="I16" i="91"/>
  <c r="I17" i="91"/>
  <c r="I26" i="91"/>
  <c r="I18" i="91"/>
  <c r="I19" i="91"/>
  <c r="I20" i="91"/>
  <c r="I21" i="91"/>
  <c r="I28" i="91"/>
  <c r="I22" i="91"/>
  <c r="I23" i="91"/>
  <c r="I25" i="91"/>
  <c r="I30" i="91"/>
  <c r="I31" i="91"/>
  <c r="I32" i="91"/>
  <c r="I33" i="91"/>
  <c r="I34" i="91"/>
  <c r="I35" i="91"/>
  <c r="I36" i="91"/>
  <c r="I37" i="91"/>
  <c r="I38" i="91"/>
  <c r="I39" i="91"/>
  <c r="I40" i="91"/>
  <c r="I41" i="91"/>
  <c r="I42" i="91"/>
  <c r="I43" i="91"/>
  <c r="I44" i="91"/>
  <c r="I45" i="91"/>
  <c r="I46" i="91"/>
  <c r="I47" i="91"/>
  <c r="I48" i="91"/>
  <c r="I49" i="91"/>
  <c r="I50" i="91"/>
  <c r="I8" i="91"/>
  <c r="I9" i="91"/>
  <c r="I12" i="91"/>
  <c r="I13" i="91"/>
  <c r="I27" i="91"/>
  <c r="I10" i="91"/>
  <c r="A42" i="92"/>
  <c r="A32" i="95"/>
  <c r="A31" i="95"/>
  <c r="A30" i="95"/>
  <c r="A20" i="96"/>
  <c r="A42" i="91"/>
  <c r="A32" i="92"/>
  <c r="A31" i="92"/>
  <c r="A41" i="91"/>
  <c r="A40" i="91"/>
  <c r="A39" i="91"/>
  <c r="A38" i="91"/>
  <c r="A37" i="91"/>
  <c r="A36" i="91"/>
  <c r="A9" i="93"/>
  <c r="A9" i="92"/>
  <c r="A9" i="91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Y4" i="98"/>
  <c r="Y2" i="98"/>
  <c r="R2" i="98"/>
  <c r="A43" i="97"/>
  <c r="A42" i="97"/>
  <c r="A41" i="97"/>
  <c r="A40" i="97"/>
  <c r="A39" i="97"/>
  <c r="A38" i="97"/>
  <c r="A12" i="97"/>
  <c r="A13" i="97"/>
  <c r="A14" i="97"/>
  <c r="A15" i="97"/>
  <c r="A16" i="97"/>
  <c r="A17" i="97"/>
  <c r="A18" i="97"/>
  <c r="A19" i="97"/>
  <c r="A20" i="97"/>
  <c r="A21" i="97"/>
  <c r="A22" i="97"/>
  <c r="A23" i="97"/>
  <c r="A24" i="97"/>
  <c r="A25" i="97"/>
  <c r="A26" i="97"/>
  <c r="A27" i="97"/>
  <c r="A28" i="97"/>
  <c r="A29" i="97"/>
  <c r="A30" i="97"/>
  <c r="A31" i="97"/>
  <c r="A32" i="97"/>
  <c r="A33" i="97"/>
  <c r="A34" i="97"/>
  <c r="A35" i="97"/>
  <c r="A36" i="97"/>
  <c r="A37" i="97"/>
  <c r="A44" i="97"/>
  <c r="A9" i="97"/>
  <c r="A10" i="97"/>
  <c r="A11" i="97"/>
  <c r="A8" i="97"/>
  <c r="Y4" i="97"/>
  <c r="Y2" i="97"/>
  <c r="R2" i="97"/>
  <c r="A9" i="96"/>
  <c r="A44" i="96"/>
  <c r="A43" i="96"/>
  <c r="A42" i="96"/>
  <c r="A41" i="96"/>
  <c r="A40" i="96"/>
  <c r="A39" i="96"/>
  <c r="A38" i="96"/>
  <c r="A37" i="96"/>
  <c r="A36" i="96"/>
  <c r="A35" i="96"/>
  <c r="A34" i="96"/>
  <c r="A33" i="96"/>
  <c r="A32" i="96"/>
  <c r="A31" i="96"/>
  <c r="A30" i="96"/>
  <c r="A29" i="96"/>
  <c r="A28" i="96"/>
  <c r="A27" i="96"/>
  <c r="A26" i="96"/>
  <c r="A25" i="96"/>
  <c r="A24" i="96"/>
  <c r="A23" i="96"/>
  <c r="A22" i="96"/>
  <c r="A21" i="96"/>
  <c r="A19" i="96"/>
  <c r="A18" i="96"/>
  <c r="A17" i="96"/>
  <c r="A16" i="96"/>
  <c r="A15" i="96"/>
  <c r="A14" i="96"/>
  <c r="A13" i="96"/>
  <c r="A12" i="96"/>
  <c r="A11" i="96"/>
  <c r="A10" i="96"/>
  <c r="A8" i="96"/>
  <c r="Y4" i="96"/>
  <c r="Y2" i="96"/>
  <c r="R2" i="96"/>
  <c r="A28" i="95"/>
  <c r="A9" i="95"/>
  <c r="A45" i="95"/>
  <c r="A44" i="95"/>
  <c r="A43" i="95"/>
  <c r="A42" i="95"/>
  <c r="A41" i="95"/>
  <c r="A40" i="95"/>
  <c r="A39" i="95"/>
  <c r="A38" i="95"/>
  <c r="A37" i="95"/>
  <c r="A36" i="95"/>
  <c r="A35" i="95"/>
  <c r="A34" i="95"/>
  <c r="A33" i="95"/>
  <c r="A29" i="95"/>
  <c r="A27" i="95"/>
  <c r="A26" i="95"/>
  <c r="A25" i="95"/>
  <c r="A24" i="95"/>
  <c r="A23" i="95"/>
  <c r="A22" i="95"/>
  <c r="A21" i="95"/>
  <c r="A20" i="95"/>
  <c r="A19" i="95"/>
  <c r="A18" i="95"/>
  <c r="A17" i="95"/>
  <c r="A16" i="95"/>
  <c r="A15" i="95"/>
  <c r="A13" i="95"/>
  <c r="A12" i="95"/>
  <c r="A11" i="95"/>
  <c r="A10" i="95"/>
  <c r="A8" i="95"/>
  <c r="Y4" i="95"/>
  <c r="Y2" i="95"/>
  <c r="R2" i="95"/>
  <c r="A41" i="94"/>
  <c r="A40" i="94"/>
  <c r="A9" i="94"/>
  <c r="A45" i="94"/>
  <c r="A44" i="94"/>
  <c r="A39" i="94"/>
  <c r="A38" i="94"/>
  <c r="A37" i="94"/>
  <c r="A36" i="94"/>
  <c r="A35" i="94"/>
  <c r="A34" i="94"/>
  <c r="A33" i="94"/>
  <c r="A32" i="94"/>
  <c r="A31" i="94"/>
  <c r="A30" i="94"/>
  <c r="A24" i="94"/>
  <c r="A23" i="94"/>
  <c r="A22" i="94"/>
  <c r="A28" i="94"/>
  <c r="A21" i="94"/>
  <c r="A20" i="94"/>
  <c r="A19" i="94"/>
  <c r="A18" i="94"/>
  <c r="A26" i="94"/>
  <c r="A17" i="94"/>
  <c r="A16" i="94"/>
  <c r="A15" i="94"/>
  <c r="A14" i="94"/>
  <c r="A27" i="94"/>
  <c r="A13" i="94"/>
  <c r="A12" i="94"/>
  <c r="A10" i="94"/>
  <c r="A8" i="94"/>
  <c r="Y4" i="94"/>
  <c r="Y2" i="94"/>
  <c r="R2" i="94"/>
  <c r="A28" i="92"/>
  <c r="A44" i="92"/>
  <c r="A43" i="92"/>
  <c r="A41" i="92"/>
  <c r="A32" i="93"/>
  <c r="A31" i="93"/>
  <c r="A43" i="93"/>
  <c r="A42" i="93"/>
  <c r="A41" i="93"/>
  <c r="A40" i="93"/>
  <c r="A39" i="93"/>
  <c r="A38" i="93"/>
  <c r="A37" i="93"/>
  <c r="A36" i="93"/>
  <c r="A35" i="93"/>
  <c r="A34" i="93"/>
  <c r="A33" i="93"/>
  <c r="A30" i="93"/>
  <c r="A29" i="93"/>
  <c r="A23" i="91"/>
  <c r="A22" i="91"/>
  <c r="A44" i="93"/>
  <c r="A28" i="93"/>
  <c r="A27" i="93"/>
  <c r="A26" i="93"/>
  <c r="A25" i="93"/>
  <c r="A24" i="93"/>
  <c r="A23" i="93"/>
  <c r="A22" i="93"/>
  <c r="A21" i="93"/>
  <c r="A20" i="93"/>
  <c r="A19" i="93"/>
  <c r="A18" i="93"/>
  <c r="A17" i="93"/>
  <c r="A16" i="93"/>
  <c r="A15" i="93"/>
  <c r="A14" i="93"/>
  <c r="A13" i="93"/>
  <c r="A12" i="93"/>
  <c r="A11" i="93"/>
  <c r="A10" i="93"/>
  <c r="A8" i="93"/>
  <c r="Y4" i="93"/>
  <c r="Y2" i="93"/>
  <c r="R2" i="93"/>
  <c r="R2" i="92" l="1"/>
  <c r="R2" i="91"/>
  <c r="A33" i="58" l="1"/>
  <c r="A30" i="58"/>
  <c r="A27" i="58"/>
  <c r="A34" i="92" l="1"/>
  <c r="A33" i="92"/>
  <c r="A43" i="91"/>
  <c r="A35" i="91"/>
  <c r="A25" i="58" l="1"/>
  <c r="A23" i="58" l="1"/>
  <c r="A30" i="92" l="1"/>
  <c r="A29" i="92"/>
  <c r="A27" i="92"/>
  <c r="A26" i="92"/>
  <c r="A25" i="92"/>
  <c r="A24" i="92"/>
  <c r="A23" i="92"/>
  <c r="A22" i="92"/>
  <c r="A21" i="92"/>
  <c r="A20" i="92"/>
  <c r="A19" i="92"/>
  <c r="A18" i="92"/>
  <c r="A17" i="92"/>
  <c r="A16" i="92"/>
  <c r="A15" i="92"/>
  <c r="A13" i="92"/>
  <c r="A12" i="92"/>
  <c r="A11" i="92"/>
  <c r="A45" i="92"/>
  <c r="A40" i="92"/>
  <c r="A39" i="92"/>
  <c r="A38" i="92"/>
  <c r="A37" i="92"/>
  <c r="A36" i="92"/>
  <c r="A35" i="92"/>
  <c r="A10" i="92"/>
  <c r="A8" i="92"/>
  <c r="Y4" i="92"/>
  <c r="Y2" i="92"/>
  <c r="A21" i="91"/>
  <c r="A20" i="91"/>
  <c r="A28" i="91"/>
  <c r="A27" i="91"/>
  <c r="A82" i="91"/>
  <c r="A53" i="91"/>
  <c r="A52" i="91"/>
  <c r="A51" i="91"/>
  <c r="A50" i="91"/>
  <c r="A49" i="91"/>
  <c r="A48" i="91"/>
  <c r="A47" i="91"/>
  <c r="A46" i="91"/>
  <c r="A45" i="91"/>
  <c r="A44" i="91"/>
  <c r="A34" i="91"/>
  <c r="A33" i="91"/>
  <c r="A32" i="91"/>
  <c r="A31" i="91"/>
  <c r="A30" i="91"/>
  <c r="A25" i="91"/>
  <c r="A19" i="91"/>
  <c r="A18" i="91"/>
  <c r="A26" i="91"/>
  <c r="A17" i="91"/>
  <c r="A16" i="91"/>
  <c r="A15" i="91"/>
  <c r="A14" i="91"/>
  <c r="A13" i="91"/>
  <c r="A12" i="91"/>
  <c r="A10" i="91"/>
  <c r="A8" i="91"/>
  <c r="Y4" i="91"/>
  <c r="Y2" i="91"/>
  <c r="A42" i="58" l="1"/>
  <c r="A22" i="58" l="1"/>
  <c r="A35" i="58" l="1"/>
  <c r="A34" i="58"/>
  <c r="A36" i="58" l="1"/>
  <c r="A32" i="58" l="1"/>
  <c r="A31" i="58"/>
  <c r="A813" i="60" l="1"/>
  <c r="A812" i="60"/>
  <c r="A811" i="60"/>
  <c r="A810" i="60"/>
  <c r="A809" i="60"/>
  <c r="A808" i="60"/>
  <c r="A807" i="60"/>
  <c r="A806" i="60"/>
  <c r="A805" i="60"/>
  <c r="A804" i="60"/>
  <c r="A803" i="60"/>
  <c r="A802" i="60"/>
  <c r="A801" i="60"/>
  <c r="A800" i="60"/>
  <c r="A799" i="60"/>
  <c r="A798" i="60"/>
  <c r="A797" i="60"/>
  <c r="A796" i="60"/>
  <c r="A795" i="60"/>
  <c r="A794" i="60"/>
  <c r="A793" i="60"/>
  <c r="A792" i="60"/>
  <c r="A791" i="60"/>
  <c r="A790" i="60"/>
  <c r="A789" i="60"/>
  <c r="A788" i="60"/>
  <c r="A787" i="60"/>
  <c r="A786" i="60"/>
  <c r="A785" i="60"/>
  <c r="A784" i="60"/>
  <c r="A783" i="60"/>
  <c r="A782" i="60"/>
  <c r="A781" i="60"/>
  <c r="A780" i="60"/>
  <c r="A779" i="60"/>
  <c r="A778" i="60"/>
  <c r="A777" i="60"/>
  <c r="A776" i="60"/>
  <c r="A775" i="60"/>
  <c r="A774" i="60"/>
  <c r="A773" i="60"/>
  <c r="A772" i="60"/>
  <c r="A771" i="60"/>
  <c r="A770" i="60"/>
  <c r="A769" i="60"/>
  <c r="A768" i="60"/>
  <c r="A767" i="60"/>
  <c r="A766" i="60"/>
  <c r="A765" i="60"/>
  <c r="A764" i="60"/>
  <c r="A763" i="60"/>
  <c r="A762" i="60"/>
  <c r="A761" i="60"/>
  <c r="A760" i="60"/>
  <c r="A759" i="60"/>
  <c r="A758" i="60"/>
  <c r="A757" i="60"/>
  <c r="A756" i="60"/>
  <c r="A755" i="60"/>
  <c r="A754" i="60"/>
  <c r="A753" i="60"/>
  <c r="A752" i="60"/>
  <c r="A751" i="60"/>
  <c r="A750" i="60"/>
  <c r="A749" i="60"/>
  <c r="A748" i="60"/>
  <c r="A747" i="60"/>
  <c r="A746" i="60"/>
  <c r="A745" i="60"/>
  <c r="A744" i="60"/>
  <c r="A743" i="60"/>
  <c r="A742" i="60"/>
  <c r="A741" i="60"/>
  <c r="A740" i="60"/>
  <c r="A739" i="60"/>
  <c r="A738" i="60"/>
  <c r="A737" i="60"/>
  <c r="A736" i="60"/>
  <c r="A735" i="60"/>
  <c r="A734" i="60"/>
  <c r="A733" i="60"/>
  <c r="A732" i="60"/>
  <c r="A731" i="60"/>
  <c r="A730" i="60"/>
  <c r="A729" i="60"/>
  <c r="A728" i="60"/>
  <c r="A727" i="60"/>
  <c r="A726" i="60"/>
  <c r="A725" i="60"/>
  <c r="A724" i="60"/>
  <c r="A723" i="60"/>
  <c r="A722" i="60"/>
  <c r="A721" i="60"/>
  <c r="A720" i="60"/>
  <c r="A719" i="60"/>
  <c r="A718" i="60"/>
  <c r="A717" i="60"/>
  <c r="A716" i="60"/>
  <c r="A715" i="60"/>
  <c r="A714" i="60"/>
  <c r="A713" i="60"/>
  <c r="A712" i="60"/>
  <c r="A711" i="60"/>
  <c r="A710" i="60"/>
  <c r="A709" i="60"/>
  <c r="A708" i="60"/>
  <c r="A707" i="60"/>
  <c r="A706" i="60"/>
  <c r="A705" i="60"/>
  <c r="A704" i="60"/>
  <c r="A703" i="60"/>
  <c r="A702" i="60"/>
  <c r="A701" i="60"/>
  <c r="A700" i="60"/>
  <c r="A699" i="60"/>
  <c r="A698" i="60"/>
  <c r="A697" i="60"/>
  <c r="A696" i="60"/>
  <c r="A695" i="60"/>
  <c r="A694" i="60"/>
  <c r="A693" i="60"/>
  <c r="A692" i="60"/>
  <c r="A691" i="60"/>
  <c r="A690" i="60"/>
  <c r="A689" i="60"/>
  <c r="A688" i="60"/>
  <c r="A687" i="60"/>
  <c r="A686" i="60"/>
  <c r="A685" i="60"/>
  <c r="A684" i="60"/>
  <c r="A683" i="60"/>
  <c r="A682" i="60"/>
  <c r="A681" i="60"/>
  <c r="A680" i="60"/>
  <c r="A679" i="60"/>
  <c r="A678" i="60"/>
  <c r="A677" i="60"/>
  <c r="A676" i="60"/>
  <c r="A675" i="60"/>
  <c r="A674" i="60"/>
  <c r="A673" i="60"/>
  <c r="A672" i="60"/>
  <c r="A671" i="60"/>
  <c r="A670" i="60"/>
  <c r="A669" i="60"/>
  <c r="A668" i="60"/>
  <c r="A667" i="60"/>
  <c r="A666" i="60"/>
  <c r="A665" i="60"/>
  <c r="A664" i="60"/>
  <c r="A663" i="60"/>
  <c r="A662" i="60"/>
  <c r="A661" i="60"/>
  <c r="A660" i="60"/>
  <c r="A659" i="60"/>
  <c r="A658" i="60"/>
  <c r="A657" i="60"/>
  <c r="A656" i="60"/>
  <c r="A655" i="60"/>
  <c r="A654" i="60"/>
  <c r="A653" i="60"/>
  <c r="A652" i="60"/>
  <c r="A651" i="60"/>
  <c r="A650" i="60"/>
  <c r="A649" i="60"/>
  <c r="A648" i="60"/>
  <c r="A647" i="60"/>
  <c r="A646" i="60"/>
  <c r="A645" i="60"/>
  <c r="A644" i="60"/>
  <c r="A643" i="60"/>
  <c r="A642" i="60"/>
  <c r="A641" i="60"/>
  <c r="A640" i="60"/>
  <c r="A639" i="60"/>
  <c r="A638" i="60"/>
  <c r="A637" i="60"/>
  <c r="A636" i="60"/>
  <c r="A635" i="60"/>
  <c r="A634" i="60"/>
  <c r="A633" i="60"/>
  <c r="A632" i="60"/>
  <c r="A631" i="60"/>
  <c r="A630" i="60"/>
  <c r="A629" i="60"/>
  <c r="A628" i="60"/>
  <c r="A627" i="60"/>
  <c r="A626" i="60"/>
  <c r="A625" i="60"/>
  <c r="A624" i="60"/>
  <c r="A623" i="60"/>
  <c r="A622" i="60"/>
  <c r="A621" i="60"/>
  <c r="A620" i="60"/>
  <c r="A619" i="60"/>
  <c r="A618" i="60"/>
  <c r="A617" i="60"/>
  <c r="A616" i="60"/>
  <c r="A615" i="60"/>
  <c r="A614" i="60"/>
  <c r="A613" i="60"/>
  <c r="A612" i="60"/>
  <c r="A611" i="60"/>
  <c r="A610" i="60"/>
  <c r="A609" i="60"/>
  <c r="A608" i="60"/>
  <c r="A607" i="60"/>
  <c r="A606" i="60"/>
  <c r="A605" i="60"/>
  <c r="A604" i="60"/>
  <c r="A603" i="60"/>
  <c r="A602" i="60"/>
  <c r="A601" i="60"/>
  <c r="A600" i="60"/>
  <c r="A599" i="60"/>
  <c r="A598" i="60"/>
  <c r="A597" i="60"/>
  <c r="A596" i="60"/>
  <c r="A595" i="60"/>
  <c r="A594" i="60"/>
  <c r="A593" i="60"/>
  <c r="A592" i="60"/>
  <c r="A591" i="60"/>
  <c r="A590" i="60"/>
  <c r="A589" i="60"/>
  <c r="A588" i="60"/>
  <c r="A587" i="60"/>
  <c r="A586" i="60"/>
  <c r="A585" i="60"/>
  <c r="A584" i="60"/>
  <c r="A583" i="60"/>
  <c r="A582" i="60"/>
  <c r="A581" i="60"/>
  <c r="A580" i="60"/>
  <c r="A579" i="60"/>
  <c r="A578" i="60"/>
  <c r="A577" i="60"/>
  <c r="A576" i="60"/>
  <c r="A575" i="60"/>
  <c r="A574" i="60"/>
  <c r="A573" i="60"/>
  <c r="A572" i="60"/>
  <c r="A571" i="60"/>
  <c r="A570" i="60"/>
  <c r="A569" i="60"/>
  <c r="A568" i="60"/>
  <c r="A567" i="60"/>
  <c r="A566" i="60"/>
  <c r="A565" i="60"/>
  <c r="A564" i="60"/>
  <c r="A563" i="60"/>
  <c r="A562" i="60"/>
  <c r="A561" i="60"/>
  <c r="A560" i="60"/>
  <c r="A559" i="60"/>
  <c r="A558" i="60"/>
  <c r="A557" i="60"/>
  <c r="A556" i="60"/>
  <c r="A555" i="60"/>
  <c r="A554" i="60"/>
  <c r="A553" i="60"/>
  <c r="A552" i="60"/>
  <c r="A551" i="60"/>
  <c r="A550" i="60"/>
  <c r="A549" i="60"/>
  <c r="A548" i="60"/>
  <c r="A547" i="60"/>
  <c r="A546" i="60"/>
  <c r="A545" i="60"/>
  <c r="A544" i="60"/>
  <c r="A543" i="60"/>
  <c r="A542" i="60"/>
  <c r="A541" i="60"/>
  <c r="A540" i="60"/>
  <c r="A539" i="60"/>
  <c r="A538" i="60"/>
  <c r="A537" i="60"/>
  <c r="A536" i="60"/>
  <c r="A535" i="60"/>
  <c r="A534" i="60"/>
  <c r="A533" i="60"/>
  <c r="A532" i="60"/>
  <c r="A531" i="60"/>
  <c r="A530" i="60"/>
  <c r="A529" i="60"/>
  <c r="A528" i="60"/>
  <c r="A527" i="60"/>
  <c r="A526" i="60"/>
  <c r="A525" i="60"/>
  <c r="A524" i="60"/>
  <c r="A523" i="60"/>
  <c r="A522" i="60"/>
  <c r="A521" i="60"/>
  <c r="A520" i="60"/>
  <c r="A519" i="60"/>
  <c r="A518" i="60"/>
  <c r="A517" i="60"/>
  <c r="A516" i="60"/>
  <c r="A515" i="60"/>
  <c r="A514" i="60"/>
  <c r="A513" i="60"/>
  <c r="A512" i="60"/>
  <c r="A511" i="60"/>
  <c r="A510" i="60"/>
  <c r="A509" i="60"/>
  <c r="A508" i="60"/>
  <c r="A507" i="60"/>
  <c r="A506" i="60"/>
  <c r="A505" i="60"/>
  <c r="A504" i="60"/>
  <c r="A503" i="60"/>
  <c r="A502" i="60"/>
  <c r="A501" i="60"/>
  <c r="A500" i="60"/>
  <c r="A499" i="60"/>
  <c r="A498" i="60"/>
  <c r="A497" i="60"/>
  <c r="A496" i="60"/>
  <c r="A495" i="60"/>
  <c r="A494" i="60"/>
  <c r="A493" i="60"/>
  <c r="A492" i="60"/>
  <c r="A491" i="60"/>
  <c r="A490" i="60"/>
  <c r="A489" i="60"/>
  <c r="A488" i="60"/>
  <c r="A487" i="60"/>
  <c r="A486" i="60"/>
  <c r="A485" i="60"/>
  <c r="A484" i="60"/>
  <c r="A483" i="60"/>
  <c r="A482" i="60"/>
  <c r="A481" i="60"/>
  <c r="A480" i="60"/>
  <c r="A479" i="60"/>
  <c r="A478" i="60"/>
  <c r="A477" i="60"/>
  <c r="A476" i="60"/>
  <c r="A475" i="60"/>
  <c r="A474" i="60"/>
  <c r="A473" i="60"/>
  <c r="A472" i="60"/>
  <c r="A471" i="60"/>
  <c r="A470" i="60"/>
  <c r="A469" i="60"/>
  <c r="A468" i="60"/>
  <c r="A467" i="60"/>
  <c r="A466" i="60"/>
  <c r="A465" i="60"/>
  <c r="A464" i="60"/>
  <c r="A463" i="60"/>
  <c r="A462" i="60"/>
  <c r="A461" i="60"/>
  <c r="A460" i="60"/>
  <c r="A459" i="60"/>
  <c r="A458" i="60"/>
  <c r="A457" i="60"/>
  <c r="A456" i="60"/>
  <c r="A455" i="60"/>
  <c r="A454" i="60"/>
  <c r="A453" i="60"/>
  <c r="A452" i="60"/>
  <c r="A451" i="60"/>
  <c r="A450" i="60"/>
  <c r="A449" i="60"/>
  <c r="A448" i="60"/>
  <c r="A447" i="60"/>
  <c r="A446" i="60"/>
  <c r="A445" i="60"/>
  <c r="A444" i="60"/>
  <c r="A443" i="60"/>
  <c r="A442" i="60"/>
  <c r="A441" i="60"/>
  <c r="A440" i="60"/>
  <c r="A439" i="60"/>
  <c r="A438" i="60"/>
  <c r="A437" i="60"/>
  <c r="A436" i="60"/>
  <c r="A435" i="60"/>
  <c r="A434" i="60"/>
  <c r="A433" i="60"/>
  <c r="A432" i="60"/>
  <c r="A431" i="60"/>
  <c r="A430" i="60"/>
  <c r="A429" i="60"/>
  <c r="A428" i="60"/>
  <c r="A427" i="60"/>
  <c r="A426" i="60"/>
  <c r="A425" i="60"/>
  <c r="A424" i="60"/>
  <c r="A423" i="60"/>
  <c r="A422" i="60"/>
  <c r="A421" i="60"/>
  <c r="A420" i="60"/>
  <c r="A419" i="60"/>
  <c r="A418" i="60"/>
  <c r="A417" i="60"/>
  <c r="A416" i="60"/>
  <c r="A415" i="60"/>
  <c r="A414" i="60"/>
  <c r="A413" i="60"/>
  <c r="A412" i="60"/>
  <c r="A411" i="60"/>
  <c r="A410" i="60"/>
  <c r="A409" i="60"/>
  <c r="A408" i="60"/>
  <c r="A407" i="60"/>
  <c r="A406" i="60"/>
  <c r="A405" i="60"/>
  <c r="A404" i="60"/>
  <c r="A403" i="60"/>
  <c r="A402" i="60"/>
  <c r="A401" i="60"/>
  <c r="A400" i="60"/>
  <c r="A399" i="60"/>
  <c r="A398" i="60"/>
  <c r="A397" i="60"/>
  <c r="A396" i="60"/>
  <c r="A395" i="60"/>
  <c r="A394" i="60"/>
  <c r="A393" i="60"/>
  <c r="A392" i="60"/>
  <c r="A391" i="60"/>
  <c r="A390" i="60"/>
  <c r="A389" i="60"/>
  <c r="A388" i="60"/>
  <c r="A387" i="60"/>
  <c r="A386" i="60"/>
  <c r="A385" i="60"/>
  <c r="A384" i="60"/>
  <c r="A383" i="60"/>
  <c r="A382" i="60"/>
  <c r="A381" i="60"/>
  <c r="A380" i="60"/>
  <c r="A379" i="60"/>
  <c r="A378" i="60"/>
  <c r="A377" i="60"/>
  <c r="A376" i="60"/>
  <c r="A375" i="60"/>
  <c r="A374" i="60"/>
  <c r="A373" i="60"/>
  <c r="A372" i="60"/>
  <c r="A371" i="60"/>
  <c r="A370" i="60"/>
  <c r="A369" i="60"/>
  <c r="A368" i="60"/>
  <c r="A367" i="60"/>
  <c r="A366" i="60"/>
  <c r="A365" i="60"/>
  <c r="A364" i="60"/>
  <c r="A363" i="60"/>
  <c r="A362" i="60"/>
  <c r="A361" i="60"/>
  <c r="A360" i="60"/>
  <c r="A359" i="60"/>
  <c r="A358" i="60"/>
  <c r="A357" i="60"/>
  <c r="A356" i="60"/>
  <c r="A355" i="60"/>
  <c r="A354" i="60"/>
  <c r="A353" i="60"/>
  <c r="A352" i="60"/>
  <c r="A351" i="60"/>
  <c r="A350" i="60"/>
  <c r="A349" i="60"/>
  <c r="A348" i="60"/>
  <c r="A347" i="60"/>
  <c r="A346" i="60"/>
  <c r="A345" i="60"/>
  <c r="A344" i="60"/>
  <c r="A343" i="60"/>
  <c r="A342" i="60"/>
  <c r="A341" i="60"/>
  <c r="A340" i="60"/>
  <c r="A339" i="60"/>
  <c r="A338" i="60"/>
  <c r="A337" i="60"/>
  <c r="A336" i="60"/>
  <c r="A335" i="60"/>
  <c r="A334" i="60"/>
  <c r="A333" i="60"/>
  <c r="A332" i="60"/>
  <c r="A331" i="60"/>
  <c r="A330" i="60"/>
  <c r="A329" i="60"/>
  <c r="A328" i="60"/>
  <c r="A327" i="60"/>
  <c r="A326" i="60"/>
  <c r="A325" i="60"/>
  <c r="A324" i="60"/>
  <c r="A323" i="60"/>
  <c r="A322" i="60"/>
  <c r="A321" i="60"/>
  <c r="A320" i="60"/>
  <c r="A319" i="60"/>
  <c r="A318" i="60"/>
  <c r="A317" i="60"/>
  <c r="A316" i="60"/>
  <c r="A315" i="60"/>
  <c r="A314" i="60"/>
  <c r="A313" i="60"/>
  <c r="A312" i="60"/>
  <c r="A311" i="60"/>
  <c r="A310" i="60"/>
  <c r="A309" i="60"/>
  <c r="A308" i="60"/>
  <c r="A307" i="60"/>
  <c r="A306" i="60"/>
  <c r="A305" i="60"/>
  <c r="A304" i="60"/>
  <c r="A303" i="60"/>
  <c r="A302" i="60"/>
  <c r="A301" i="60"/>
  <c r="A300" i="60"/>
  <c r="A299" i="60"/>
  <c r="A298" i="60"/>
  <c r="A297" i="60"/>
  <c r="A296" i="60"/>
  <c r="A295" i="60"/>
  <c r="A294" i="60"/>
  <c r="A293" i="60"/>
  <c r="A292" i="60"/>
  <c r="A291" i="60"/>
  <c r="A290" i="60"/>
  <c r="A289" i="60"/>
  <c r="A288" i="60"/>
  <c r="A287" i="60"/>
  <c r="A286" i="60"/>
  <c r="A285" i="60"/>
  <c r="A284" i="60"/>
  <c r="A283" i="60"/>
  <c r="A282" i="60"/>
  <c r="A281" i="60"/>
  <c r="A280" i="60"/>
  <c r="A279" i="60"/>
  <c r="A278" i="60"/>
  <c r="A277" i="60"/>
  <c r="A276" i="60"/>
  <c r="A275" i="60"/>
  <c r="A274" i="60"/>
  <c r="A273" i="60"/>
  <c r="A272" i="60"/>
  <c r="A271" i="60"/>
  <c r="A270" i="60"/>
  <c r="A269" i="60"/>
  <c r="A268" i="60"/>
  <c r="A267" i="60"/>
  <c r="A266" i="60"/>
  <c r="A265" i="60"/>
  <c r="A264" i="60"/>
  <c r="A263" i="60"/>
  <c r="A262" i="60"/>
  <c r="A261" i="60"/>
  <c r="A260" i="60"/>
  <c r="A259" i="60"/>
  <c r="A258" i="60"/>
  <c r="A257" i="60"/>
  <c r="A256" i="60"/>
  <c r="A255" i="60"/>
  <c r="A254" i="60"/>
  <c r="A253" i="60"/>
  <c r="A252" i="60"/>
  <c r="A251" i="60"/>
  <c r="A250" i="60"/>
  <c r="A249" i="60"/>
  <c r="A248" i="60"/>
  <c r="A247" i="60"/>
  <c r="A246" i="60"/>
  <c r="A245" i="60"/>
  <c r="A244" i="60"/>
  <c r="A243" i="60"/>
  <c r="A242" i="60"/>
  <c r="A241" i="60"/>
  <c r="A240" i="60"/>
  <c r="A239" i="60"/>
  <c r="A238" i="60"/>
  <c r="A237" i="60"/>
  <c r="A236" i="60"/>
  <c r="A235" i="60"/>
  <c r="A234" i="60"/>
  <c r="A233" i="60"/>
  <c r="A232" i="60"/>
  <c r="A231" i="60"/>
  <c r="A230" i="60"/>
  <c r="A229" i="60"/>
  <c r="A228" i="60"/>
  <c r="A227" i="60"/>
  <c r="A226" i="60"/>
  <c r="A225" i="60"/>
  <c r="A224" i="60"/>
  <c r="A223" i="60"/>
  <c r="A222" i="60"/>
  <c r="A221" i="60"/>
  <c r="A220" i="60"/>
  <c r="A219" i="60"/>
  <c r="A218" i="60"/>
  <c r="A217" i="60"/>
  <c r="A216" i="60"/>
  <c r="A215" i="60"/>
  <c r="A214" i="60"/>
  <c r="A213" i="60"/>
  <c r="A212" i="60"/>
  <c r="A211" i="60"/>
  <c r="A210" i="60"/>
  <c r="A209" i="60"/>
  <c r="A208" i="60"/>
  <c r="A207" i="60"/>
  <c r="A206" i="60"/>
  <c r="A205" i="60"/>
  <c r="A204" i="60"/>
  <c r="A203" i="60"/>
  <c r="A202" i="60"/>
  <c r="A201" i="60"/>
  <c r="A200" i="60"/>
  <c r="A199" i="60"/>
  <c r="A198" i="60"/>
  <c r="A197" i="60"/>
  <c r="A196" i="60"/>
  <c r="A195" i="60"/>
  <c r="A194" i="60"/>
  <c r="A193" i="60"/>
  <c r="A192" i="60"/>
  <c r="A191" i="60"/>
  <c r="A190" i="60"/>
  <c r="A189" i="60"/>
  <c r="A188" i="60"/>
  <c r="A187" i="60"/>
  <c r="A186" i="60"/>
  <c r="A185" i="60"/>
  <c r="A184" i="60"/>
  <c r="A183" i="60"/>
  <c r="A182" i="60"/>
  <c r="A181" i="60"/>
  <c r="A180" i="60"/>
  <c r="A179" i="60"/>
  <c r="A178" i="60"/>
  <c r="A177" i="60"/>
  <c r="A176" i="60"/>
  <c r="A175" i="60"/>
  <c r="A174" i="60"/>
  <c r="A173" i="60"/>
  <c r="A172" i="60"/>
  <c r="A171" i="60"/>
  <c r="A170" i="60"/>
  <c r="A169" i="60"/>
  <c r="A168" i="60"/>
  <c r="A167" i="60"/>
  <c r="A166" i="60"/>
  <c r="A165" i="60"/>
  <c r="A164" i="60"/>
  <c r="A163" i="60"/>
  <c r="A162" i="60"/>
  <c r="A161" i="60"/>
  <c r="A160" i="60"/>
  <c r="A159" i="60"/>
  <c r="A158" i="60"/>
  <c r="A157" i="60"/>
  <c r="A156" i="60"/>
  <c r="A155" i="60"/>
  <c r="A154" i="60"/>
  <c r="A153" i="60"/>
  <c r="A152" i="60"/>
  <c r="A151" i="60"/>
  <c r="A150" i="60"/>
  <c r="A149" i="60"/>
  <c r="A148" i="60"/>
  <c r="A147" i="60"/>
  <c r="A146" i="60"/>
  <c r="A145" i="60"/>
  <c r="A144" i="60"/>
  <c r="A143" i="60"/>
  <c r="A142" i="60"/>
  <c r="A141" i="60"/>
  <c r="A140" i="60"/>
  <c r="A139" i="60"/>
  <c r="A138" i="60"/>
  <c r="A137" i="60"/>
  <c r="A136" i="60"/>
  <c r="A135" i="60"/>
  <c r="A134" i="60"/>
  <c r="A133" i="60"/>
  <c r="A132" i="60"/>
  <c r="A131" i="60"/>
  <c r="A130" i="60"/>
  <c r="A129" i="60"/>
  <c r="A128" i="60"/>
  <c r="A127" i="60"/>
  <c r="A126" i="60"/>
  <c r="A125" i="60"/>
  <c r="A124" i="60"/>
  <c r="A123" i="60"/>
  <c r="A122" i="60"/>
  <c r="A121" i="60"/>
  <c r="A120" i="60"/>
  <c r="A119" i="60"/>
  <c r="A118" i="60"/>
  <c r="A117" i="60"/>
  <c r="A116" i="60"/>
  <c r="A115" i="60"/>
  <c r="A114" i="60"/>
  <c r="A113" i="60"/>
  <c r="A112" i="60"/>
  <c r="A111" i="60"/>
  <c r="A110" i="60"/>
  <c r="A109" i="60"/>
  <c r="A108" i="60"/>
  <c r="A107" i="60"/>
  <c r="A106" i="60"/>
  <c r="A105" i="60"/>
  <c r="A104" i="60"/>
  <c r="A103" i="60"/>
  <c r="A102" i="60"/>
  <c r="A101" i="60"/>
  <c r="A100" i="60"/>
  <c r="A99" i="60"/>
  <c r="A98" i="60"/>
  <c r="A97" i="60"/>
  <c r="A96" i="60"/>
  <c r="A95" i="60"/>
  <c r="A94" i="60"/>
  <c r="A93" i="60"/>
  <c r="A92" i="60"/>
  <c r="A91" i="60"/>
  <c r="A90" i="60"/>
  <c r="A89" i="60"/>
  <c r="A88" i="60"/>
  <c r="A87" i="60"/>
  <c r="A86" i="60"/>
  <c r="A85" i="60"/>
  <c r="A84" i="60"/>
  <c r="A83" i="60"/>
  <c r="A82" i="60"/>
  <c r="A81" i="60"/>
  <c r="A80" i="60"/>
  <c r="A79" i="60"/>
  <c r="A78" i="60"/>
  <c r="A77" i="60"/>
  <c r="A76" i="60"/>
  <c r="A75" i="60"/>
  <c r="A74" i="60"/>
  <c r="A73" i="60"/>
  <c r="A72" i="60"/>
  <c r="A71" i="60"/>
  <c r="A70" i="60"/>
  <c r="A69" i="60"/>
  <c r="A68" i="60"/>
  <c r="A67" i="60"/>
  <c r="A66" i="60"/>
  <c r="A65" i="60"/>
  <c r="A64" i="60"/>
  <c r="A63" i="60"/>
  <c r="A62" i="60"/>
  <c r="A61" i="60"/>
  <c r="A60" i="60"/>
  <c r="A59" i="60"/>
  <c r="A58" i="60"/>
  <c r="A57" i="60"/>
  <c r="A56" i="60"/>
  <c r="A55" i="60"/>
  <c r="A54" i="60"/>
  <c r="A53" i="60"/>
  <c r="A52" i="60"/>
  <c r="A51" i="60"/>
  <c r="A50" i="60"/>
  <c r="A49" i="60"/>
  <c r="A48" i="60"/>
  <c r="A47" i="60"/>
  <c r="A46" i="60"/>
  <c r="A45" i="60"/>
  <c r="A44" i="60"/>
  <c r="A43" i="60"/>
  <c r="A42" i="60"/>
  <c r="A41" i="60"/>
  <c r="A40" i="60"/>
  <c r="A39" i="60"/>
  <c r="A38" i="60"/>
  <c r="A37" i="60"/>
  <c r="A36" i="60"/>
  <c r="A35" i="60"/>
  <c r="A34" i="60"/>
  <c r="A33" i="60"/>
  <c r="A32" i="60"/>
  <c r="A31" i="60"/>
  <c r="A30" i="60"/>
  <c r="A29" i="60"/>
  <c r="A28" i="60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14" i="60"/>
  <c r="A13" i="60"/>
  <c r="A12" i="60"/>
  <c r="A11" i="60"/>
  <c r="A10" i="60"/>
  <c r="A9" i="60"/>
  <c r="A8" i="60"/>
  <c r="A7" i="60"/>
  <c r="A6" i="60"/>
  <c r="A5" i="60"/>
  <c r="A4" i="60"/>
  <c r="A7" i="58" l="1"/>
  <c r="A44" i="58"/>
  <c r="A43" i="58"/>
  <c r="A41" i="58"/>
  <c r="A40" i="58"/>
  <c r="A39" i="58"/>
  <c r="A38" i="58"/>
  <c r="A37" i="58"/>
  <c r="A29" i="58"/>
  <c r="A28" i="58"/>
  <c r="A26" i="58"/>
  <c r="A24" i="58"/>
  <c r="A21" i="58"/>
  <c r="A20" i="58"/>
  <c r="A19" i="58"/>
  <c r="A18" i="58"/>
  <c r="A17" i="58"/>
  <c r="A16" i="58"/>
  <c r="A15" i="58"/>
  <c r="A9" i="58"/>
  <c r="A8" i="58"/>
  <c r="A1" i="61" l="1"/>
  <c r="A1" i="6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2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2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2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2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2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2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3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3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3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3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3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3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4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4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4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4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4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4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5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5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5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5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5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5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6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6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6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6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6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6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7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7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7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7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7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7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8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8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8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8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8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8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9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9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9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9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9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9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A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A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A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A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A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A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B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B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B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B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B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B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C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C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C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C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C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C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D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D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D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D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D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D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E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E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E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E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E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E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F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F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F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F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F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F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sharedStrings.xml><?xml version="1.0" encoding="utf-8"?>
<sst xmlns="http://schemas.openxmlformats.org/spreadsheetml/2006/main" count="3067" uniqueCount="1572">
  <si>
    <t>テーブル名／テーブルID</t>
    <rPh sb="4" eb="5">
      <t>メイ</t>
    </rPh>
    <phoneticPr fontId="5"/>
  </si>
  <si>
    <t>作成/修正日</t>
    <rPh sb="0" eb="2">
      <t>サクセイ</t>
    </rPh>
    <rPh sb="3" eb="5">
      <t>シュウセイ</t>
    </rPh>
    <rPh sb="5" eb="6">
      <t>ビ</t>
    </rPh>
    <phoneticPr fontId="5"/>
  </si>
  <si>
    <t>作成/修正者</t>
    <rPh sb="0" eb="2">
      <t>サクセイ</t>
    </rPh>
    <rPh sb="3" eb="5">
      <t>シュウセイ</t>
    </rPh>
    <rPh sb="5" eb="6">
      <t>シャ</t>
    </rPh>
    <phoneticPr fontId="5"/>
  </si>
  <si>
    <t>版数</t>
    <rPh sb="0" eb="2">
      <t>ハンスウ</t>
    </rPh>
    <phoneticPr fontId="5"/>
  </si>
  <si>
    <t>項目名</t>
    <rPh sb="0" eb="2">
      <t>コウモク</t>
    </rPh>
    <rPh sb="2" eb="3">
      <t>メイ</t>
    </rPh>
    <phoneticPr fontId="5"/>
  </si>
  <si>
    <t>項目ID</t>
    <rPh sb="0" eb="2">
      <t>コウモク</t>
    </rPh>
    <phoneticPr fontId="5"/>
  </si>
  <si>
    <t>型名</t>
    <rPh sb="0" eb="2">
      <t>カタメイ</t>
    </rPh>
    <phoneticPr fontId="5"/>
  </si>
  <si>
    <t>型</t>
    <rPh sb="0" eb="1">
      <t>カタ</t>
    </rPh>
    <phoneticPr fontId="5"/>
  </si>
  <si>
    <t>整数</t>
    <rPh sb="0" eb="2">
      <t>セイスウ</t>
    </rPh>
    <phoneticPr fontId="5"/>
  </si>
  <si>
    <t>小数</t>
    <rPh sb="0" eb="2">
      <t>ショウスウ</t>
    </rPh>
    <phoneticPr fontId="5"/>
  </si>
  <si>
    <t>ＰＫ</t>
    <phoneticPr fontId="5"/>
  </si>
  <si>
    <t>ＮＮ</t>
    <phoneticPr fontId="5"/>
  </si>
  <si>
    <t>ＤＦ</t>
    <phoneticPr fontId="5"/>
  </si>
  <si>
    <t>インデックス</t>
    <phoneticPr fontId="7"/>
  </si>
  <si>
    <t>項目説明</t>
  </si>
  <si>
    <t>1.0(初版)</t>
    <phoneticPr fontId="4"/>
  </si>
  <si>
    <t>Sub 項目生成()</t>
  </si>
  <si>
    <t>Dim iSheet  As Integer</t>
  </si>
  <si>
    <t>Dim i       As Integer</t>
  </si>
  <si>
    <t>Dim j       As Integer</t>
  </si>
  <si>
    <t>Dim flg     As Boolean</t>
  </si>
  <si>
    <t>Dim wsheet1 As Worksheet</t>
  </si>
  <si>
    <t>Dim wsheet2 As Worksheet</t>
  </si>
  <si>
    <t>Dim iRow    As Integer</t>
  </si>
  <si>
    <t>Dim MaxRow  As Integer</t>
  </si>
  <si>
    <t>Set wsheet1 = Sheets("項目一覧")</t>
  </si>
  <si>
    <t>iRow = 3</t>
  </si>
  <si>
    <t xml:space="preserve">    flg = False</t>
  </si>
  <si>
    <t xml:space="preserve">    If Worksheets(i).Name = "項目一覧" Then</t>
  </si>
  <si>
    <t xml:space="preserve">        flg = True</t>
  </si>
  <si>
    <t xml:space="preserve">    End If</t>
  </si>
  <si>
    <t xml:space="preserve">    If Worksheets(i).Name = "ＩＦマスタ一覧" Then</t>
  </si>
  <si>
    <t xml:space="preserve">    </t>
  </si>
  <si>
    <t xml:space="preserve">    If flg = False Then</t>
  </si>
  <si>
    <t xml:space="preserve">        Set wsheet2 = Sheets(Worksheets(i).Name)</t>
  </si>
  <si>
    <t xml:space="preserve">        MaxRow = wsheet2.Cells(Rows.Count, 1).End(xlUp).Row</t>
  </si>
  <si>
    <t xml:space="preserve">        For j = 8 To MaxRow</t>
  </si>
  <si>
    <t xml:space="preserve">            iRow = iRow + 1</t>
  </si>
  <si>
    <t xml:space="preserve">            wsheet1.Cells(iRow, 2) = Worksheets(i).Name</t>
  </si>
  <si>
    <t xml:space="preserve">            wsheet1.Cells(iRow, 3) = wsheet2.Cells(j, 3)</t>
  </si>
  <si>
    <t xml:space="preserve">            wsheet1.Cells(iRow, 4) = wsheet2.Cells(j, 13)</t>
  </si>
  <si>
    <t xml:space="preserve">            wsheet1.Cells(iRow, 5) = wsheet2.Cells(j, 27)</t>
  </si>
  <si>
    <t xml:space="preserve">            wsheet1.Cells(iRow, 6) = wsheet2.Cells(j, 31)</t>
  </si>
  <si>
    <t xml:space="preserve">            If wsheet2.Cells(j, 3).Interior.Color = RGB(191, 191, 191) Then</t>
  </si>
  <si>
    <t xml:space="preserve">                wsheet1.Cells(iRow, 9) = "×"</t>
  </si>
  <si>
    <t xml:space="preserve">            End If</t>
  </si>
  <si>
    <t xml:space="preserve">            If wsheet2.Cells(j, 3).Interior.Color = RGB(255, 204, 255) Then</t>
  </si>
  <si>
    <t xml:space="preserve">                wsheet1.Cells(iRow, 9) = "●"</t>
  </si>
  <si>
    <t xml:space="preserve">            If wsheet2.Cells(j, 3).Interior.Color = RGB(255, 255, 255) Then</t>
  </si>
  <si>
    <t xml:space="preserve">                wsheet1.Cells(iRow, 9) = "○"</t>
  </si>
  <si>
    <t xml:space="preserve">                </t>
  </si>
  <si>
    <t xml:space="preserve">        Next j</t>
  </si>
  <si>
    <t>Next i</t>
  </si>
  <si>
    <t>End Sub</t>
  </si>
  <si>
    <t xml:space="preserve">    If Worksheets(i).Name = "項目一覧 (項目別)" Then</t>
  </si>
  <si>
    <t xml:space="preserve">    If Worksheets(i).Name = "マクロ" Then</t>
  </si>
  <si>
    <t>文字</t>
    <phoneticPr fontId="4"/>
  </si>
  <si>
    <t>For i = 1 To Worksheets.Count  '</t>
  </si>
  <si>
    <t xml:space="preserve">    If Worksheets(i).Name = "Salesforce連携一覧" Then</t>
  </si>
  <si>
    <t xml:space="preserve">    If Worksheets(i).Name = "施設担当者" Then</t>
  </si>
  <si>
    <t xml:space="preserve">    If Worksheets(i).Name = "ユーザ" Then</t>
  </si>
  <si>
    <t xml:space="preserve">            wsheet1.Cells(iRow, 7) = wsheet2.Cells(j, 38)</t>
  </si>
  <si>
    <t xml:space="preserve">            wsheet1.Cells(iRow, 8) = wsheet2.Cells(j, 39)</t>
  </si>
  <si>
    <t>Sub 項目編集()</t>
  </si>
  <si>
    <t>Dim MaxRowj  As Integer</t>
  </si>
  <si>
    <t>Dim sSheetName As String</t>
  </si>
  <si>
    <t>Set wsheet1 = Sheets("項目一覧 (項目別)")</t>
  </si>
  <si>
    <t>MaxRow = wsheet1.Cells(Rows.Count, 1).End(xlUp).Row</t>
  </si>
  <si>
    <t>For i = 4 To MaxRow</t>
  </si>
  <si>
    <t xml:space="preserve">    sSheetName = wsheet1.Cells(i, 2)</t>
  </si>
  <si>
    <t xml:space="preserve">    Set wsheet2 = Sheets(sSheetName)</t>
  </si>
  <si>
    <t xml:space="preserve">    MaxRowj = wsheet2.Cells(Rows.Count, 1).End(xlUp).Row</t>
  </si>
  <si>
    <t xml:space="preserve">    For j = 1 To MaxRowj</t>
  </si>
  <si>
    <t xml:space="preserve">        If Trim(wsheet1.Cells(i, 3)) = Trim(wsheet2.Cells(j, 3)) Then</t>
  </si>
  <si>
    <t xml:space="preserve">            wsheet2.Cells(j, 13) = wsheet1.Cells(i, 4)</t>
  </si>
  <si>
    <t xml:space="preserve">            wsheet2.Cells(j, 27) = wsheet1.Cells(i, 5)</t>
  </si>
  <si>
    <t xml:space="preserve">            wsheet2.Cells(j, 31) = wsheet1.Cells(i, 6)</t>
  </si>
  <si>
    <t xml:space="preserve">            wsheet2.Cells(j, 38) = wsheet1.Cells(i, 7)</t>
  </si>
  <si>
    <t xml:space="preserve">            If wsheet1.Cells(i, 8) &lt;&gt; "" Then</t>
  </si>
  <si>
    <t xml:space="preserve">                wsheet2.Cells(j, 39) = wsheet1.Cells(i, 8)</t>
  </si>
  <si>
    <t xml:space="preserve">            Else</t>
  </si>
  <si>
    <t xml:space="preserve">                wsheet2.Cells(j, 39) = ""</t>
  </si>
  <si>
    <t xml:space="preserve">            Exit For</t>
  </si>
  <si>
    <t xml:space="preserve">        End If</t>
  </si>
  <si>
    <t xml:space="preserve">    Next j</t>
  </si>
  <si>
    <t>*</t>
    <phoneticPr fontId="4"/>
  </si>
  <si>
    <t>MsgBox ("完了")</t>
  </si>
  <si>
    <t>日付</t>
  </si>
  <si>
    <t>№</t>
    <phoneticPr fontId="4"/>
  </si>
  <si>
    <t>テーブル</t>
    <phoneticPr fontId="4"/>
  </si>
  <si>
    <t>項目名</t>
  </si>
  <si>
    <t>項目ID</t>
  </si>
  <si>
    <t>型名</t>
  </si>
  <si>
    <t>型</t>
  </si>
  <si>
    <t>整数</t>
  </si>
  <si>
    <t>小数</t>
  </si>
  <si>
    <t>必要/不要</t>
    <rPh sb="0" eb="2">
      <t>ヒツヨウ</t>
    </rPh>
    <rPh sb="3" eb="5">
      <t>フヨウ</t>
    </rPh>
    <phoneticPr fontId="4"/>
  </si>
  <si>
    <t>新基幹システム</t>
    <phoneticPr fontId="4"/>
  </si>
  <si>
    <t>システム名</t>
    <rPh sb="4" eb="5">
      <t>メイ</t>
    </rPh>
    <phoneticPr fontId="5"/>
  </si>
  <si>
    <t>業務分類名</t>
    <rPh sb="0" eb="2">
      <t>ギョウム</t>
    </rPh>
    <rPh sb="2" eb="4">
      <t>ブンルイ</t>
    </rPh>
    <rPh sb="4" eb="5">
      <t>メイ</t>
    </rPh>
    <phoneticPr fontId="5"/>
  </si>
  <si>
    <t>テーブル項目定義</t>
    <rPh sb="6" eb="8">
      <t>テイギ</t>
    </rPh>
    <phoneticPr fontId="5"/>
  </si>
  <si>
    <t>№</t>
    <phoneticPr fontId="5"/>
  </si>
  <si>
    <t>テーブル概要</t>
    <rPh sb="4" eb="6">
      <t>ガイヨウ</t>
    </rPh>
    <phoneticPr fontId="4"/>
  </si>
  <si>
    <t>テーブル分類名</t>
    <rPh sb="4" eb="6">
      <t>ブンルイ</t>
    </rPh>
    <rPh sb="6" eb="7">
      <t>メイ</t>
    </rPh>
    <phoneticPr fontId="5"/>
  </si>
  <si>
    <t>トランザクション</t>
    <phoneticPr fontId="4"/>
  </si>
  <si>
    <t>テーブル名</t>
    <rPh sb="4" eb="5">
      <t>メイ</t>
    </rPh>
    <phoneticPr fontId="5"/>
  </si>
  <si>
    <t>テーブルID</t>
    <phoneticPr fontId="5"/>
  </si>
  <si>
    <t>varchar</t>
  </si>
  <si>
    <t>数値</t>
  </si>
  <si>
    <t>datetime</t>
  </si>
  <si>
    <t>numeric</t>
  </si>
  <si>
    <t>文字</t>
  </si>
  <si>
    <t>登録者コード</t>
  </si>
  <si>
    <t>登録日</t>
  </si>
  <si>
    <t>更新者コード</t>
  </si>
  <si>
    <t>更新日</t>
  </si>
  <si>
    <t>登録機能ID</t>
    <rPh sb="0" eb="2">
      <t>トウロク</t>
    </rPh>
    <rPh sb="2" eb="4">
      <t>キノウ</t>
    </rPh>
    <phoneticPr fontId="4"/>
  </si>
  <si>
    <t>更新機能ID</t>
    <rPh sb="0" eb="2">
      <t>コウシン</t>
    </rPh>
    <rPh sb="2" eb="4">
      <t>キノウ</t>
    </rPh>
    <phoneticPr fontId="4"/>
  </si>
  <si>
    <t>受注№</t>
    <rPh sb="0" eb="2">
      <t>ジュチュウ</t>
    </rPh>
    <phoneticPr fontId="8"/>
  </si>
  <si>
    <t>1</t>
    <phoneticPr fontId="4"/>
  </si>
  <si>
    <t>国内海外区分</t>
    <rPh sb="0" eb="2">
      <t>コクナイ</t>
    </rPh>
    <rPh sb="2" eb="4">
      <t>カイガイ</t>
    </rPh>
    <rPh sb="4" eb="6">
      <t>クブン</t>
    </rPh>
    <phoneticPr fontId="8"/>
  </si>
  <si>
    <t>受注日</t>
    <rPh sb="0" eb="2">
      <t>ジュチュウ</t>
    </rPh>
    <rPh sb="2" eb="3">
      <t>ヒ</t>
    </rPh>
    <phoneticPr fontId="8"/>
  </si>
  <si>
    <t>得意先コード</t>
    <rPh sb="0" eb="3">
      <t>トクイサキ</t>
    </rPh>
    <phoneticPr fontId="8"/>
  </si>
  <si>
    <t>得意先名称</t>
    <rPh sb="0" eb="3">
      <t>トクイサキ</t>
    </rPh>
    <rPh sb="3" eb="5">
      <t>メイショウ</t>
    </rPh>
    <phoneticPr fontId="8"/>
  </si>
  <si>
    <t>納入先コード</t>
    <rPh sb="0" eb="3">
      <t>ノウニュウサキ</t>
    </rPh>
    <phoneticPr fontId="8"/>
  </si>
  <si>
    <t>納入先名称</t>
    <rPh sb="0" eb="3">
      <t>ノウニュウサキ</t>
    </rPh>
    <rPh sb="3" eb="5">
      <t>メイショウ</t>
    </rPh>
    <phoneticPr fontId="8"/>
  </si>
  <si>
    <t>扱店コード</t>
    <rPh sb="0" eb="2">
      <t>アツカイテン</t>
    </rPh>
    <phoneticPr fontId="8"/>
  </si>
  <si>
    <t>扱店名称</t>
    <rPh sb="0" eb="2">
      <t>アツカイテン</t>
    </rPh>
    <rPh sb="2" eb="4">
      <t>メイショウ</t>
    </rPh>
    <phoneticPr fontId="8"/>
  </si>
  <si>
    <t>製品番号</t>
    <rPh sb="0" eb="4">
      <t>セイヒンバンゴウ</t>
    </rPh>
    <phoneticPr fontId="8"/>
  </si>
  <si>
    <t>品種コード</t>
    <rPh sb="0" eb="2">
      <t>ヒンシュ</t>
    </rPh>
    <phoneticPr fontId="8"/>
  </si>
  <si>
    <t>品名</t>
    <rPh sb="0" eb="2">
      <t>ヒンメイ</t>
    </rPh>
    <phoneticPr fontId="8"/>
  </si>
  <si>
    <t>工程</t>
    <rPh sb="0" eb="2">
      <t>コウテイ</t>
    </rPh>
    <phoneticPr fontId="8"/>
  </si>
  <si>
    <t>坪量</t>
    <rPh sb="0" eb="1">
      <t>ツボ</t>
    </rPh>
    <rPh sb="1" eb="2">
      <t>リョウ</t>
    </rPh>
    <phoneticPr fontId="8"/>
  </si>
  <si>
    <t>幅</t>
    <rPh sb="0" eb="1">
      <t>ハバ</t>
    </rPh>
    <phoneticPr fontId="8"/>
  </si>
  <si>
    <t>長さ</t>
    <rPh sb="0" eb="1">
      <t>ナガ</t>
    </rPh>
    <phoneticPr fontId="8"/>
  </si>
  <si>
    <t>連量</t>
    <rPh sb="0" eb="2">
      <t>レンリョウ</t>
    </rPh>
    <phoneticPr fontId="8"/>
  </si>
  <si>
    <t>総量</t>
    <rPh sb="0" eb="2">
      <t>ソウリョウ</t>
    </rPh>
    <phoneticPr fontId="8"/>
  </si>
  <si>
    <t>単価</t>
    <rPh sb="0" eb="2">
      <t>タンカ</t>
    </rPh>
    <phoneticPr fontId="8"/>
  </si>
  <si>
    <t>単価単位</t>
    <rPh sb="0" eb="4">
      <t>タンカタンイ</t>
    </rPh>
    <phoneticPr fontId="8"/>
  </si>
  <si>
    <t>備考</t>
    <rPh sb="0" eb="2">
      <t>ビコウ</t>
    </rPh>
    <phoneticPr fontId="8"/>
  </si>
  <si>
    <t>保管場所</t>
    <rPh sb="0" eb="4">
      <t>ホカンバショ</t>
    </rPh>
    <phoneticPr fontId="8"/>
  </si>
  <si>
    <t>製品ロット№</t>
    <rPh sb="0" eb="2">
      <t>セイヒン</t>
    </rPh>
    <phoneticPr fontId="8"/>
  </si>
  <si>
    <t>製品フルロット№</t>
    <rPh sb="0" eb="2">
      <t>セイヒン</t>
    </rPh>
    <phoneticPr fontId="4"/>
  </si>
  <si>
    <t>パレット№</t>
  </si>
  <si>
    <t>フルパレット№</t>
    <phoneticPr fontId="4"/>
  </si>
  <si>
    <t>項目コメント</t>
    <rPh sb="0" eb="2">
      <t>コウモク</t>
    </rPh>
    <phoneticPr fontId="4"/>
  </si>
  <si>
    <t>業務分類</t>
    <rPh sb="0" eb="2">
      <t>ギョウム</t>
    </rPh>
    <rPh sb="2" eb="4">
      <t>ブンルイ</t>
    </rPh>
    <phoneticPr fontId="4"/>
  </si>
  <si>
    <t>保管場所コード</t>
    <rPh sb="0" eb="4">
      <t>ホカンバショ</t>
    </rPh>
    <phoneticPr fontId="4"/>
  </si>
  <si>
    <t>出荷指示情報</t>
    <rPh sb="0" eb="4">
      <t>シュッカシジ</t>
    </rPh>
    <rPh sb="4" eb="6">
      <t>ジョウホウ</t>
    </rPh>
    <phoneticPr fontId="4"/>
  </si>
  <si>
    <t>D.出荷</t>
  </si>
  <si>
    <t>出荷指示№</t>
    <rPh sb="0" eb="4">
      <t>シュッカシジ</t>
    </rPh>
    <phoneticPr fontId="8"/>
  </si>
  <si>
    <t>出荷日</t>
    <rPh sb="0" eb="2">
      <t>シュッカ</t>
    </rPh>
    <rPh sb="2" eb="3">
      <t>ヨテイビ</t>
    </rPh>
    <phoneticPr fontId="8"/>
  </si>
  <si>
    <t>納入日</t>
    <rPh sb="0" eb="2">
      <t>ノウニュウ</t>
    </rPh>
    <rPh sb="2" eb="3">
      <t>ヒ</t>
    </rPh>
    <phoneticPr fontId="8"/>
  </si>
  <si>
    <t>送り状摘要</t>
    <rPh sb="0" eb="1">
      <t>オク</t>
    </rPh>
    <rPh sb="2" eb="3">
      <t>ジョウ</t>
    </rPh>
    <rPh sb="3" eb="5">
      <t>テキヨウ</t>
    </rPh>
    <phoneticPr fontId="8"/>
  </si>
  <si>
    <t>運送会社コード</t>
  </si>
  <si>
    <t>受注№</t>
  </si>
  <si>
    <t>受注日</t>
  </si>
  <si>
    <t>工程</t>
  </si>
  <si>
    <t>製品番号</t>
  </si>
  <si>
    <t>品種コード</t>
  </si>
  <si>
    <t>品名</t>
  </si>
  <si>
    <t>坪量</t>
  </si>
  <si>
    <t>幅</t>
  </si>
  <si>
    <t>長さ</t>
  </si>
  <si>
    <t>連量</t>
  </si>
  <si>
    <t>総量</t>
  </si>
  <si>
    <t>単価</t>
  </si>
  <si>
    <t>単価単位</t>
  </si>
  <si>
    <t>保管場所コード</t>
  </si>
  <si>
    <t>製品ロット№</t>
  </si>
  <si>
    <t>ロット№備考</t>
  </si>
  <si>
    <t>在庫数量</t>
  </si>
  <si>
    <t>荷姿単位</t>
  </si>
  <si>
    <t>ケース入数</t>
    <rPh sb="3" eb="5">
      <t>イリスウ</t>
    </rPh>
    <phoneticPr fontId="4"/>
  </si>
  <si>
    <t>送り状出力区分</t>
  </si>
  <si>
    <t>荷札出力区分</t>
  </si>
  <si>
    <t>納品勘定書出力区分</t>
  </si>
  <si>
    <t>出荷実績登録区分</t>
  </si>
  <si>
    <t>ロック状態</t>
  </si>
  <si>
    <t>区分マスタ.区分：44</t>
    <phoneticPr fontId="4"/>
  </si>
  <si>
    <t>区分マスタ.区分：43</t>
    <phoneticPr fontId="4"/>
  </si>
  <si>
    <t>区分マスタ.区分：45</t>
    <phoneticPr fontId="4"/>
  </si>
  <si>
    <t>主幹部署コード</t>
    <phoneticPr fontId="4"/>
  </si>
  <si>
    <t>主幹工程コード</t>
    <rPh sb="0" eb="2">
      <t>シュカン</t>
    </rPh>
    <rPh sb="2" eb="4">
      <t>コウテイ</t>
    </rPh>
    <phoneticPr fontId="4"/>
  </si>
  <si>
    <t>主幹部署コード</t>
    <rPh sb="0" eb="2">
      <t>シュカン</t>
    </rPh>
    <rPh sb="2" eb="4">
      <t>ブショ</t>
    </rPh>
    <phoneticPr fontId="4"/>
  </si>
  <si>
    <t>パック入数</t>
    <rPh sb="3" eb="5">
      <t>イリスウ</t>
    </rPh>
    <phoneticPr fontId="4"/>
  </si>
  <si>
    <t>納品勘定書伝票№</t>
    <rPh sb="5" eb="7">
      <t>デンピョウ</t>
    </rPh>
    <phoneticPr fontId="4"/>
  </si>
  <si>
    <t>D.出荷</t>
    <phoneticPr fontId="4"/>
  </si>
  <si>
    <t>トスコ</t>
    <phoneticPr fontId="4"/>
  </si>
  <si>
    <t>出荷指示明細情報（受注）</t>
    <rPh sb="0" eb="8">
      <t>シュッカシジメイサイジョウホウ</t>
    </rPh>
    <rPh sb="9" eb="11">
      <t>ジュチュウ</t>
    </rPh>
    <phoneticPr fontId="4"/>
  </si>
  <si>
    <t>出荷指示明細情報（在庫）</t>
    <rPh sb="0" eb="8">
      <t>シュッカシジメイサイジョウホウ</t>
    </rPh>
    <rPh sb="9" eb="11">
      <t>ザイコ</t>
    </rPh>
    <phoneticPr fontId="4"/>
  </si>
  <si>
    <t>受注明細SEQ</t>
    <rPh sb="0" eb="2">
      <t>ジュチュウ</t>
    </rPh>
    <rPh sb="2" eb="4">
      <t>メイサイ</t>
    </rPh>
    <phoneticPr fontId="4"/>
  </si>
  <si>
    <t>在庫明細SEQ</t>
    <rPh sb="2" eb="4">
      <t>メイサイ</t>
    </rPh>
    <phoneticPr fontId="4"/>
  </si>
  <si>
    <t>在庫数</t>
    <phoneticPr fontId="4"/>
  </si>
  <si>
    <t>受注数</t>
    <phoneticPr fontId="4"/>
  </si>
  <si>
    <t>個数単位</t>
    <rPh sb="0" eb="2">
      <t>コスウ</t>
    </rPh>
    <phoneticPr fontId="4"/>
  </si>
  <si>
    <t>数量</t>
    <rPh sb="0" eb="2">
      <t>スウリョウ</t>
    </rPh>
    <phoneticPr fontId="4"/>
  </si>
  <si>
    <t>荷姿数</t>
    <phoneticPr fontId="4"/>
  </si>
  <si>
    <t>出荷指示№</t>
    <rPh sb="0" eb="2">
      <t>シュッカ</t>
    </rPh>
    <rPh sb="2" eb="4">
      <t>シジ</t>
    </rPh>
    <phoneticPr fontId="8"/>
  </si>
  <si>
    <t>出荷実績情報</t>
    <rPh sb="0" eb="6">
      <t>シュッカジッセキジョウホウ</t>
    </rPh>
    <phoneticPr fontId="4"/>
  </si>
  <si>
    <t>出荷実績明細情報（受注）</t>
    <rPh sb="0" eb="4">
      <t>シュッカジッセキ</t>
    </rPh>
    <rPh sb="4" eb="8">
      <t>メイサイジョウホウ</t>
    </rPh>
    <rPh sb="9" eb="11">
      <t>ジュチュウ</t>
    </rPh>
    <phoneticPr fontId="4"/>
  </si>
  <si>
    <t>出荷実績明細情報（在庫）</t>
    <rPh sb="0" eb="4">
      <t>シュッカジッセキ</t>
    </rPh>
    <rPh sb="4" eb="8">
      <t>メイサイジョウホウ</t>
    </rPh>
    <rPh sb="9" eb="11">
      <t>ザイコ</t>
    </rPh>
    <phoneticPr fontId="4"/>
  </si>
  <si>
    <t>出荷実績明細情報（ロット№）</t>
    <rPh sb="0" eb="4">
      <t>シュッカジッセキ</t>
    </rPh>
    <rPh sb="4" eb="8">
      <t>メイサイジョウホウ</t>
    </rPh>
    <phoneticPr fontId="4"/>
  </si>
  <si>
    <t>出荷指示№</t>
    <phoneticPr fontId="4"/>
  </si>
  <si>
    <t>出荷実績№</t>
    <rPh sb="0" eb="2">
      <t>シュッカ</t>
    </rPh>
    <rPh sb="2" eb="4">
      <t>ジッセキ</t>
    </rPh>
    <phoneticPr fontId="8"/>
  </si>
  <si>
    <t>2</t>
    <phoneticPr fontId="4"/>
  </si>
  <si>
    <t>金額</t>
    <rPh sb="0" eb="2">
      <t>キンガク</t>
    </rPh>
    <phoneticPr fontId="4"/>
  </si>
  <si>
    <t>金額</t>
    <rPh sb="0" eb="2">
      <t>キンガク</t>
    </rPh>
    <phoneticPr fontId="8"/>
  </si>
  <si>
    <t>出荷実績№</t>
    <phoneticPr fontId="8"/>
  </si>
  <si>
    <t>ロット明細SEQ</t>
    <rPh sb="3" eb="5">
      <t>メイサイ</t>
    </rPh>
    <phoneticPr fontId="4"/>
  </si>
  <si>
    <t>ロット№読取情報</t>
    <rPh sb="4" eb="8">
      <t>ヨミトリジョウホウ</t>
    </rPh>
    <phoneticPr fontId="4"/>
  </si>
  <si>
    <t>読取ロット№</t>
    <rPh sb="0" eb="2">
      <t>ヨミトリ</t>
    </rPh>
    <phoneticPr fontId="4"/>
  </si>
  <si>
    <t>読取パレット№</t>
    <rPh sb="0" eb="2">
      <t>ヨミトリ</t>
    </rPh>
    <phoneticPr fontId="4"/>
  </si>
  <si>
    <t>読取日時</t>
    <rPh sb="0" eb="4">
      <t>ヨミトリニチジ</t>
    </rPh>
    <phoneticPr fontId="4"/>
  </si>
  <si>
    <t>HTで読み取ったコード（ロット№）の情報を保存するテーブル</t>
    <rPh sb="3" eb="4">
      <t>ヨ</t>
    </rPh>
    <rPh sb="5" eb="6">
      <t>ト</t>
    </rPh>
    <rPh sb="18" eb="20">
      <t>ジョウホウ</t>
    </rPh>
    <rPh sb="21" eb="23">
      <t>ホゾン</t>
    </rPh>
    <phoneticPr fontId="4"/>
  </si>
  <si>
    <t>*</t>
    <phoneticPr fontId="4"/>
  </si>
  <si>
    <t>仮)国内：0　　海外：コンテナ毎に1から連番</t>
    <rPh sb="0" eb="1">
      <t>カリ</t>
    </rPh>
    <rPh sb="8" eb="10">
      <t>カイガイ</t>
    </rPh>
    <rPh sb="15" eb="16">
      <t>ゴト</t>
    </rPh>
    <rPh sb="20" eb="22">
      <t>レンバン</t>
    </rPh>
    <phoneticPr fontId="4"/>
  </si>
  <si>
    <t>出荷指示№枝番</t>
  </si>
  <si>
    <t>出荷指示№枝番</t>
    <rPh sb="0" eb="4">
      <t>シュッカシジ</t>
    </rPh>
    <rPh sb="5" eb="7">
      <t>エダバン</t>
    </rPh>
    <phoneticPr fontId="8"/>
  </si>
  <si>
    <t>出荷時刻</t>
    <rPh sb="0" eb="4">
      <t>シュッカジコク</t>
    </rPh>
    <phoneticPr fontId="4"/>
  </si>
  <si>
    <t>コンテナサイズ</t>
  </si>
  <si>
    <t>コンテナサイズ</t>
    <phoneticPr fontId="4"/>
  </si>
  <si>
    <t>コンテナ種類</t>
    <rPh sb="4" eb="6">
      <t>シュルイ</t>
    </rPh>
    <phoneticPr fontId="4"/>
  </si>
  <si>
    <t>積込場所</t>
    <rPh sb="0" eb="4">
      <t>ツミコミバショ</t>
    </rPh>
    <phoneticPr fontId="4"/>
  </si>
  <si>
    <t>特記事項</t>
    <rPh sb="0" eb="4">
      <t>トッキジコウ</t>
    </rPh>
    <phoneticPr fontId="4"/>
  </si>
  <si>
    <t>時間</t>
  </si>
  <si>
    <t>注文書番号</t>
    <rPh sb="0" eb="5">
      <t>チュウモンショバンゴウ</t>
    </rPh>
    <phoneticPr fontId="8"/>
  </si>
  <si>
    <t>指示数</t>
    <rPh sb="0" eb="2">
      <t>シジ</t>
    </rPh>
    <phoneticPr fontId="4"/>
  </si>
  <si>
    <t>指示数</t>
    <rPh sb="0" eb="3">
      <t>シジスウ</t>
    </rPh>
    <phoneticPr fontId="8"/>
  </si>
  <si>
    <t>指示数</t>
    <rPh sb="0" eb="2">
      <t>シジ</t>
    </rPh>
    <rPh sb="2" eb="3">
      <t>スウ</t>
    </rPh>
    <phoneticPr fontId="8"/>
  </si>
  <si>
    <t>実績数</t>
    <rPh sb="0" eb="2">
      <t>ジッセキ</t>
    </rPh>
    <phoneticPr fontId="4"/>
  </si>
  <si>
    <t>レート</t>
    <phoneticPr fontId="4"/>
  </si>
  <si>
    <t>項目名</t>
    <rPh sb="0" eb="3">
      <t>コウモクメイ</t>
    </rPh>
    <phoneticPr fontId="4"/>
  </si>
  <si>
    <t>物理項目ID</t>
    <rPh sb="0" eb="2">
      <t>ブツリ</t>
    </rPh>
    <rPh sb="2" eb="4">
      <t>コウモク</t>
    </rPh>
    <phoneticPr fontId="4"/>
  </si>
  <si>
    <t>ＦＡＸ番号</t>
    <phoneticPr fontId="4"/>
  </si>
  <si>
    <t>fax_no</t>
  </si>
  <si>
    <t>https://tomari.org/main/java/hebon.html</t>
    <phoneticPr fontId="25"/>
  </si>
  <si>
    <t>カテゴリ</t>
    <phoneticPr fontId="4"/>
  </si>
  <si>
    <t>category</t>
  </si>
  <si>
    <t>ケース入数</t>
    <phoneticPr fontId="4"/>
  </si>
  <si>
    <t>case_irisu</t>
  </si>
  <si>
    <t>コード</t>
    <phoneticPr fontId="4"/>
  </si>
  <si>
    <t>code</t>
  </si>
  <si>
    <t>コート液濃度 (%)</t>
    <phoneticPr fontId="4"/>
  </si>
  <si>
    <t>coating_nodo</t>
  </si>
  <si>
    <t>コート量 (g/㎡)</t>
    <phoneticPr fontId="4"/>
  </si>
  <si>
    <t>coating_amount</t>
  </si>
  <si>
    <t>システム権限フラグ</t>
    <phoneticPr fontId="4"/>
  </si>
  <si>
    <t>system_auth_flg</t>
  </si>
  <si>
    <t>パスワード</t>
    <phoneticPr fontId="4"/>
  </si>
  <si>
    <t>password</t>
  </si>
  <si>
    <t>パック入数</t>
    <phoneticPr fontId="4"/>
  </si>
  <si>
    <t>pakku_irisu</t>
  </si>
  <si>
    <t>ベール数</t>
    <phoneticPr fontId="4"/>
  </si>
  <si>
    <t>bale_su</t>
  </si>
  <si>
    <t>メニュー名</t>
    <phoneticPr fontId="4"/>
  </si>
  <si>
    <t>menu_nm</t>
  </si>
  <si>
    <t>リップカット種</t>
    <phoneticPr fontId="4"/>
  </si>
  <si>
    <t>lip</t>
  </si>
  <si>
    <t>扱店フラグ</t>
    <phoneticPr fontId="4"/>
  </si>
  <si>
    <t>atsukaiten_flg</t>
  </si>
  <si>
    <t>委託販売区分</t>
    <phoneticPr fontId="4"/>
  </si>
  <si>
    <t>itaku_sales_kbn</t>
  </si>
  <si>
    <t>運送会社フラグ</t>
    <phoneticPr fontId="4"/>
  </si>
  <si>
    <t>unsokaisha_flg</t>
  </si>
  <si>
    <t>加巻長さ</t>
    <phoneticPr fontId="4"/>
  </si>
  <si>
    <t>kamaki_length</t>
  </si>
  <si>
    <t>加巻率</t>
    <phoneticPr fontId="4"/>
  </si>
  <si>
    <t>kamaki_rate</t>
  </si>
  <si>
    <t>回収サイト</t>
    <phoneticPr fontId="4"/>
  </si>
  <si>
    <t>kaishu_site</t>
  </si>
  <si>
    <t>回収境界金額</t>
    <phoneticPr fontId="4"/>
  </si>
  <si>
    <t>kaishu_amount</t>
  </si>
  <si>
    <t>回収区分</t>
    <phoneticPr fontId="4"/>
  </si>
  <si>
    <t>kaishu_kbn</t>
  </si>
  <si>
    <t>回収月数</t>
    <phoneticPr fontId="4"/>
  </si>
  <si>
    <t>kaishu_gessu</t>
  </si>
  <si>
    <t>回収日</t>
    <phoneticPr fontId="4"/>
  </si>
  <si>
    <t>kaishubi</t>
  </si>
  <si>
    <t>改定年月日</t>
    <phoneticPr fontId="4"/>
  </si>
  <si>
    <t>kaitei_date</t>
  </si>
  <si>
    <t>開始時間</t>
    <phoneticPr fontId="4"/>
  </si>
  <si>
    <t>kaishi_datetime</t>
  </si>
  <si>
    <t>外注加工先フラグ</t>
    <phoneticPr fontId="4"/>
  </si>
  <si>
    <t>gaichukakosaki_flg</t>
  </si>
  <si>
    <t>管轄コード</t>
    <phoneticPr fontId="4"/>
  </si>
  <si>
    <t>kankatsu_cd</t>
  </si>
  <si>
    <t>管轄名</t>
    <phoneticPr fontId="4"/>
  </si>
  <si>
    <t>kankatsu_nm</t>
  </si>
  <si>
    <t>丸め区分</t>
    <phoneticPr fontId="4"/>
  </si>
  <si>
    <t>marume_kbn</t>
  </si>
  <si>
    <t>含浸液濃度 (%)</t>
    <phoneticPr fontId="4"/>
  </si>
  <si>
    <t>ganshin_nodo</t>
  </si>
  <si>
    <t>含浸量 (g/㎡)</t>
    <phoneticPr fontId="4"/>
  </si>
  <si>
    <t>ganshin_ryo</t>
  </si>
  <si>
    <t>基準日</t>
    <phoneticPr fontId="4"/>
  </si>
  <si>
    <t>kijun_date</t>
    <phoneticPr fontId="4"/>
  </si>
  <si>
    <t>機能コード</t>
    <phoneticPr fontId="4"/>
  </si>
  <si>
    <t>kino_cd</t>
  </si>
  <si>
    <t>機能名</t>
    <phoneticPr fontId="4"/>
  </si>
  <si>
    <t>kino_nm</t>
  </si>
  <si>
    <t>起動アプリID</t>
    <phoneticPr fontId="4"/>
  </si>
  <si>
    <t>start_app_id</t>
  </si>
  <si>
    <t>休日フラグ</t>
    <phoneticPr fontId="4"/>
  </si>
  <si>
    <t>kyujitsu_flg</t>
  </si>
  <si>
    <t>業者コード</t>
    <phoneticPr fontId="4"/>
  </si>
  <si>
    <t>gyosha_cd</t>
  </si>
  <si>
    <t>業者メイ</t>
    <phoneticPr fontId="4"/>
  </si>
  <si>
    <t>gyosha_kana_nm</t>
  </si>
  <si>
    <t>業者英名</t>
    <phoneticPr fontId="4"/>
  </si>
  <si>
    <t>gyosha_eng_nm</t>
  </si>
  <si>
    <t>業者区分</t>
    <phoneticPr fontId="4"/>
  </si>
  <si>
    <t>gyosha_kbn</t>
  </si>
  <si>
    <t>業者短縮メイ</t>
    <phoneticPr fontId="4"/>
  </si>
  <si>
    <t>gyosha_ryaku_kana_nm</t>
  </si>
  <si>
    <t>業者短縮名</t>
    <phoneticPr fontId="4"/>
  </si>
  <si>
    <t>gyosha_ryaku_nm</t>
  </si>
  <si>
    <t>業者名</t>
    <phoneticPr fontId="4"/>
  </si>
  <si>
    <t>gyosha_nm</t>
  </si>
  <si>
    <t>業務区分</t>
    <phoneticPr fontId="4"/>
  </si>
  <si>
    <t>gyomu_kbn</t>
  </si>
  <si>
    <t>業務識別コード</t>
    <phoneticPr fontId="4"/>
  </si>
  <si>
    <t>gyomu_shikibetsu_cd</t>
  </si>
  <si>
    <t>業務識別区分</t>
    <phoneticPr fontId="4"/>
  </si>
  <si>
    <t>gyomu_shikibetsu_kbn</t>
  </si>
  <si>
    <t>区分</t>
    <phoneticPr fontId="4"/>
  </si>
  <si>
    <t>kbn</t>
  </si>
  <si>
    <t>経費コード</t>
    <phoneticPr fontId="4"/>
  </si>
  <si>
    <t>keihi_cd</t>
  </si>
  <si>
    <t>経費名</t>
    <phoneticPr fontId="4"/>
  </si>
  <si>
    <t>keihi_nm</t>
  </si>
  <si>
    <t>桁数</t>
    <phoneticPr fontId="4"/>
  </si>
  <si>
    <t>ketasu</t>
  </si>
  <si>
    <t>原反幅</t>
    <phoneticPr fontId="4"/>
  </si>
  <si>
    <t>gentan_width</t>
  </si>
  <si>
    <t>kokeibun</t>
  </si>
  <si>
    <t>工程コード</t>
    <phoneticPr fontId="4"/>
  </si>
  <si>
    <t>kotei_cd</t>
  </si>
  <si>
    <t>工程名</t>
    <phoneticPr fontId="4"/>
  </si>
  <si>
    <t>kotei_nm</t>
  </si>
  <si>
    <t>工程略称</t>
    <phoneticPr fontId="4"/>
  </si>
  <si>
    <t>kotei_ryaku_nm</t>
  </si>
  <si>
    <t>更新者コード</t>
    <phoneticPr fontId="4"/>
  </si>
  <si>
    <t>update_user_cd</t>
  </si>
  <si>
    <t>更新者名</t>
    <phoneticPr fontId="4"/>
  </si>
  <si>
    <t>update_user_nm</t>
  </si>
  <si>
    <t>更新日</t>
    <phoneticPr fontId="4"/>
  </si>
  <si>
    <t>update_datetime</t>
  </si>
  <si>
    <t>購入単価</t>
    <phoneticPr fontId="4"/>
  </si>
  <si>
    <t>konyu_price</t>
  </si>
  <si>
    <t>購入単価単位</t>
    <phoneticPr fontId="4"/>
  </si>
  <si>
    <t>konyu_price_unit</t>
  </si>
  <si>
    <t>国内海外区分</t>
    <phoneticPr fontId="4"/>
  </si>
  <si>
    <t>kokunai_kaigai_kbn</t>
  </si>
  <si>
    <t>最終承認フラグ</t>
    <phoneticPr fontId="4"/>
  </si>
  <si>
    <t>saishu_shonin_flg</t>
  </si>
  <si>
    <t>最大幅</t>
    <phoneticPr fontId="4"/>
  </si>
  <si>
    <t>max_width</t>
  </si>
  <si>
    <t>在庫管理区分</t>
    <phoneticPr fontId="4"/>
  </si>
  <si>
    <t>zaiko_kanri_kbn</t>
  </si>
  <si>
    <t>削除フラグ</t>
    <phoneticPr fontId="4"/>
  </si>
  <si>
    <t>delete_flg</t>
  </si>
  <si>
    <t>仕入先フラグ</t>
    <phoneticPr fontId="4"/>
  </si>
  <si>
    <t>shiiresaki_flg</t>
  </si>
  <si>
    <t>仕入締日</t>
    <phoneticPr fontId="4"/>
  </si>
  <si>
    <t>shiire_shimebi</t>
  </si>
  <si>
    <t>仕様枚数</t>
    <phoneticPr fontId="4"/>
  </si>
  <si>
    <t>spec_maisu</t>
  </si>
  <si>
    <t>支払月数</t>
    <phoneticPr fontId="4"/>
  </si>
  <si>
    <t>shiharai_tsukisu</t>
  </si>
  <si>
    <t>支払日</t>
    <phoneticPr fontId="4"/>
  </si>
  <si>
    <t>shiharaibi</t>
  </si>
  <si>
    <t>借方科目コード</t>
    <phoneticPr fontId="4"/>
  </si>
  <si>
    <t>karikata_cd</t>
  </si>
  <si>
    <t>借方補助科目コード</t>
    <phoneticPr fontId="4"/>
  </si>
  <si>
    <t>karikata_hojo_cd</t>
  </si>
  <si>
    <t>主幹工程コード</t>
    <phoneticPr fontId="4"/>
  </si>
  <si>
    <t>shukan_kotei_cd</t>
  </si>
  <si>
    <t>shukan_busho_cd</t>
  </si>
  <si>
    <t>住所</t>
    <phoneticPr fontId="4"/>
  </si>
  <si>
    <t>address</t>
  </si>
  <si>
    <t>住所英名</t>
    <phoneticPr fontId="4"/>
  </si>
  <si>
    <t>address_eng</t>
  </si>
  <si>
    <t>重量</t>
    <phoneticPr fontId="4"/>
  </si>
  <si>
    <t>juryo</t>
  </si>
  <si>
    <t>承認権限フラグ</t>
    <phoneticPr fontId="4"/>
  </si>
  <si>
    <t>shonin_auth_flg</t>
  </si>
  <si>
    <t>承認順</t>
    <phoneticPr fontId="4"/>
  </si>
  <si>
    <t>shonin_order</t>
  </si>
  <si>
    <t>消費税計算区分</t>
    <phoneticPr fontId="4"/>
  </si>
  <si>
    <t>消費税率区分</t>
    <phoneticPr fontId="4"/>
  </si>
  <si>
    <t>tax_rate_kbn</t>
  </si>
  <si>
    <t>森林認証対象区分</t>
    <phoneticPr fontId="4"/>
  </si>
  <si>
    <t>fsc_kbn</t>
  </si>
  <si>
    <t>数量計算区分</t>
    <phoneticPr fontId="4"/>
  </si>
  <si>
    <t>qty_calc_kbn</t>
  </si>
  <si>
    <t>数量単位</t>
    <phoneticPr fontId="4"/>
  </si>
  <si>
    <t>qty_unit</t>
  </si>
  <si>
    <t>生産管理区分</t>
    <phoneticPr fontId="4"/>
  </si>
  <si>
    <t>seisan_kanri_kbn</t>
  </si>
  <si>
    <t>生産状況権限フラグ</t>
    <phoneticPr fontId="4"/>
  </si>
  <si>
    <t>seisan_jokyo_auth_flg</t>
  </si>
  <si>
    <t>製品区分</t>
    <phoneticPr fontId="4"/>
  </si>
  <si>
    <t>seihin_kbn</t>
  </si>
  <si>
    <t>製品識別区分</t>
    <phoneticPr fontId="4"/>
  </si>
  <si>
    <t>seihin_shikibetsu_kbn</t>
  </si>
  <si>
    <t>製品番号</t>
    <phoneticPr fontId="4"/>
  </si>
  <si>
    <t>seihin_no</t>
  </si>
  <si>
    <t>製品分類コード</t>
    <phoneticPr fontId="4"/>
  </si>
  <si>
    <t>seihin_bunrui_cd</t>
  </si>
  <si>
    <t>製品分類コード1</t>
    <phoneticPr fontId="4"/>
  </si>
  <si>
    <t>seihin_bunrui_cd_1</t>
  </si>
  <si>
    <t>製品分類コード2</t>
    <phoneticPr fontId="4"/>
  </si>
  <si>
    <t>seihin_bunrui_cd_2</t>
  </si>
  <si>
    <t>製品分類コード3</t>
    <phoneticPr fontId="4"/>
  </si>
  <si>
    <t>seihin_bunrui_cd_3</t>
  </si>
  <si>
    <t>製品分類コード4</t>
    <phoneticPr fontId="4"/>
  </si>
  <si>
    <t>seihin_bunrui_cd_4</t>
  </si>
  <si>
    <t>製品分類コード5</t>
    <phoneticPr fontId="4"/>
  </si>
  <si>
    <t>seihin_bunrui_cd_5</t>
  </si>
  <si>
    <t>製品分類コード6</t>
    <phoneticPr fontId="4"/>
  </si>
  <si>
    <t>seihin_bunrui_cd_6</t>
  </si>
  <si>
    <t>製品分類コード7</t>
    <phoneticPr fontId="4"/>
  </si>
  <si>
    <t>seihin_bunrui_cd_7</t>
  </si>
  <si>
    <t>製品分類フラグ1</t>
    <phoneticPr fontId="4"/>
  </si>
  <si>
    <t>seihin_bunrui_flg_1</t>
  </si>
  <si>
    <t>製品分類フラグ2</t>
    <phoneticPr fontId="4"/>
  </si>
  <si>
    <t>seihin_bunrui_flg_2</t>
  </si>
  <si>
    <t>製品分類フラグ3</t>
    <phoneticPr fontId="4"/>
  </si>
  <si>
    <t>seihin_bunrui_flg_3</t>
  </si>
  <si>
    <t>製品分類フラグ4</t>
    <phoneticPr fontId="4"/>
  </si>
  <si>
    <t>seihin_bunrui_flg_4</t>
  </si>
  <si>
    <t>製品分類フラグ5</t>
    <phoneticPr fontId="4"/>
  </si>
  <si>
    <t>seihin_bunrui_flg_5</t>
  </si>
  <si>
    <t>製品分類フラグ6</t>
    <phoneticPr fontId="4"/>
  </si>
  <si>
    <t>seihin_bunrui_flg_6</t>
  </si>
  <si>
    <t>製品分類フラグ7</t>
    <phoneticPr fontId="4"/>
  </si>
  <si>
    <t>seihin_bunrui_flg_7</t>
  </si>
  <si>
    <t>製品分類区分</t>
    <phoneticPr fontId="4"/>
  </si>
  <si>
    <t>seihin_bunrui_kbn</t>
  </si>
  <si>
    <t>製品分類名</t>
    <phoneticPr fontId="4"/>
  </si>
  <si>
    <t>seihin_bunrui_nm</t>
  </si>
  <si>
    <t>請求分類コード</t>
    <phoneticPr fontId="4"/>
  </si>
  <si>
    <t>seikyu_bunrui_cd</t>
  </si>
  <si>
    <t>設備コード</t>
    <phoneticPr fontId="4"/>
  </si>
  <si>
    <t>setsubi_cd</t>
  </si>
  <si>
    <t>設備識別コード</t>
    <phoneticPr fontId="4"/>
  </si>
  <si>
    <t>setsubi_shikibetsu_cd</t>
  </si>
  <si>
    <t>袋数</t>
    <phoneticPr fontId="4"/>
  </si>
  <si>
    <t>fukuro_su</t>
  </si>
  <si>
    <t>貸方科目コード</t>
    <phoneticPr fontId="4"/>
  </si>
  <si>
    <t>kashikata_cd</t>
  </si>
  <si>
    <t>貸方補助科目コード</t>
    <phoneticPr fontId="4"/>
  </si>
  <si>
    <t>kashikata_hojo_cd</t>
  </si>
  <si>
    <t>単位コード</t>
    <phoneticPr fontId="4"/>
  </si>
  <si>
    <t>unit_cd</t>
  </si>
  <si>
    <t>単位種別</t>
    <phoneticPr fontId="4"/>
  </si>
  <si>
    <t>unit_type</t>
  </si>
  <si>
    <t>単位重量</t>
    <phoneticPr fontId="4"/>
  </si>
  <si>
    <t>unit_juryo</t>
    <phoneticPr fontId="4"/>
  </si>
  <si>
    <t>単位重量コード</t>
    <phoneticPr fontId="4"/>
  </si>
  <si>
    <t>unit_juryo_cd</t>
    <phoneticPr fontId="4"/>
  </si>
  <si>
    <t>単位名</t>
    <phoneticPr fontId="4"/>
  </si>
  <si>
    <t>unit_nm</t>
  </si>
  <si>
    <t>担当者氏名１</t>
    <phoneticPr fontId="4"/>
  </si>
  <si>
    <t>tantosya_nm_1</t>
  </si>
  <si>
    <t>担当者氏名２</t>
    <phoneticPr fontId="4"/>
  </si>
  <si>
    <t>tantosya_nm_2</t>
  </si>
  <si>
    <t>担当者部課１</t>
    <phoneticPr fontId="4"/>
  </si>
  <si>
    <t>tantosya_buka_1</t>
  </si>
  <si>
    <t>担当者部課２</t>
    <phoneticPr fontId="4"/>
  </si>
  <si>
    <t>tantosya_buka_2</t>
  </si>
  <si>
    <t>担当者名</t>
    <phoneticPr fontId="4"/>
  </si>
  <si>
    <t>tantosya_nm</t>
  </si>
  <si>
    <t>長さ</t>
    <phoneticPr fontId="4"/>
  </si>
  <si>
    <t>length</t>
  </si>
  <si>
    <t>通貨コード</t>
    <phoneticPr fontId="4"/>
  </si>
  <si>
    <t>currency_cd</t>
  </si>
  <si>
    <t>通貨記号</t>
    <phoneticPr fontId="4"/>
  </si>
  <si>
    <t>currency_symbol</t>
  </si>
  <si>
    <t>通貨名</t>
    <phoneticPr fontId="4"/>
  </si>
  <si>
    <t>currency_nm</t>
  </si>
  <si>
    <t>坪量</t>
    <phoneticPr fontId="4"/>
  </si>
  <si>
    <t>paper_weight</t>
  </si>
  <si>
    <t>摘要名</t>
    <phoneticPr fontId="4"/>
  </si>
  <si>
    <t>tekiyo_nm</t>
  </si>
  <si>
    <t>伝票NO</t>
    <phoneticPr fontId="4"/>
  </si>
  <si>
    <t>denpyo_no</t>
  </si>
  <si>
    <t>電話番号１</t>
    <phoneticPr fontId="4"/>
  </si>
  <si>
    <t>phone_no</t>
  </si>
  <si>
    <t>電話番号２</t>
    <phoneticPr fontId="4"/>
  </si>
  <si>
    <t>phone_no_eng</t>
  </si>
  <si>
    <t>登録者コード</t>
    <phoneticPr fontId="4"/>
  </si>
  <si>
    <t>insert_user_cd</t>
  </si>
  <si>
    <t>登録者名</t>
    <phoneticPr fontId="4"/>
  </si>
  <si>
    <t>insert_user_nm</t>
  </si>
  <si>
    <t>登録日</t>
    <phoneticPr fontId="4"/>
  </si>
  <si>
    <t>insert_datetime</t>
  </si>
  <si>
    <t>得意先フラグ</t>
    <phoneticPr fontId="4"/>
  </si>
  <si>
    <t>tokuisaki_flg</t>
  </si>
  <si>
    <t>年月日</t>
    <phoneticPr fontId="4"/>
  </si>
  <si>
    <t>calendar_date</t>
  </si>
  <si>
    <t>納入先フラグ</t>
    <phoneticPr fontId="4"/>
  </si>
  <si>
    <t>nounyusaki_flg</t>
  </si>
  <si>
    <t>売上締日</t>
    <phoneticPr fontId="4"/>
  </si>
  <si>
    <t>uriage_shimebi</t>
  </si>
  <si>
    <t>発番連番</t>
    <phoneticPr fontId="4"/>
  </si>
  <si>
    <t>hatsuban_renban</t>
  </si>
  <si>
    <t>販売単価</t>
    <phoneticPr fontId="4"/>
  </si>
  <si>
    <t>hanbai_price</t>
  </si>
  <si>
    <t>販売単価単位</t>
    <phoneticPr fontId="4"/>
  </si>
  <si>
    <t>hanbai_price_unit</t>
  </si>
  <si>
    <t>比率</t>
    <phoneticPr fontId="4"/>
  </si>
  <si>
    <t>hiritsu</t>
  </si>
  <si>
    <t>表示順</t>
    <phoneticPr fontId="4"/>
  </si>
  <si>
    <t>disp_order</t>
  </si>
  <si>
    <t>品種コード</t>
    <phoneticPr fontId="4"/>
  </si>
  <si>
    <t>hinshu_cd</t>
  </si>
  <si>
    <t>品種大分類コード</t>
    <phoneticPr fontId="4"/>
  </si>
  <si>
    <t>品種中分類コード</t>
    <phoneticPr fontId="4"/>
  </si>
  <si>
    <t>品種名</t>
    <phoneticPr fontId="4"/>
  </si>
  <si>
    <t>hinshu_nm</t>
  </si>
  <si>
    <t>品種名英名</t>
    <phoneticPr fontId="4"/>
  </si>
  <si>
    <t>hinshu_eng_nm</t>
  </si>
  <si>
    <t>部署コード</t>
    <phoneticPr fontId="4"/>
  </si>
  <si>
    <t>busho_cd</t>
  </si>
  <si>
    <t>部署工程権限フラグ</t>
    <phoneticPr fontId="4"/>
  </si>
  <si>
    <t>busho_kotei_auth_flg</t>
  </si>
  <si>
    <t>部署名</t>
    <phoneticPr fontId="4"/>
  </si>
  <si>
    <t>busho_nm</t>
  </si>
  <si>
    <t>幅</t>
    <phoneticPr fontId="4"/>
  </si>
  <si>
    <t>width</t>
  </si>
  <si>
    <t>分類明細コード</t>
    <phoneticPr fontId="4"/>
  </si>
  <si>
    <t>bunrui_meisai_cd</t>
  </si>
  <si>
    <t>編集権限フラグ</t>
    <phoneticPr fontId="4"/>
  </si>
  <si>
    <t>henshu_auth_flg</t>
  </si>
  <si>
    <t>保管場所コード</t>
    <phoneticPr fontId="4"/>
  </si>
  <si>
    <t>保管場所名</t>
    <phoneticPr fontId="4"/>
  </si>
  <si>
    <t>本体計算区分</t>
    <phoneticPr fontId="4"/>
  </si>
  <si>
    <t>hontai_calc_kbn</t>
  </si>
  <si>
    <t>名称</t>
    <phoneticPr fontId="4"/>
  </si>
  <si>
    <t>name</t>
  </si>
  <si>
    <t>薬品記号</t>
    <phoneticPr fontId="4"/>
  </si>
  <si>
    <t>yakuhin_kigo</t>
  </si>
  <si>
    <t>薬品固形分</t>
    <phoneticPr fontId="4"/>
  </si>
  <si>
    <t>yakuhin_koeibun</t>
  </si>
  <si>
    <t>薬品固形分区分</t>
    <phoneticPr fontId="4"/>
  </si>
  <si>
    <t>yakuhin_kokeibun_kbn</t>
  </si>
  <si>
    <t>有効期限</t>
    <phoneticPr fontId="4"/>
  </si>
  <si>
    <t>yukokigen</t>
  </si>
  <si>
    <t>郵便番号</t>
    <phoneticPr fontId="4"/>
  </si>
  <si>
    <t>post_no</t>
  </si>
  <si>
    <t>余尺</t>
    <phoneticPr fontId="4"/>
  </si>
  <si>
    <t>yosyaku</t>
  </si>
  <si>
    <t>利用者コード</t>
    <phoneticPr fontId="4"/>
  </si>
  <si>
    <t>user_cd</t>
  </si>
  <si>
    <t>user_nm</t>
  </si>
  <si>
    <t>連番</t>
    <phoneticPr fontId="4"/>
  </si>
  <si>
    <t>renban</t>
  </si>
  <si>
    <t>連量丸め処理区分</t>
    <phoneticPr fontId="4"/>
  </si>
  <si>
    <t>insert_func_cd</t>
  </si>
  <si>
    <t>update_func_cd</t>
  </si>
  <si>
    <t>生産計画№</t>
    <rPh sb="0" eb="2">
      <t>セイサン</t>
    </rPh>
    <rPh sb="2" eb="4">
      <t>ケイカク</t>
    </rPh>
    <phoneticPr fontId="4"/>
  </si>
  <si>
    <t>seisan_keikaku_no</t>
  </si>
  <si>
    <t>丁取</t>
    <rPh sb="0" eb="1">
      <t>チョウ</t>
    </rPh>
    <rPh sb="1" eb="2">
      <t>トリ</t>
    </rPh>
    <phoneticPr fontId="4"/>
  </si>
  <si>
    <t>chodori</t>
  </si>
  <si>
    <t>整理№</t>
    <rPh sb="0" eb="2">
      <t>セイリ</t>
    </rPh>
    <phoneticPr fontId="4"/>
  </si>
  <si>
    <t>seiri_no</t>
  </si>
  <si>
    <t>設備</t>
    <rPh sb="0" eb="2">
      <t>セツビ</t>
    </rPh>
    <phoneticPr fontId="4"/>
  </si>
  <si>
    <t>setsubi</t>
  </si>
  <si>
    <t>作業日</t>
    <rPh sb="0" eb="2">
      <t>サギョウ</t>
    </rPh>
    <rPh sb="2" eb="3">
      <t>ヒ</t>
    </rPh>
    <phoneticPr fontId="4"/>
  </si>
  <si>
    <t>sagyo_date</t>
  </si>
  <si>
    <t>開始時予定</t>
    <rPh sb="0" eb="2">
      <t>カイシ</t>
    </rPh>
    <rPh sb="2" eb="3">
      <t>ジ</t>
    </rPh>
    <rPh sb="3" eb="5">
      <t>ヨテイ</t>
    </rPh>
    <phoneticPr fontId="4"/>
  </si>
  <si>
    <t>start_yotei_time</t>
  </si>
  <si>
    <t>終了日予定</t>
    <rPh sb="0" eb="2">
      <t>シュウリョウ</t>
    </rPh>
    <rPh sb="2" eb="3">
      <t>ヒ</t>
    </rPh>
    <rPh sb="3" eb="5">
      <t>ヨテイ</t>
    </rPh>
    <phoneticPr fontId="4"/>
  </si>
  <si>
    <t>end_yotei_date</t>
  </si>
  <si>
    <t>終了時予定</t>
    <rPh sb="0" eb="2">
      <t>シュウリョウ</t>
    </rPh>
    <rPh sb="2" eb="3">
      <t>ジ</t>
    </rPh>
    <rPh sb="3" eb="5">
      <t>ヨテイ</t>
    </rPh>
    <phoneticPr fontId="4"/>
  </si>
  <si>
    <t>end_yotei_time</t>
  </si>
  <si>
    <t>時間</t>
    <rPh sb="0" eb="2">
      <t>ジカン</t>
    </rPh>
    <phoneticPr fontId="4"/>
  </si>
  <si>
    <t>time</t>
  </si>
  <si>
    <t>色</t>
    <rPh sb="0" eb="1">
      <t>イロ</t>
    </rPh>
    <phoneticPr fontId="4"/>
  </si>
  <si>
    <t>color</t>
  </si>
  <si>
    <t>作業区分</t>
    <rPh sb="0" eb="2">
      <t>サギョウ</t>
    </rPh>
    <rPh sb="2" eb="4">
      <t>クブン</t>
    </rPh>
    <phoneticPr fontId="4"/>
  </si>
  <si>
    <t>sagyo_kbn</t>
  </si>
  <si>
    <t>作業コメント</t>
    <rPh sb="0" eb="2">
      <t>サギョウ</t>
    </rPh>
    <phoneticPr fontId="4"/>
  </si>
  <si>
    <t>sagyo_comment</t>
  </si>
  <si>
    <t>受注№</t>
    <rPh sb="0" eb="2">
      <t>ジュチュウ</t>
    </rPh>
    <phoneticPr fontId="4"/>
  </si>
  <si>
    <t>juchu_no</t>
  </si>
  <si>
    <t>丁取区分</t>
    <rPh sb="0" eb="1">
      <t>チョウ</t>
    </rPh>
    <rPh sb="1" eb="2">
      <t>トリ</t>
    </rPh>
    <rPh sb="2" eb="4">
      <t>クブン</t>
    </rPh>
    <phoneticPr fontId="4"/>
  </si>
  <si>
    <t>chodori_kbn</t>
  </si>
  <si>
    <t>顧客コード</t>
    <rPh sb="0" eb="2">
      <t>コキャク</t>
    </rPh>
    <phoneticPr fontId="4"/>
  </si>
  <si>
    <t>kokyaku_cd</t>
  </si>
  <si>
    <t>顧客</t>
    <rPh sb="0" eb="2">
      <t>コキャク</t>
    </rPh>
    <phoneticPr fontId="4"/>
  </si>
  <si>
    <t>kokyaku_nm</t>
  </si>
  <si>
    <t>品名</t>
    <rPh sb="0" eb="2">
      <t>ヒンメイ</t>
    </rPh>
    <phoneticPr fontId="4"/>
  </si>
  <si>
    <t>hinmei</t>
  </si>
  <si>
    <t>卸数予定</t>
  </si>
  <si>
    <t>oroshisu_yotei</t>
  </si>
  <si>
    <t>卸数最低</t>
  </si>
  <si>
    <t>oroshisu_saitei</t>
  </si>
  <si>
    <t>抄速</t>
    <rPh sb="0" eb="1">
      <t>ショウ</t>
    </rPh>
    <rPh sb="1" eb="2">
      <t>ソク</t>
    </rPh>
    <phoneticPr fontId="4"/>
  </si>
  <si>
    <t>shosoku</t>
  </si>
  <si>
    <t>白ラベル</t>
    <rPh sb="0" eb="1">
      <t>シロ</t>
    </rPh>
    <phoneticPr fontId="4"/>
  </si>
  <si>
    <t>white_label</t>
  </si>
  <si>
    <t>分類番号</t>
  </si>
  <si>
    <t>bunrui_bango</t>
  </si>
  <si>
    <t>移動先倉庫コード</t>
    <rPh sb="0" eb="2">
      <t>イドウ</t>
    </rPh>
    <rPh sb="2" eb="3">
      <t>サキ</t>
    </rPh>
    <rPh sb="3" eb="5">
      <t>ソウコ</t>
    </rPh>
    <phoneticPr fontId="4"/>
  </si>
  <si>
    <t>idosaki_soko_cd</t>
  </si>
  <si>
    <t>備考</t>
    <rPh sb="0" eb="2">
      <t>ビコウ</t>
    </rPh>
    <phoneticPr fontId="4"/>
  </si>
  <si>
    <t>biko</t>
  </si>
  <si>
    <t>公休日</t>
    <rPh sb="0" eb="2">
      <t>コウキュウ</t>
    </rPh>
    <rPh sb="2" eb="3">
      <t>ヒ</t>
    </rPh>
    <phoneticPr fontId="4"/>
  </si>
  <si>
    <t>kokyu_date</t>
  </si>
  <si>
    <t>公休日数</t>
    <rPh sb="0" eb="2">
      <t>コウキュウ</t>
    </rPh>
    <rPh sb="2" eb="4">
      <t>ニッスウ</t>
    </rPh>
    <phoneticPr fontId="4"/>
  </si>
  <si>
    <t>kokyu_nisu</t>
  </si>
  <si>
    <t>生産指示フラグ</t>
    <rPh sb="0" eb="2">
      <t>セイサン</t>
    </rPh>
    <rPh sb="2" eb="4">
      <t>シジ</t>
    </rPh>
    <phoneticPr fontId="4"/>
  </si>
  <si>
    <t>seisan_shiji_flg</t>
  </si>
  <si>
    <t>計画外フラグ</t>
    <rPh sb="0" eb="3">
      <t>ケイカクガイ</t>
    </rPh>
    <phoneticPr fontId="4"/>
  </si>
  <si>
    <t>keikakugai_flg</t>
  </si>
  <si>
    <t>加工実績フラグ</t>
    <rPh sb="0" eb="2">
      <t>カコウ</t>
    </rPh>
    <rPh sb="2" eb="4">
      <t>ジッセキ</t>
    </rPh>
    <phoneticPr fontId="4"/>
  </si>
  <si>
    <t>kako_jisseki_flg</t>
  </si>
  <si>
    <t>仕上実績フラグ</t>
    <rPh sb="0" eb="4">
      <t>シアゲジッセキ</t>
    </rPh>
    <phoneticPr fontId="4"/>
  </si>
  <si>
    <t>shiage_jisseki_flg</t>
  </si>
  <si>
    <t>計画終了日</t>
    <rPh sb="0" eb="5">
      <t>ケイカクシュウリョウビ</t>
    </rPh>
    <phoneticPr fontId="4"/>
  </si>
  <si>
    <t>keikaku_end_date</t>
  </si>
  <si>
    <t>計画終了フラグ</t>
    <rPh sb="0" eb="4">
      <t>ケイカクシュウリョウ</t>
    </rPh>
    <phoneticPr fontId="4"/>
  </si>
  <si>
    <t>keikaku_end_flg</t>
  </si>
  <si>
    <t>変更理由日時</t>
    <rPh sb="0" eb="2">
      <t>ヘンコウ</t>
    </rPh>
    <rPh sb="2" eb="4">
      <t>リユウ</t>
    </rPh>
    <rPh sb="4" eb="6">
      <t>ニチジ</t>
    </rPh>
    <phoneticPr fontId="4"/>
  </si>
  <si>
    <t>henko_riyu_datetime</t>
  </si>
  <si>
    <t>変更理由</t>
    <rPh sb="0" eb="2">
      <t>ヘンコウ</t>
    </rPh>
    <rPh sb="2" eb="4">
      <t>リユウ</t>
    </rPh>
    <phoneticPr fontId="4"/>
  </si>
  <si>
    <t>henko_riyu</t>
  </si>
  <si>
    <t>加工基準</t>
    <rPh sb="0" eb="4">
      <t>カコウキジュン</t>
    </rPh>
    <phoneticPr fontId="4"/>
  </si>
  <si>
    <t>kako_kijun</t>
  </si>
  <si>
    <t>速度</t>
    <rPh sb="0" eb="2">
      <t>ソクド</t>
    </rPh>
    <phoneticPr fontId="4"/>
  </si>
  <si>
    <t>sokudo</t>
  </si>
  <si>
    <t>台数</t>
    <rPh sb="0" eb="2">
      <t>ダイスウ</t>
    </rPh>
    <phoneticPr fontId="4"/>
  </si>
  <si>
    <t>daisu</t>
  </si>
  <si>
    <t>包装基準</t>
    <rPh sb="0" eb="2">
      <t>ホウソウ</t>
    </rPh>
    <rPh sb="2" eb="4">
      <t>キジュン</t>
    </rPh>
    <phoneticPr fontId="4"/>
  </si>
  <si>
    <t>houso_kijun</t>
  </si>
  <si>
    <t>移動指示フラグ</t>
    <rPh sb="0" eb="2">
      <t>イドウ</t>
    </rPh>
    <rPh sb="2" eb="4">
      <t>シジ</t>
    </rPh>
    <phoneticPr fontId="4"/>
  </si>
  <si>
    <t>idosshiji_flg</t>
  </si>
  <si>
    <t>原材料区分</t>
    <rPh sb="0" eb="3">
      <t>ゲンザイリョウ</t>
    </rPh>
    <rPh sb="3" eb="5">
      <t>クブン</t>
    </rPh>
    <phoneticPr fontId="4"/>
  </si>
  <si>
    <t>genryo_kbn</t>
  </si>
  <si>
    <t>明細SEQ</t>
    <rPh sb="0" eb="2">
      <t>メイサイ</t>
    </rPh>
    <phoneticPr fontId="4"/>
  </si>
  <si>
    <t>meisai_seq</t>
  </si>
  <si>
    <t>銘柄コード</t>
    <rPh sb="0" eb="2">
      <t>メイガラ</t>
    </rPh>
    <phoneticPr fontId="4"/>
  </si>
  <si>
    <t>meigara_cd</t>
  </si>
  <si>
    <t>銘柄</t>
    <rPh sb="0" eb="2">
      <t>メイガラ</t>
    </rPh>
    <phoneticPr fontId="4"/>
  </si>
  <si>
    <t>meigara</t>
  </si>
  <si>
    <t>suryo</t>
  </si>
  <si>
    <t>仕込み合計</t>
    <rPh sb="0" eb="2">
      <t>シコ</t>
    </rPh>
    <rPh sb="3" eb="5">
      <t>ゴウケイ</t>
    </rPh>
    <phoneticPr fontId="4"/>
  </si>
  <si>
    <t>sikomi_gokei</t>
  </si>
  <si>
    <t>タンクレベル</t>
  </si>
  <si>
    <t>tank_level</t>
  </si>
  <si>
    <t>原料濃度</t>
  </si>
  <si>
    <t>genryo_nodo</t>
    <phoneticPr fontId="4"/>
  </si>
  <si>
    <t>添加情報</t>
    <rPh sb="0" eb="2">
      <t>テンカ</t>
    </rPh>
    <rPh sb="2" eb="4">
      <t>ジョウホウ</t>
    </rPh>
    <phoneticPr fontId="4"/>
  </si>
  <si>
    <t>tenka_joho</t>
    <phoneticPr fontId="4"/>
  </si>
  <si>
    <t>損紙使用量</t>
  </si>
  <si>
    <t>sonsi_shiyoryo</t>
    <phoneticPr fontId="4"/>
  </si>
  <si>
    <t>離解時間</t>
    <rPh sb="0" eb="2">
      <t>リカイ</t>
    </rPh>
    <rPh sb="2" eb="4">
      <t>ジカン</t>
    </rPh>
    <phoneticPr fontId="26"/>
  </si>
  <si>
    <t>毛髪ネット</t>
    <rPh sb="0" eb="1">
      <t>ケ</t>
    </rPh>
    <rPh sb="1" eb="2">
      <t>カミ</t>
    </rPh>
    <phoneticPr fontId="26"/>
  </si>
  <si>
    <t>mouhatsu_net</t>
  </si>
  <si>
    <t>使用区分</t>
    <rPh sb="0" eb="2">
      <t>シヨウ</t>
    </rPh>
    <rPh sb="2" eb="4">
      <t>クブン</t>
    </rPh>
    <phoneticPr fontId="4"/>
  </si>
  <si>
    <t>shiyo_kbn</t>
    <phoneticPr fontId="4"/>
  </si>
  <si>
    <t>調薬区分</t>
    <rPh sb="0" eb="2">
      <t>チョウヤク</t>
    </rPh>
    <rPh sb="2" eb="4">
      <t>クブン</t>
    </rPh>
    <phoneticPr fontId="4"/>
  </si>
  <si>
    <t>chouyaku_kbn</t>
  </si>
  <si>
    <t>固形分</t>
    <rPh sb="0" eb="3">
      <t>コケイブン</t>
    </rPh>
    <phoneticPr fontId="4"/>
  </si>
  <si>
    <t>固形配合比</t>
    <rPh sb="0" eb="5">
      <t>コケイハイゴウヒ</t>
    </rPh>
    <phoneticPr fontId="4"/>
  </si>
  <si>
    <t>原反コード</t>
    <phoneticPr fontId="4"/>
  </si>
  <si>
    <t>gentan_cd</t>
  </si>
  <si>
    <t>原反</t>
    <rPh sb="0" eb="2">
      <t>ゲンタン</t>
    </rPh>
    <phoneticPr fontId="4"/>
  </si>
  <si>
    <t>gentan</t>
  </si>
  <si>
    <t>パレット№</t>
    <phoneticPr fontId="4"/>
  </si>
  <si>
    <t>pallet_no</t>
    <phoneticPr fontId="25"/>
  </si>
  <si>
    <t>ケース数</t>
    <rPh sb="3" eb="4">
      <t>スウ</t>
    </rPh>
    <phoneticPr fontId="4"/>
  </si>
  <si>
    <t>case_su</t>
  </si>
  <si>
    <t>指示確認日</t>
    <rPh sb="0" eb="5">
      <t>シジカクニンビ</t>
    </rPh>
    <phoneticPr fontId="4"/>
  </si>
  <si>
    <t>shiji_kakunin_date</t>
  </si>
  <si>
    <t>[半製品]製品番号</t>
    <rPh sb="1" eb="4">
      <t>ハンセイヒン</t>
    </rPh>
    <rPh sb="5" eb="9">
      <t>セイヒンバンゴウ</t>
    </rPh>
    <phoneticPr fontId="4"/>
  </si>
  <si>
    <t>han_seihin_no</t>
  </si>
  <si>
    <t>[半製品]品種コード</t>
    <rPh sb="1" eb="4">
      <t>ハンセイヒン</t>
    </rPh>
    <rPh sb="5" eb="7">
      <t>ヒンシュ</t>
    </rPh>
    <phoneticPr fontId="4"/>
  </si>
  <si>
    <t>han_seihin_hinshu_cd</t>
  </si>
  <si>
    <t>[半製品]品名</t>
    <rPh sb="1" eb="4">
      <t>ハンセイヒン</t>
    </rPh>
    <rPh sb="5" eb="7">
      <t>ヒンメイ</t>
    </rPh>
    <phoneticPr fontId="4"/>
  </si>
  <si>
    <t>han_seihin_hinmei</t>
  </si>
  <si>
    <t>丁取№</t>
  </si>
  <si>
    <t>chodori_no</t>
  </si>
  <si>
    <t>開始日時予定</t>
  </si>
  <si>
    <t>start_yotei_datetime</t>
  </si>
  <si>
    <t>終了日時予定</t>
  </si>
  <si>
    <t>end_yotei_datetime</t>
  </si>
  <si>
    <t>丁取数</t>
  </si>
  <si>
    <t>chodori_su</t>
    <phoneticPr fontId="4"/>
  </si>
  <si>
    <t>卸数</t>
  </si>
  <si>
    <t>oroshi_su</t>
    <phoneticPr fontId="4"/>
  </si>
  <si>
    <t>本数予定</t>
    <rPh sb="0" eb="2">
      <t>ホンスウ</t>
    </rPh>
    <phoneticPr fontId="4"/>
  </si>
  <si>
    <t>honsu_yotei</t>
  </si>
  <si>
    <t>本数最低</t>
    <rPh sb="0" eb="2">
      <t>ホンスウ</t>
    </rPh>
    <phoneticPr fontId="4"/>
  </si>
  <si>
    <t>honsu_saitei</t>
  </si>
  <si>
    <t>計画表出力日</t>
  </si>
  <si>
    <t>keikakuhyo_output_date</t>
  </si>
  <si>
    <t>日産量</t>
    <rPh sb="0" eb="2">
      <t>ニッサン</t>
    </rPh>
    <rPh sb="2" eb="3">
      <t>リョウ</t>
    </rPh>
    <phoneticPr fontId="4"/>
  </si>
  <si>
    <t>nissan_ryo</t>
  </si>
  <si>
    <t>生産出荷</t>
    <rPh sb="0" eb="4">
      <t>セイサンシュッカ</t>
    </rPh>
    <phoneticPr fontId="4"/>
  </si>
  <si>
    <t>seisan_shuka</t>
  </si>
  <si>
    <t>注意事項</t>
    <rPh sb="0" eb="4">
      <t>チュウイジコウ</t>
    </rPh>
    <phoneticPr fontId="4"/>
  </si>
  <si>
    <t>chui_jiko</t>
  </si>
  <si>
    <t>スリッター</t>
    <phoneticPr fontId="25"/>
  </si>
  <si>
    <t>slitter</t>
    <phoneticPr fontId="25"/>
  </si>
  <si>
    <t>パッケージ数</t>
    <rPh sb="5" eb="6">
      <t>スウ</t>
    </rPh>
    <phoneticPr fontId="23"/>
  </si>
  <si>
    <t>package_su</t>
    <phoneticPr fontId="25"/>
  </si>
  <si>
    <t>内袋入数</t>
    <rPh sb="0" eb="4">
      <t>ウチブクロイリスウ</t>
    </rPh>
    <phoneticPr fontId="23"/>
  </si>
  <si>
    <t>uchi_bukuro_irisu</t>
  </si>
  <si>
    <t>入数</t>
    <rPh sb="0" eb="2">
      <t>イリスウ</t>
    </rPh>
    <phoneticPr fontId="23"/>
  </si>
  <si>
    <t>irisu</t>
  </si>
  <si>
    <t>パレット積載数</t>
    <rPh sb="4" eb="7">
      <t>セキサイスウ</t>
    </rPh>
    <phoneticPr fontId="23"/>
  </si>
  <si>
    <t>pallet_sekisai_su</t>
    <phoneticPr fontId="25"/>
  </si>
  <si>
    <t>作業者コード</t>
    <phoneticPr fontId="25"/>
  </si>
  <si>
    <t>sagyosha_cd</t>
    <phoneticPr fontId="25"/>
  </si>
  <si>
    <t>依頼日</t>
    <phoneticPr fontId="25"/>
  </si>
  <si>
    <t>irai_date</t>
    <phoneticPr fontId="25"/>
  </si>
  <si>
    <t>納期日</t>
    <rPh sb="0" eb="3">
      <t>ノウキビ</t>
    </rPh>
    <phoneticPr fontId="23"/>
  </si>
  <si>
    <t>nohin_date</t>
    <phoneticPr fontId="25"/>
  </si>
  <si>
    <t>生産予定日</t>
    <rPh sb="0" eb="5">
      <t>セイサンヨテイビ</t>
    </rPh>
    <phoneticPr fontId="23"/>
  </si>
  <si>
    <t>seisan_yotei_date</t>
    <phoneticPr fontId="25"/>
  </si>
  <si>
    <t>単位</t>
    <rPh sb="0" eb="2">
      <t>タンイ</t>
    </rPh>
    <phoneticPr fontId="23"/>
  </si>
  <si>
    <t>unit</t>
    <phoneticPr fontId="25"/>
  </si>
  <si>
    <t>１包装当たり</t>
    <rPh sb="1" eb="3">
      <t>ホウソウ</t>
    </rPh>
    <rPh sb="3" eb="4">
      <t>ア</t>
    </rPh>
    <phoneticPr fontId="23"/>
  </si>
  <si>
    <t>本数</t>
    <rPh sb="0" eb="2">
      <t>ホンスウ</t>
    </rPh>
    <phoneticPr fontId="23"/>
  </si>
  <si>
    <t>honsu</t>
  </si>
  <si>
    <t>[原反]製品番号</t>
    <rPh sb="1" eb="3">
      <t>ゲンタン</t>
    </rPh>
    <rPh sb="4" eb="8">
      <t>セイヒンバンゴウ</t>
    </rPh>
    <phoneticPr fontId="23"/>
  </si>
  <si>
    <t>gentan_seihin_no</t>
  </si>
  <si>
    <t>[原反]品種コード</t>
    <rPh sb="4" eb="6">
      <t>ヒンシュ</t>
    </rPh>
    <phoneticPr fontId="23"/>
  </si>
  <si>
    <t>gentan_hinshu_cd</t>
  </si>
  <si>
    <t>[原反]品名</t>
    <rPh sb="4" eb="6">
      <t>ヒンメイ</t>
    </rPh>
    <phoneticPr fontId="23"/>
  </si>
  <si>
    <t>gentan_hinmei</t>
  </si>
  <si>
    <t>[原反]坪量</t>
    <rPh sb="4" eb="5">
      <t>ツボ</t>
    </rPh>
    <rPh sb="5" eb="6">
      <t>リョウ</t>
    </rPh>
    <phoneticPr fontId="23"/>
  </si>
  <si>
    <t>gentan_paper_weight</t>
  </si>
  <si>
    <t>[原反]幅</t>
    <rPh sb="4" eb="5">
      <t>ハバ</t>
    </rPh>
    <phoneticPr fontId="23"/>
  </si>
  <si>
    <t>[原反]長さ</t>
    <rPh sb="4" eb="5">
      <t>ナガ</t>
    </rPh>
    <phoneticPr fontId="23"/>
  </si>
  <si>
    <t>gentan_length</t>
  </si>
  <si>
    <t>[原反]本数</t>
    <rPh sb="1" eb="3">
      <t>ゲンタン</t>
    </rPh>
    <rPh sb="4" eb="6">
      <t>ホンスウ</t>
    </rPh>
    <phoneticPr fontId="23"/>
  </si>
  <si>
    <t>gentan_honsu</t>
  </si>
  <si>
    <t>[原反]備考</t>
    <rPh sb="1" eb="3">
      <t>ゲンタン</t>
    </rPh>
    <rPh sb="4" eb="6">
      <t>ビコウ</t>
    </rPh>
    <phoneticPr fontId="23"/>
  </si>
  <si>
    <t>gentan_biko</t>
    <phoneticPr fontId="25"/>
  </si>
  <si>
    <t>紙管</t>
    <rPh sb="0" eb="2">
      <t>シカン</t>
    </rPh>
    <phoneticPr fontId="23"/>
  </si>
  <si>
    <t>shikan</t>
    <phoneticPr fontId="25"/>
  </si>
  <si>
    <t>製品ロット№</t>
    <rPh sb="0" eb="2">
      <t>セイヒン</t>
    </rPh>
    <phoneticPr fontId="23"/>
  </si>
  <si>
    <t>seihin_lot_no</t>
    <phoneticPr fontId="25"/>
  </si>
  <si>
    <t>分子</t>
    <rPh sb="0" eb="2">
      <t>ブンシ</t>
    </rPh>
    <phoneticPr fontId="4"/>
  </si>
  <si>
    <t>bunshi</t>
  </si>
  <si>
    <t>分母</t>
    <rPh sb="0" eb="2">
      <t>ブンボ</t>
    </rPh>
    <phoneticPr fontId="4"/>
  </si>
  <si>
    <t>bunbo</t>
  </si>
  <si>
    <t>原反本数</t>
    <rPh sb="0" eb="4">
      <t>ゲンタンホンスウ</t>
    </rPh>
    <phoneticPr fontId="12"/>
  </si>
  <si>
    <t>使用日</t>
    <rPh sb="0" eb="3">
      <t>シヨウビ</t>
    </rPh>
    <phoneticPr fontId="20"/>
  </si>
  <si>
    <t>shiyo_date</t>
    <phoneticPr fontId="25"/>
  </si>
  <si>
    <t>作業者</t>
    <rPh sb="0" eb="3">
      <t>サギョウシャ</t>
    </rPh>
    <phoneticPr fontId="20"/>
  </si>
  <si>
    <t>sagyosha</t>
    <phoneticPr fontId="25"/>
  </si>
  <si>
    <t>申し送り事項</t>
    <rPh sb="0" eb="1">
      <t>モウ</t>
    </rPh>
    <rPh sb="2" eb="3">
      <t>オク</t>
    </rPh>
    <rPh sb="4" eb="6">
      <t>ジコウ</t>
    </rPh>
    <phoneticPr fontId="20"/>
  </si>
  <si>
    <t>moshiokuri_jiko</t>
    <phoneticPr fontId="25"/>
  </si>
  <si>
    <t>一覧SEQ</t>
  </si>
  <si>
    <t>ichiran_seq</t>
  </si>
  <si>
    <t>投入回数</t>
  </si>
  <si>
    <t>tonyu_kaisu</t>
  </si>
  <si>
    <t>朝番</t>
    <rPh sb="0" eb="2">
      <t>アサバン</t>
    </rPh>
    <phoneticPr fontId="4"/>
  </si>
  <si>
    <t>asaban</t>
  </si>
  <si>
    <t>中番</t>
    <rPh sb="0" eb="2">
      <t>チュウバン</t>
    </rPh>
    <phoneticPr fontId="4"/>
  </si>
  <si>
    <t>nakaban</t>
  </si>
  <si>
    <t>夜番</t>
    <rPh sb="0" eb="2">
      <t>ヨルバン</t>
    </rPh>
    <phoneticPr fontId="4"/>
  </si>
  <si>
    <t>yoban</t>
  </si>
  <si>
    <t>tonyu_ryo</t>
  </si>
  <si>
    <t>回数</t>
    <rPh sb="0" eb="2">
      <t>カイスウ</t>
    </rPh>
    <phoneticPr fontId="19"/>
  </si>
  <si>
    <t>kaisu</t>
  </si>
  <si>
    <t>調合顔料名</t>
    <rPh sb="0" eb="2">
      <t>チョウゴウ</t>
    </rPh>
    <rPh sb="2" eb="5">
      <t>ガンリョウメイ</t>
    </rPh>
    <phoneticPr fontId="25"/>
  </si>
  <si>
    <t>chogo_ganryo_nm</t>
  </si>
  <si>
    <t>顔料コード</t>
    <rPh sb="0" eb="2">
      <t>ガンリョウ</t>
    </rPh>
    <phoneticPr fontId="25"/>
  </si>
  <si>
    <t>ganryo_cd</t>
  </si>
  <si>
    <t>顔料名</t>
    <rPh sb="0" eb="3">
      <t>ガンリョウメイ</t>
    </rPh>
    <phoneticPr fontId="25"/>
  </si>
  <si>
    <t>ganryo_nm</t>
  </si>
  <si>
    <t>配合比</t>
    <rPh sb="0" eb="2">
      <t>ハイゴウ</t>
    </rPh>
    <rPh sb="2" eb="3">
      <t>ヒ</t>
    </rPh>
    <phoneticPr fontId="25"/>
  </si>
  <si>
    <t>haigo_hi</t>
  </si>
  <si>
    <t>投入量</t>
    <rPh sb="0" eb="3">
      <t>トウニュウリョウ</t>
    </rPh>
    <phoneticPr fontId="25"/>
  </si>
  <si>
    <t>パルプ配合区分</t>
    <phoneticPr fontId="4"/>
  </si>
  <si>
    <t>pulp_haigo_kbn</t>
    <phoneticPr fontId="4"/>
  </si>
  <si>
    <t>個数　整数</t>
    <rPh sb="0" eb="2">
      <t>コスウ</t>
    </rPh>
    <rPh sb="3" eb="5">
      <t>セイスウ</t>
    </rPh>
    <phoneticPr fontId="25"/>
  </si>
  <si>
    <t>kosu_seisu</t>
  </si>
  <si>
    <t>個数　分子</t>
    <rPh sb="0" eb="2">
      <t>コスウ</t>
    </rPh>
    <rPh sb="3" eb="5">
      <t>ブンシ</t>
    </rPh>
    <phoneticPr fontId="25"/>
  </si>
  <si>
    <t>kosu_bunshi</t>
  </si>
  <si>
    <t>個数　分母</t>
    <rPh sb="0" eb="2">
      <t>コスウ</t>
    </rPh>
    <rPh sb="3" eb="5">
      <t>ブンボ</t>
    </rPh>
    <phoneticPr fontId="25"/>
  </si>
  <si>
    <t>kosu_bunbo</t>
  </si>
  <si>
    <t>配合</t>
    <rPh sb="0" eb="2">
      <t>ハイゴウ</t>
    </rPh>
    <phoneticPr fontId="25"/>
  </si>
  <si>
    <t>haigo</t>
  </si>
  <si>
    <t>開始日時</t>
    <rPh sb="0" eb="4">
      <t>カイシニチジ</t>
    </rPh>
    <phoneticPr fontId="4"/>
  </si>
  <si>
    <t>start_datetime</t>
    <phoneticPr fontId="4"/>
  </si>
  <si>
    <t>加工実績日</t>
    <rPh sb="0" eb="2">
      <t>カコウ</t>
    </rPh>
    <rPh sb="2" eb="4">
      <t>ジッセキ</t>
    </rPh>
    <rPh sb="4" eb="5">
      <t>ヒ</t>
    </rPh>
    <phoneticPr fontId="4"/>
  </si>
  <si>
    <t>kako_jisseki_date</t>
  </si>
  <si>
    <t>加工作業者</t>
    <rPh sb="0" eb="2">
      <t>カコウ</t>
    </rPh>
    <rPh sb="2" eb="4">
      <t>サギョウ</t>
    </rPh>
    <rPh sb="4" eb="5">
      <t>シャ</t>
    </rPh>
    <phoneticPr fontId="4"/>
  </si>
  <si>
    <t>kako_sagyosha</t>
  </si>
  <si>
    <t>仕上実績日</t>
    <rPh sb="0" eb="4">
      <t>シアゲジッセキ</t>
    </rPh>
    <rPh sb="4" eb="5">
      <t>ヒ</t>
    </rPh>
    <phoneticPr fontId="4"/>
  </si>
  <si>
    <t>shiage_jisseki_date</t>
  </si>
  <si>
    <t>仕上作業者</t>
    <rPh sb="0" eb="2">
      <t>シアゲ</t>
    </rPh>
    <rPh sb="2" eb="4">
      <t>サギョウ</t>
    </rPh>
    <rPh sb="4" eb="5">
      <t>シャ</t>
    </rPh>
    <phoneticPr fontId="4"/>
  </si>
  <si>
    <t>shiage_sagyosha</t>
  </si>
  <si>
    <t>枠№</t>
    <rPh sb="0" eb="1">
      <t>ワク</t>
    </rPh>
    <phoneticPr fontId="4"/>
  </si>
  <si>
    <t>waku_no</t>
  </si>
  <si>
    <t>抄紙実績日時</t>
    <rPh sb="0" eb="5">
      <t>ショウシジッセキビ</t>
    </rPh>
    <rPh sb="5" eb="6">
      <t>ジ</t>
    </rPh>
    <phoneticPr fontId="19"/>
  </si>
  <si>
    <t>shoshi_jisseki_datetime</t>
  </si>
  <si>
    <t>終了日時</t>
    <rPh sb="0" eb="2">
      <t>シュウリョウ</t>
    </rPh>
    <rPh sb="2" eb="3">
      <t>ヒ</t>
    </rPh>
    <rPh sb="3" eb="4">
      <t>ジ</t>
    </rPh>
    <phoneticPr fontId="19"/>
  </si>
  <si>
    <t>end_datetime</t>
    <phoneticPr fontId="4"/>
  </si>
  <si>
    <t>抄紙区分</t>
    <rPh sb="0" eb="2">
      <t>ショウシ</t>
    </rPh>
    <rPh sb="2" eb="4">
      <t>クブン</t>
    </rPh>
    <phoneticPr fontId="19"/>
  </si>
  <si>
    <t>shoshi_kbn</t>
  </si>
  <si>
    <t>定坪量</t>
    <rPh sb="0" eb="1">
      <t>テイ</t>
    </rPh>
    <rPh sb="1" eb="2">
      <t>ツボ</t>
    </rPh>
    <rPh sb="2" eb="3">
      <t>リョウ</t>
    </rPh>
    <phoneticPr fontId="19"/>
  </si>
  <si>
    <t>tei_paper_weight</t>
  </si>
  <si>
    <t>実坪量</t>
    <rPh sb="0" eb="1">
      <t>ジツ</t>
    </rPh>
    <rPh sb="1" eb="2">
      <t>ツボ</t>
    </rPh>
    <rPh sb="2" eb="3">
      <t>リョウ</t>
    </rPh>
    <phoneticPr fontId="19"/>
  </si>
  <si>
    <t>jitsu_paper_weight</t>
  </si>
  <si>
    <t>抄幅</t>
  </si>
  <si>
    <t>paper_width</t>
  </si>
  <si>
    <t>paper_making</t>
  </si>
  <si>
    <t>原紙分類</t>
    <rPh sb="0" eb="2">
      <t>ゲンシ</t>
    </rPh>
    <rPh sb="2" eb="4">
      <t>ブンルイ</t>
    </rPh>
    <phoneticPr fontId="19"/>
  </si>
  <si>
    <t>genshi_bunrui</t>
  </si>
  <si>
    <t>原因詳細</t>
    <rPh sb="0" eb="4">
      <t>ゲンインショウサイ</t>
    </rPh>
    <phoneticPr fontId="19"/>
  </si>
  <si>
    <t>genin_shosai</t>
  </si>
  <si>
    <t>仕上区分</t>
    <rPh sb="0" eb="2">
      <t>シアゲ</t>
    </rPh>
    <rPh sb="2" eb="4">
      <t>クブン</t>
    </rPh>
    <phoneticPr fontId="4"/>
  </si>
  <si>
    <t>shiage_kbn</t>
  </si>
  <si>
    <t>ジョイント回数</t>
    <rPh sb="5" eb="7">
      <t>カイスウ</t>
    </rPh>
    <phoneticPr fontId="4"/>
  </si>
  <si>
    <t>joint_kaisu</t>
    <phoneticPr fontId="4"/>
  </si>
  <si>
    <t>継目</t>
    <rPh sb="0" eb="2">
      <t>ツギメ</t>
    </rPh>
    <phoneticPr fontId="4"/>
  </si>
  <si>
    <t>tsugime</t>
  </si>
  <si>
    <t>実量</t>
    <rPh sb="0" eb="1">
      <t>ジツ</t>
    </rPh>
    <rPh sb="1" eb="2">
      <t>リョウ</t>
    </rPh>
    <phoneticPr fontId="4"/>
  </si>
  <si>
    <t>jitsu_ryo</t>
  </si>
  <si>
    <t>巻径</t>
  </si>
  <si>
    <t>makikei</t>
  </si>
  <si>
    <t>仕上明細変更フラグ</t>
    <rPh sb="0" eb="4">
      <t>シアゲメイサイ</t>
    </rPh>
    <rPh sb="4" eb="6">
      <t>ヘンコウ</t>
    </rPh>
    <phoneticPr fontId="4"/>
  </si>
  <si>
    <t>shiage_meisai_henko_flg</t>
  </si>
  <si>
    <t>枠№使用ｍ</t>
    <rPh sb="0" eb="1">
      <t>ワク</t>
    </rPh>
    <rPh sb="2" eb="4">
      <t>シヨウ</t>
    </rPh>
    <phoneticPr fontId="27"/>
  </si>
  <si>
    <t>waku_no_shiyo</t>
    <phoneticPr fontId="25"/>
  </si>
  <si>
    <t>枠№使用残ｍ</t>
    <rPh sb="0" eb="1">
      <t>ワク</t>
    </rPh>
    <rPh sb="2" eb="4">
      <t>シヨウ</t>
    </rPh>
    <rPh sb="4" eb="5">
      <t>ザン</t>
    </rPh>
    <phoneticPr fontId="27"/>
  </si>
  <si>
    <t>waku_no_shiyo_zan</t>
    <phoneticPr fontId="25"/>
  </si>
  <si>
    <t>加工実績日時</t>
    <rPh sb="0" eb="6">
      <t>カコウジッセキニチジ</t>
    </rPh>
    <phoneticPr fontId="21"/>
  </si>
  <si>
    <t>kako_jisseki_datetime</t>
    <phoneticPr fontId="25"/>
  </si>
  <si>
    <t>合否</t>
    <rPh sb="0" eb="2">
      <t>ゴウヒ</t>
    </rPh>
    <phoneticPr fontId="27"/>
  </si>
  <si>
    <t>gohi</t>
    <phoneticPr fontId="25"/>
  </si>
  <si>
    <t>加工区分</t>
    <rPh sb="0" eb="4">
      <t>カコウクブン</t>
    </rPh>
    <phoneticPr fontId="27"/>
  </si>
  <si>
    <t>kako_kbn</t>
    <phoneticPr fontId="25"/>
  </si>
  <si>
    <t>[原反1]№</t>
  </si>
  <si>
    <t>gentan1_no</t>
    <phoneticPr fontId="25"/>
  </si>
  <si>
    <t>[原反1]製品ロット№</t>
    <rPh sb="5" eb="7">
      <t>セイヒン</t>
    </rPh>
    <phoneticPr fontId="27"/>
  </si>
  <si>
    <t>gentan1_seihin_lot_no</t>
    <phoneticPr fontId="25"/>
  </si>
  <si>
    <t>[原反1]銘柄</t>
    <rPh sb="5" eb="7">
      <t>メイガラ</t>
    </rPh>
    <phoneticPr fontId="27"/>
  </si>
  <si>
    <t>gentan1_hinshu_cd</t>
    <phoneticPr fontId="25"/>
  </si>
  <si>
    <t>[原反1]坪量</t>
    <rPh sb="5" eb="7">
      <t>ツボリョウ</t>
    </rPh>
    <phoneticPr fontId="27"/>
  </si>
  <si>
    <t>gentan1_paper_weight</t>
    <phoneticPr fontId="25"/>
  </si>
  <si>
    <t>[原反1]幅</t>
    <rPh sb="5" eb="6">
      <t>ハバ</t>
    </rPh>
    <phoneticPr fontId="27"/>
  </si>
  <si>
    <t>gentan1_width</t>
    <phoneticPr fontId="25"/>
  </si>
  <si>
    <t>[原反1]長さ</t>
    <rPh sb="5" eb="6">
      <t>ナガ</t>
    </rPh>
    <phoneticPr fontId="27"/>
  </si>
  <si>
    <t>gentan1_length</t>
    <phoneticPr fontId="25"/>
  </si>
  <si>
    <t>[原反1]使用残ｍ</t>
    <rPh sb="1" eb="3">
      <t>ゲンタン</t>
    </rPh>
    <rPh sb="5" eb="7">
      <t>シヨウ</t>
    </rPh>
    <rPh sb="7" eb="8">
      <t>ザン</t>
    </rPh>
    <phoneticPr fontId="27"/>
  </si>
  <si>
    <t>gentan1_shiyo_zan</t>
    <phoneticPr fontId="25"/>
  </si>
  <si>
    <t>[原反1]継続</t>
    <rPh sb="1" eb="3">
      <t>ゲンタン</t>
    </rPh>
    <rPh sb="5" eb="7">
      <t>ケイゾク</t>
    </rPh>
    <phoneticPr fontId="27"/>
  </si>
  <si>
    <t>gentan1_kezoku</t>
    <phoneticPr fontId="25"/>
  </si>
  <si>
    <t>[原反1]備考</t>
    <rPh sb="1" eb="3">
      <t>ゲンタン</t>
    </rPh>
    <rPh sb="5" eb="7">
      <t>ビコウ</t>
    </rPh>
    <phoneticPr fontId="27"/>
  </si>
  <si>
    <t>gentan1_biko</t>
    <phoneticPr fontId="25"/>
  </si>
  <si>
    <t>[原反2]№</t>
  </si>
  <si>
    <t>gentan2_no</t>
    <phoneticPr fontId="25"/>
  </si>
  <si>
    <t>[原反2]製品ロット№</t>
    <rPh sb="5" eb="7">
      <t>セイヒン</t>
    </rPh>
    <phoneticPr fontId="27"/>
  </si>
  <si>
    <t>gentan2_seihin_lot_no</t>
    <phoneticPr fontId="25"/>
  </si>
  <si>
    <t>[原反2]銘柄</t>
    <rPh sb="5" eb="7">
      <t>メイガラ</t>
    </rPh>
    <phoneticPr fontId="27"/>
  </si>
  <si>
    <t>gentan2_hinshu_cd</t>
    <phoneticPr fontId="25"/>
  </si>
  <si>
    <t>[原反2]坪量</t>
    <rPh sb="5" eb="7">
      <t>ツボリョウ</t>
    </rPh>
    <phoneticPr fontId="27"/>
  </si>
  <si>
    <t>gentan2_paper_weight</t>
    <phoneticPr fontId="25"/>
  </si>
  <si>
    <t>[原反2]幅</t>
    <rPh sb="5" eb="6">
      <t>ハバ</t>
    </rPh>
    <phoneticPr fontId="27"/>
  </si>
  <si>
    <t>gentan2_width</t>
    <phoneticPr fontId="25"/>
  </si>
  <si>
    <t>[原反2]長さ</t>
    <rPh sb="5" eb="6">
      <t>ナガ</t>
    </rPh>
    <phoneticPr fontId="27"/>
  </si>
  <si>
    <t>gentan2_length</t>
    <phoneticPr fontId="25"/>
  </si>
  <si>
    <t>[原反2]使用残ｍ</t>
    <rPh sb="1" eb="3">
      <t>ゲンタン</t>
    </rPh>
    <rPh sb="5" eb="7">
      <t>シヨウ</t>
    </rPh>
    <rPh sb="7" eb="8">
      <t>ザン</t>
    </rPh>
    <phoneticPr fontId="27"/>
  </si>
  <si>
    <t>gentan2_shiyo_zan</t>
    <phoneticPr fontId="25"/>
  </si>
  <si>
    <t>[原反2]継続</t>
    <rPh sb="1" eb="3">
      <t>ゲンタン</t>
    </rPh>
    <rPh sb="5" eb="7">
      <t>ケイゾク</t>
    </rPh>
    <phoneticPr fontId="27"/>
  </si>
  <si>
    <t>gentan2_kezoku</t>
    <phoneticPr fontId="25"/>
  </si>
  <si>
    <t>[原反2]備考</t>
    <rPh sb="5" eb="7">
      <t>ビコウ</t>
    </rPh>
    <phoneticPr fontId="27"/>
  </si>
  <si>
    <t>gentan2_biko</t>
    <phoneticPr fontId="25"/>
  </si>
  <si>
    <t>[原反3]№</t>
  </si>
  <si>
    <t>gentan3_no</t>
  </si>
  <si>
    <t>[原反3]製品ロット№</t>
    <rPh sb="5" eb="7">
      <t>セイヒン</t>
    </rPh>
    <phoneticPr fontId="27"/>
  </si>
  <si>
    <t>gentan3_seihin_lot_no</t>
    <phoneticPr fontId="4"/>
  </si>
  <si>
    <t>[原反3]銘柄</t>
    <rPh sb="5" eb="7">
      <t>メイガラ</t>
    </rPh>
    <phoneticPr fontId="27"/>
  </si>
  <si>
    <t>gentan3_hinshu_cd</t>
  </si>
  <si>
    <t>[原反3]坪量</t>
    <rPh sb="5" eb="7">
      <t>ツボリョウ</t>
    </rPh>
    <phoneticPr fontId="27"/>
  </si>
  <si>
    <t>gentan3_paper_weight</t>
  </si>
  <si>
    <t>[原反3]幅</t>
    <rPh sb="5" eb="6">
      <t>ハバ</t>
    </rPh>
    <phoneticPr fontId="27"/>
  </si>
  <si>
    <t>gentan3_width</t>
  </si>
  <si>
    <t>[原反3]長さ</t>
    <rPh sb="5" eb="6">
      <t>ナガ</t>
    </rPh>
    <phoneticPr fontId="27"/>
  </si>
  <si>
    <t>gentan3_length</t>
  </si>
  <si>
    <t>[原反3]使用残ｍ</t>
    <rPh sb="1" eb="3">
      <t>ゲンタン</t>
    </rPh>
    <rPh sb="5" eb="7">
      <t>シヨウ</t>
    </rPh>
    <phoneticPr fontId="27"/>
  </si>
  <si>
    <t>gentan3_shiyo_zan</t>
  </si>
  <si>
    <t>[原反3]継続</t>
    <rPh sb="1" eb="3">
      <t>ゲンタン</t>
    </rPh>
    <rPh sb="5" eb="7">
      <t>ケイゾク</t>
    </rPh>
    <phoneticPr fontId="27"/>
  </si>
  <si>
    <t>gentan3_kezoku</t>
  </si>
  <si>
    <t>[原反3]備考</t>
    <rPh sb="5" eb="7">
      <t>ビコウ</t>
    </rPh>
    <phoneticPr fontId="27"/>
  </si>
  <si>
    <t>gentan3_biko</t>
  </si>
  <si>
    <t>実績SEQ</t>
    <rPh sb="0" eb="2">
      <t>ジッセキ</t>
    </rPh>
    <phoneticPr fontId="4"/>
  </si>
  <si>
    <t>jisseki_seq</t>
    <phoneticPr fontId="4"/>
  </si>
  <si>
    <t>使用枠№</t>
    <rPh sb="0" eb="2">
      <t>シヨウ</t>
    </rPh>
    <rPh sb="2" eb="4">
      <t>ワクナンバー</t>
    </rPh>
    <phoneticPr fontId="4"/>
  </si>
  <si>
    <t>shiyo_waku_no</t>
  </si>
  <si>
    <t>使用製品ロット№</t>
    <rPh sb="0" eb="2">
      <t>シヨウ</t>
    </rPh>
    <rPh sb="2" eb="4">
      <t>セイヒン</t>
    </rPh>
    <phoneticPr fontId="4"/>
  </si>
  <si>
    <t>shiyo_seihin_lot_no</t>
  </si>
  <si>
    <t>使用ｍ</t>
    <rPh sb="0" eb="2">
      <t>シヨウ</t>
    </rPh>
    <phoneticPr fontId="4"/>
  </si>
  <si>
    <t>shiyo</t>
  </si>
  <si>
    <t>製品フラグ</t>
    <rPh sb="0" eb="2">
      <t>セイヒン</t>
    </rPh>
    <phoneticPr fontId="4"/>
  </si>
  <si>
    <t>seihin_flg</t>
  </si>
  <si>
    <t>含浸率</t>
    <rPh sb="0" eb="2">
      <t>ガンシン</t>
    </rPh>
    <rPh sb="2" eb="3">
      <t>リツ</t>
    </rPh>
    <phoneticPr fontId="5"/>
  </si>
  <si>
    <t>ganshin_ritsu</t>
  </si>
  <si>
    <t>ライン速度</t>
    <rPh sb="3" eb="5">
      <t>ソクド</t>
    </rPh>
    <phoneticPr fontId="5"/>
  </si>
  <si>
    <t>line_sokudo</t>
    <phoneticPr fontId="4"/>
  </si>
  <si>
    <t>欠点数</t>
    <rPh sb="0" eb="3">
      <t>ケッテンスウ</t>
    </rPh>
    <phoneticPr fontId="5"/>
  </si>
  <si>
    <t>ketten_su</t>
  </si>
  <si>
    <t>合否コメント</t>
    <rPh sb="0" eb="2">
      <t>ゴウヒ</t>
    </rPh>
    <phoneticPr fontId="5"/>
  </si>
  <si>
    <t>gohi_comment</t>
    <phoneticPr fontId="4"/>
  </si>
  <si>
    <t>残ｍ</t>
    <rPh sb="0" eb="1">
      <t>ザン</t>
    </rPh>
    <phoneticPr fontId="27"/>
  </si>
  <si>
    <t>zan</t>
    <phoneticPr fontId="25"/>
  </si>
  <si>
    <t>成型実績日</t>
    <rPh sb="0" eb="2">
      <t>セイケイ</t>
    </rPh>
    <rPh sb="2" eb="4">
      <t>ジッセキ</t>
    </rPh>
    <rPh sb="4" eb="5">
      <t>ヒ</t>
    </rPh>
    <phoneticPr fontId="27"/>
  </si>
  <si>
    <t>seikei_jisseki_date</t>
    <phoneticPr fontId="25"/>
  </si>
  <si>
    <t>成型作業者</t>
    <rPh sb="0" eb="2">
      <t>セイケイ</t>
    </rPh>
    <rPh sb="2" eb="4">
      <t>サギョウ</t>
    </rPh>
    <rPh sb="4" eb="5">
      <t>シャ</t>
    </rPh>
    <phoneticPr fontId="27"/>
  </si>
  <si>
    <t>seikei_sagyosha</t>
    <phoneticPr fontId="25"/>
  </si>
  <si>
    <t>包装実績日</t>
    <rPh sb="0" eb="2">
      <t>ホウソウ</t>
    </rPh>
    <rPh sb="2" eb="4">
      <t>ジッセキ</t>
    </rPh>
    <rPh sb="4" eb="5">
      <t>ヒ</t>
    </rPh>
    <phoneticPr fontId="27"/>
  </si>
  <si>
    <t>hoso_jisseki_date</t>
    <phoneticPr fontId="25"/>
  </si>
  <si>
    <t>包装作業者</t>
    <rPh sb="0" eb="2">
      <t>ホウソウ</t>
    </rPh>
    <rPh sb="2" eb="4">
      <t>サギョウ</t>
    </rPh>
    <rPh sb="4" eb="5">
      <t>シャ</t>
    </rPh>
    <phoneticPr fontId="27"/>
  </si>
  <si>
    <t>hoso_sagyosha</t>
    <phoneticPr fontId="25"/>
  </si>
  <si>
    <t>作業開始日時</t>
    <rPh sb="0" eb="6">
      <t>サギョウカイシニチジ</t>
    </rPh>
    <phoneticPr fontId="27"/>
  </si>
  <si>
    <t>sagyo_start_datetime</t>
    <phoneticPr fontId="25"/>
  </si>
  <si>
    <t>休憩時間</t>
    <rPh sb="0" eb="4">
      <t>キュウケイジカン</t>
    </rPh>
    <phoneticPr fontId="27"/>
  </si>
  <si>
    <t>kyukei_time</t>
    <phoneticPr fontId="4"/>
  </si>
  <si>
    <t>内訳</t>
    <rPh sb="0" eb="2">
      <t>ウチワケ</t>
    </rPh>
    <phoneticPr fontId="27"/>
  </si>
  <si>
    <t>uchiwake</t>
    <phoneticPr fontId="25"/>
  </si>
  <si>
    <t>稼働情報</t>
    <rPh sb="0" eb="4">
      <t>カドウジョウホウ</t>
    </rPh>
    <phoneticPr fontId="27"/>
  </si>
  <si>
    <t>kado_joho</t>
    <phoneticPr fontId="25"/>
  </si>
  <si>
    <t>[原反]製品ロット№</t>
    <rPh sb="4" eb="6">
      <t>セイヒン</t>
    </rPh>
    <phoneticPr fontId="27"/>
  </si>
  <si>
    <t>gentan_seihin_lot_no</t>
  </si>
  <si>
    <t>マーキング</t>
  </si>
  <si>
    <t>marking</t>
    <phoneticPr fontId="25"/>
  </si>
  <si>
    <t>温度</t>
    <rPh sb="0" eb="2">
      <t>オンド</t>
    </rPh>
    <phoneticPr fontId="27"/>
  </si>
  <si>
    <t>ondo</t>
    <phoneticPr fontId="25"/>
  </si>
  <si>
    <t>湿度</t>
    <rPh sb="0" eb="2">
      <t>シツド</t>
    </rPh>
    <phoneticPr fontId="27"/>
  </si>
  <si>
    <t>shitsudo</t>
    <phoneticPr fontId="25"/>
  </si>
  <si>
    <t>shot</t>
  </si>
  <si>
    <t>shot</t>
    <phoneticPr fontId="25"/>
  </si>
  <si>
    <t>ロット№印字順</t>
    <rPh sb="4" eb="7">
      <t>インジジュン</t>
    </rPh>
    <phoneticPr fontId="4"/>
  </si>
  <si>
    <t>lot_no_injijun</t>
  </si>
  <si>
    <t>包装機カウンタ</t>
    <rPh sb="0" eb="3">
      <t>ホウソウキ</t>
    </rPh>
    <phoneticPr fontId="4"/>
  </si>
  <si>
    <t>hosoki_counter</t>
  </si>
  <si>
    <t>使用フィルム長</t>
    <rPh sb="0" eb="2">
      <t>シヨウ</t>
    </rPh>
    <rPh sb="6" eb="7">
      <t>チョウ</t>
    </rPh>
    <phoneticPr fontId="4"/>
  </si>
  <si>
    <t>shiyo_film_cho</t>
  </si>
  <si>
    <t>完了日時</t>
    <rPh sb="0" eb="4">
      <t>カンリョウニチジ</t>
    </rPh>
    <phoneticPr fontId="4"/>
  </si>
  <si>
    <t>kanryo_datetime</t>
  </si>
  <si>
    <t>状態</t>
    <rPh sb="0" eb="2">
      <t>ジョウタイ</t>
    </rPh>
    <phoneticPr fontId="4"/>
  </si>
  <si>
    <t>jotai</t>
  </si>
  <si>
    <t>生産ケース数</t>
    <rPh sb="0" eb="2">
      <t>セイサン</t>
    </rPh>
    <rPh sb="5" eb="6">
      <t>スウ</t>
    </rPh>
    <phoneticPr fontId="4"/>
  </si>
  <si>
    <t>seisan_case_su</t>
  </si>
  <si>
    <t>仕掛入数</t>
    <rPh sb="0" eb="2">
      <t>シカカリ</t>
    </rPh>
    <rPh sb="2" eb="4">
      <t>イリスウ</t>
    </rPh>
    <phoneticPr fontId="4"/>
  </si>
  <si>
    <t>shikakari_irisu</t>
  </si>
  <si>
    <t>使用ケース数</t>
    <rPh sb="0" eb="2">
      <t>シヨウ</t>
    </rPh>
    <rPh sb="5" eb="6">
      <t>スウ</t>
    </rPh>
    <phoneticPr fontId="4"/>
  </si>
  <si>
    <t>shiyo_case_su</t>
  </si>
  <si>
    <t>使用端数</t>
    <rPh sb="0" eb="2">
      <t>シヨウ</t>
    </rPh>
    <rPh sb="2" eb="4">
      <t>ハスウ</t>
    </rPh>
    <phoneticPr fontId="4"/>
  </si>
  <si>
    <t>shiyo_hasu</t>
  </si>
  <si>
    <t>使用数</t>
    <rPh sb="0" eb="3">
      <t>シヨウスウ</t>
    </rPh>
    <phoneticPr fontId="4"/>
  </si>
  <si>
    <t>shiyo_su</t>
  </si>
  <si>
    <t>作業実施区分</t>
    <rPh sb="0" eb="6">
      <t>サギョウジッシクブン</t>
    </rPh>
    <phoneticPr fontId="4"/>
  </si>
  <si>
    <t>sagyo_jisshi_kbn</t>
  </si>
  <si>
    <t>指導員</t>
    <rPh sb="0" eb="3">
      <t>シドウイン</t>
    </rPh>
    <phoneticPr fontId="4"/>
  </si>
  <si>
    <t>shidoin</t>
  </si>
  <si>
    <t>作業者人数</t>
    <rPh sb="0" eb="5">
      <t>サギョウシャニンズウ</t>
    </rPh>
    <phoneticPr fontId="4"/>
  </si>
  <si>
    <t>sagyosha_ninzu</t>
  </si>
  <si>
    <t>生産品備考</t>
    <rPh sb="0" eb="3">
      <t>セイサンヒン</t>
    </rPh>
    <rPh sb="3" eb="5">
      <t>ビコウ</t>
    </rPh>
    <phoneticPr fontId="4"/>
  </si>
  <si>
    <t>seisanhin_biko</t>
  </si>
  <si>
    <t>仕上パレット№</t>
    <rPh sb="0" eb="2">
      <t>シアゲ</t>
    </rPh>
    <phoneticPr fontId="4"/>
  </si>
  <si>
    <t>shiage_pallet_no</t>
    <phoneticPr fontId="4"/>
  </si>
  <si>
    <t>生産入数</t>
    <rPh sb="0" eb="4">
      <t>セイサンイリスウ</t>
    </rPh>
    <phoneticPr fontId="4"/>
  </si>
  <si>
    <t>seisan_irisu</t>
  </si>
  <si>
    <t>生産仕掛個数</t>
    <rPh sb="0" eb="6">
      <t>セイサンシカカリコスウ</t>
    </rPh>
    <phoneticPr fontId="4"/>
  </si>
  <si>
    <t>seisan_shikakari_kosu</t>
  </si>
  <si>
    <t>生産個数</t>
    <rPh sb="0" eb="2">
      <t>セイサン</t>
    </rPh>
    <rPh sb="2" eb="4">
      <t>コスウ</t>
    </rPh>
    <phoneticPr fontId="4"/>
  </si>
  <si>
    <t>seisan_kosu</t>
  </si>
  <si>
    <t>原反ロット№</t>
    <rPh sb="0" eb="2">
      <t>ゲンタン</t>
    </rPh>
    <phoneticPr fontId="4"/>
  </si>
  <si>
    <t>gentan_lot_no</t>
  </si>
  <si>
    <t>包装</t>
    <rPh sb="0" eb="2">
      <t>ホウソウ</t>
    </rPh>
    <phoneticPr fontId="21"/>
  </si>
  <si>
    <t>hoso</t>
    <phoneticPr fontId="25"/>
  </si>
  <si>
    <t>ラベル数</t>
    <rPh sb="3" eb="4">
      <t>スウ</t>
    </rPh>
    <phoneticPr fontId="27"/>
  </si>
  <si>
    <t>label_su</t>
    <phoneticPr fontId="25"/>
  </si>
  <si>
    <t>移動指示№</t>
    <rPh sb="0" eb="4">
      <t>イドウシジ</t>
    </rPh>
    <phoneticPr fontId="27"/>
  </si>
  <si>
    <t>ido_shiji_no</t>
    <phoneticPr fontId="25"/>
  </si>
  <si>
    <t>生産分類</t>
    <rPh sb="0" eb="2">
      <t>セイサン</t>
    </rPh>
    <rPh sb="2" eb="4">
      <t>ブンルイ</t>
    </rPh>
    <phoneticPr fontId="27"/>
  </si>
  <si>
    <t>seisan_bunrui</t>
    <phoneticPr fontId="25"/>
  </si>
  <si>
    <t>移動分類</t>
    <rPh sb="0" eb="4">
      <t>イドウブンルイ</t>
    </rPh>
    <phoneticPr fontId="27"/>
  </si>
  <si>
    <t>ido_bunrui</t>
    <phoneticPr fontId="25"/>
  </si>
  <si>
    <t>コード分類</t>
    <rPh sb="3" eb="5">
      <t>ブンルイ</t>
    </rPh>
    <phoneticPr fontId="27"/>
  </si>
  <si>
    <t>code_bunrui</t>
    <phoneticPr fontId="25"/>
  </si>
  <si>
    <t>移動先保管場所コード</t>
    <rPh sb="0" eb="3">
      <t>イドウサキ</t>
    </rPh>
    <rPh sb="3" eb="7">
      <t>ホカンバショ</t>
    </rPh>
    <phoneticPr fontId="27"/>
  </si>
  <si>
    <t>idosaki_hokan_basho_cd</t>
  </si>
  <si>
    <t>移動先保管場所名称</t>
    <rPh sb="0" eb="2">
      <t>イドウ</t>
    </rPh>
    <rPh sb="2" eb="3">
      <t>サキ</t>
    </rPh>
    <rPh sb="3" eb="5">
      <t>ホカン</t>
    </rPh>
    <rPh sb="5" eb="7">
      <t>バショ</t>
    </rPh>
    <rPh sb="7" eb="9">
      <t>メイショウ</t>
    </rPh>
    <phoneticPr fontId="27"/>
  </si>
  <si>
    <t>idosaki_hokan_basho_nm</t>
  </si>
  <si>
    <t>ロット指定区分</t>
    <rPh sb="3" eb="5">
      <t>シテイ</t>
    </rPh>
    <rPh sb="5" eb="7">
      <t>クブン</t>
    </rPh>
    <phoneticPr fontId="27"/>
  </si>
  <si>
    <t>lot_shitei_kbn</t>
    <phoneticPr fontId="25"/>
  </si>
  <si>
    <t>移動予定日</t>
    <rPh sb="0" eb="2">
      <t>イドウ</t>
    </rPh>
    <rPh sb="2" eb="4">
      <t>ヨテイ</t>
    </rPh>
    <rPh sb="4" eb="5">
      <t>ビ</t>
    </rPh>
    <phoneticPr fontId="27"/>
  </si>
  <si>
    <t>ido_yotei_date</t>
    <phoneticPr fontId="25"/>
  </si>
  <si>
    <t>移動完了日付</t>
    <rPh sb="0" eb="4">
      <t>イドウカンリョウ</t>
    </rPh>
    <rPh sb="4" eb="6">
      <t>ヒヅケ</t>
    </rPh>
    <phoneticPr fontId="27"/>
  </si>
  <si>
    <t>ido_kanryo_date</t>
    <phoneticPr fontId="25"/>
  </si>
  <si>
    <t>依頼者コード</t>
    <rPh sb="0" eb="3">
      <t>イライシャ</t>
    </rPh>
    <phoneticPr fontId="27"/>
  </si>
  <si>
    <t>iraisha_cd</t>
    <phoneticPr fontId="25"/>
  </si>
  <si>
    <t>依頼者名</t>
    <rPh sb="0" eb="3">
      <t>イライシャ</t>
    </rPh>
    <rPh sb="3" eb="4">
      <t>メイ</t>
    </rPh>
    <phoneticPr fontId="27"/>
  </si>
  <si>
    <t>iraisha_nm</t>
    <phoneticPr fontId="25"/>
  </si>
  <si>
    <t>運搬業者コード</t>
    <rPh sb="0" eb="4">
      <t>ウンパンギョウシャ</t>
    </rPh>
    <phoneticPr fontId="27"/>
  </si>
  <si>
    <t>unpan_gyosha_cd</t>
    <phoneticPr fontId="25"/>
  </si>
  <si>
    <t>運搬業者名</t>
    <rPh sb="4" eb="5">
      <t>メイ</t>
    </rPh>
    <phoneticPr fontId="27"/>
  </si>
  <si>
    <t>unpan_gyosha_nm</t>
    <phoneticPr fontId="25"/>
  </si>
  <si>
    <t>運搬業者担当者名</t>
    <rPh sb="0" eb="2">
      <t>ウンパン</t>
    </rPh>
    <rPh sb="2" eb="4">
      <t>ギョウシャ</t>
    </rPh>
    <rPh sb="4" eb="8">
      <t>タントウシャメイ</t>
    </rPh>
    <phoneticPr fontId="27"/>
  </si>
  <si>
    <t>unpan_gyosha_tantosha_nm</t>
    <phoneticPr fontId="25"/>
  </si>
  <si>
    <t>移動先業者コード</t>
    <rPh sb="0" eb="3">
      <t>イドウサキ</t>
    </rPh>
    <rPh sb="3" eb="5">
      <t>ギョウシャ</t>
    </rPh>
    <phoneticPr fontId="27"/>
  </si>
  <si>
    <t>idosaki_gyosha_cd</t>
    <phoneticPr fontId="25"/>
  </si>
  <si>
    <t>移動先業者名</t>
    <rPh sb="0" eb="3">
      <t>イドウサキ</t>
    </rPh>
    <rPh sb="3" eb="5">
      <t>ギョウシャ</t>
    </rPh>
    <rPh sb="5" eb="6">
      <t>メイ</t>
    </rPh>
    <phoneticPr fontId="27"/>
  </si>
  <si>
    <t>idosaki_gyosha_nm</t>
    <phoneticPr fontId="25"/>
  </si>
  <si>
    <t>移動先担当者名</t>
    <rPh sb="0" eb="3">
      <t>イドウサキ</t>
    </rPh>
    <rPh sb="3" eb="7">
      <t>タントウシャメイ</t>
    </rPh>
    <phoneticPr fontId="27"/>
  </si>
  <si>
    <t>idosaki_tantosha_nm</t>
    <phoneticPr fontId="25"/>
  </si>
  <si>
    <t>移動指示明細№</t>
    <rPh sb="0" eb="6">
      <t>イドウシジメイサイ</t>
    </rPh>
    <phoneticPr fontId="4"/>
  </si>
  <si>
    <t>ido_shiji_meisai_no</t>
  </si>
  <si>
    <t>指定ロットフラグ</t>
    <phoneticPr fontId="4"/>
  </si>
  <si>
    <t>shitei_lot_flg</t>
    <phoneticPr fontId="4"/>
  </si>
  <si>
    <t>移動元保管場所コード</t>
    <rPh sb="0" eb="3">
      <t>イドウモト</t>
    </rPh>
    <rPh sb="3" eb="5">
      <t>ホカン</t>
    </rPh>
    <rPh sb="5" eb="7">
      <t>バショ</t>
    </rPh>
    <phoneticPr fontId="4"/>
  </si>
  <si>
    <t>idomoto_hokan_basho_cd</t>
    <phoneticPr fontId="4"/>
  </si>
  <si>
    <t>移動元保管場所名称</t>
    <rPh sb="0" eb="3">
      <t>イドウモト</t>
    </rPh>
    <rPh sb="3" eb="5">
      <t>ホカン</t>
    </rPh>
    <rPh sb="5" eb="7">
      <t>バショ</t>
    </rPh>
    <rPh sb="7" eb="9">
      <t>メイショウ</t>
    </rPh>
    <phoneticPr fontId="4"/>
  </si>
  <si>
    <t>idomoto_hokan_basho_nm</t>
    <phoneticPr fontId="4"/>
  </si>
  <si>
    <t>seihin_full_lot_no</t>
  </si>
  <si>
    <t>フルパレット№</t>
  </si>
  <si>
    <t>full_pallet_no</t>
  </si>
  <si>
    <t>連量</t>
    <rPh sb="0" eb="2">
      <t>レンリョウ</t>
    </rPh>
    <phoneticPr fontId="4"/>
  </si>
  <si>
    <t>renryo</t>
  </si>
  <si>
    <t>移動数</t>
    <rPh sb="0" eb="2">
      <t>イドウ</t>
    </rPh>
    <rPh sb="2" eb="3">
      <t>スウ</t>
    </rPh>
    <phoneticPr fontId="4"/>
  </si>
  <si>
    <t>ido_su</t>
  </si>
  <si>
    <t>移動実績№</t>
    <rPh sb="0" eb="2">
      <t>イドウ</t>
    </rPh>
    <rPh sb="2" eb="4">
      <t>ジッセキ</t>
    </rPh>
    <phoneticPr fontId="4"/>
  </si>
  <si>
    <t>ido_jisseki_no</t>
  </si>
  <si>
    <t>移動実施日</t>
    <rPh sb="0" eb="2">
      <t>イドウ</t>
    </rPh>
    <rPh sb="2" eb="4">
      <t>ジッシ</t>
    </rPh>
    <rPh sb="4" eb="5">
      <t>ヒ</t>
    </rPh>
    <phoneticPr fontId="4"/>
  </si>
  <si>
    <t>ido_jisshi_date</t>
  </si>
  <si>
    <t>ハンディエラーデータフラグ</t>
    <phoneticPr fontId="4"/>
  </si>
  <si>
    <t>handy_error_data_flg</t>
  </si>
  <si>
    <t>PC版登録フラグ</t>
    <rPh sb="2" eb="3">
      <t>バン</t>
    </rPh>
    <rPh sb="3" eb="5">
      <t>トウロク</t>
    </rPh>
    <phoneticPr fontId="4"/>
  </si>
  <si>
    <t>pc_ban_toroku_flg</t>
    <phoneticPr fontId="4"/>
  </si>
  <si>
    <t>引取指示№</t>
    <rPh sb="0" eb="2">
      <t>ヒキトリ</t>
    </rPh>
    <rPh sb="2" eb="4">
      <t>シジ</t>
    </rPh>
    <phoneticPr fontId="4"/>
  </si>
  <si>
    <t>hikitori_shiji_no</t>
  </si>
  <si>
    <t>外注加工業者コード</t>
  </si>
  <si>
    <t>gaichu_kako_gyosha_cd</t>
  </si>
  <si>
    <t>外注加工業者名</t>
  </si>
  <si>
    <t>gaichu_kako_gyosha_nm</t>
  </si>
  <si>
    <t>顧客名</t>
  </si>
  <si>
    <t>連数(R)</t>
    <rPh sb="0" eb="1">
      <t>レン</t>
    </rPh>
    <rPh sb="1" eb="2">
      <t>スウ</t>
    </rPh>
    <phoneticPr fontId="28"/>
  </si>
  <si>
    <t>rensu</t>
  </si>
  <si>
    <t>納品数</t>
    <rPh sb="0" eb="3">
      <t>ノウヒンスウ</t>
    </rPh>
    <phoneticPr fontId="28"/>
  </si>
  <si>
    <t>nohin_su</t>
  </si>
  <si>
    <t>平判の折り方</t>
  </si>
  <si>
    <t>hiraban</t>
  </si>
  <si>
    <t>生産計画登録者</t>
    <rPh sb="0" eb="2">
      <t>セイサン</t>
    </rPh>
    <rPh sb="2" eb="4">
      <t>ケイカク</t>
    </rPh>
    <rPh sb="4" eb="7">
      <t>トウロクシャ</t>
    </rPh>
    <phoneticPr fontId="29"/>
  </si>
  <si>
    <t>seisan_keikaku_torokusha</t>
  </si>
  <si>
    <t>発行日</t>
    <rPh sb="0" eb="3">
      <t>ハッコウビヒ</t>
    </rPh>
    <phoneticPr fontId="30"/>
  </si>
  <si>
    <t>hakko_date</t>
  </si>
  <si>
    <t>引取先業者コード</t>
    <rPh sb="3" eb="5">
      <t>ギョウシャ</t>
    </rPh>
    <phoneticPr fontId="18"/>
  </si>
  <si>
    <t>hikitorisaki_gyosha_cd</t>
  </si>
  <si>
    <t>引取先業者名</t>
    <rPh sb="3" eb="5">
      <t>ギョウシャ</t>
    </rPh>
    <rPh sb="5" eb="6">
      <t>メイ</t>
    </rPh>
    <phoneticPr fontId="18"/>
  </si>
  <si>
    <t>hikitorisaki_gyosha_nm</t>
  </si>
  <si>
    <t>引取先担当者名</t>
    <rPh sb="3" eb="6">
      <t>タントウシャ</t>
    </rPh>
    <rPh sb="6" eb="7">
      <t>メイ</t>
    </rPh>
    <phoneticPr fontId="18"/>
  </si>
  <si>
    <t>hikitorisaki_tantosha_nm</t>
  </si>
  <si>
    <t>引取先件名</t>
    <rPh sb="3" eb="5">
      <t>ケンメイ</t>
    </rPh>
    <phoneticPr fontId="18"/>
  </si>
  <si>
    <t>hikitorisaki_kenmei</t>
  </si>
  <si>
    <t>引取日</t>
    <rPh sb="0" eb="2">
      <t>ヒキトリ</t>
    </rPh>
    <rPh sb="2" eb="3">
      <t>ヒ</t>
    </rPh>
    <phoneticPr fontId="30"/>
  </si>
  <si>
    <t>hikitori_date</t>
  </si>
  <si>
    <t>入庫場所コード</t>
    <rPh sb="0" eb="2">
      <t>ニュウコ</t>
    </rPh>
    <rPh sb="2" eb="4">
      <t>バショ</t>
    </rPh>
    <phoneticPr fontId="30"/>
  </si>
  <si>
    <t>nyuko_basho_cd</t>
  </si>
  <si>
    <t>入庫場所名</t>
    <rPh sb="0" eb="2">
      <t>ニュウコ</t>
    </rPh>
    <rPh sb="2" eb="4">
      <t>バショ</t>
    </rPh>
    <rPh sb="4" eb="5">
      <t>メイ</t>
    </rPh>
    <phoneticPr fontId="30"/>
  </si>
  <si>
    <t>nyuko_basho_nm</t>
  </si>
  <si>
    <t>運搬業者件名</t>
    <rPh sb="2" eb="4">
      <t>ギョウシャ</t>
    </rPh>
    <rPh sb="4" eb="6">
      <t>ケンメイ</t>
    </rPh>
    <phoneticPr fontId="30"/>
  </si>
  <si>
    <t>unpan_gyosha_kenmei</t>
  </si>
  <si>
    <t>入庫予定数</t>
    <rPh sb="0" eb="2">
      <t>ニュウコ</t>
    </rPh>
    <rPh sb="2" eb="4">
      <t>ヨテイ</t>
    </rPh>
    <rPh sb="4" eb="5">
      <t>スウ</t>
    </rPh>
    <phoneticPr fontId="30"/>
  </si>
  <si>
    <t>nyuko_yotei_su</t>
  </si>
  <si>
    <t>包装フラグ</t>
    <phoneticPr fontId="22"/>
  </si>
  <si>
    <t>hoso_flg</t>
    <phoneticPr fontId="22"/>
  </si>
  <si>
    <t>包装数</t>
    <phoneticPr fontId="22"/>
  </si>
  <si>
    <t>hoso_su</t>
    <phoneticPr fontId="22"/>
  </si>
  <si>
    <t>引取実績№</t>
    <rPh sb="0" eb="2">
      <t>ヒキトリ</t>
    </rPh>
    <rPh sb="2" eb="4">
      <t>ジッセキ</t>
    </rPh>
    <phoneticPr fontId="27"/>
  </si>
  <si>
    <t>hikitori_jisseki_no</t>
    <phoneticPr fontId="22"/>
  </si>
  <si>
    <t>入庫合計数</t>
    <rPh sb="0" eb="2">
      <t>ニュウコ</t>
    </rPh>
    <rPh sb="2" eb="5">
      <t>ゴウケイスウ</t>
    </rPh>
    <phoneticPr fontId="27"/>
  </si>
  <si>
    <t>nyuko_gokei_su</t>
    <phoneticPr fontId="22"/>
  </si>
  <si>
    <t>登録フラグ</t>
    <rPh sb="0" eb="2">
      <t>トウロク</t>
    </rPh>
    <phoneticPr fontId="27"/>
  </si>
  <si>
    <t>toroku_flg</t>
    <phoneticPr fontId="22"/>
  </si>
  <si>
    <t>入庫日</t>
    <rPh sb="0" eb="2">
      <t>ニュウコ</t>
    </rPh>
    <rPh sb="2" eb="3">
      <t>ビ</t>
    </rPh>
    <phoneticPr fontId="27"/>
  </si>
  <si>
    <t>nyuko_date</t>
    <phoneticPr fontId="22"/>
  </si>
  <si>
    <t>原反継目</t>
    <rPh sb="0" eb="2">
      <t>ゲンタン</t>
    </rPh>
    <rPh sb="2" eb="4">
      <t>ツギメ</t>
    </rPh>
    <phoneticPr fontId="4"/>
  </si>
  <si>
    <t>gentan_tsugime</t>
    <phoneticPr fontId="4"/>
  </si>
  <si>
    <t>断紙回数</t>
    <rPh sb="0" eb="2">
      <t>ダンシ</t>
    </rPh>
    <rPh sb="2" eb="4">
      <t>カイスウ</t>
    </rPh>
    <phoneticPr fontId="4"/>
  </si>
  <si>
    <t>danshi_kaisu</t>
    <phoneticPr fontId="4"/>
  </si>
  <si>
    <t>S/C巻</t>
    <rPh sb="3" eb="4">
      <t>マキ</t>
    </rPh>
    <phoneticPr fontId="4"/>
  </si>
  <si>
    <t>sc_maki</t>
    <phoneticPr fontId="4"/>
  </si>
  <si>
    <t>更新機能コード</t>
    <rPh sb="0" eb="2">
      <t>コウシン</t>
    </rPh>
    <rPh sb="2" eb="4">
      <t>キノウ</t>
    </rPh>
    <phoneticPr fontId="4"/>
  </si>
  <si>
    <t>登録機能コード</t>
    <rPh sb="0" eb="2">
      <t>トウロク</t>
    </rPh>
    <rPh sb="2" eb="4">
      <t>キノウ</t>
    </rPh>
    <phoneticPr fontId="4"/>
  </si>
  <si>
    <t>積込場所グループコード</t>
    <rPh sb="0" eb="4">
      <t>ツミコミバショ</t>
    </rPh>
    <phoneticPr fontId="8"/>
  </si>
  <si>
    <t>積込場所コード</t>
    <rPh sb="0" eb="4">
      <t>ツミコミバショ</t>
    </rPh>
    <phoneticPr fontId="8"/>
  </si>
  <si>
    <t>積込場所名</t>
    <rPh sb="0" eb="4">
      <t>ツミコミバショ</t>
    </rPh>
    <rPh sb="4" eb="5">
      <t>メイ</t>
    </rPh>
    <phoneticPr fontId="8"/>
  </si>
  <si>
    <t>主幹部署コード</t>
  </si>
  <si>
    <t>積込場所グループ名</t>
    <rPh sb="0" eb="4">
      <t>ツミコミバショ</t>
    </rPh>
    <rPh sb="8" eb="9">
      <t>メイ</t>
    </rPh>
    <phoneticPr fontId="4"/>
  </si>
  <si>
    <t>積込場所グループ情報</t>
    <rPh sb="0" eb="4">
      <t>ツミコミバショ</t>
    </rPh>
    <rPh sb="8" eb="10">
      <t>ジョウホウ</t>
    </rPh>
    <phoneticPr fontId="4"/>
  </si>
  <si>
    <t>積込場所情報</t>
    <rPh sb="0" eb="4">
      <t>ツミコミバショ</t>
    </rPh>
    <rPh sb="4" eb="6">
      <t>ジョウホウ</t>
    </rPh>
    <phoneticPr fontId="4"/>
  </si>
  <si>
    <t>外貨レート情報</t>
    <rPh sb="0" eb="2">
      <t>ガイカ</t>
    </rPh>
    <rPh sb="5" eb="7">
      <t>ジョウホウ</t>
    </rPh>
    <phoneticPr fontId="4"/>
  </si>
  <si>
    <t>変更区分</t>
    <rPh sb="0" eb="2">
      <t>ヘンコウ</t>
    </rPh>
    <rPh sb="2" eb="4">
      <t>クブン</t>
    </rPh>
    <phoneticPr fontId="25"/>
  </si>
  <si>
    <t>変更</t>
    <rPh sb="0" eb="2">
      <t>ヘンコウ</t>
    </rPh>
    <phoneticPr fontId="25"/>
  </si>
  <si>
    <t>保管場所区分</t>
    <rPh sb="0" eb="4">
      <t>ホカンバショ</t>
    </rPh>
    <rPh sb="4" eb="6">
      <t>クブン</t>
    </rPh>
    <phoneticPr fontId="4"/>
  </si>
  <si>
    <t>hokan_basho_kbn</t>
    <phoneticPr fontId="25"/>
  </si>
  <si>
    <t>積込場所フラグ</t>
    <rPh sb="0" eb="2">
      <t>ツミコミ</t>
    </rPh>
    <rPh sb="2" eb="4">
      <t>バショ</t>
    </rPh>
    <phoneticPr fontId="4"/>
  </si>
  <si>
    <t>tsumikomi_basho_flg</t>
    <phoneticPr fontId="25"/>
  </si>
  <si>
    <t>品種大分類名</t>
    <rPh sb="0" eb="2">
      <t>ヒンシュ</t>
    </rPh>
    <phoneticPr fontId="4"/>
  </si>
  <si>
    <t>hinshu_daibunrui_nm</t>
    <phoneticPr fontId="25"/>
  </si>
  <si>
    <t>品種中分類名</t>
    <rPh sb="0" eb="2">
      <t>ヒンシュ</t>
    </rPh>
    <phoneticPr fontId="4"/>
  </si>
  <si>
    <t>hinshu_chubunrui_nm</t>
    <phoneticPr fontId="25"/>
  </si>
  <si>
    <t>hinshu_daibunrui_cd</t>
    <phoneticPr fontId="25"/>
  </si>
  <si>
    <t>hinshu_chubunrui_cd</t>
    <phoneticPr fontId="25"/>
  </si>
  <si>
    <t>追加</t>
    <rPh sb="0" eb="2">
      <t>ツイカ</t>
    </rPh>
    <phoneticPr fontId="25"/>
  </si>
  <si>
    <t>rikai_time</t>
    <phoneticPr fontId="25"/>
  </si>
  <si>
    <t>パレット</t>
    <phoneticPr fontId="4"/>
  </si>
  <si>
    <t>pallet</t>
    <phoneticPr fontId="25"/>
  </si>
  <si>
    <t>仕入売上表示権限フラグ</t>
    <rPh sb="0" eb="2">
      <t>シイレ</t>
    </rPh>
    <rPh sb="2" eb="4">
      <t>ウリアゲ</t>
    </rPh>
    <rPh sb="4" eb="6">
      <t>ヒョウジ</t>
    </rPh>
    <rPh sb="6" eb="8">
      <t>ケンゲン</t>
    </rPh>
    <phoneticPr fontId="4"/>
  </si>
  <si>
    <t>disp_siireuriage_auth_flg</t>
    <phoneticPr fontId="25"/>
  </si>
  <si>
    <t>品種区分</t>
    <phoneticPr fontId="4"/>
  </si>
  <si>
    <t xml:space="preserve">hinshu_kbn </t>
  </si>
  <si>
    <t>貼り合せ数</t>
  </si>
  <si>
    <t>laminated_su</t>
  </si>
  <si>
    <t>設備対象フラグ</t>
    <phoneticPr fontId="4"/>
  </si>
  <si>
    <t>setsubi_flg</t>
  </si>
  <si>
    <t>CW品表示フラグ</t>
  </si>
  <si>
    <t>cw_prod_disp_flg</t>
  </si>
  <si>
    <t>CW品表示内容</t>
  </si>
  <si>
    <t>cw_prod_detail</t>
  </si>
  <si>
    <t>MIX品表示フラグ</t>
    <phoneticPr fontId="25"/>
  </si>
  <si>
    <t>mix_prod_disp_flg</t>
  </si>
  <si>
    <t>MIX品表示内容</t>
    <phoneticPr fontId="25"/>
  </si>
  <si>
    <t>mix_prod_detail</t>
  </si>
  <si>
    <t>略称</t>
    <phoneticPr fontId="4"/>
  </si>
  <si>
    <t>short_form</t>
  </si>
  <si>
    <t>年度</t>
    <phoneticPr fontId="4"/>
  </si>
  <si>
    <t>nendo</t>
  </si>
  <si>
    <t>renryo_marume_kbn</t>
  </si>
  <si>
    <t>セッションタイムアウト</t>
  </si>
  <si>
    <t>session_timeout</t>
  </si>
  <si>
    <t>原反色</t>
  </si>
  <si>
    <t>gentan_color 　</t>
  </si>
  <si>
    <t>仕様</t>
  </si>
  <si>
    <t xml:space="preserve">spec </t>
  </si>
  <si>
    <t>hoso_atari</t>
    <phoneticPr fontId="25"/>
  </si>
  <si>
    <t>抄造</t>
    <phoneticPr fontId="25"/>
  </si>
  <si>
    <t>使用残ｍ</t>
    <phoneticPr fontId="25"/>
  </si>
  <si>
    <t>shiyo_zan</t>
  </si>
  <si>
    <t>製品品種コード</t>
    <rPh sb="0" eb="2">
      <t>セイヒン</t>
    </rPh>
    <rPh sb="2" eb="4">
      <t>ヒンシュ</t>
    </rPh>
    <phoneticPr fontId="25"/>
  </si>
  <si>
    <t>原反品種コード</t>
    <rPh sb="0" eb="2">
      <t>ゲンタン</t>
    </rPh>
    <rPh sb="2" eb="4">
      <t>ヒンシュ</t>
    </rPh>
    <phoneticPr fontId="25"/>
  </si>
  <si>
    <t>gentan_hinshu_cd</t>
    <phoneticPr fontId="25"/>
  </si>
  <si>
    <t>最終承認権限フラグ</t>
    <rPh sb="4" eb="6">
      <t>ケンゲン</t>
    </rPh>
    <phoneticPr fontId="4"/>
  </si>
  <si>
    <t>saishu_shonin_auth_flg</t>
    <phoneticPr fontId="25"/>
  </si>
  <si>
    <t>開始時刻</t>
    <rPh sb="0" eb="2">
      <t>カイシ</t>
    </rPh>
    <rPh sb="2" eb="4">
      <t>ジコク</t>
    </rPh>
    <phoneticPr fontId="4"/>
  </si>
  <si>
    <t>start_time</t>
    <phoneticPr fontId="25"/>
  </si>
  <si>
    <t>終了時刻</t>
    <rPh sb="0" eb="2">
      <t>シュウリョウ</t>
    </rPh>
    <rPh sb="2" eb="4">
      <t>ジコク</t>
    </rPh>
    <phoneticPr fontId="4"/>
  </si>
  <si>
    <t>end_time</t>
    <phoneticPr fontId="25"/>
  </si>
  <si>
    <t>勤務A</t>
    <rPh sb="0" eb="2">
      <t>キンム</t>
    </rPh>
    <phoneticPr fontId="4"/>
  </si>
  <si>
    <t>kinmu_a</t>
    <phoneticPr fontId="25"/>
  </si>
  <si>
    <t>勤務B</t>
    <rPh sb="0" eb="2">
      <t>キンム</t>
    </rPh>
    <phoneticPr fontId="4"/>
  </si>
  <si>
    <t>kinmu_b</t>
    <phoneticPr fontId="25"/>
  </si>
  <si>
    <t>勤務C</t>
    <rPh sb="0" eb="2">
      <t>キンム</t>
    </rPh>
    <phoneticPr fontId="4"/>
  </si>
  <si>
    <t>kinmu_c</t>
    <phoneticPr fontId="25"/>
  </si>
  <si>
    <t>土曜日フラグ</t>
    <rPh sb="0" eb="3">
      <t>ドヨウビ</t>
    </rPh>
    <phoneticPr fontId="4"/>
  </si>
  <si>
    <t>saturday_flg</t>
    <phoneticPr fontId="25"/>
  </si>
  <si>
    <t>日曜日フラグ</t>
    <rPh sb="0" eb="3">
      <t>ニチヨウビ</t>
    </rPh>
    <phoneticPr fontId="4"/>
  </si>
  <si>
    <t>sunday_flg</t>
    <phoneticPr fontId="25"/>
  </si>
  <si>
    <t>出荷指示№</t>
    <rPh sb="0" eb="2">
      <t>シュッカ</t>
    </rPh>
    <rPh sb="2" eb="4">
      <t>シジ</t>
    </rPh>
    <phoneticPr fontId="4"/>
  </si>
  <si>
    <t>shukka_shiji_no</t>
    <phoneticPr fontId="25"/>
  </si>
  <si>
    <t>出荷指示№枝番</t>
    <phoneticPr fontId="25"/>
  </si>
  <si>
    <t>shukka_shiji_edaban</t>
    <phoneticPr fontId="25"/>
  </si>
  <si>
    <t>受注明細SEQ</t>
    <phoneticPr fontId="25"/>
  </si>
  <si>
    <t>受注日</t>
    <rPh sb="0" eb="3">
      <t>ジュチュウビ</t>
    </rPh>
    <phoneticPr fontId="25"/>
  </si>
  <si>
    <t>工程</t>
    <rPh sb="0" eb="2">
      <t>コウテイ</t>
    </rPh>
    <phoneticPr fontId="25"/>
  </si>
  <si>
    <t>受注数</t>
    <rPh sb="0" eb="3">
      <t>ジュチュウスウ</t>
    </rPh>
    <phoneticPr fontId="25"/>
  </si>
  <si>
    <t>指示数</t>
    <rPh sb="0" eb="2">
      <t>シジ</t>
    </rPh>
    <rPh sb="2" eb="3">
      <t>スウ</t>
    </rPh>
    <phoneticPr fontId="25"/>
  </si>
  <si>
    <t>個数単位</t>
  </si>
  <si>
    <t>単価</t>
    <rPh sb="0" eb="2">
      <t>タンカ</t>
    </rPh>
    <phoneticPr fontId="25"/>
  </si>
  <si>
    <t>単価単位</t>
    <rPh sb="0" eb="2">
      <t>タンカ</t>
    </rPh>
    <rPh sb="2" eb="4">
      <t>タンイ</t>
    </rPh>
    <phoneticPr fontId="25"/>
  </si>
  <si>
    <t>unit_price_unit</t>
    <phoneticPr fontId="25"/>
  </si>
  <si>
    <t>総量</t>
    <rPh sb="0" eb="2">
      <t>ソウリョウ</t>
    </rPh>
    <phoneticPr fontId="25"/>
  </si>
  <si>
    <t>注文書番号</t>
  </si>
  <si>
    <t>在庫明細SEQ</t>
    <phoneticPr fontId="25"/>
  </si>
  <si>
    <t>zaiko_meisai_seq</t>
    <phoneticPr fontId="25"/>
  </si>
  <si>
    <t>ロット№備考</t>
    <phoneticPr fontId="25"/>
  </si>
  <si>
    <t>在庫数</t>
    <rPh sb="0" eb="3">
      <t>ザイコスウ</t>
    </rPh>
    <phoneticPr fontId="25"/>
  </si>
  <si>
    <t>特記事項</t>
    <rPh sb="0" eb="4">
      <t>トッキジコウ</t>
    </rPh>
    <phoneticPr fontId="25"/>
  </si>
  <si>
    <t>コンテナ種類</t>
    <rPh sb="4" eb="6">
      <t>シュルイ</t>
    </rPh>
    <phoneticPr fontId="25"/>
  </si>
  <si>
    <t>container_type</t>
    <phoneticPr fontId="25"/>
  </si>
  <si>
    <t>container_size</t>
    <phoneticPr fontId="25"/>
  </si>
  <si>
    <t>積込場所</t>
    <phoneticPr fontId="25"/>
  </si>
  <si>
    <t>tsumikomi_basho</t>
    <phoneticPr fontId="25"/>
  </si>
  <si>
    <t>担当者名</t>
    <rPh sb="0" eb="3">
      <t>タントウシャ</t>
    </rPh>
    <rPh sb="3" eb="4">
      <t>メイ</t>
    </rPh>
    <phoneticPr fontId="25"/>
  </si>
  <si>
    <t>出荷時刻</t>
    <rPh sb="0" eb="2">
      <t>シュッカ</t>
    </rPh>
    <rPh sb="2" eb="4">
      <t>ジコク</t>
    </rPh>
    <phoneticPr fontId="25"/>
  </si>
  <si>
    <t>納品勘定書伝票№</t>
    <phoneticPr fontId="25"/>
  </si>
  <si>
    <t>nohin_kanjosho_denpyo_no</t>
    <phoneticPr fontId="25"/>
  </si>
  <si>
    <t>ロック状態</t>
    <phoneticPr fontId="25"/>
  </si>
  <si>
    <t>出荷実績登録区分</t>
    <phoneticPr fontId="25"/>
  </si>
  <si>
    <t>shukka_jisseki_regist_kbn</t>
    <phoneticPr fontId="25"/>
  </si>
  <si>
    <t>納品勘定書出力区分</t>
    <phoneticPr fontId="25"/>
  </si>
  <si>
    <t>nohinkanjosho_out_kbn</t>
    <phoneticPr fontId="25"/>
  </si>
  <si>
    <t>荷札出力区分</t>
    <phoneticPr fontId="25"/>
  </si>
  <si>
    <t>送り状出力区分</t>
    <phoneticPr fontId="25"/>
  </si>
  <si>
    <t>荷姿単位</t>
    <phoneticPr fontId="25"/>
  </si>
  <si>
    <t>nisugata_unit</t>
    <phoneticPr fontId="25"/>
  </si>
  <si>
    <t>荷姿数</t>
    <rPh sb="2" eb="3">
      <t>スウ</t>
    </rPh>
    <phoneticPr fontId="25"/>
  </si>
  <si>
    <t>nisugata_su</t>
    <phoneticPr fontId="25"/>
  </si>
  <si>
    <t>送り状摘要</t>
    <phoneticPr fontId="25"/>
  </si>
  <si>
    <t>扱店名称</t>
    <phoneticPr fontId="25"/>
  </si>
  <si>
    <t>atsukaiten_nm</t>
    <phoneticPr fontId="25"/>
  </si>
  <si>
    <t>扱店コード</t>
    <phoneticPr fontId="25"/>
  </si>
  <si>
    <t>atsukaiten_cd</t>
    <phoneticPr fontId="25"/>
  </si>
  <si>
    <t>納入先コード</t>
    <phoneticPr fontId="25"/>
  </si>
  <si>
    <t>納入先名称</t>
    <phoneticPr fontId="25"/>
  </si>
  <si>
    <t>nonyusaki_nm</t>
    <phoneticPr fontId="25"/>
  </si>
  <si>
    <t>納入場所名称</t>
    <rPh sb="0" eb="4">
      <t>ノウニュウバショ</t>
    </rPh>
    <rPh sb="4" eb="6">
      <t>メイショウ</t>
    </rPh>
    <phoneticPr fontId="25"/>
  </si>
  <si>
    <t>nonyubasho_nm</t>
    <phoneticPr fontId="25"/>
  </si>
  <si>
    <t>得意先コード</t>
    <phoneticPr fontId="25"/>
  </si>
  <si>
    <t>得意先名称</t>
    <rPh sb="3" eb="5">
      <t>メイショウ</t>
    </rPh>
    <phoneticPr fontId="25"/>
  </si>
  <si>
    <t>tokuisaki_nm</t>
    <phoneticPr fontId="25"/>
  </si>
  <si>
    <t>納入日</t>
    <phoneticPr fontId="25"/>
  </si>
  <si>
    <t>nonyu_date</t>
    <phoneticPr fontId="25"/>
  </si>
  <si>
    <t>納入日備考</t>
    <phoneticPr fontId="25"/>
  </si>
  <si>
    <t>nonyubi_date_biko</t>
    <phoneticPr fontId="25"/>
  </si>
  <si>
    <t>出荷日</t>
    <rPh sb="0" eb="3">
      <t>シュッカビ</t>
    </rPh>
    <phoneticPr fontId="25"/>
  </si>
  <si>
    <t>shukka_date</t>
    <phoneticPr fontId="25"/>
  </si>
  <si>
    <t>出荷日備考</t>
    <rPh sb="0" eb="3">
      <t>シュッカビ</t>
    </rPh>
    <rPh sb="3" eb="5">
      <t>ビコウ</t>
    </rPh>
    <phoneticPr fontId="25"/>
  </si>
  <si>
    <t>shukka_date_biko</t>
    <phoneticPr fontId="25"/>
  </si>
  <si>
    <t>担当者名</t>
    <rPh sb="0" eb="3">
      <t>タントウシャ</t>
    </rPh>
    <rPh sb="3" eb="4">
      <t>メイ</t>
    </rPh>
    <phoneticPr fontId="4"/>
  </si>
  <si>
    <t>変更</t>
    <rPh sb="0" eb="2">
      <t>ヘンコウ</t>
    </rPh>
    <phoneticPr fontId="4"/>
  </si>
  <si>
    <t>lock_status</t>
    <phoneticPr fontId="28"/>
  </si>
  <si>
    <r>
      <t>tax_</t>
    </r>
    <r>
      <rPr>
        <sz val="11"/>
        <color rgb="FFFF0000"/>
        <rFont val="Meiryo UI"/>
        <family val="3"/>
        <charset val="128"/>
      </rPr>
      <t>calc</t>
    </r>
    <r>
      <rPr>
        <sz val="10"/>
        <color theme="1"/>
        <rFont val="Meiryo UI"/>
        <family val="3"/>
        <charset val="128"/>
      </rPr>
      <t>_kbn</t>
    </r>
    <phoneticPr fontId="25"/>
  </si>
  <si>
    <r>
      <t>hokan</t>
    </r>
    <r>
      <rPr>
        <sz val="11"/>
        <color rgb="FFFF0000"/>
        <rFont val="Meiryo UI"/>
        <family val="3"/>
        <charset val="128"/>
      </rPr>
      <t>_</t>
    </r>
    <r>
      <rPr>
        <sz val="10"/>
        <color theme="1"/>
        <rFont val="Meiryo UI"/>
        <family val="3"/>
        <charset val="128"/>
      </rPr>
      <t>basho_cd</t>
    </r>
    <phoneticPr fontId="25"/>
  </si>
  <si>
    <r>
      <t>hokan</t>
    </r>
    <r>
      <rPr>
        <sz val="11"/>
        <color rgb="FFFF0000"/>
        <rFont val="Meiryo UI"/>
        <family val="3"/>
        <charset val="128"/>
      </rPr>
      <t>_</t>
    </r>
    <r>
      <rPr>
        <sz val="10"/>
        <color theme="1"/>
        <rFont val="Meiryo UI"/>
        <family val="3"/>
        <charset val="128"/>
      </rPr>
      <t>basho_nm</t>
    </r>
    <phoneticPr fontId="25"/>
  </si>
  <si>
    <r>
      <t>利用者</t>
    </r>
    <r>
      <rPr>
        <sz val="11"/>
        <color rgb="FFFF0000"/>
        <rFont val="Meiryo UI"/>
        <family val="3"/>
        <charset val="128"/>
      </rPr>
      <t>氏名</t>
    </r>
    <rPh sb="3" eb="5">
      <t>シメイ</t>
    </rPh>
    <phoneticPr fontId="4"/>
  </si>
  <si>
    <t>利用者略称</t>
    <rPh sb="3" eb="5">
      <t>リャクショウ</t>
    </rPh>
    <phoneticPr fontId="4"/>
  </si>
  <si>
    <t>user_short_nm</t>
    <phoneticPr fontId="25"/>
  </si>
  <si>
    <r>
      <t>kokei_haigo</t>
    </r>
    <r>
      <rPr>
        <sz val="11"/>
        <color rgb="FFFF0000"/>
        <rFont val="Meiryo UI"/>
        <family val="3"/>
        <charset val="128"/>
      </rPr>
      <t>_</t>
    </r>
    <r>
      <rPr>
        <sz val="10"/>
        <color theme="1"/>
        <rFont val="Meiryo UI"/>
        <family val="3"/>
        <charset val="128"/>
      </rPr>
      <t>hi</t>
    </r>
    <phoneticPr fontId="4"/>
  </si>
  <si>
    <r>
      <rPr>
        <sz val="11"/>
        <color rgb="FFFF0000"/>
        <rFont val="Meiryo UI"/>
        <family val="3"/>
        <charset val="128"/>
      </rPr>
      <t>１</t>
    </r>
    <r>
      <rPr>
        <sz val="10"/>
        <color theme="1"/>
        <rFont val="Meiryo UI"/>
        <family val="3"/>
        <charset val="128"/>
      </rPr>
      <t>包の連数</t>
    </r>
    <rPh sb="1" eb="2">
      <t>ツツミ</t>
    </rPh>
    <rPh sb="3" eb="4">
      <t>レン</t>
    </rPh>
    <rPh sb="4" eb="5">
      <t>スウ</t>
    </rPh>
    <phoneticPr fontId="28"/>
  </si>
  <si>
    <r>
      <rPr>
        <sz val="11"/>
        <color rgb="FFFF0000"/>
        <rFont val="Meiryo UI"/>
        <family val="3"/>
        <charset val="128"/>
      </rPr>
      <t>hoso_</t>
    </r>
    <r>
      <rPr>
        <sz val="10"/>
        <color theme="1"/>
        <rFont val="Meiryo UI"/>
        <family val="3"/>
        <charset val="128"/>
      </rPr>
      <t>rensu</t>
    </r>
    <phoneticPr fontId="25"/>
  </si>
  <si>
    <t>seihin_hinshu_cd</t>
    <phoneticPr fontId="25"/>
  </si>
  <si>
    <t>kotei</t>
    <phoneticPr fontId="25"/>
  </si>
  <si>
    <t>juchu_su</t>
    <phoneticPr fontId="25"/>
  </si>
  <si>
    <t>shiji_su</t>
    <phoneticPr fontId="25"/>
  </si>
  <si>
    <t>kosu_unit</t>
    <phoneticPr fontId="25"/>
  </si>
  <si>
    <t>unit_price</t>
    <phoneticPr fontId="25"/>
  </si>
  <si>
    <t>soryo</t>
    <phoneticPr fontId="25"/>
  </si>
  <si>
    <t>chumonsho_no</t>
    <phoneticPr fontId="25"/>
  </si>
  <si>
    <t>lot_no_biko</t>
    <phoneticPr fontId="25"/>
  </si>
  <si>
    <t>zaiko_su</t>
    <phoneticPr fontId="25"/>
  </si>
  <si>
    <t>notice</t>
    <phoneticPr fontId="25"/>
  </si>
  <si>
    <t>tantosha_nm</t>
    <phoneticPr fontId="25"/>
  </si>
  <si>
    <t>shukka_datetime</t>
    <phoneticPr fontId="25"/>
  </si>
  <si>
    <t>nifuda_print_kbn</t>
    <phoneticPr fontId="25"/>
  </si>
  <si>
    <t>okurijo_print_kbn</t>
    <phoneticPr fontId="25"/>
  </si>
  <si>
    <t>okurijo_tekiyo</t>
    <phoneticPr fontId="25"/>
  </si>
  <si>
    <t>nonyusaki_cd</t>
    <phoneticPr fontId="25"/>
  </si>
  <si>
    <t>tokuisaki_cd</t>
    <phoneticPr fontId="25"/>
  </si>
  <si>
    <t>インボイス番号</t>
    <rPh sb="5" eb="7">
      <t>バンゴウ</t>
    </rPh>
    <phoneticPr fontId="4"/>
  </si>
  <si>
    <t>invoice_no</t>
    <phoneticPr fontId="25"/>
  </si>
  <si>
    <t>保管場所名</t>
    <rPh sb="4" eb="5">
      <t>メイ</t>
    </rPh>
    <phoneticPr fontId="4"/>
  </si>
  <si>
    <t>納入場所</t>
  </si>
  <si>
    <t>検索NO</t>
  </si>
  <si>
    <t>kensaku_no</t>
    <phoneticPr fontId="4"/>
  </si>
  <si>
    <t>伝票日付</t>
  </si>
  <si>
    <t>denpyo_date</t>
    <phoneticPr fontId="4"/>
  </si>
  <si>
    <t>入金分類</t>
    <rPh sb="0" eb="4">
      <t>ニュウキンブンルイ</t>
    </rPh>
    <phoneticPr fontId="4"/>
  </si>
  <si>
    <t>nyukin_bunrui</t>
    <phoneticPr fontId="4"/>
  </si>
  <si>
    <t>レコード区分(データ種別)</t>
  </si>
  <si>
    <t>record_kbn</t>
    <phoneticPr fontId="4"/>
  </si>
  <si>
    <t>入力画面NO</t>
  </si>
  <si>
    <t>input_gamen_no</t>
    <phoneticPr fontId="4"/>
  </si>
  <si>
    <t>起票者コード</t>
  </si>
  <si>
    <t>kihyosha_cd</t>
    <phoneticPr fontId="4"/>
  </si>
  <si>
    <t>仕訳入力形式</t>
    <phoneticPr fontId="4"/>
  </si>
  <si>
    <t>shiwake_input_keishiki</t>
    <phoneticPr fontId="4"/>
  </si>
  <si>
    <t>伝票内明細番号</t>
  </si>
  <si>
    <t>denpyo_meisai_no</t>
    <phoneticPr fontId="4"/>
  </si>
  <si>
    <t>借方科目別補助コード</t>
  </si>
  <si>
    <t>karikata_hojo_cd</t>
    <phoneticPr fontId="4"/>
  </si>
  <si>
    <t>借方取引先コード</t>
  </si>
  <si>
    <t>karikata_torihikisaki_cd</t>
    <phoneticPr fontId="4"/>
  </si>
  <si>
    <t>借方業種コード</t>
  </si>
  <si>
    <t>karikata_gyoshu_cd</t>
    <phoneticPr fontId="4"/>
  </si>
  <si>
    <t>貸方科目別補助コード</t>
  </si>
  <si>
    <t>kashikata_hojo_cd</t>
    <phoneticPr fontId="4"/>
  </si>
  <si>
    <t>貸方取引先コード</t>
  </si>
  <si>
    <t>kashikata_torihikisaki_cd</t>
    <phoneticPr fontId="4"/>
  </si>
  <si>
    <t>貸方部門コード</t>
  </si>
  <si>
    <t>kashikata_bumon_cd</t>
    <phoneticPr fontId="4"/>
  </si>
  <si>
    <t>貸方部門正式名</t>
  </si>
  <si>
    <t>kashikata_bumon_nm</t>
    <phoneticPr fontId="4"/>
  </si>
  <si>
    <t>貸方業種コード</t>
  </si>
  <si>
    <t>kashikata_gyoshu_cd</t>
    <phoneticPr fontId="4"/>
  </si>
  <si>
    <t>貸方消費税区分</t>
    <phoneticPr fontId="4"/>
  </si>
  <si>
    <t>kashikata_tax_rate_kbn</t>
    <phoneticPr fontId="4"/>
  </si>
  <si>
    <t>貸方税抜込区分</t>
  </si>
  <si>
    <t>kashikata_tax_ex_kbn</t>
    <phoneticPr fontId="4"/>
  </si>
  <si>
    <t>資金繰コード</t>
  </si>
  <si>
    <t>shikinguri_cd</t>
    <phoneticPr fontId="4"/>
  </si>
  <si>
    <t>消費税コード</t>
  </si>
  <si>
    <t>tax_cd</t>
    <phoneticPr fontId="4"/>
  </si>
  <si>
    <t>外税同時入力区分</t>
  </si>
  <si>
    <t>tax_ex_input_kbn</t>
    <phoneticPr fontId="4"/>
  </si>
  <si>
    <t>金額</t>
  </si>
  <si>
    <t>amount</t>
    <phoneticPr fontId="4"/>
  </si>
  <si>
    <t>消費税額</t>
    <phoneticPr fontId="4"/>
  </si>
  <si>
    <t>tax</t>
    <phoneticPr fontId="4"/>
  </si>
  <si>
    <t>外貨金額</t>
  </si>
  <si>
    <t>gaika_amount</t>
    <phoneticPr fontId="4"/>
  </si>
  <si>
    <t>外貨記号</t>
  </si>
  <si>
    <t>gaika_kigo</t>
    <phoneticPr fontId="4"/>
  </si>
  <si>
    <t>期日</t>
  </si>
  <si>
    <t>due_date</t>
    <phoneticPr fontId="4"/>
  </si>
  <si>
    <t>借方番号１</t>
  </si>
  <si>
    <t>karikata_no1</t>
    <phoneticPr fontId="4"/>
  </si>
  <si>
    <t>借方番号２</t>
  </si>
  <si>
    <t>karikata_no2</t>
    <phoneticPr fontId="4"/>
  </si>
  <si>
    <t>貸方番号１</t>
  </si>
  <si>
    <t>kashikata_no1</t>
    <phoneticPr fontId="4"/>
  </si>
  <si>
    <t>貸方番号２</t>
  </si>
  <si>
    <t>kashikata_no2</t>
    <phoneticPr fontId="4"/>
  </si>
  <si>
    <t>摘要</t>
  </si>
  <si>
    <t>tekiyo</t>
    <phoneticPr fontId="4"/>
  </si>
  <si>
    <t>取込年月</t>
  </si>
  <si>
    <t>torikomi_ym</t>
    <phoneticPr fontId="4"/>
  </si>
  <si>
    <t>売上計上日</t>
    <rPh sb="0" eb="2">
      <t>ウリアゲ</t>
    </rPh>
    <rPh sb="2" eb="5">
      <t>ケイジョウビ</t>
    </rPh>
    <phoneticPr fontId="33"/>
  </si>
  <si>
    <t>uriage_keijo_date</t>
    <phoneticPr fontId="4"/>
  </si>
  <si>
    <t>売上年月</t>
    <rPh sb="0" eb="2">
      <t>ウリアゲ</t>
    </rPh>
    <rPh sb="2" eb="3">
      <t>ネン</t>
    </rPh>
    <rPh sb="3" eb="4">
      <t>ツキ</t>
    </rPh>
    <phoneticPr fontId="33"/>
  </si>
  <si>
    <t>uriage_ym</t>
    <phoneticPr fontId="4"/>
  </si>
  <si>
    <t>国内海外ID</t>
    <rPh sb="0" eb="2">
      <t>コクナイ</t>
    </rPh>
    <rPh sb="2" eb="3">
      <t>ウミ</t>
    </rPh>
    <phoneticPr fontId="33"/>
  </si>
  <si>
    <t>kokunai_kaigai_id</t>
    <phoneticPr fontId="4"/>
  </si>
  <si>
    <t>当月本体金額</t>
    <rPh sb="0" eb="2">
      <t>トウゲツ</t>
    </rPh>
    <rPh sb="2" eb="4">
      <t>ホンタイ</t>
    </rPh>
    <rPh sb="4" eb="6">
      <t>キンガク</t>
    </rPh>
    <phoneticPr fontId="33"/>
  </si>
  <si>
    <t>togetsu_amount</t>
    <phoneticPr fontId="4"/>
  </si>
  <si>
    <t>当月売上税金</t>
    <rPh sb="0" eb="2">
      <t>トウゲツ</t>
    </rPh>
    <rPh sb="2" eb="4">
      <t>ウリアゲ</t>
    </rPh>
    <rPh sb="4" eb="6">
      <t>ゼイキン</t>
    </rPh>
    <phoneticPr fontId="33"/>
  </si>
  <si>
    <t>togetsu_uriage_tax</t>
    <phoneticPr fontId="4"/>
  </si>
  <si>
    <t>当月売上合計金額</t>
    <rPh sb="0" eb="2">
      <t>トウゲツ</t>
    </rPh>
    <rPh sb="2" eb="4">
      <t>ウリアゲ</t>
    </rPh>
    <rPh sb="4" eb="6">
      <t>ゴウケイ</t>
    </rPh>
    <rPh sb="6" eb="8">
      <t>キンガク</t>
    </rPh>
    <phoneticPr fontId="33"/>
  </si>
  <si>
    <t>togetsu_uriage_gokei</t>
    <phoneticPr fontId="4"/>
  </si>
  <si>
    <t>当月分回収予定日</t>
  </si>
  <si>
    <t>togetsu_kaishu_date</t>
    <phoneticPr fontId="4"/>
  </si>
  <si>
    <t>次月本体金額</t>
  </si>
  <si>
    <t>jigetsu_amount</t>
    <phoneticPr fontId="4"/>
  </si>
  <si>
    <t>次月売上税金</t>
  </si>
  <si>
    <t>jigetsu_uriage_tax</t>
    <phoneticPr fontId="4"/>
  </si>
  <si>
    <t>次月売上合計金額</t>
  </si>
  <si>
    <t>jigetsu_uriage_gokei</t>
    <phoneticPr fontId="4"/>
  </si>
  <si>
    <t>次月分回収予定日</t>
  </si>
  <si>
    <t>jigetsu_kaishu_date</t>
    <phoneticPr fontId="4"/>
  </si>
  <si>
    <t>外貨合計金額</t>
  </si>
  <si>
    <t>gaika_gokei</t>
    <phoneticPr fontId="4"/>
  </si>
  <si>
    <t>出力フラグ</t>
    <rPh sb="0" eb="2">
      <t>シュツリョク</t>
    </rPh>
    <phoneticPr fontId="33"/>
  </si>
  <si>
    <t>output_flg</t>
    <phoneticPr fontId="4"/>
  </si>
  <si>
    <t>当月売上金額</t>
    <rPh sb="2" eb="4">
      <t>ウリアゲ</t>
    </rPh>
    <phoneticPr fontId="4"/>
  </si>
  <si>
    <t>togetsu_uriage</t>
    <phoneticPr fontId="4"/>
  </si>
  <si>
    <t>次月売上金額</t>
    <rPh sb="2" eb="4">
      <t>ウリアゲ</t>
    </rPh>
    <phoneticPr fontId="4"/>
  </si>
  <si>
    <t>jigetsu_uriage</t>
    <phoneticPr fontId="4"/>
  </si>
  <si>
    <t>当月戻り金額</t>
    <phoneticPr fontId="4"/>
  </si>
  <si>
    <t>togetsu_modori</t>
    <phoneticPr fontId="4"/>
  </si>
  <si>
    <t>次月戻り金額</t>
    <phoneticPr fontId="4"/>
  </si>
  <si>
    <t>jigetsu_modori</t>
    <phoneticPr fontId="4"/>
  </si>
  <si>
    <t>当月値引き金額</t>
  </si>
  <si>
    <t>togetsu_nebiki</t>
    <phoneticPr fontId="4"/>
  </si>
  <si>
    <t>次月値引き金額</t>
  </si>
  <si>
    <t>jigetsu_nebiki</t>
    <phoneticPr fontId="4"/>
  </si>
  <si>
    <t>当月値追加金額</t>
  </si>
  <si>
    <t>togetsu_netsuika</t>
    <phoneticPr fontId="4"/>
  </si>
  <si>
    <t>次月値追加金額</t>
  </si>
  <si>
    <t>jigetsu_netsuika</t>
    <phoneticPr fontId="4"/>
  </si>
  <si>
    <t>当月税金</t>
  </si>
  <si>
    <t>次月税金</t>
  </si>
  <si>
    <t>外貨売上金額</t>
  </si>
  <si>
    <t>gaika_uriage</t>
    <phoneticPr fontId="4"/>
  </si>
  <si>
    <t>外貨戻り金額</t>
  </si>
  <si>
    <t>gaika_modori</t>
    <phoneticPr fontId="4"/>
  </si>
  <si>
    <t>外貨値引き金額</t>
  </si>
  <si>
    <t>gaika_nebiki</t>
    <phoneticPr fontId="4"/>
  </si>
  <si>
    <t>外貨値追加金額</t>
  </si>
  <si>
    <t>gaika_netsuika</t>
    <phoneticPr fontId="4"/>
  </si>
  <si>
    <t>円貨売上金額</t>
  </si>
  <si>
    <t>enka_uriage</t>
  </si>
  <si>
    <t>円貨戻り金額</t>
  </si>
  <si>
    <t>enka_modori</t>
  </si>
  <si>
    <t>円貨値引き金額</t>
  </si>
  <si>
    <t>enka_nebiki</t>
  </si>
  <si>
    <t>円貨値追加金額</t>
  </si>
  <si>
    <t>enka_netsuika</t>
  </si>
  <si>
    <t>BL Date</t>
  </si>
  <si>
    <t>bl_date</t>
    <phoneticPr fontId="4"/>
  </si>
  <si>
    <t>レート</t>
  </si>
  <si>
    <t>rate</t>
    <phoneticPr fontId="4"/>
  </si>
  <si>
    <t>委託販売手数料本体</t>
    <rPh sb="0" eb="2">
      <t>イタク</t>
    </rPh>
    <rPh sb="2" eb="4">
      <t>ハンバイ</t>
    </rPh>
    <rPh sb="4" eb="7">
      <t>テスウリョウ</t>
    </rPh>
    <rPh sb="7" eb="9">
      <t>ホンタイ</t>
    </rPh>
    <phoneticPr fontId="33"/>
  </si>
  <si>
    <t>itaku_sales_commission</t>
    <phoneticPr fontId="4"/>
  </si>
  <si>
    <t>委託販売手数料税金</t>
    <rPh sb="0" eb="2">
      <t>イタク</t>
    </rPh>
    <rPh sb="2" eb="4">
      <t>ハンバイ</t>
    </rPh>
    <rPh sb="4" eb="7">
      <t>テスウリョウ</t>
    </rPh>
    <rPh sb="7" eb="9">
      <t>ゼイキン</t>
    </rPh>
    <phoneticPr fontId="33"/>
  </si>
  <si>
    <t>itaku_sales_commission_tax</t>
    <phoneticPr fontId="4"/>
  </si>
  <si>
    <t>委託販売手数料合計</t>
    <rPh sb="0" eb="2">
      <t>イタク</t>
    </rPh>
    <rPh sb="2" eb="4">
      <t>ハンバイ</t>
    </rPh>
    <rPh sb="4" eb="7">
      <t>テスウリョウ</t>
    </rPh>
    <rPh sb="7" eb="9">
      <t>ゴウケイ</t>
    </rPh>
    <phoneticPr fontId="33"/>
  </si>
  <si>
    <t>itaku_sales_commission_gokei</t>
    <phoneticPr fontId="4"/>
  </si>
  <si>
    <t>支払日（年月日）</t>
    <rPh sb="4" eb="7">
      <t>ネンガッピ</t>
    </rPh>
    <phoneticPr fontId="4"/>
  </si>
  <si>
    <t>shiharai_date</t>
    <phoneticPr fontId="4"/>
  </si>
  <si>
    <t>分類コード</t>
  </si>
  <si>
    <t>bunrui_cd</t>
    <phoneticPr fontId="4"/>
  </si>
  <si>
    <t>仕入年月</t>
    <phoneticPr fontId="4"/>
  </si>
  <si>
    <t>shiire_ym</t>
    <phoneticPr fontId="4"/>
  </si>
  <si>
    <t>分類名</t>
  </si>
  <si>
    <t>bunrui_nm</t>
    <phoneticPr fontId="4"/>
  </si>
  <si>
    <t>分類明細名</t>
  </si>
  <si>
    <t>bunrui_meisai_nm</t>
    <phoneticPr fontId="4"/>
  </si>
  <si>
    <t>支払予定本体</t>
  </si>
  <si>
    <t>shiharai_hontai</t>
    <phoneticPr fontId="4"/>
  </si>
  <si>
    <t>支払予定税金</t>
  </si>
  <si>
    <t>shiharai_tax</t>
    <phoneticPr fontId="4"/>
  </si>
  <si>
    <t>支払予定非課税</t>
  </si>
  <si>
    <t>shiharai_tax_ex</t>
    <phoneticPr fontId="4"/>
  </si>
  <si>
    <t>支払調整本体</t>
  </si>
  <si>
    <t>shiharai_chosei_hontai</t>
    <phoneticPr fontId="4"/>
  </si>
  <si>
    <t>支払調整税金</t>
    <rPh sb="0" eb="2">
      <t>シハラ</t>
    </rPh>
    <phoneticPr fontId="4"/>
  </si>
  <si>
    <t>shiharai_chosei_tax</t>
    <phoneticPr fontId="4"/>
  </si>
  <si>
    <t>支払相殺済</t>
  </si>
  <si>
    <t>shiharai_sosai</t>
    <phoneticPr fontId="4"/>
  </si>
  <si>
    <t>支払予定金額</t>
  </si>
  <si>
    <t>shiharai_amount</t>
    <phoneticPr fontId="4"/>
  </si>
  <si>
    <t>集計行フラグ</t>
    <rPh sb="0" eb="3">
      <t>シュウケイギョウ</t>
    </rPh>
    <phoneticPr fontId="33"/>
  </si>
  <si>
    <t>shukei_flg</t>
    <phoneticPr fontId="4"/>
  </si>
  <si>
    <t>仕入締め年月</t>
    <rPh sb="0" eb="2">
      <t>シイレ</t>
    </rPh>
    <rPh sb="2" eb="3">
      <t>シ</t>
    </rPh>
    <rPh sb="4" eb="6">
      <t>ネンゲツ</t>
    </rPh>
    <phoneticPr fontId="4"/>
  </si>
  <si>
    <t>shiire_shime_ym</t>
    <phoneticPr fontId="4"/>
  </si>
  <si>
    <t>その他売上№</t>
    <rPh sb="2" eb="3">
      <t>タ</t>
    </rPh>
    <rPh sb="3" eb="5">
      <t>ウリアゲ</t>
    </rPh>
    <phoneticPr fontId="4"/>
  </si>
  <si>
    <t>sonota_uriage_no</t>
    <phoneticPr fontId="4"/>
  </si>
  <si>
    <t>指図日</t>
  </si>
  <si>
    <t>sashizu_date</t>
    <phoneticPr fontId="4"/>
  </si>
  <si>
    <t>担当識別区分</t>
    <rPh sb="4" eb="6">
      <t>クブン</t>
    </rPh>
    <phoneticPr fontId="4"/>
  </si>
  <si>
    <t>tanto_shikibetsu_kbn</t>
    <phoneticPr fontId="4"/>
  </si>
  <si>
    <t>得意先締日区分</t>
    <rPh sb="5" eb="7">
      <t>クブン</t>
    </rPh>
    <phoneticPr fontId="4"/>
  </si>
  <si>
    <t>tokuisaki_shimebi_kbn</t>
    <phoneticPr fontId="4"/>
  </si>
  <si>
    <t>得意先国内海外区分</t>
  </si>
  <si>
    <t>tokuisaki_kokunai_kaigai_kbn</t>
    <phoneticPr fontId="4"/>
  </si>
  <si>
    <t>売上区分</t>
    <rPh sb="0" eb="2">
      <t>ウリアゲ</t>
    </rPh>
    <rPh sb="2" eb="4">
      <t>クブン</t>
    </rPh>
    <phoneticPr fontId="18"/>
  </si>
  <si>
    <t>uriage_kbn</t>
    <phoneticPr fontId="4"/>
  </si>
  <si>
    <t>売上区分内容</t>
    <rPh sb="0" eb="2">
      <t>ウリアゲ</t>
    </rPh>
    <rPh sb="2" eb="4">
      <t>クブン</t>
    </rPh>
    <rPh sb="4" eb="6">
      <t>ナイヨウ</t>
    </rPh>
    <phoneticPr fontId="18"/>
  </si>
  <si>
    <t>uriage_kbn_naiyo</t>
    <phoneticPr fontId="4"/>
  </si>
  <si>
    <t>円貨金額</t>
  </si>
  <si>
    <t>enka_amount</t>
    <phoneticPr fontId="4"/>
  </si>
  <si>
    <t>入金日</t>
  </si>
  <si>
    <t>nyukin_date</t>
    <phoneticPr fontId="4"/>
  </si>
  <si>
    <t>入金額</t>
  </si>
  <si>
    <t>nyukin_amount</t>
    <phoneticPr fontId="4"/>
  </si>
  <si>
    <t>取引先コード</t>
  </si>
  <si>
    <t>torihikisaki_cd</t>
    <phoneticPr fontId="4"/>
  </si>
  <si>
    <t>取引先名</t>
    <rPh sb="3" eb="4">
      <t>メイ</t>
    </rPh>
    <phoneticPr fontId="21"/>
  </si>
  <si>
    <t>torihikisaki_nm</t>
    <phoneticPr fontId="4"/>
  </si>
  <si>
    <t>インボイス番号（出荷）</t>
    <rPh sb="8" eb="10">
      <t>シュッカ</t>
    </rPh>
    <phoneticPr fontId="4"/>
  </si>
  <si>
    <t>invoice_no_shukka</t>
    <phoneticPr fontId="25"/>
  </si>
  <si>
    <t>受注区分</t>
    <rPh sb="0" eb="4">
      <t>ジュチュウクブン</t>
    </rPh>
    <phoneticPr fontId="4"/>
  </si>
  <si>
    <t>juchu_kbn</t>
    <phoneticPr fontId="4"/>
  </si>
  <si>
    <t>受注状態</t>
    <rPh sb="0" eb="2">
      <t>ジュチュウ</t>
    </rPh>
    <rPh sb="2" eb="4">
      <t>ジョウタイ</t>
    </rPh>
    <phoneticPr fontId="4"/>
  </si>
  <si>
    <t>juchu_jotai</t>
    <phoneticPr fontId="4"/>
  </si>
  <si>
    <t>nonyu_basho</t>
  </si>
  <si>
    <t>個数</t>
    <rPh sb="0" eb="2">
      <t>コスウ</t>
    </rPh>
    <phoneticPr fontId="4"/>
  </si>
  <si>
    <t>kosu</t>
    <phoneticPr fontId="4"/>
  </si>
  <si>
    <t>引当在庫数</t>
    <rPh sb="0" eb="1">
      <t>ヒ</t>
    </rPh>
    <rPh sb="1" eb="2">
      <t>ア</t>
    </rPh>
    <phoneticPr fontId="4"/>
  </si>
  <si>
    <t>hikiate_zaiko_su</t>
  </si>
  <si>
    <t>製品確保数</t>
    <phoneticPr fontId="4"/>
  </si>
  <si>
    <t>seihin_kakuho_su</t>
    <phoneticPr fontId="4"/>
  </si>
  <si>
    <t>完了フラグ</t>
  </si>
  <si>
    <t>kanryo_flg</t>
  </si>
  <si>
    <t>原反名</t>
    <rPh sb="0" eb="2">
      <t>ゲンタン</t>
    </rPh>
    <rPh sb="2" eb="3">
      <t>メイ</t>
    </rPh>
    <phoneticPr fontId="4"/>
  </si>
  <si>
    <t>gentan_nm</t>
    <phoneticPr fontId="4"/>
  </si>
  <si>
    <t>原反納入日</t>
  </si>
  <si>
    <t>gentan_nonyu_date</t>
  </si>
  <si>
    <t>明細SEQ枝番</t>
    <phoneticPr fontId="4"/>
  </si>
  <si>
    <t>meisai_seq_edaban</t>
    <phoneticPr fontId="4"/>
  </si>
  <si>
    <t>出荷予定日</t>
  </si>
  <si>
    <t>shukka_yotei_date</t>
  </si>
  <si>
    <t>納入予定日</t>
  </si>
  <si>
    <t>nonyu_yotei_date</t>
  </si>
  <si>
    <t>通貨コード</t>
    <rPh sb="0" eb="2">
      <t>ツウカ</t>
    </rPh>
    <phoneticPr fontId="8"/>
  </si>
  <si>
    <t>通貨コード</t>
    <rPh sb="0" eb="2">
      <t>ツウカ</t>
    </rPh>
    <phoneticPr fontId="4"/>
  </si>
  <si>
    <t>基準日</t>
    <rPh sb="0" eb="3">
      <t>キジュンビ</t>
    </rPh>
    <phoneticPr fontId="8"/>
  </si>
  <si>
    <t>tsumikomi_basho_cd</t>
    <phoneticPr fontId="4"/>
  </si>
  <si>
    <t>積込場所コード</t>
    <phoneticPr fontId="4"/>
  </si>
  <si>
    <t>積込場所名</t>
    <rPh sb="4" eb="5">
      <t>メイ</t>
    </rPh>
    <phoneticPr fontId="4"/>
  </si>
  <si>
    <t>tsumikomi_basho_nm</t>
    <phoneticPr fontId="4"/>
  </si>
  <si>
    <t>積込場所グループコード</t>
    <rPh sb="0" eb="4">
      <t>ツミコミバショ</t>
    </rPh>
    <phoneticPr fontId="4"/>
  </si>
  <si>
    <t>積込場所グループ名</t>
    <rPh sb="0" eb="4">
      <t>ツミコミバショ</t>
    </rPh>
    <rPh sb="8" eb="9">
      <t>メイ</t>
    </rPh>
    <phoneticPr fontId="4"/>
  </si>
  <si>
    <t>tsumikomi_basho_group_cd</t>
    <phoneticPr fontId="4"/>
  </si>
  <si>
    <t>tsumikomi_basho_group_nm</t>
    <phoneticPr fontId="4"/>
  </si>
  <si>
    <t>出荷実績№</t>
  </si>
  <si>
    <t>shukka_jisseki_no</t>
  </si>
  <si>
    <t>出荷実績№枝番</t>
  </si>
  <si>
    <t>shukka_jisseki_edaban</t>
  </si>
  <si>
    <t>運送会社コード</t>
    <rPh sb="0" eb="4">
      <t>ウンソウカイシャ</t>
    </rPh>
    <phoneticPr fontId="4"/>
  </si>
  <si>
    <t>運送会社名</t>
  </si>
  <si>
    <t>運送会社名</t>
    <rPh sb="0" eb="4">
      <t>ウンソウカイシャ</t>
    </rPh>
    <rPh sb="4" eb="5">
      <t>メイ</t>
    </rPh>
    <phoneticPr fontId="4"/>
  </si>
  <si>
    <t>unsokaisha_cd</t>
  </si>
  <si>
    <t>unsokaisha_nm</t>
  </si>
  <si>
    <t>運送会社名</t>
    <phoneticPr fontId="4"/>
  </si>
  <si>
    <t>外貨金額</t>
    <rPh sb="0" eb="2">
      <t>ガイカ</t>
    </rPh>
    <rPh sb="2" eb="4">
      <t>キンガク</t>
    </rPh>
    <phoneticPr fontId="4"/>
  </si>
  <si>
    <t>実績数</t>
  </si>
  <si>
    <t>jisseki_su</t>
  </si>
  <si>
    <t>juchu_meisai_seq</t>
    <phoneticPr fontId="25"/>
  </si>
  <si>
    <t>juchu_date</t>
    <phoneticPr fontId="25"/>
  </si>
  <si>
    <t>ロット明細SEQ</t>
    <phoneticPr fontId="4"/>
  </si>
  <si>
    <t>lot_meisai_seq</t>
    <phoneticPr fontId="4"/>
  </si>
  <si>
    <t>読取№</t>
    <rPh sb="0" eb="2">
      <t>ヨミトリ</t>
    </rPh>
    <phoneticPr fontId="4"/>
  </si>
  <si>
    <t>yomitori_no</t>
    <phoneticPr fontId="4"/>
  </si>
  <si>
    <t>yomitori_date</t>
    <phoneticPr fontId="4"/>
  </si>
  <si>
    <t>yomitori_lot_no</t>
    <phoneticPr fontId="4"/>
  </si>
  <si>
    <t>yomitori_pallet_no</t>
    <phoneticPr fontId="4"/>
  </si>
  <si>
    <t>運送用備考</t>
  </si>
  <si>
    <t>運送用備考</t>
    <rPh sb="0" eb="2">
      <t>ウンソウ</t>
    </rPh>
    <rPh sb="2" eb="3">
      <t>ヨウ</t>
    </rPh>
    <rPh sb="3" eb="5">
      <t>ビコウ</t>
    </rPh>
    <phoneticPr fontId="8"/>
  </si>
  <si>
    <t>送り状納入場所</t>
    <rPh sb="0" eb="1">
      <t>オク</t>
    </rPh>
    <rPh sb="2" eb="3">
      <t>ジョウ</t>
    </rPh>
    <rPh sb="3" eb="7">
      <t>ノウニュウバショ</t>
    </rPh>
    <phoneticPr fontId="8"/>
  </si>
  <si>
    <t>送り状納入日備考</t>
    <rPh sb="0" eb="1">
      <t>オク</t>
    </rPh>
    <rPh sb="2" eb="3">
      <t>ジョウ</t>
    </rPh>
    <rPh sb="3" eb="6">
      <t>ノウニュウビ</t>
    </rPh>
    <rPh sb="6" eb="8">
      <t>ビコウ</t>
    </rPh>
    <phoneticPr fontId="8"/>
  </si>
  <si>
    <t>送り状重量</t>
    <rPh sb="0" eb="1">
      <t>オク</t>
    </rPh>
    <rPh sb="2" eb="3">
      <t>ジョウ</t>
    </rPh>
    <rPh sb="3" eb="5">
      <t>ジュウリョウ</t>
    </rPh>
    <phoneticPr fontId="8"/>
  </si>
  <si>
    <t>okurijo_nonyubi_biko</t>
  </si>
  <si>
    <t>okurijo_juryo</t>
  </si>
  <si>
    <t>運送用備考</t>
    <rPh sb="0" eb="3">
      <t>ウンソウヨウ</t>
    </rPh>
    <rPh sb="3" eb="5">
      <t>ビコウ</t>
    </rPh>
    <phoneticPr fontId="4"/>
  </si>
  <si>
    <t>unso_biko</t>
    <phoneticPr fontId="4"/>
  </si>
  <si>
    <t>okurijo_nonyu_basho</t>
    <phoneticPr fontId="4"/>
  </si>
  <si>
    <t>送り状重量</t>
    <rPh sb="0" eb="1">
      <t>オク</t>
    </rPh>
    <rPh sb="2" eb="3">
      <t>ジョウ</t>
    </rPh>
    <rPh sb="3" eb="5">
      <t>ジュウリョウ</t>
    </rPh>
    <phoneticPr fontId="4"/>
  </si>
  <si>
    <t>運送用備考</t>
    <rPh sb="0" eb="3">
      <t>ウンソウヨウ</t>
    </rPh>
    <rPh sb="3" eb="5">
      <t>ビコウ</t>
    </rPh>
    <phoneticPr fontId="8"/>
  </si>
  <si>
    <t>shukka_no</t>
    <phoneticPr fontId="4"/>
  </si>
  <si>
    <t>出荷№</t>
    <rPh sb="0" eb="2">
      <t>シュッカ</t>
    </rPh>
    <phoneticPr fontId="8"/>
  </si>
  <si>
    <t>出荷№</t>
    <rPh sb="0" eb="2">
      <t>シュッカ</t>
    </rPh>
    <phoneticPr fontId="4"/>
  </si>
  <si>
    <t>納入先郵便番号</t>
  </si>
  <si>
    <t>納入先郵便番号</t>
    <rPh sb="0" eb="3">
      <t>ノウニュウサキ</t>
    </rPh>
    <rPh sb="3" eb="7">
      <t>ユウビンバンゴウ</t>
    </rPh>
    <phoneticPr fontId="8"/>
  </si>
  <si>
    <t>納入先住所</t>
  </si>
  <si>
    <t>納入先住所</t>
    <rPh sb="0" eb="3">
      <t>ノウニュウサキ</t>
    </rPh>
    <rPh sb="3" eb="5">
      <t>ジュウショ</t>
    </rPh>
    <phoneticPr fontId="8"/>
  </si>
  <si>
    <t>納入先電話番号</t>
  </si>
  <si>
    <t>納入先電話番号</t>
    <rPh sb="0" eb="3">
      <t>ノウニュウサキ</t>
    </rPh>
    <rPh sb="3" eb="7">
      <t>デンワバンゴウ</t>
    </rPh>
    <phoneticPr fontId="8"/>
  </si>
  <si>
    <t>出荷日ごと、1から連番</t>
    <rPh sb="0" eb="3">
      <t>シュッカビ</t>
    </rPh>
    <rPh sb="9" eb="11">
      <t>レンバン</t>
    </rPh>
    <phoneticPr fontId="4"/>
  </si>
  <si>
    <t>nonyusaki_post_no</t>
  </si>
  <si>
    <t>nonyusaki_address</t>
  </si>
  <si>
    <t>nonyusaki_phone_no</t>
  </si>
  <si>
    <t>名称</t>
    <rPh sb="0" eb="2">
      <t>メイショウ</t>
    </rPh>
    <phoneticPr fontId="8"/>
  </si>
  <si>
    <t>小口数</t>
    <rPh sb="0" eb="2">
      <t>コグチ</t>
    </rPh>
    <rPh sb="2" eb="3">
      <t>スウ</t>
    </rPh>
    <phoneticPr fontId="8"/>
  </si>
  <si>
    <t>連番</t>
    <rPh sb="0" eb="2">
      <t>レンバン</t>
    </rPh>
    <phoneticPr fontId="8"/>
  </si>
  <si>
    <t>小口数</t>
    <rPh sb="0" eb="2">
      <t>コグチ</t>
    </rPh>
    <rPh sb="2" eb="3">
      <t>スウ</t>
    </rPh>
    <phoneticPr fontId="4"/>
  </si>
  <si>
    <t>koguchi_su</t>
    <phoneticPr fontId="4"/>
  </si>
  <si>
    <t>3</t>
    <phoneticPr fontId="4"/>
  </si>
  <si>
    <t>出荷日・出荷№ごと、1から連番</t>
    <rPh sb="0" eb="3">
      <t>シュッカビ</t>
    </rPh>
    <rPh sb="4" eb="7">
      <t>シュッカナンバー</t>
    </rPh>
    <rPh sb="13" eb="15">
      <t>レンバン</t>
    </rPh>
    <phoneticPr fontId="4"/>
  </si>
  <si>
    <t>路線便帳票印刷情報</t>
  </si>
  <si>
    <t>路線便帳票印刷明細情報</t>
  </si>
  <si>
    <t>出荷指示№・出荷指示№枝番ごと、1から連番</t>
    <rPh sb="0" eb="2">
      <t>シュッカ</t>
    </rPh>
    <rPh sb="2" eb="4">
      <t>シジ</t>
    </rPh>
    <rPh sb="6" eb="8">
      <t>シュッカ</t>
    </rPh>
    <rPh sb="8" eb="10">
      <t>シジ</t>
    </rPh>
    <rPh sb="11" eb="13">
      <t>エダバン</t>
    </rPh>
    <rPh sb="19" eb="21">
      <t>レンバン</t>
    </rPh>
    <phoneticPr fontId="4"/>
  </si>
  <si>
    <t>出荷指示明細情報（荷札）</t>
  </si>
  <si>
    <t>t_shukkashiji_h</t>
    <phoneticPr fontId="4"/>
  </si>
  <si>
    <t>t_shukkashiji_juchu_m</t>
    <phoneticPr fontId="4"/>
  </si>
  <si>
    <t>t_shukkashiji_zaiko_m</t>
    <phoneticPr fontId="4"/>
  </si>
  <si>
    <t>t_shukkashiji_nifuda_m</t>
    <phoneticPr fontId="4"/>
  </si>
  <si>
    <t>t_shukkajisseki_h</t>
    <phoneticPr fontId="4"/>
  </si>
  <si>
    <t>t_shukkajisseki_juchu_m</t>
    <phoneticPr fontId="4"/>
  </si>
  <si>
    <t>t_shukkajisseki_zaiko_m</t>
    <phoneticPr fontId="4"/>
  </si>
  <si>
    <t>t_shukkajisseki_lotno_m</t>
    <phoneticPr fontId="4"/>
  </si>
  <si>
    <t>t_tsumikomi_basho_grp</t>
    <phoneticPr fontId="4"/>
  </si>
  <si>
    <t>t_tsumikomi_basho</t>
    <phoneticPr fontId="4"/>
  </si>
  <si>
    <t>t_gaika_rate</t>
    <phoneticPr fontId="4"/>
  </si>
  <si>
    <t>t_rosenbin_print_h</t>
    <phoneticPr fontId="4"/>
  </si>
  <si>
    <t>t_rosenbin_print_m</t>
    <phoneticPr fontId="4"/>
  </si>
  <si>
    <t>ハンディ出荷ロット№読取情報</t>
    <phoneticPr fontId="4"/>
  </si>
  <si>
    <t>t_handy_shukka_lot_no_read</t>
    <phoneticPr fontId="4"/>
  </si>
  <si>
    <t>ハンディで出荷実績登録する対象テーブル</t>
    <rPh sb="5" eb="7">
      <t>シュッカ</t>
    </rPh>
    <rPh sb="7" eb="9">
      <t>ジッセキ</t>
    </rPh>
    <rPh sb="9" eb="11">
      <t>トウロク</t>
    </rPh>
    <rPh sb="13" eb="15">
      <t>タイショウ</t>
    </rPh>
    <phoneticPr fontId="4"/>
  </si>
  <si>
    <t>製品フルロット№</t>
    <rPh sb="0" eb="2">
      <t>セイヒン</t>
    </rPh>
    <phoneticPr fontId="8"/>
  </si>
  <si>
    <t>t_lot_no_read</t>
    <phoneticPr fontId="4"/>
  </si>
  <si>
    <t>出荷移動区分</t>
    <rPh sb="0" eb="2">
      <t>シュッカ</t>
    </rPh>
    <rPh sb="2" eb="6">
      <t>イドウクブン</t>
    </rPh>
    <phoneticPr fontId="4"/>
  </si>
  <si>
    <t>出荷移動区分</t>
    <rPh sb="0" eb="2">
      <t>シュッカ</t>
    </rPh>
    <rPh sb="2" eb="6">
      <t>イドウクブン</t>
    </rPh>
    <phoneticPr fontId="4"/>
  </si>
  <si>
    <t>shukka_ido_kbn</t>
    <phoneticPr fontId="4"/>
  </si>
  <si>
    <t>追加</t>
    <rPh sb="0" eb="2">
      <t>ツイカ</t>
    </rPh>
    <phoneticPr fontId="4"/>
  </si>
  <si>
    <t>出荷移動区分</t>
    <rPh sb="0" eb="6">
      <t>シュッカイドウクブン</t>
    </rPh>
    <phoneticPr fontId="4"/>
  </si>
  <si>
    <t>区分マスタ.区分：121</t>
    <phoneticPr fontId="4"/>
  </si>
  <si>
    <t>区分マスタ.区分：71</t>
    <phoneticPr fontId="4"/>
  </si>
  <si>
    <t>製品区分</t>
    <rPh sb="0" eb="4">
      <t>セイヒンクブン</t>
    </rPh>
    <phoneticPr fontId="4"/>
  </si>
  <si>
    <t>区分マスタ.区分：17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</si>
</sst>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0"/>
      <color theme="1"/>
      <name val="Meiryo UI"/>
      <family val="2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6"/>
      <name val="MS UI Gothic"/>
      <family val="3"/>
      <charset val="128"/>
    </font>
    <font>
      <sz val="10"/>
      <name val="MS UI Gothic"/>
      <family val="3"/>
      <charset val="128"/>
    </font>
    <font>
      <sz val="11"/>
      <color theme="1"/>
      <name val="游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sz val="14"/>
      <color theme="1"/>
      <name val="Meiryo UI"/>
      <family val="2"/>
      <charset val="128"/>
    </font>
    <font>
      <sz val="10"/>
      <color theme="1"/>
      <name val="Meiryo UI"/>
      <family val="3"/>
      <charset val="128"/>
    </font>
    <font>
      <sz val="12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b/>
      <sz val="18"/>
      <color theme="0"/>
      <name val="Meiryo UI"/>
      <family val="3"/>
      <charset val="128"/>
    </font>
    <font>
      <b/>
      <sz val="16"/>
      <color theme="0"/>
      <name val="Meiryo UI"/>
      <family val="3"/>
      <charset val="128"/>
    </font>
    <font>
      <sz val="10"/>
      <color theme="1"/>
      <name val="Meiryo UI"/>
      <family val="2"/>
      <charset val="128"/>
    </font>
    <font>
      <sz val="18"/>
      <color theme="3"/>
      <name val="游ゴシック Light"/>
      <family val="2"/>
      <charset val="128"/>
      <scheme val="major"/>
    </font>
    <font>
      <b/>
      <sz val="13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FF0000"/>
      <name val="Meiryo UI"/>
      <family val="2"/>
      <charset val="128"/>
    </font>
    <font>
      <sz val="11"/>
      <color theme="1"/>
      <name val="游ゴシック"/>
      <family val="2"/>
      <charset val="128"/>
    </font>
    <font>
      <b/>
      <sz val="11"/>
      <color theme="1"/>
      <name val="Meiryo UI"/>
      <family val="2"/>
      <charset val="128"/>
    </font>
    <font>
      <sz val="11"/>
      <color rgb="FF006100"/>
      <name val="Meiryo UI"/>
      <family val="2"/>
      <charset val="128"/>
    </font>
    <font>
      <sz val="11"/>
      <color theme="0"/>
      <name val="Meiryo UI"/>
      <family val="2"/>
      <charset val="128"/>
    </font>
    <font>
      <sz val="11"/>
      <name val="Meiryo UI"/>
      <family val="3"/>
      <charset val="128"/>
    </font>
    <font>
      <sz val="11"/>
      <color rgb="FFFF0000"/>
      <name val="Meiryo UI"/>
      <family val="3"/>
      <charset val="128"/>
    </font>
    <font>
      <b/>
      <sz val="13"/>
      <color theme="3"/>
      <name val="Meiryo UI"/>
      <family val="2"/>
      <charset val="128"/>
    </font>
  </fonts>
  <fills count="8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0">
    <xf numFmtId="0" fontId="0" fillId="0" borderId="0">
      <alignment vertical="center"/>
    </xf>
    <xf numFmtId="0" fontId="3" fillId="0" borderId="0"/>
    <xf numFmtId="0" fontId="3" fillId="0" borderId="0"/>
    <xf numFmtId="0" fontId="8" fillId="0" borderId="0">
      <alignment vertical="center"/>
    </xf>
    <xf numFmtId="0" fontId="3" fillId="0" borderId="0"/>
    <xf numFmtId="0" fontId="3" fillId="0" borderId="0"/>
    <xf numFmtId="0" fontId="9" fillId="0" borderId="0">
      <alignment vertical="center"/>
    </xf>
    <xf numFmtId="0" fontId="2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209">
    <xf numFmtId="0" fontId="0" fillId="0" borderId="0" xfId="0">
      <alignment vertical="center"/>
    </xf>
    <xf numFmtId="0" fontId="6" fillId="0" borderId="0" xfId="1" applyFont="1" applyAlignment="1">
      <alignment vertical="center"/>
    </xf>
    <xf numFmtId="49" fontId="6" fillId="0" borderId="3" xfId="4" applyNumberFormat="1" applyFont="1" applyBorder="1" applyAlignment="1">
      <alignment vertical="top"/>
    </xf>
    <xf numFmtId="0" fontId="6" fillId="0" borderId="3" xfId="1" applyFont="1" applyBorder="1" applyAlignment="1">
      <alignment vertical="center"/>
    </xf>
    <xf numFmtId="0" fontId="6" fillId="0" borderId="4" xfId="1" applyFont="1" applyBorder="1" applyAlignment="1">
      <alignment vertical="center"/>
    </xf>
    <xf numFmtId="0" fontId="6" fillId="0" borderId="1" xfId="1" applyFont="1" applyBorder="1" applyAlignment="1">
      <alignment vertical="center"/>
    </xf>
    <xf numFmtId="0" fontId="6" fillId="0" borderId="0" xfId="1" quotePrefix="1" applyFont="1" applyAlignment="1">
      <alignment vertical="center"/>
    </xf>
    <xf numFmtId="49" fontId="6" fillId="0" borderId="3" xfId="3" applyNumberFormat="1" applyFont="1" applyBorder="1" applyAlignment="1">
      <alignment vertical="top"/>
    </xf>
    <xf numFmtId="0" fontId="11" fillId="0" borderId="10" xfId="0" applyFont="1" applyBorder="1">
      <alignment vertical="center"/>
    </xf>
    <xf numFmtId="0" fontId="0" fillId="0" borderId="10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2" borderId="2" xfId="0" applyFill="1" applyBorder="1">
      <alignment vertical="center"/>
    </xf>
    <xf numFmtId="0" fontId="0" fillId="2" borderId="2" xfId="0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0" xfId="1" applyFont="1" applyAlignment="1">
      <alignment horizontal="center" vertical="center"/>
    </xf>
    <xf numFmtId="0" fontId="12" fillId="0" borderId="0" xfId="1" applyFont="1" applyAlignment="1">
      <alignment vertical="center"/>
    </xf>
    <xf numFmtId="49" fontId="12" fillId="0" borderId="3" xfId="3" applyNumberFormat="1" applyFont="1" applyBorder="1" applyAlignment="1">
      <alignment vertical="top"/>
    </xf>
    <xf numFmtId="49" fontId="12" fillId="0" borderId="4" xfId="2" applyNumberFormat="1" applyFont="1" applyBorder="1" applyAlignment="1">
      <alignment vertical="top"/>
    </xf>
    <xf numFmtId="49" fontId="12" fillId="0" borderId="3" xfId="4" applyNumberFormat="1" applyFont="1" applyBorder="1" applyAlignment="1">
      <alignment vertical="top"/>
    </xf>
    <xf numFmtId="49" fontId="12" fillId="0" borderId="4" xfId="4" applyNumberFormat="1" applyFont="1" applyBorder="1" applyAlignment="1">
      <alignment vertical="top"/>
    </xf>
    <xf numFmtId="49" fontId="12" fillId="0" borderId="1" xfId="2" applyNumberFormat="1" applyFont="1" applyBorder="1" applyAlignment="1">
      <alignment vertical="top"/>
    </xf>
    <xf numFmtId="49" fontId="12" fillId="0" borderId="3" xfId="5" applyNumberFormat="1" applyFont="1" applyBorder="1" applyAlignment="1">
      <alignment vertical="top"/>
    </xf>
    <xf numFmtId="49" fontId="12" fillId="0" borderId="4" xfId="5" applyNumberFormat="1" applyFont="1" applyBorder="1" applyAlignment="1">
      <alignment vertical="top"/>
    </xf>
    <xf numFmtId="0" fontId="12" fillId="0" borderId="1" xfId="2" applyFont="1" applyBorder="1" applyAlignment="1">
      <alignment horizontal="right" vertical="top" shrinkToFit="1"/>
    </xf>
    <xf numFmtId="49" fontId="12" fillId="0" borderId="2" xfId="2" applyNumberFormat="1" applyFont="1" applyBorder="1" applyAlignment="1">
      <alignment horizontal="center" vertical="top" shrinkToFit="1"/>
    </xf>
    <xf numFmtId="0" fontId="12" fillId="0" borderId="2" xfId="2" applyFont="1" applyBorder="1" applyAlignment="1">
      <alignment horizontal="center" vertical="top" shrinkToFit="1"/>
    </xf>
    <xf numFmtId="0" fontId="12" fillId="0" borderId="3" xfId="3" applyFont="1" applyBorder="1" applyAlignment="1">
      <alignment vertical="top"/>
    </xf>
    <xf numFmtId="0" fontId="12" fillId="0" borderId="4" xfId="3" applyFont="1" applyBorder="1" applyAlignment="1">
      <alignment vertical="top"/>
    </xf>
    <xf numFmtId="0" fontId="12" fillId="0" borderId="1" xfId="3" applyFont="1" applyBorder="1" applyAlignment="1">
      <alignment vertical="top"/>
    </xf>
    <xf numFmtId="0" fontId="12" fillId="0" borderId="3" xfId="4" applyFont="1" applyBorder="1" applyAlignment="1">
      <alignment vertical="top"/>
    </xf>
    <xf numFmtId="0" fontId="12" fillId="0" borderId="4" xfId="4" applyFont="1" applyBorder="1" applyAlignment="1">
      <alignment vertical="top"/>
    </xf>
    <xf numFmtId="49" fontId="12" fillId="0" borderId="1" xfId="4" applyNumberFormat="1" applyFont="1" applyBorder="1" applyAlignment="1">
      <alignment vertical="top"/>
    </xf>
    <xf numFmtId="49" fontId="12" fillId="0" borderId="4" xfId="3" applyNumberFormat="1" applyFont="1" applyBorder="1" applyAlignment="1">
      <alignment vertical="top"/>
    </xf>
    <xf numFmtId="49" fontId="12" fillId="0" borderId="1" xfId="3" applyNumberFormat="1" applyFont="1" applyBorder="1" applyAlignment="1">
      <alignment vertical="top"/>
    </xf>
    <xf numFmtId="49" fontId="12" fillId="0" borderId="1" xfId="5" applyNumberFormat="1" applyFont="1" applyBorder="1" applyAlignment="1">
      <alignment vertical="top"/>
    </xf>
    <xf numFmtId="49" fontId="12" fillId="0" borderId="2" xfId="2" applyNumberFormat="1" applyFont="1" applyBorder="1" applyAlignment="1">
      <alignment horizontal="center" vertical="top"/>
    </xf>
    <xf numFmtId="0" fontId="12" fillId="0" borderId="2" xfId="2" applyFont="1" applyBorder="1" applyAlignment="1">
      <alignment horizontal="center" vertical="top"/>
    </xf>
    <xf numFmtId="0" fontId="12" fillId="0" borderId="3" xfId="3" applyFont="1" applyBorder="1" applyAlignment="1">
      <alignment horizontal="left" vertical="center"/>
    </xf>
    <xf numFmtId="0" fontId="12" fillId="0" borderId="4" xfId="1" applyFont="1" applyBorder="1" applyAlignment="1">
      <alignment horizontal="left" vertical="center"/>
    </xf>
    <xf numFmtId="0" fontId="12" fillId="0" borderId="4" xfId="2" applyFont="1" applyBorder="1" applyAlignment="1">
      <alignment vertical="top"/>
    </xf>
    <xf numFmtId="0" fontId="12" fillId="0" borderId="3" xfId="6" applyFont="1" applyBorder="1" applyAlignment="1">
      <alignment vertical="top"/>
    </xf>
    <xf numFmtId="0" fontId="12" fillId="0" borderId="4" xfId="6" applyFont="1" applyBorder="1" applyAlignment="1">
      <alignment vertical="top"/>
    </xf>
    <xf numFmtId="0" fontId="12" fillId="0" borderId="4" xfId="5" applyFont="1" applyBorder="1" applyAlignment="1">
      <alignment vertical="top"/>
    </xf>
    <xf numFmtId="0" fontId="12" fillId="0" borderId="1" xfId="6" applyFont="1" applyBorder="1" applyAlignment="1">
      <alignment horizontal="right" vertical="top" shrinkToFit="1"/>
    </xf>
    <xf numFmtId="0" fontId="12" fillId="0" borderId="4" xfId="1" applyFont="1" applyBorder="1" applyAlignment="1">
      <alignment vertical="center"/>
    </xf>
    <xf numFmtId="49" fontId="14" fillId="0" borderId="2" xfId="2" applyNumberFormat="1" applyFont="1" applyBorder="1" applyAlignment="1">
      <alignment horizontal="center" vertical="top" shrinkToFit="1"/>
    </xf>
    <xf numFmtId="0" fontId="14" fillId="0" borderId="2" xfId="2" applyFont="1" applyBorder="1" applyAlignment="1">
      <alignment horizontal="center" vertical="top" shrinkToFit="1"/>
    </xf>
    <xf numFmtId="0" fontId="14" fillId="0" borderId="0" xfId="1" applyFont="1" applyAlignment="1">
      <alignment vertical="center"/>
    </xf>
    <xf numFmtId="0" fontId="12" fillId="0" borderId="3" xfId="6" applyFont="1" applyBorder="1" applyAlignment="1">
      <alignment horizontal="left" vertical="top"/>
    </xf>
    <xf numFmtId="0" fontId="12" fillId="0" borderId="4" xfId="6" applyFont="1" applyBorder="1" applyAlignment="1">
      <alignment horizontal="left" vertical="top"/>
    </xf>
    <xf numFmtId="0" fontId="12" fillId="0" borderId="1" xfId="6" applyFont="1" applyBorder="1" applyAlignment="1">
      <alignment horizontal="left" vertical="top"/>
    </xf>
    <xf numFmtId="0" fontId="12" fillId="0" borderId="0" xfId="6" applyFont="1" applyAlignment="1">
      <alignment vertical="top"/>
    </xf>
    <xf numFmtId="0" fontId="12" fillId="0" borderId="3" xfId="2" quotePrefix="1" applyFont="1" applyBorder="1" applyAlignment="1">
      <alignment horizontal="center" vertical="top"/>
    </xf>
    <xf numFmtId="0" fontId="12" fillId="0" borderId="4" xfId="2" applyFont="1" applyBorder="1" applyAlignment="1">
      <alignment vertical="top" shrinkToFit="1"/>
    </xf>
    <xf numFmtId="0" fontId="15" fillId="3" borderId="2" xfId="2" applyFont="1" applyFill="1" applyBorder="1" applyAlignment="1">
      <alignment horizontal="center" vertical="center" shrinkToFit="1"/>
    </xf>
    <xf numFmtId="0" fontId="15" fillId="3" borderId="3" xfId="1" applyFont="1" applyFill="1" applyBorder="1" applyAlignment="1">
      <alignment vertical="top"/>
    </xf>
    <xf numFmtId="0" fontId="15" fillId="3" borderId="4" xfId="1" applyFont="1" applyFill="1" applyBorder="1" applyAlignment="1">
      <alignment vertical="top"/>
    </xf>
    <xf numFmtId="0" fontId="15" fillId="3" borderId="1" xfId="1" applyFont="1" applyFill="1" applyBorder="1" applyAlignment="1">
      <alignment vertical="top"/>
    </xf>
    <xf numFmtId="14" fontId="12" fillId="0" borderId="3" xfId="1" applyNumberFormat="1" applyFont="1" applyBorder="1" applyAlignment="1">
      <alignment vertical="top"/>
    </xf>
    <xf numFmtId="14" fontId="12" fillId="0" borderId="4" xfId="1" applyNumberFormat="1" applyFont="1" applyBorder="1" applyAlignment="1">
      <alignment vertical="top"/>
    </xf>
    <xf numFmtId="14" fontId="12" fillId="0" borderId="1" xfId="1" applyNumberFormat="1" applyFont="1" applyBorder="1" applyAlignment="1">
      <alignment vertical="top"/>
    </xf>
    <xf numFmtId="0" fontId="12" fillId="0" borderId="3" xfId="1" quotePrefix="1" applyFont="1" applyBorder="1" applyAlignment="1">
      <alignment vertical="top"/>
    </xf>
    <xf numFmtId="0" fontId="12" fillId="0" borderId="4" xfId="1" quotePrefix="1" applyFont="1" applyBorder="1" applyAlignment="1">
      <alignment vertical="top"/>
    </xf>
    <xf numFmtId="0" fontId="12" fillId="0" borderId="1" xfId="1" quotePrefix="1" applyFont="1" applyBorder="1" applyAlignment="1">
      <alignment vertical="top"/>
    </xf>
    <xf numFmtId="49" fontId="6" fillId="0" borderId="3" xfId="5" applyNumberFormat="1" applyFont="1" applyBorder="1" applyAlignment="1">
      <alignment vertical="top"/>
    </xf>
    <xf numFmtId="0" fontId="15" fillId="3" borderId="3" xfId="2" applyFont="1" applyFill="1" applyBorder="1" applyAlignment="1">
      <alignment horizontal="center" vertical="center"/>
    </xf>
    <xf numFmtId="0" fontId="12" fillId="0" borderId="1" xfId="6" applyFont="1" applyBorder="1" applyAlignment="1">
      <alignment vertical="top"/>
    </xf>
    <xf numFmtId="0" fontId="12" fillId="0" borderId="4" xfId="1" applyFont="1" applyBorder="1" applyAlignment="1">
      <alignment vertical="top"/>
    </xf>
    <xf numFmtId="0" fontId="12" fillId="0" borderId="1" xfId="1" applyFont="1" applyBorder="1" applyAlignment="1">
      <alignment vertical="top"/>
    </xf>
    <xf numFmtId="0" fontId="12" fillId="0" borderId="2" xfId="2" quotePrefix="1" applyFont="1" applyBorder="1" applyAlignment="1">
      <alignment horizontal="center" vertical="top"/>
    </xf>
    <xf numFmtId="0" fontId="12" fillId="0" borderId="4" xfId="6" applyFont="1" applyBorder="1" applyAlignment="1">
      <alignment vertical="top" shrinkToFit="1"/>
    </xf>
    <xf numFmtId="0" fontId="24" fillId="0" borderId="0" xfId="8">
      <alignment vertical="center"/>
    </xf>
    <xf numFmtId="0" fontId="0" fillId="0" borderId="0" xfId="0" applyAlignment="1">
      <alignment vertical="center" wrapText="1"/>
    </xf>
    <xf numFmtId="0" fontId="1" fillId="0" borderId="0" xfId="9">
      <alignment vertical="center"/>
    </xf>
    <xf numFmtId="56" fontId="0" fillId="0" borderId="0" xfId="0" applyNumberFormat="1">
      <alignment vertical="center"/>
    </xf>
    <xf numFmtId="0" fontId="12" fillId="4" borderId="2" xfId="7" applyFont="1" applyFill="1" applyBorder="1">
      <alignment vertical="center"/>
    </xf>
    <xf numFmtId="0" fontId="12" fillId="4" borderId="2" xfId="0" applyFont="1" applyFill="1" applyBorder="1" applyAlignment="1">
      <alignment vertical="center" wrapText="1"/>
    </xf>
    <xf numFmtId="0" fontId="14" fillId="0" borderId="2" xfId="7" applyFont="1" applyBorder="1">
      <alignment vertical="center"/>
    </xf>
    <xf numFmtId="0" fontId="12" fillId="0" borderId="2" xfId="0" applyFont="1" applyBorder="1">
      <alignment vertical="center"/>
    </xf>
    <xf numFmtId="0" fontId="14" fillId="5" borderId="2" xfId="7" applyFont="1" applyFill="1" applyBorder="1">
      <alignment vertical="center"/>
    </xf>
    <xf numFmtId="0" fontId="12" fillId="0" borderId="2" xfId="7" applyFont="1" applyBorder="1">
      <alignment vertical="center"/>
    </xf>
    <xf numFmtId="0" fontId="12" fillId="5" borderId="2" xfId="7" applyFont="1" applyFill="1" applyBorder="1">
      <alignment vertical="center"/>
    </xf>
    <xf numFmtId="49" fontId="31" fillId="0" borderId="2" xfId="3" applyNumberFormat="1" applyFont="1" applyBorder="1" applyAlignment="1">
      <alignment vertical="top"/>
    </xf>
    <xf numFmtId="49" fontId="31" fillId="0" borderId="2" xfId="4" applyNumberFormat="1" applyFont="1" applyBorder="1" applyAlignment="1">
      <alignment vertical="top"/>
    </xf>
    <xf numFmtId="0" fontId="31" fillId="5" borderId="2" xfId="7" applyFont="1" applyFill="1" applyBorder="1">
      <alignment vertical="center"/>
    </xf>
    <xf numFmtId="49" fontId="14" fillId="0" borderId="2" xfId="3" applyNumberFormat="1" applyFont="1" applyBorder="1" applyAlignment="1">
      <alignment vertical="top"/>
    </xf>
    <xf numFmtId="0" fontId="12" fillId="6" borderId="2" xfId="7" applyFont="1" applyFill="1" applyBorder="1">
      <alignment vertical="center"/>
    </xf>
    <xf numFmtId="56" fontId="12" fillId="0" borderId="2" xfId="0" applyNumberFormat="1" applyFont="1" applyBorder="1">
      <alignment vertical="center"/>
    </xf>
    <xf numFmtId="0" fontId="12" fillId="6" borderId="2" xfId="0" applyFont="1" applyFill="1" applyBorder="1">
      <alignment vertical="center"/>
    </xf>
    <xf numFmtId="0" fontId="14" fillId="6" borderId="2" xfId="7" applyFont="1" applyFill="1" applyBorder="1">
      <alignment vertical="center"/>
    </xf>
    <xf numFmtId="0" fontId="32" fillId="5" borderId="2" xfId="7" applyFont="1" applyFill="1" applyBorder="1">
      <alignment vertical="center"/>
    </xf>
    <xf numFmtId="0" fontId="12" fillId="0" borderId="2" xfId="9" applyFont="1" applyBorder="1">
      <alignment vertical="center"/>
    </xf>
    <xf numFmtId="0" fontId="14" fillId="0" borderId="2" xfId="9" applyFont="1" applyBorder="1">
      <alignment vertical="center"/>
    </xf>
    <xf numFmtId="0" fontId="12" fillId="0" borderId="1" xfId="0" applyFont="1" applyBorder="1">
      <alignment vertical="center"/>
    </xf>
    <xf numFmtId="0" fontId="14" fillId="0" borderId="1" xfId="0" applyFont="1" applyBorder="1">
      <alignment vertical="center"/>
    </xf>
    <xf numFmtId="14" fontId="12" fillId="0" borderId="3" xfId="1" applyNumberFormat="1" applyFont="1" applyBorder="1" applyAlignment="1">
      <alignment horizontal="center" vertical="center"/>
    </xf>
    <xf numFmtId="14" fontId="12" fillId="0" borderId="4" xfId="1" applyNumberFormat="1" applyFont="1" applyBorder="1" applyAlignment="1">
      <alignment horizontal="center" vertical="center"/>
    </xf>
    <xf numFmtId="14" fontId="12" fillId="0" borderId="1" xfId="1" applyNumberFormat="1" applyFont="1" applyBorder="1" applyAlignment="1">
      <alignment horizontal="center" vertical="center"/>
    </xf>
    <xf numFmtId="14" fontId="12" fillId="0" borderId="3" xfId="1" applyNumberFormat="1" applyFont="1" applyBorder="1" applyAlignment="1">
      <alignment horizontal="center" vertical="top"/>
    </xf>
    <xf numFmtId="14" fontId="12" fillId="0" borderId="4" xfId="1" applyNumberFormat="1" applyFont="1" applyBorder="1" applyAlignment="1">
      <alignment horizontal="center" vertical="top"/>
    </xf>
    <xf numFmtId="14" fontId="12" fillId="0" borderId="1" xfId="1" applyNumberFormat="1" applyFont="1" applyBorder="1" applyAlignment="1">
      <alignment horizontal="center" vertical="top"/>
    </xf>
    <xf numFmtId="0" fontId="15" fillId="3" borderId="3" xfId="1" applyFont="1" applyFill="1" applyBorder="1" applyAlignment="1">
      <alignment horizontal="center" vertical="center"/>
    </xf>
    <xf numFmtId="0" fontId="15" fillId="3" borderId="4" xfId="1" applyFont="1" applyFill="1" applyBorder="1" applyAlignment="1">
      <alignment horizontal="center" vertical="center"/>
    </xf>
    <xf numFmtId="0" fontId="15" fillId="3" borderId="1" xfId="1" applyFont="1" applyFill="1" applyBorder="1" applyAlignment="1">
      <alignment horizontal="center" vertical="center"/>
    </xf>
    <xf numFmtId="49" fontId="13" fillId="0" borderId="6" xfId="1" applyNumberFormat="1" applyFont="1" applyBorder="1" applyAlignment="1">
      <alignment horizontal="center" vertical="center" shrinkToFit="1"/>
    </xf>
    <xf numFmtId="49" fontId="13" fillId="0" borderId="7" xfId="1" applyNumberFormat="1" applyFont="1" applyBorder="1" applyAlignment="1">
      <alignment horizontal="center" vertical="center" shrinkToFit="1"/>
    </xf>
    <xf numFmtId="49" fontId="13" fillId="0" borderId="8" xfId="1" applyNumberFormat="1" applyFont="1" applyBorder="1" applyAlignment="1">
      <alignment horizontal="center" vertical="center" shrinkToFit="1"/>
    </xf>
    <xf numFmtId="49" fontId="13" fillId="0" borderId="5" xfId="1" applyNumberFormat="1" applyFont="1" applyBorder="1" applyAlignment="1">
      <alignment horizontal="center" vertical="center" shrinkToFit="1"/>
    </xf>
    <xf numFmtId="49" fontId="13" fillId="0" borderId="0" xfId="1" applyNumberFormat="1" applyFont="1" applyAlignment="1">
      <alignment horizontal="center" vertical="center" shrinkToFit="1"/>
    </xf>
    <xf numFmtId="49" fontId="13" fillId="0" borderId="14" xfId="1" applyNumberFormat="1" applyFont="1" applyBorder="1" applyAlignment="1">
      <alignment horizontal="center" vertical="center" shrinkToFit="1"/>
    </xf>
    <xf numFmtId="49" fontId="13" fillId="0" borderId="9" xfId="1" applyNumberFormat="1" applyFont="1" applyBorder="1" applyAlignment="1">
      <alignment horizontal="center" vertical="center" shrinkToFit="1"/>
    </xf>
    <xf numFmtId="49" fontId="13" fillId="0" borderId="10" xfId="1" applyNumberFormat="1" applyFont="1" applyBorder="1" applyAlignment="1">
      <alignment horizontal="center" vertical="center" shrinkToFit="1"/>
    </xf>
    <xf numFmtId="49" fontId="13" fillId="0" borderId="11" xfId="1" applyNumberFormat="1" applyFont="1" applyBorder="1" applyAlignment="1">
      <alignment horizontal="center" vertical="center" shrinkToFit="1"/>
    </xf>
    <xf numFmtId="0" fontId="15" fillId="3" borderId="3" xfId="2" applyFont="1" applyFill="1" applyBorder="1" applyAlignment="1">
      <alignment horizontal="center" vertical="center"/>
    </xf>
    <xf numFmtId="0" fontId="15" fillId="3" borderId="4" xfId="2" applyFont="1" applyFill="1" applyBorder="1" applyAlignment="1">
      <alignment horizontal="center" vertical="center"/>
    </xf>
    <xf numFmtId="0" fontId="15" fillId="3" borderId="1" xfId="2" applyFont="1" applyFill="1" applyBorder="1" applyAlignment="1">
      <alignment horizontal="center" vertical="center"/>
    </xf>
    <xf numFmtId="0" fontId="16" fillId="3" borderId="6" xfId="1" applyFont="1" applyFill="1" applyBorder="1" applyAlignment="1">
      <alignment horizontal="center" vertical="center"/>
    </xf>
    <xf numFmtId="0" fontId="16" fillId="3" borderId="7" xfId="1" applyFont="1" applyFill="1" applyBorder="1" applyAlignment="1">
      <alignment horizontal="center" vertical="center"/>
    </xf>
    <xf numFmtId="0" fontId="16" fillId="3" borderId="8" xfId="1" applyFont="1" applyFill="1" applyBorder="1" applyAlignment="1">
      <alignment horizontal="center" vertical="center"/>
    </xf>
    <xf numFmtId="0" fontId="16" fillId="3" borderId="5" xfId="1" applyFont="1" applyFill="1" applyBorder="1" applyAlignment="1">
      <alignment horizontal="center" vertical="center"/>
    </xf>
    <xf numFmtId="0" fontId="16" fillId="3" borderId="0" xfId="1" applyFont="1" applyFill="1" applyAlignment="1">
      <alignment horizontal="center" vertical="center"/>
    </xf>
    <xf numFmtId="0" fontId="16" fillId="3" borderId="14" xfId="1" applyFont="1" applyFill="1" applyBorder="1" applyAlignment="1">
      <alignment horizontal="center" vertical="center"/>
    </xf>
    <xf numFmtId="0" fontId="16" fillId="3" borderId="9" xfId="1" applyFont="1" applyFill="1" applyBorder="1" applyAlignment="1">
      <alignment horizontal="center" vertical="center"/>
    </xf>
    <xf numFmtId="0" fontId="16" fillId="3" borderId="10" xfId="1" applyFont="1" applyFill="1" applyBorder="1" applyAlignment="1">
      <alignment horizontal="center" vertical="center"/>
    </xf>
    <xf numFmtId="0" fontId="16" fillId="3" borderId="11" xfId="1" applyFont="1" applyFill="1" applyBorder="1" applyAlignment="1">
      <alignment horizontal="center" vertical="center"/>
    </xf>
    <xf numFmtId="0" fontId="13" fillId="0" borderId="6" xfId="1" applyFont="1" applyBorder="1" applyAlignment="1">
      <alignment horizontal="center" vertical="center" wrapText="1"/>
    </xf>
    <xf numFmtId="0" fontId="13" fillId="0" borderId="7" xfId="1" applyFont="1" applyBorder="1" applyAlignment="1">
      <alignment horizontal="center" vertical="center" wrapText="1"/>
    </xf>
    <xf numFmtId="0" fontId="13" fillId="0" borderId="8" xfId="1" applyFont="1" applyBorder="1" applyAlignment="1">
      <alignment horizontal="center" vertical="center" wrapText="1"/>
    </xf>
    <xf numFmtId="0" fontId="13" fillId="0" borderId="5" xfId="1" applyFont="1" applyBorder="1" applyAlignment="1">
      <alignment horizontal="center" vertical="center" wrapText="1"/>
    </xf>
    <xf numFmtId="0" fontId="13" fillId="0" borderId="0" xfId="1" applyFont="1" applyAlignment="1">
      <alignment horizontal="center" vertical="center" wrapText="1"/>
    </xf>
    <xf numFmtId="0" fontId="13" fillId="0" borderId="14" xfId="1" applyFont="1" applyBorder="1" applyAlignment="1">
      <alignment horizontal="center" vertical="center" wrapText="1"/>
    </xf>
    <xf numFmtId="0" fontId="13" fillId="0" borderId="9" xfId="1" applyFont="1" applyBorder="1" applyAlignment="1">
      <alignment horizontal="center" vertical="center" wrapText="1"/>
    </xf>
    <xf numFmtId="0" fontId="13" fillId="0" borderId="10" xfId="1" applyFont="1" applyBorder="1" applyAlignment="1">
      <alignment horizontal="center" vertical="center" wrapText="1"/>
    </xf>
    <xf numFmtId="0" fontId="13" fillId="0" borderId="11" xfId="1" applyFont="1" applyBorder="1" applyAlignment="1">
      <alignment horizontal="center" vertical="center" wrapText="1"/>
    </xf>
    <xf numFmtId="0" fontId="6" fillId="0" borderId="3" xfId="1" applyFont="1" applyBorder="1" applyAlignment="1">
      <alignment horizontal="center" vertical="center"/>
    </xf>
    <xf numFmtId="0" fontId="6" fillId="0" borderId="4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49" fontId="12" fillId="0" borderId="3" xfId="3" applyNumberFormat="1" applyFont="1" applyBorder="1" applyAlignment="1">
      <alignment vertical="top"/>
    </xf>
    <xf numFmtId="49" fontId="12" fillId="0" borderId="4" xfId="3" applyNumberFormat="1" applyFont="1" applyBorder="1" applyAlignment="1">
      <alignment vertical="top"/>
    </xf>
    <xf numFmtId="49" fontId="12" fillId="0" borderId="3" xfId="5" applyNumberFormat="1" applyFont="1" applyBorder="1" applyAlignment="1">
      <alignment vertical="top"/>
    </xf>
    <xf numFmtId="49" fontId="12" fillId="0" borderId="4" xfId="5" applyNumberFormat="1" applyFont="1" applyBorder="1" applyAlignment="1">
      <alignment vertical="top"/>
    </xf>
    <xf numFmtId="49" fontId="12" fillId="0" borderId="1" xfId="5" applyNumberFormat="1" applyFont="1" applyBorder="1" applyAlignment="1">
      <alignment vertical="top"/>
    </xf>
    <xf numFmtId="0" fontId="17" fillId="3" borderId="6" xfId="1" applyFont="1" applyFill="1" applyBorder="1" applyAlignment="1">
      <alignment horizontal="center" vertical="center"/>
    </xf>
    <xf numFmtId="0" fontId="17" fillId="3" borderId="7" xfId="1" applyFont="1" applyFill="1" applyBorder="1" applyAlignment="1">
      <alignment horizontal="center" vertical="center"/>
    </xf>
    <xf numFmtId="0" fontId="17" fillId="3" borderId="8" xfId="1" applyFont="1" applyFill="1" applyBorder="1" applyAlignment="1">
      <alignment horizontal="center" vertical="center"/>
    </xf>
    <xf numFmtId="0" fontId="17" fillId="3" borderId="5" xfId="1" applyFont="1" applyFill="1" applyBorder="1" applyAlignment="1">
      <alignment horizontal="center" vertical="center"/>
    </xf>
    <xf numFmtId="0" fontId="17" fillId="3" borderId="0" xfId="1" applyFont="1" applyFill="1" applyAlignment="1">
      <alignment horizontal="center" vertical="center"/>
    </xf>
    <xf numFmtId="0" fontId="17" fillId="3" borderId="14" xfId="1" applyFont="1" applyFill="1" applyBorder="1" applyAlignment="1">
      <alignment horizontal="center" vertical="center"/>
    </xf>
    <xf numFmtId="0" fontId="17" fillId="3" borderId="9" xfId="1" applyFont="1" applyFill="1" applyBorder="1" applyAlignment="1">
      <alignment horizontal="center" vertical="center"/>
    </xf>
    <xf numFmtId="0" fontId="17" fillId="3" borderId="10" xfId="1" applyFont="1" applyFill="1" applyBorder="1" applyAlignment="1">
      <alignment horizontal="center" vertical="center"/>
    </xf>
    <xf numFmtId="0" fontId="17" fillId="3" borderId="11" xfId="1" applyFont="1" applyFill="1" applyBorder="1" applyAlignment="1">
      <alignment horizontal="center" vertical="center"/>
    </xf>
    <xf numFmtId="0" fontId="15" fillId="3" borderId="3" xfId="1" applyFont="1" applyFill="1" applyBorder="1" applyAlignment="1">
      <alignment horizontal="center" vertical="top"/>
    </xf>
    <xf numFmtId="0" fontId="15" fillId="3" borderId="4" xfId="1" applyFont="1" applyFill="1" applyBorder="1" applyAlignment="1">
      <alignment horizontal="center" vertical="top"/>
    </xf>
    <xf numFmtId="0" fontId="15" fillId="3" borderId="1" xfId="1" applyFont="1" applyFill="1" applyBorder="1" applyAlignment="1">
      <alignment horizontal="center" vertical="top"/>
    </xf>
    <xf numFmtId="0" fontId="15" fillId="3" borderId="12" xfId="2" applyFont="1" applyFill="1" applyBorder="1" applyAlignment="1">
      <alignment horizontal="center" vertical="center"/>
    </xf>
    <xf numFmtId="0" fontId="15" fillId="3" borderId="13" xfId="2" applyFont="1" applyFill="1" applyBorder="1" applyAlignment="1">
      <alignment horizontal="center" vertical="center"/>
    </xf>
    <xf numFmtId="0" fontId="15" fillId="3" borderId="6" xfId="2" applyFont="1" applyFill="1" applyBorder="1" applyAlignment="1">
      <alignment horizontal="center" vertical="center"/>
    </xf>
    <xf numFmtId="0" fontId="15" fillId="3" borderId="7" xfId="2" applyFont="1" applyFill="1" applyBorder="1" applyAlignment="1">
      <alignment horizontal="center" vertical="center"/>
    </xf>
    <xf numFmtId="0" fontId="15" fillId="3" borderId="8" xfId="2" applyFont="1" applyFill="1" applyBorder="1" applyAlignment="1">
      <alignment horizontal="center" vertical="center"/>
    </xf>
    <xf numFmtId="0" fontId="15" fillId="3" borderId="9" xfId="2" applyFont="1" applyFill="1" applyBorder="1" applyAlignment="1">
      <alignment horizontal="center" vertical="center"/>
    </xf>
    <xf numFmtId="0" fontId="15" fillId="3" borderId="10" xfId="2" applyFont="1" applyFill="1" applyBorder="1" applyAlignment="1">
      <alignment horizontal="center" vertical="center"/>
    </xf>
    <xf numFmtId="0" fontId="15" fillId="3" borderId="11" xfId="2" applyFont="1" applyFill="1" applyBorder="1" applyAlignment="1">
      <alignment horizontal="center" vertical="center"/>
    </xf>
    <xf numFmtId="0" fontId="15" fillId="3" borderId="12" xfId="2" applyFont="1" applyFill="1" applyBorder="1" applyAlignment="1">
      <alignment horizontal="center" vertical="center" shrinkToFit="1"/>
    </xf>
    <xf numFmtId="0" fontId="15" fillId="3" borderId="13" xfId="2" applyFont="1" applyFill="1" applyBorder="1" applyAlignment="1">
      <alignment horizontal="center" vertical="center" shrinkToFit="1"/>
    </xf>
    <xf numFmtId="0" fontId="15" fillId="3" borderId="3" xfId="2" applyFont="1" applyFill="1" applyBorder="1" applyAlignment="1">
      <alignment horizontal="center" vertical="center" shrinkToFit="1"/>
    </xf>
    <xf numFmtId="0" fontId="15" fillId="3" borderId="4" xfId="2" applyFont="1" applyFill="1" applyBorder="1" applyAlignment="1">
      <alignment horizontal="center" vertical="center" shrinkToFit="1"/>
    </xf>
    <xf numFmtId="0" fontId="15" fillId="3" borderId="1" xfId="2" applyFont="1" applyFill="1" applyBorder="1" applyAlignment="1">
      <alignment horizontal="center" vertical="center" shrinkToFit="1"/>
    </xf>
    <xf numFmtId="0" fontId="15" fillId="3" borderId="6" xfId="2" applyFont="1" applyFill="1" applyBorder="1" applyAlignment="1">
      <alignment vertical="top"/>
    </xf>
    <xf numFmtId="0" fontId="15" fillId="3" borderId="7" xfId="2" applyFont="1" applyFill="1" applyBorder="1" applyAlignment="1">
      <alignment vertical="top"/>
    </xf>
    <xf numFmtId="0" fontId="15" fillId="3" borderId="8" xfId="2" applyFont="1" applyFill="1" applyBorder="1" applyAlignment="1">
      <alignment vertical="top"/>
    </xf>
    <xf numFmtId="0" fontId="15" fillId="3" borderId="9" xfId="2" applyFont="1" applyFill="1" applyBorder="1" applyAlignment="1">
      <alignment vertical="top"/>
    </xf>
    <xf numFmtId="0" fontId="15" fillId="3" borderId="10" xfId="2" applyFont="1" applyFill="1" applyBorder="1" applyAlignment="1">
      <alignment vertical="top"/>
    </xf>
    <xf numFmtId="0" fontId="15" fillId="3" borderId="11" xfId="2" applyFont="1" applyFill="1" applyBorder="1" applyAlignment="1">
      <alignment vertical="top"/>
    </xf>
    <xf numFmtId="0" fontId="13" fillId="0" borderId="3" xfId="1" applyFont="1" applyBorder="1" applyAlignment="1">
      <alignment horizontal="center" vertical="center" wrapText="1"/>
    </xf>
    <xf numFmtId="0" fontId="13" fillId="0" borderId="4" xfId="1" applyFont="1" applyBorder="1" applyAlignment="1">
      <alignment horizontal="center" vertical="center" wrapText="1"/>
    </xf>
    <xf numFmtId="0" fontId="13" fillId="0" borderId="1" xfId="1" applyFont="1" applyBorder="1" applyAlignment="1">
      <alignment horizontal="center" vertical="center" wrapText="1"/>
    </xf>
    <xf numFmtId="14" fontId="12" fillId="0" borderId="3" xfId="1" applyNumberFormat="1" applyFont="1" applyBorder="1" applyAlignment="1">
      <alignment vertical="top"/>
    </xf>
    <xf numFmtId="14" fontId="12" fillId="0" borderId="4" xfId="1" applyNumberFormat="1" applyFont="1" applyBorder="1" applyAlignment="1">
      <alignment vertical="top"/>
    </xf>
    <xf numFmtId="14" fontId="12" fillId="0" borderId="1" xfId="1" applyNumberFormat="1" applyFont="1" applyBorder="1" applyAlignment="1">
      <alignment vertical="top"/>
    </xf>
    <xf numFmtId="0" fontId="12" fillId="0" borderId="3" xfId="1" quotePrefix="1" applyFont="1" applyBorder="1" applyAlignment="1">
      <alignment vertical="top"/>
    </xf>
    <xf numFmtId="0" fontId="12" fillId="0" borderId="4" xfId="1" quotePrefix="1" applyFont="1" applyBorder="1" applyAlignment="1">
      <alignment vertical="top"/>
    </xf>
    <xf numFmtId="0" fontId="12" fillId="0" borderId="1" xfId="1" quotePrefix="1" applyFont="1" applyBorder="1" applyAlignment="1">
      <alignment vertical="top"/>
    </xf>
    <xf numFmtId="49" fontId="12" fillId="0" borderId="1" xfId="3" applyNumberFormat="1" applyFont="1" applyBorder="1" applyAlignment="1">
      <alignment vertical="top"/>
    </xf>
    <xf numFmtId="0" fontId="15" fillId="3" borderId="12" xfId="2" applyFont="1" applyFill="1" applyBorder="1" applyAlignment="1">
      <alignment horizontal="center" vertical="center" textRotation="255" shrinkToFit="1"/>
    </xf>
    <xf numFmtId="0" fontId="15" fillId="3" borderId="13" xfId="2" applyFont="1" applyFill="1" applyBorder="1" applyAlignment="1">
      <alignment horizontal="center" vertical="center" textRotation="255" shrinkToFit="1"/>
    </xf>
    <xf numFmtId="0" fontId="14" fillId="7" borderId="1" xfId="0" applyFont="1" applyFill="1" applyBorder="1">
      <alignment vertical="center"/>
    </xf>
    <xf numFmtId="0" fontId="12" fillId="7" borderId="3" xfId="6" applyFont="1" applyFill="1" applyBorder="1" applyAlignment="1">
      <alignment vertical="top"/>
    </xf>
    <xf numFmtId="0" fontId="12" fillId="7" borderId="4" xfId="2" applyFont="1" applyFill="1" applyBorder="1" applyAlignment="1">
      <alignment vertical="top"/>
    </xf>
    <xf numFmtId="0" fontId="12" fillId="7" borderId="3" xfId="4" applyFont="1" applyFill="1" applyBorder="1" applyAlignment="1">
      <alignment vertical="top"/>
    </xf>
    <xf numFmtId="0" fontId="12" fillId="7" borderId="4" xfId="4" applyFont="1" applyFill="1" applyBorder="1" applyAlignment="1">
      <alignment vertical="top"/>
    </xf>
    <xf numFmtId="49" fontId="12" fillId="7" borderId="3" xfId="3" applyNumberFormat="1" applyFont="1" applyFill="1" applyBorder="1" applyAlignment="1">
      <alignment vertical="top"/>
    </xf>
    <xf numFmtId="49" fontId="12" fillId="7" borderId="4" xfId="3" applyNumberFormat="1" applyFont="1" applyFill="1" applyBorder="1" applyAlignment="1">
      <alignment vertical="top"/>
    </xf>
    <xf numFmtId="49" fontId="12" fillId="7" borderId="3" xfId="5" applyNumberFormat="1" applyFont="1" applyFill="1" applyBorder="1" applyAlignment="1">
      <alignment vertical="top"/>
    </xf>
    <xf numFmtId="49" fontId="12" fillId="7" borderId="4" xfId="5" applyNumberFormat="1" applyFont="1" applyFill="1" applyBorder="1" applyAlignment="1">
      <alignment vertical="top"/>
    </xf>
    <xf numFmtId="49" fontId="12" fillId="7" borderId="1" xfId="5" applyNumberFormat="1" applyFont="1" applyFill="1" applyBorder="1" applyAlignment="1">
      <alignment vertical="top"/>
    </xf>
    <xf numFmtId="0" fontId="12" fillId="7" borderId="1" xfId="2" applyFont="1" applyFill="1" applyBorder="1" applyAlignment="1">
      <alignment horizontal="right" vertical="top" shrinkToFit="1"/>
    </xf>
    <xf numFmtId="0" fontId="12" fillId="7" borderId="2" xfId="2" applyFont="1" applyFill="1" applyBorder="1" applyAlignment="1">
      <alignment horizontal="center" vertical="top" shrinkToFit="1"/>
    </xf>
    <xf numFmtId="0" fontId="12" fillId="7" borderId="3" xfId="3" applyFont="1" applyFill="1" applyBorder="1" applyAlignment="1">
      <alignment horizontal="left" vertical="center"/>
    </xf>
    <xf numFmtId="0" fontId="12" fillId="7" borderId="4" xfId="6" applyFont="1" applyFill="1" applyBorder="1" applyAlignment="1">
      <alignment vertical="top"/>
    </xf>
    <xf numFmtId="0" fontId="12" fillId="7" borderId="1" xfId="6" applyFont="1" applyFill="1" applyBorder="1" applyAlignment="1">
      <alignment vertical="top"/>
    </xf>
    <xf numFmtId="49" fontId="12" fillId="7" borderId="3" xfId="3" applyNumberFormat="1" applyFont="1" applyFill="1" applyBorder="1" applyAlignment="1">
      <alignment vertical="top"/>
    </xf>
    <xf numFmtId="49" fontId="12" fillId="7" borderId="4" xfId="3" applyNumberFormat="1" applyFont="1" applyFill="1" applyBorder="1" applyAlignment="1">
      <alignment vertical="top"/>
    </xf>
    <xf numFmtId="49" fontId="12" fillId="7" borderId="3" xfId="5" applyNumberFormat="1" applyFont="1" applyFill="1" applyBorder="1" applyAlignment="1">
      <alignment vertical="top"/>
    </xf>
    <xf numFmtId="49" fontId="12" fillId="7" borderId="4" xfId="5" applyNumberFormat="1" applyFont="1" applyFill="1" applyBorder="1" applyAlignment="1">
      <alignment vertical="top"/>
    </xf>
    <xf numFmtId="49" fontId="12" fillId="7" borderId="1" xfId="5" applyNumberFormat="1" applyFont="1" applyFill="1" applyBorder="1" applyAlignment="1">
      <alignment vertical="top"/>
    </xf>
    <xf numFmtId="0" fontId="12" fillId="7" borderId="4" xfId="6" applyFont="1" applyFill="1" applyBorder="1" applyAlignment="1">
      <alignment vertical="top" shrinkToFit="1"/>
    </xf>
    <xf numFmtId="49" fontId="12" fillId="7" borderId="1" xfId="3" applyNumberFormat="1" applyFont="1" applyFill="1" applyBorder="1" applyAlignment="1">
      <alignment vertical="top"/>
    </xf>
  </cellXfs>
  <cellStyles count="10">
    <cellStyle name="ハイパーリンク 2" xfId="8" xr:uid="{00000000-0005-0000-0000-000000000000}"/>
    <cellStyle name="標準" xfId="0" builtinId="0"/>
    <cellStyle name="標準 2" xfId="1" xr:uid="{00000000-0005-0000-0000-000002000000}"/>
    <cellStyle name="標準 3" xfId="6" xr:uid="{00000000-0005-0000-0000-000003000000}"/>
    <cellStyle name="標準 4" xfId="9" xr:uid="{00000000-0005-0000-0000-000004000000}"/>
    <cellStyle name="標準 4 2" xfId="7" xr:uid="{00000000-0005-0000-0000-000005000000}"/>
    <cellStyle name="標準_01_ｼｽﾃﾑﾏｽﾀ(MSSYS)" xfId="4" xr:uid="{00000000-0005-0000-0000-000006000000}"/>
    <cellStyle name="標準_Sheet1" xfId="2" xr:uid="{00000000-0005-0000-0000-000007000000}"/>
    <cellStyle name="標準_コピー ～ テーブル項目説明書" xfId="3" xr:uid="{00000000-0005-0000-0000-000008000000}"/>
    <cellStyle name="標準_テーブルレイアウトひな型" xfId="5" xr:uid="{00000000-0005-0000-0000-000009000000}"/>
  </cellStyles>
  <dxfs count="0"/>
  <tableStyles count="0" defaultTableStyle="TableStyleMedium2" defaultPivotStyle="PivotStyleLight16"/>
  <colors>
    <mruColors>
      <color rgb="FF0066FF"/>
      <color rgb="FFCCFF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175260</xdr:colOff>
      <xdr:row>10</xdr:row>
      <xdr:rowOff>45720</xdr:rowOff>
    </xdr:from>
    <xdr:to>
      <xdr:col>55</xdr:col>
      <xdr:colOff>182880</xdr:colOff>
      <xdr:row>20</xdr:row>
      <xdr:rowOff>30480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86A7CF28-07D6-59F4-EDE0-2FEA53CCF105}"/>
            </a:ext>
          </a:extLst>
        </xdr:cNvPr>
        <xdr:cNvSpPr txBox="1"/>
      </xdr:nvSpPr>
      <xdr:spPr>
        <a:xfrm>
          <a:off x="6530340" y="1760220"/>
          <a:ext cx="5974080" cy="188976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メモ：出荷指示、出荷実績において、受注関連の情報を項目として持たない</a:t>
          </a:r>
          <a:endParaRPr kumimoji="1" lang="en-US" altLang="ja-JP" sz="1100"/>
        </a:p>
        <a:p>
          <a:r>
            <a:rPr kumimoji="1" lang="ja-JP" altLang="en-US" sz="1100"/>
            <a:t>（どのテーブルが最新の情報なのか、正しい情報なのかが分かりづらいため）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出荷業務において、受注の各項目を編集する等の確認が取れれば項目として残す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お客様レビューにて確認を行い、不要となる項目以外の関連項目は削除する</a:t>
          </a:r>
          <a:endParaRPr kumimoji="1" lang="en-US" altLang="ja-JP" sz="1100"/>
        </a:p>
        <a:p>
          <a:r>
            <a:rPr kumimoji="1" lang="ja-JP" altLang="en-US" sz="1100"/>
            <a:t>（対象の項目が必要な場合は、受注のテーブルを見に行く）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https://tomari.org/main/java/hebon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9"/>
  <dimension ref="B2:B109"/>
  <sheetViews>
    <sheetView topLeftCell="A97" workbookViewId="0">
      <selection activeCell="B2" sqref="B2:B109"/>
    </sheetView>
  </sheetViews>
  <sheetFormatPr defaultColWidth="3.6328125" defaultRowHeight="14.4" x14ac:dyDescent="0.3"/>
  <sheetData>
    <row r="2" spans="2:2" x14ac:dyDescent="0.3">
      <c r="B2" t="s">
        <v>16</v>
      </c>
    </row>
    <row r="3" spans="2:2" x14ac:dyDescent="0.3">
      <c r="B3" t="s">
        <v>17</v>
      </c>
    </row>
    <row r="4" spans="2:2" x14ac:dyDescent="0.3">
      <c r="B4" t="s">
        <v>18</v>
      </c>
    </row>
    <row r="5" spans="2:2" x14ac:dyDescent="0.3">
      <c r="B5" t="s">
        <v>19</v>
      </c>
    </row>
    <row r="6" spans="2:2" x14ac:dyDescent="0.3">
      <c r="B6" t="s">
        <v>20</v>
      </c>
    </row>
    <row r="7" spans="2:2" x14ac:dyDescent="0.3">
      <c r="B7" t="s">
        <v>21</v>
      </c>
    </row>
    <row r="8" spans="2:2" x14ac:dyDescent="0.3">
      <c r="B8" t="s">
        <v>22</v>
      </c>
    </row>
    <row r="9" spans="2:2" x14ac:dyDescent="0.3">
      <c r="B9" t="s">
        <v>23</v>
      </c>
    </row>
    <row r="10" spans="2:2" x14ac:dyDescent="0.3">
      <c r="B10" t="s">
        <v>24</v>
      </c>
    </row>
    <row r="12" spans="2:2" x14ac:dyDescent="0.3">
      <c r="B12" t="s">
        <v>25</v>
      </c>
    </row>
    <row r="14" spans="2:2" x14ac:dyDescent="0.3">
      <c r="B14" t="s">
        <v>26</v>
      </c>
    </row>
    <row r="15" spans="2:2" x14ac:dyDescent="0.3">
      <c r="B15" t="s">
        <v>57</v>
      </c>
    </row>
    <row r="16" spans="2:2" x14ac:dyDescent="0.3">
      <c r="B16" t="s">
        <v>27</v>
      </c>
    </row>
    <row r="17" spans="2:2" x14ac:dyDescent="0.3">
      <c r="B17" t="s">
        <v>58</v>
      </c>
    </row>
    <row r="18" spans="2:2" x14ac:dyDescent="0.3">
      <c r="B18" t="s">
        <v>29</v>
      </c>
    </row>
    <row r="19" spans="2:2" x14ac:dyDescent="0.3">
      <c r="B19" t="s">
        <v>30</v>
      </c>
    </row>
    <row r="20" spans="2:2" x14ac:dyDescent="0.3">
      <c r="B20" t="s">
        <v>59</v>
      </c>
    </row>
    <row r="21" spans="2:2" x14ac:dyDescent="0.3">
      <c r="B21" t="s">
        <v>29</v>
      </c>
    </row>
    <row r="22" spans="2:2" x14ac:dyDescent="0.3">
      <c r="B22" t="s">
        <v>30</v>
      </c>
    </row>
    <row r="23" spans="2:2" x14ac:dyDescent="0.3">
      <c r="B23" t="s">
        <v>60</v>
      </c>
    </row>
    <row r="24" spans="2:2" x14ac:dyDescent="0.3">
      <c r="B24" t="s">
        <v>29</v>
      </c>
    </row>
    <row r="25" spans="2:2" x14ac:dyDescent="0.3">
      <c r="B25" t="s">
        <v>30</v>
      </c>
    </row>
    <row r="26" spans="2:2" x14ac:dyDescent="0.3">
      <c r="B26" t="s">
        <v>28</v>
      </c>
    </row>
    <row r="27" spans="2:2" x14ac:dyDescent="0.3">
      <c r="B27" t="s">
        <v>29</v>
      </c>
    </row>
    <row r="28" spans="2:2" x14ac:dyDescent="0.3">
      <c r="B28" t="s">
        <v>30</v>
      </c>
    </row>
    <row r="29" spans="2:2" x14ac:dyDescent="0.3">
      <c r="B29" t="s">
        <v>54</v>
      </c>
    </row>
    <row r="30" spans="2:2" x14ac:dyDescent="0.3">
      <c r="B30" t="s">
        <v>29</v>
      </c>
    </row>
    <row r="31" spans="2:2" x14ac:dyDescent="0.3">
      <c r="B31" t="s">
        <v>30</v>
      </c>
    </row>
    <row r="32" spans="2:2" x14ac:dyDescent="0.3">
      <c r="B32" t="s">
        <v>55</v>
      </c>
    </row>
    <row r="33" spans="2:2" x14ac:dyDescent="0.3">
      <c r="B33" t="s">
        <v>29</v>
      </c>
    </row>
    <row r="34" spans="2:2" x14ac:dyDescent="0.3">
      <c r="B34" t="s">
        <v>30</v>
      </c>
    </row>
    <row r="35" spans="2:2" x14ac:dyDescent="0.3">
      <c r="B35" t="s">
        <v>31</v>
      </c>
    </row>
    <row r="36" spans="2:2" x14ac:dyDescent="0.3">
      <c r="B36" t="s">
        <v>29</v>
      </c>
    </row>
    <row r="37" spans="2:2" x14ac:dyDescent="0.3">
      <c r="B37" t="s">
        <v>30</v>
      </c>
    </row>
    <row r="38" spans="2:2" x14ac:dyDescent="0.3">
      <c r="B38" t="s">
        <v>32</v>
      </c>
    </row>
    <row r="39" spans="2:2" x14ac:dyDescent="0.3">
      <c r="B39" t="s">
        <v>33</v>
      </c>
    </row>
    <row r="40" spans="2:2" x14ac:dyDescent="0.3">
      <c r="B40" t="s">
        <v>34</v>
      </c>
    </row>
    <row r="41" spans="2:2" x14ac:dyDescent="0.3">
      <c r="B41" t="s">
        <v>35</v>
      </c>
    </row>
    <row r="42" spans="2:2" x14ac:dyDescent="0.3">
      <c r="B42" t="s">
        <v>36</v>
      </c>
    </row>
    <row r="43" spans="2:2" x14ac:dyDescent="0.3">
      <c r="B43" t="s">
        <v>37</v>
      </c>
    </row>
    <row r="44" spans="2:2" x14ac:dyDescent="0.3">
      <c r="B44" t="s">
        <v>38</v>
      </c>
    </row>
    <row r="45" spans="2:2" x14ac:dyDescent="0.3">
      <c r="B45" t="s">
        <v>39</v>
      </c>
    </row>
    <row r="46" spans="2:2" x14ac:dyDescent="0.3">
      <c r="B46" t="s">
        <v>40</v>
      </c>
    </row>
    <row r="47" spans="2:2" x14ac:dyDescent="0.3">
      <c r="B47" t="s">
        <v>41</v>
      </c>
    </row>
    <row r="48" spans="2:2" x14ac:dyDescent="0.3">
      <c r="B48" t="s">
        <v>42</v>
      </c>
    </row>
    <row r="49" spans="2:2" x14ac:dyDescent="0.3">
      <c r="B49" t="s">
        <v>61</v>
      </c>
    </row>
    <row r="50" spans="2:2" x14ac:dyDescent="0.3">
      <c r="B50" t="s">
        <v>62</v>
      </c>
    </row>
    <row r="51" spans="2:2" x14ac:dyDescent="0.3">
      <c r="B51" t="s">
        <v>43</v>
      </c>
    </row>
    <row r="52" spans="2:2" x14ac:dyDescent="0.3">
      <c r="B52" t="s">
        <v>44</v>
      </c>
    </row>
    <row r="53" spans="2:2" x14ac:dyDescent="0.3">
      <c r="B53" t="s">
        <v>45</v>
      </c>
    </row>
    <row r="54" spans="2:2" x14ac:dyDescent="0.3">
      <c r="B54" t="s">
        <v>46</v>
      </c>
    </row>
    <row r="55" spans="2:2" x14ac:dyDescent="0.3">
      <c r="B55" t="s">
        <v>47</v>
      </c>
    </row>
    <row r="56" spans="2:2" x14ac:dyDescent="0.3">
      <c r="B56" t="s">
        <v>45</v>
      </c>
    </row>
    <row r="57" spans="2:2" x14ac:dyDescent="0.3">
      <c r="B57" t="s">
        <v>48</v>
      </c>
    </row>
    <row r="58" spans="2:2" x14ac:dyDescent="0.3">
      <c r="B58" t="s">
        <v>49</v>
      </c>
    </row>
    <row r="59" spans="2:2" x14ac:dyDescent="0.3">
      <c r="B59" t="s">
        <v>45</v>
      </c>
    </row>
    <row r="60" spans="2:2" x14ac:dyDescent="0.3">
      <c r="B60" t="s">
        <v>50</v>
      </c>
    </row>
    <row r="61" spans="2:2" x14ac:dyDescent="0.3">
      <c r="B61" t="s">
        <v>51</v>
      </c>
    </row>
    <row r="62" spans="2:2" x14ac:dyDescent="0.3">
      <c r="B62" t="s">
        <v>30</v>
      </c>
    </row>
    <row r="63" spans="2:2" x14ac:dyDescent="0.3">
      <c r="B63" t="s">
        <v>52</v>
      </c>
    </row>
    <row r="65" spans="2:2" x14ac:dyDescent="0.3">
      <c r="B65" t="s">
        <v>86</v>
      </c>
    </row>
    <row r="67" spans="2:2" x14ac:dyDescent="0.3">
      <c r="B67" t="s">
        <v>53</v>
      </c>
    </row>
    <row r="69" spans="2:2" x14ac:dyDescent="0.3">
      <c r="B69" t="s">
        <v>63</v>
      </c>
    </row>
    <row r="70" spans="2:2" x14ac:dyDescent="0.3">
      <c r="B70" t="s">
        <v>17</v>
      </c>
    </row>
    <row r="71" spans="2:2" x14ac:dyDescent="0.3">
      <c r="B71" t="s">
        <v>18</v>
      </c>
    </row>
    <row r="72" spans="2:2" x14ac:dyDescent="0.3">
      <c r="B72" t="s">
        <v>19</v>
      </c>
    </row>
    <row r="73" spans="2:2" x14ac:dyDescent="0.3">
      <c r="B73" t="s">
        <v>20</v>
      </c>
    </row>
    <row r="74" spans="2:2" x14ac:dyDescent="0.3">
      <c r="B74" t="s">
        <v>21</v>
      </c>
    </row>
    <row r="75" spans="2:2" x14ac:dyDescent="0.3">
      <c r="B75" t="s">
        <v>22</v>
      </c>
    </row>
    <row r="76" spans="2:2" x14ac:dyDescent="0.3">
      <c r="B76" t="s">
        <v>23</v>
      </c>
    </row>
    <row r="77" spans="2:2" x14ac:dyDescent="0.3">
      <c r="B77" t="s">
        <v>24</v>
      </c>
    </row>
    <row r="78" spans="2:2" x14ac:dyDescent="0.3">
      <c r="B78" t="s">
        <v>64</v>
      </c>
    </row>
    <row r="79" spans="2:2" x14ac:dyDescent="0.3">
      <c r="B79" t="s">
        <v>65</v>
      </c>
    </row>
    <row r="81" spans="2:2" x14ac:dyDescent="0.3">
      <c r="B81" t="s">
        <v>66</v>
      </c>
    </row>
    <row r="82" spans="2:2" x14ac:dyDescent="0.3">
      <c r="B82" t="s">
        <v>67</v>
      </c>
    </row>
    <row r="84" spans="2:2" x14ac:dyDescent="0.3">
      <c r="B84" t="s">
        <v>68</v>
      </c>
    </row>
    <row r="85" spans="2:2" x14ac:dyDescent="0.3">
      <c r="B85" t="s">
        <v>69</v>
      </c>
    </row>
    <row r="86" spans="2:2" x14ac:dyDescent="0.3">
      <c r="B86" t="s">
        <v>70</v>
      </c>
    </row>
    <row r="87" spans="2:2" x14ac:dyDescent="0.3">
      <c r="B87" t="s">
        <v>71</v>
      </c>
    </row>
    <row r="88" spans="2:2" x14ac:dyDescent="0.3">
      <c r="B88" t="s">
        <v>32</v>
      </c>
    </row>
    <row r="89" spans="2:2" x14ac:dyDescent="0.3">
      <c r="B89" t="s">
        <v>72</v>
      </c>
    </row>
    <row r="90" spans="2:2" x14ac:dyDescent="0.3">
      <c r="B90" t="s">
        <v>73</v>
      </c>
    </row>
    <row r="91" spans="2:2" x14ac:dyDescent="0.3">
      <c r="B91" t="s">
        <v>74</v>
      </c>
    </row>
    <row r="92" spans="2:2" x14ac:dyDescent="0.3">
      <c r="B92" t="s">
        <v>75</v>
      </c>
    </row>
    <row r="93" spans="2:2" x14ac:dyDescent="0.3">
      <c r="B93" t="s">
        <v>76</v>
      </c>
    </row>
    <row r="94" spans="2:2" x14ac:dyDescent="0.3">
      <c r="B94" t="s">
        <v>77</v>
      </c>
    </row>
    <row r="95" spans="2:2" x14ac:dyDescent="0.3">
      <c r="B95" t="s">
        <v>78</v>
      </c>
    </row>
    <row r="96" spans="2:2" x14ac:dyDescent="0.3">
      <c r="B96" t="s">
        <v>79</v>
      </c>
    </row>
    <row r="97" spans="2:2" x14ac:dyDescent="0.3">
      <c r="B97" t="s">
        <v>80</v>
      </c>
    </row>
    <row r="98" spans="2:2" x14ac:dyDescent="0.3">
      <c r="B98" t="s">
        <v>81</v>
      </c>
    </row>
    <row r="99" spans="2:2" x14ac:dyDescent="0.3">
      <c r="B99" t="s">
        <v>45</v>
      </c>
    </row>
    <row r="100" spans="2:2" x14ac:dyDescent="0.3">
      <c r="B100" t="s">
        <v>82</v>
      </c>
    </row>
    <row r="101" spans="2:2" x14ac:dyDescent="0.3">
      <c r="B101" t="s">
        <v>83</v>
      </c>
    </row>
    <row r="102" spans="2:2" x14ac:dyDescent="0.3">
      <c r="B102" t="s">
        <v>84</v>
      </c>
    </row>
    <row r="103" spans="2:2" x14ac:dyDescent="0.3">
      <c r="B103" t="s">
        <v>32</v>
      </c>
    </row>
    <row r="104" spans="2:2" x14ac:dyDescent="0.3">
      <c r="B104" t="s">
        <v>52</v>
      </c>
    </row>
    <row r="106" spans="2:2" x14ac:dyDescent="0.3">
      <c r="B106" t="s">
        <v>86</v>
      </c>
    </row>
    <row r="109" spans="2:2" x14ac:dyDescent="0.3">
      <c r="B109" t="s">
        <v>53</v>
      </c>
    </row>
  </sheetData>
  <phoneticPr fontId="4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F44"/>
  <sheetViews>
    <sheetView showGridLines="0" zoomScaleNormal="100" zoomScaleSheetLayoutView="100" workbookViewId="0">
      <pane ySplit="6" topLeftCell="A7" activePane="bottomLeft" state="frozen"/>
      <selection sqref="A1:H4"/>
      <selection pane="bottomLeft" activeCell="A12" sqref="A12"/>
    </sheetView>
  </sheetViews>
  <sheetFormatPr defaultColWidth="2.6328125" defaultRowHeight="15" customHeight="1" x14ac:dyDescent="0.3"/>
  <cols>
    <col min="1" max="1" width="4.6328125" style="1" customWidth="1"/>
    <col min="2" max="16384" width="2.6328125" style="1"/>
  </cols>
  <sheetData>
    <row r="1" spans="1:58" s="16" customFormat="1" ht="15" customHeight="1" x14ac:dyDescent="0.3">
      <c r="A1" s="118" t="s">
        <v>100</v>
      </c>
      <c r="B1" s="119"/>
      <c r="C1" s="119"/>
      <c r="D1" s="119"/>
      <c r="E1" s="119"/>
      <c r="F1" s="119"/>
      <c r="G1" s="119"/>
      <c r="H1" s="119"/>
      <c r="I1" s="119"/>
      <c r="J1" s="119"/>
      <c r="K1" s="120"/>
      <c r="L1" s="103" t="s">
        <v>98</v>
      </c>
      <c r="M1" s="104"/>
      <c r="N1" s="104"/>
      <c r="O1" s="104"/>
      <c r="P1" s="104"/>
      <c r="Q1" s="104"/>
      <c r="R1" s="104"/>
      <c r="S1" s="104"/>
      <c r="T1" s="104"/>
      <c r="U1" s="104"/>
      <c r="V1" s="105"/>
      <c r="W1" s="103" t="s">
        <v>99</v>
      </c>
      <c r="X1" s="104"/>
      <c r="Y1" s="104"/>
      <c r="Z1" s="104"/>
      <c r="AA1" s="104"/>
      <c r="AB1" s="104"/>
      <c r="AC1" s="105"/>
      <c r="AD1" s="103" t="s">
        <v>103</v>
      </c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5"/>
      <c r="AR1" s="57" t="s">
        <v>1</v>
      </c>
      <c r="AS1" s="58"/>
      <c r="AT1" s="58"/>
      <c r="AU1" s="58"/>
      <c r="AV1" s="59"/>
      <c r="AW1" s="57" t="s">
        <v>2</v>
      </c>
      <c r="AX1" s="58"/>
      <c r="AY1" s="58"/>
      <c r="AZ1" s="58"/>
      <c r="BA1" s="58"/>
      <c r="BB1" s="59"/>
      <c r="BC1" s="57" t="s">
        <v>3</v>
      </c>
      <c r="BD1" s="58"/>
      <c r="BE1" s="58"/>
      <c r="BF1" s="59"/>
    </row>
    <row r="2" spans="1:58" s="16" customFormat="1" ht="15" customHeight="1" x14ac:dyDescent="0.3">
      <c r="A2" s="121"/>
      <c r="B2" s="122"/>
      <c r="C2" s="122"/>
      <c r="D2" s="122"/>
      <c r="E2" s="122"/>
      <c r="F2" s="122"/>
      <c r="G2" s="122"/>
      <c r="H2" s="122"/>
      <c r="I2" s="122"/>
      <c r="J2" s="122"/>
      <c r="K2" s="123"/>
      <c r="L2" s="127" t="s">
        <v>97</v>
      </c>
      <c r="M2" s="128"/>
      <c r="N2" s="128"/>
      <c r="O2" s="128"/>
      <c r="P2" s="128"/>
      <c r="Q2" s="128"/>
      <c r="R2" s="128"/>
      <c r="S2" s="128"/>
      <c r="T2" s="128"/>
      <c r="U2" s="128"/>
      <c r="V2" s="129"/>
      <c r="W2" s="127" t="s">
        <v>187</v>
      </c>
      <c r="X2" s="128"/>
      <c r="Y2" s="128"/>
      <c r="Z2" s="128"/>
      <c r="AA2" s="128"/>
      <c r="AB2" s="128"/>
      <c r="AC2" s="129"/>
      <c r="AD2" s="106" t="s">
        <v>104</v>
      </c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8"/>
      <c r="AR2" s="97"/>
      <c r="AS2" s="98"/>
      <c r="AT2" s="98"/>
      <c r="AU2" s="98"/>
      <c r="AV2" s="99"/>
      <c r="AW2" s="60" t="s">
        <v>188</v>
      </c>
      <c r="AX2" s="61"/>
      <c r="AY2" s="61"/>
      <c r="AZ2" s="61"/>
      <c r="BA2" s="61"/>
      <c r="BB2" s="62"/>
      <c r="BC2" s="63" t="s">
        <v>15</v>
      </c>
      <c r="BD2" s="64"/>
      <c r="BE2" s="64"/>
      <c r="BF2" s="65"/>
    </row>
    <row r="3" spans="1:58" s="16" customFormat="1" ht="15" customHeight="1" x14ac:dyDescent="0.3">
      <c r="A3" s="121"/>
      <c r="B3" s="122"/>
      <c r="C3" s="122"/>
      <c r="D3" s="122"/>
      <c r="E3" s="122"/>
      <c r="F3" s="122"/>
      <c r="G3" s="122"/>
      <c r="H3" s="122"/>
      <c r="I3" s="122"/>
      <c r="J3" s="122"/>
      <c r="K3" s="123"/>
      <c r="L3" s="130"/>
      <c r="M3" s="131"/>
      <c r="N3" s="131"/>
      <c r="O3" s="131"/>
      <c r="P3" s="131"/>
      <c r="Q3" s="131"/>
      <c r="R3" s="131"/>
      <c r="S3" s="131"/>
      <c r="T3" s="131"/>
      <c r="U3" s="131"/>
      <c r="V3" s="132"/>
      <c r="W3" s="130"/>
      <c r="X3" s="131"/>
      <c r="Y3" s="131"/>
      <c r="Z3" s="131"/>
      <c r="AA3" s="131"/>
      <c r="AB3" s="131"/>
      <c r="AC3" s="132"/>
      <c r="AD3" s="109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1"/>
      <c r="AR3" s="100"/>
      <c r="AS3" s="101"/>
      <c r="AT3" s="101"/>
      <c r="AU3" s="101"/>
      <c r="AV3" s="102"/>
      <c r="AW3" s="60"/>
      <c r="AX3" s="61"/>
      <c r="AY3" s="61"/>
      <c r="AZ3" s="61"/>
      <c r="BA3" s="61"/>
      <c r="BB3" s="62"/>
      <c r="BC3" s="63"/>
      <c r="BD3" s="64"/>
      <c r="BE3" s="64"/>
      <c r="BF3" s="65"/>
    </row>
    <row r="4" spans="1:58" s="16" customFormat="1" ht="15" customHeight="1" x14ac:dyDescent="0.3">
      <c r="A4" s="124"/>
      <c r="B4" s="125"/>
      <c r="C4" s="125"/>
      <c r="D4" s="125"/>
      <c r="E4" s="125"/>
      <c r="F4" s="125"/>
      <c r="G4" s="125"/>
      <c r="H4" s="125"/>
      <c r="I4" s="125"/>
      <c r="J4" s="125"/>
      <c r="K4" s="126"/>
      <c r="L4" s="133"/>
      <c r="M4" s="134"/>
      <c r="N4" s="134"/>
      <c r="O4" s="134"/>
      <c r="P4" s="134"/>
      <c r="Q4" s="134"/>
      <c r="R4" s="134"/>
      <c r="S4" s="134"/>
      <c r="T4" s="134"/>
      <c r="U4" s="134"/>
      <c r="V4" s="135"/>
      <c r="W4" s="133"/>
      <c r="X4" s="134"/>
      <c r="Y4" s="134"/>
      <c r="Z4" s="134"/>
      <c r="AA4" s="134"/>
      <c r="AB4" s="134"/>
      <c r="AC4" s="135"/>
      <c r="AD4" s="112"/>
      <c r="AE4" s="113"/>
      <c r="AF4" s="113"/>
      <c r="AG4" s="113"/>
      <c r="AH4" s="113"/>
      <c r="AI4" s="113"/>
      <c r="AJ4" s="113"/>
      <c r="AK4" s="113"/>
      <c r="AL4" s="113"/>
      <c r="AM4" s="113"/>
      <c r="AN4" s="113"/>
      <c r="AO4" s="113"/>
      <c r="AP4" s="113"/>
      <c r="AQ4" s="114"/>
      <c r="AR4" s="100"/>
      <c r="AS4" s="101"/>
      <c r="AT4" s="101"/>
      <c r="AU4" s="101"/>
      <c r="AV4" s="102"/>
      <c r="AW4" s="60"/>
      <c r="AX4" s="61"/>
      <c r="AY4" s="61"/>
      <c r="AZ4" s="61"/>
      <c r="BA4" s="61"/>
      <c r="BB4" s="62"/>
      <c r="BC4" s="63"/>
      <c r="BD4" s="64"/>
      <c r="BE4" s="64"/>
      <c r="BF4" s="65"/>
    </row>
    <row r="5" spans="1:58" ht="15" customHeight="1" x14ac:dyDescent="0.3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</row>
    <row r="6" spans="1:58" ht="15" customHeight="1" x14ac:dyDescent="0.3">
      <c r="A6" s="67" t="s">
        <v>101</v>
      </c>
      <c r="B6" s="115" t="s">
        <v>105</v>
      </c>
      <c r="C6" s="116"/>
      <c r="D6" s="116"/>
      <c r="E6" s="116"/>
      <c r="F6" s="116"/>
      <c r="G6" s="116"/>
      <c r="H6" s="116"/>
      <c r="I6" s="116"/>
      <c r="J6" s="116"/>
      <c r="K6" s="117"/>
      <c r="L6" s="115" t="s">
        <v>106</v>
      </c>
      <c r="M6" s="116"/>
      <c r="N6" s="116"/>
      <c r="O6" s="116"/>
      <c r="P6" s="116"/>
      <c r="Q6" s="116"/>
      <c r="R6" s="116"/>
      <c r="S6" s="116"/>
      <c r="T6" s="116"/>
      <c r="U6" s="116"/>
      <c r="V6" s="117"/>
      <c r="W6" s="103" t="s">
        <v>146</v>
      </c>
      <c r="X6" s="104"/>
      <c r="Y6" s="104"/>
      <c r="Z6" s="104"/>
      <c r="AA6" s="104"/>
      <c r="AB6" s="104"/>
      <c r="AC6" s="105"/>
      <c r="AD6" s="103" t="s">
        <v>102</v>
      </c>
      <c r="AE6" s="104"/>
      <c r="AF6" s="104"/>
      <c r="AG6" s="104"/>
      <c r="AH6" s="104"/>
      <c r="AI6" s="104"/>
      <c r="AJ6" s="104"/>
      <c r="AK6" s="104"/>
      <c r="AL6" s="104"/>
      <c r="AM6" s="104"/>
      <c r="AN6" s="104"/>
      <c r="AO6" s="104"/>
      <c r="AP6" s="104"/>
      <c r="AQ6" s="104"/>
      <c r="AR6" s="104"/>
      <c r="AS6" s="104"/>
      <c r="AT6" s="104"/>
      <c r="AU6" s="104"/>
      <c r="AV6" s="104"/>
      <c r="AW6" s="104"/>
      <c r="AX6" s="104"/>
      <c r="AY6" s="104"/>
      <c r="AZ6" s="104"/>
      <c r="BA6" s="104"/>
      <c r="BB6" s="104"/>
      <c r="BC6" s="104"/>
      <c r="BD6" s="104"/>
      <c r="BE6" s="104"/>
      <c r="BF6" s="105"/>
    </row>
    <row r="7" spans="1:58" ht="15" customHeight="1" x14ac:dyDescent="0.3">
      <c r="A7" s="3">
        <f>IF(B7="","",COUNTA($B$7:B7))</f>
        <v>1</v>
      </c>
      <c r="B7" s="3" t="s">
        <v>148</v>
      </c>
      <c r="C7" s="4"/>
      <c r="D7" s="4"/>
      <c r="E7" s="4"/>
      <c r="F7" s="4"/>
      <c r="G7" s="4"/>
      <c r="H7" s="4"/>
      <c r="I7" s="4"/>
      <c r="J7" s="4"/>
      <c r="K7" s="5"/>
      <c r="L7" s="3" t="s">
        <v>1545</v>
      </c>
      <c r="M7" s="4"/>
      <c r="N7" s="4"/>
      <c r="O7" s="4"/>
      <c r="P7" s="4"/>
      <c r="Q7" s="4"/>
      <c r="R7" s="4"/>
      <c r="S7" s="4"/>
      <c r="T7" s="4"/>
      <c r="U7" s="4"/>
      <c r="V7" s="4"/>
      <c r="W7" s="136" t="s">
        <v>149</v>
      </c>
      <c r="X7" s="137"/>
      <c r="Y7" s="137"/>
      <c r="Z7" s="137"/>
      <c r="AA7" s="137"/>
      <c r="AB7" s="137"/>
      <c r="AC7" s="138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5"/>
    </row>
    <row r="8" spans="1:58" ht="15" customHeight="1" x14ac:dyDescent="0.3">
      <c r="A8" s="3">
        <f>IF(B8="","",COUNTA($B$7:B8))</f>
        <v>2</v>
      </c>
      <c r="B8" s="3" t="s">
        <v>189</v>
      </c>
      <c r="C8" s="4"/>
      <c r="D8" s="4"/>
      <c r="E8" s="4"/>
      <c r="F8" s="4"/>
      <c r="G8" s="4"/>
      <c r="H8" s="4"/>
      <c r="I8" s="4"/>
      <c r="J8" s="4"/>
      <c r="K8" s="5"/>
      <c r="L8" s="3" t="s">
        <v>1546</v>
      </c>
      <c r="M8" s="4"/>
      <c r="N8" s="4"/>
      <c r="O8" s="4"/>
      <c r="P8" s="4"/>
      <c r="Q8" s="4"/>
      <c r="R8" s="4"/>
      <c r="S8" s="4"/>
      <c r="T8" s="4"/>
      <c r="U8" s="4"/>
      <c r="V8" s="4"/>
      <c r="W8" s="136" t="s">
        <v>149</v>
      </c>
      <c r="X8" s="137"/>
      <c r="Y8" s="137"/>
      <c r="Z8" s="137"/>
      <c r="AA8" s="137"/>
      <c r="AB8" s="137"/>
      <c r="AC8" s="138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5"/>
    </row>
    <row r="9" spans="1:58" ht="15" customHeight="1" x14ac:dyDescent="0.3">
      <c r="A9" s="3">
        <f>IF(B9="","",COUNTA($B$7:B9))</f>
        <v>3</v>
      </c>
      <c r="B9" s="66" t="s">
        <v>190</v>
      </c>
      <c r="C9" s="4"/>
      <c r="D9" s="4"/>
      <c r="E9" s="4"/>
      <c r="F9" s="4"/>
      <c r="G9" s="4"/>
      <c r="H9" s="4"/>
      <c r="I9" s="4"/>
      <c r="J9" s="4"/>
      <c r="K9" s="5"/>
      <c r="L9" s="3" t="s">
        <v>1547</v>
      </c>
      <c r="M9" s="4"/>
      <c r="N9" s="4"/>
      <c r="O9" s="4"/>
      <c r="P9" s="4"/>
      <c r="Q9" s="4"/>
      <c r="R9" s="4"/>
      <c r="S9" s="4"/>
      <c r="T9" s="4"/>
      <c r="U9" s="4"/>
      <c r="V9" s="4"/>
      <c r="W9" s="136" t="s">
        <v>149</v>
      </c>
      <c r="X9" s="137"/>
      <c r="Y9" s="137"/>
      <c r="Z9" s="137"/>
      <c r="AA9" s="137"/>
      <c r="AB9" s="137"/>
      <c r="AC9" s="138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5"/>
    </row>
    <row r="10" spans="1:58" ht="15" customHeight="1" x14ac:dyDescent="0.3">
      <c r="A10" s="3">
        <f>IF(B10="","",COUNTA($B$7:B10))</f>
        <v>4</v>
      </c>
      <c r="B10" s="3" t="s">
        <v>1544</v>
      </c>
      <c r="C10" s="4"/>
      <c r="D10" s="4"/>
      <c r="E10" s="4"/>
      <c r="F10" s="4"/>
      <c r="G10" s="4"/>
      <c r="H10" s="4"/>
      <c r="I10" s="4"/>
      <c r="J10" s="4"/>
      <c r="K10" s="5"/>
      <c r="L10" s="3" t="s">
        <v>1548</v>
      </c>
      <c r="M10" s="4"/>
      <c r="N10" s="4"/>
      <c r="O10" s="4"/>
      <c r="P10" s="4"/>
      <c r="Q10" s="4"/>
      <c r="R10" s="4"/>
      <c r="S10" s="4"/>
      <c r="T10" s="4"/>
      <c r="U10" s="4"/>
      <c r="V10" s="4"/>
      <c r="W10" s="136" t="s">
        <v>149</v>
      </c>
      <c r="X10" s="137"/>
      <c r="Y10" s="137"/>
      <c r="Z10" s="137"/>
      <c r="AA10" s="137"/>
      <c r="AB10" s="137"/>
      <c r="AC10" s="138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5"/>
    </row>
    <row r="11" spans="1:58" ht="15" customHeight="1" x14ac:dyDescent="0.3">
      <c r="A11" s="3">
        <f>IF(B11="","",COUNTA($B$7:B11))</f>
        <v>5</v>
      </c>
      <c r="B11" s="66" t="s">
        <v>210</v>
      </c>
      <c r="C11" s="4"/>
      <c r="D11" s="4"/>
      <c r="E11" s="4"/>
      <c r="F11" s="4"/>
      <c r="G11" s="4"/>
      <c r="H11" s="4"/>
      <c r="I11" s="4"/>
      <c r="J11" s="4"/>
      <c r="K11" s="5"/>
      <c r="L11" s="3" t="s">
        <v>1562</v>
      </c>
      <c r="M11" s="4"/>
      <c r="N11" s="4"/>
      <c r="O11" s="4"/>
      <c r="P11" s="4"/>
      <c r="Q11" s="4"/>
      <c r="R11" s="4"/>
      <c r="S11" s="4"/>
      <c r="T11" s="4"/>
      <c r="U11" s="4"/>
      <c r="V11" s="4"/>
      <c r="W11" s="136" t="s">
        <v>149</v>
      </c>
      <c r="X11" s="137"/>
      <c r="Y11" s="137"/>
      <c r="Z11" s="137"/>
      <c r="AA11" s="137"/>
      <c r="AB11" s="137"/>
      <c r="AC11" s="138"/>
      <c r="AD11" s="4" t="s">
        <v>214</v>
      </c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5"/>
    </row>
    <row r="12" spans="1:58" ht="15" customHeight="1" x14ac:dyDescent="0.3">
      <c r="A12" s="3">
        <f>IF(B12="","",COUNTA($B$7:B12))</f>
        <v>6</v>
      </c>
      <c r="B12" s="66" t="s">
        <v>199</v>
      </c>
      <c r="C12" s="4"/>
      <c r="D12" s="4"/>
      <c r="E12" s="4"/>
      <c r="F12" s="4"/>
      <c r="G12" s="4"/>
      <c r="H12" s="4"/>
      <c r="I12" s="4"/>
      <c r="J12" s="4"/>
      <c r="K12" s="5"/>
      <c r="L12" s="3" t="s">
        <v>1549</v>
      </c>
      <c r="M12" s="4"/>
      <c r="N12" s="4"/>
      <c r="O12" s="4"/>
      <c r="P12" s="4"/>
      <c r="Q12" s="4"/>
      <c r="R12" s="4"/>
      <c r="S12" s="4"/>
      <c r="T12" s="4"/>
      <c r="U12" s="4"/>
      <c r="V12" s="4"/>
      <c r="W12" s="136" t="s">
        <v>149</v>
      </c>
      <c r="X12" s="137"/>
      <c r="Y12" s="137"/>
      <c r="Z12" s="137"/>
      <c r="AA12" s="137"/>
      <c r="AB12" s="137"/>
      <c r="AC12" s="138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5"/>
    </row>
    <row r="13" spans="1:58" ht="15" customHeight="1" x14ac:dyDescent="0.3">
      <c r="A13" s="3">
        <f>IF(B13="","",COUNTA($B$7:B13))</f>
        <v>7</v>
      </c>
      <c r="B13" s="66" t="s">
        <v>200</v>
      </c>
      <c r="C13" s="4"/>
      <c r="D13" s="4"/>
      <c r="E13" s="4"/>
      <c r="F13" s="4"/>
      <c r="G13" s="4"/>
      <c r="H13" s="4"/>
      <c r="I13" s="4"/>
      <c r="J13" s="4"/>
      <c r="K13" s="5"/>
      <c r="L13" s="3" t="s">
        <v>1550</v>
      </c>
      <c r="M13" s="4"/>
      <c r="N13" s="4"/>
      <c r="O13" s="4"/>
      <c r="P13" s="4"/>
      <c r="Q13" s="4"/>
      <c r="R13" s="4"/>
      <c r="S13" s="4"/>
      <c r="T13" s="4"/>
      <c r="U13" s="4"/>
      <c r="V13" s="4"/>
      <c r="W13" s="136" t="s">
        <v>149</v>
      </c>
      <c r="X13" s="137"/>
      <c r="Y13" s="137"/>
      <c r="Z13" s="137"/>
      <c r="AA13" s="137"/>
      <c r="AB13" s="137"/>
      <c r="AC13" s="138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5"/>
    </row>
    <row r="14" spans="1:58" ht="15" customHeight="1" x14ac:dyDescent="0.3">
      <c r="A14" s="3">
        <f>IF(B14="","",COUNTA($B$7:B14))</f>
        <v>8</v>
      </c>
      <c r="B14" s="66" t="s">
        <v>201</v>
      </c>
      <c r="C14" s="4"/>
      <c r="D14" s="4"/>
      <c r="E14" s="4"/>
      <c r="F14" s="4"/>
      <c r="G14" s="4"/>
      <c r="H14" s="4"/>
      <c r="I14" s="4"/>
      <c r="J14" s="4"/>
      <c r="K14" s="5"/>
      <c r="L14" s="3" t="s">
        <v>1551</v>
      </c>
      <c r="M14" s="4"/>
      <c r="N14" s="4"/>
      <c r="O14" s="4"/>
      <c r="P14" s="4"/>
      <c r="Q14" s="4"/>
      <c r="R14" s="4"/>
      <c r="S14" s="4"/>
      <c r="T14" s="4"/>
      <c r="U14" s="4"/>
      <c r="V14" s="4"/>
      <c r="W14" s="136" t="s">
        <v>149</v>
      </c>
      <c r="X14" s="137"/>
      <c r="Y14" s="137"/>
      <c r="Z14" s="137"/>
      <c r="AA14" s="137"/>
      <c r="AB14" s="137"/>
      <c r="AC14" s="138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5"/>
    </row>
    <row r="15" spans="1:58" ht="15" customHeight="1" x14ac:dyDescent="0.3">
      <c r="A15" s="3">
        <f>IF(B15="","",COUNTA($B$7:B15))</f>
        <v>9</v>
      </c>
      <c r="B15" s="66" t="s">
        <v>202</v>
      </c>
      <c r="C15" s="4"/>
      <c r="D15" s="4"/>
      <c r="E15" s="4"/>
      <c r="F15" s="4"/>
      <c r="G15" s="4"/>
      <c r="H15" s="4"/>
      <c r="I15" s="4"/>
      <c r="J15" s="4"/>
      <c r="K15" s="5"/>
      <c r="L15" s="3" t="s">
        <v>1552</v>
      </c>
      <c r="M15" s="4"/>
      <c r="N15" s="4"/>
      <c r="O15" s="4"/>
      <c r="P15" s="4"/>
      <c r="Q15" s="4"/>
      <c r="R15" s="4"/>
      <c r="S15" s="4"/>
      <c r="T15" s="4"/>
      <c r="U15" s="4"/>
      <c r="V15" s="4"/>
      <c r="W15" s="136" t="s">
        <v>149</v>
      </c>
      <c r="X15" s="137"/>
      <c r="Y15" s="137"/>
      <c r="Z15" s="137"/>
      <c r="AA15" s="137"/>
      <c r="AB15" s="137"/>
      <c r="AC15" s="138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5"/>
    </row>
    <row r="16" spans="1:58" ht="15" customHeight="1" x14ac:dyDescent="0.3">
      <c r="A16" s="3">
        <f>IF(B16="","",COUNTA($B$7:B16))</f>
        <v>10</v>
      </c>
      <c r="B16" s="66" t="s">
        <v>1101</v>
      </c>
      <c r="C16" s="4"/>
      <c r="D16" s="4"/>
      <c r="E16" s="4"/>
      <c r="F16" s="4"/>
      <c r="G16" s="4"/>
      <c r="H16" s="4"/>
      <c r="I16" s="4"/>
      <c r="J16" s="4"/>
      <c r="K16" s="5"/>
      <c r="L16" s="3" t="s">
        <v>1553</v>
      </c>
      <c r="M16" s="4"/>
      <c r="N16" s="4"/>
      <c r="O16" s="4"/>
      <c r="P16" s="4"/>
      <c r="Q16" s="4"/>
      <c r="R16" s="4"/>
      <c r="S16" s="4"/>
      <c r="T16" s="4"/>
      <c r="U16" s="4"/>
      <c r="V16" s="4"/>
      <c r="W16" s="136" t="s">
        <v>149</v>
      </c>
      <c r="X16" s="137"/>
      <c r="Y16" s="137"/>
      <c r="Z16" s="137"/>
      <c r="AA16" s="137"/>
      <c r="AB16" s="137"/>
      <c r="AC16" s="138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5"/>
    </row>
    <row r="17" spans="1:58" ht="15" customHeight="1" x14ac:dyDescent="0.3">
      <c r="A17" s="3">
        <f>IF(B17="","",COUNTA($B$7:B17))</f>
        <v>11</v>
      </c>
      <c r="B17" s="66" t="s">
        <v>1102</v>
      </c>
      <c r="C17" s="4"/>
      <c r="D17" s="4"/>
      <c r="E17" s="4"/>
      <c r="F17" s="4"/>
      <c r="G17" s="4"/>
      <c r="H17" s="4"/>
      <c r="I17" s="4"/>
      <c r="J17" s="4"/>
      <c r="K17" s="5"/>
      <c r="L17" s="3" t="s">
        <v>1554</v>
      </c>
      <c r="M17" s="4"/>
      <c r="N17" s="4"/>
      <c r="O17" s="4"/>
      <c r="P17" s="4"/>
      <c r="Q17" s="4"/>
      <c r="R17" s="4"/>
      <c r="S17" s="4"/>
      <c r="T17" s="4"/>
      <c r="U17" s="4"/>
      <c r="V17" s="4"/>
      <c r="W17" s="136" t="s">
        <v>149</v>
      </c>
      <c r="X17" s="137"/>
      <c r="Y17" s="137"/>
      <c r="Z17" s="137"/>
      <c r="AA17" s="137"/>
      <c r="AB17" s="137"/>
      <c r="AC17" s="138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5"/>
    </row>
    <row r="18" spans="1:58" ht="15" customHeight="1" x14ac:dyDescent="0.3">
      <c r="A18" s="3">
        <f>IF(B18="","",COUNTA($B$7:B18))</f>
        <v>12</v>
      </c>
      <c r="B18" s="3" t="s">
        <v>1103</v>
      </c>
      <c r="C18" s="4"/>
      <c r="D18" s="4"/>
      <c r="E18" s="4"/>
      <c r="F18" s="4"/>
      <c r="G18" s="4"/>
      <c r="H18" s="4"/>
      <c r="I18" s="4"/>
      <c r="J18" s="4"/>
      <c r="K18" s="5"/>
      <c r="L18" s="3" t="s">
        <v>1555</v>
      </c>
      <c r="M18" s="4"/>
      <c r="N18" s="4"/>
      <c r="O18" s="4"/>
      <c r="P18" s="4"/>
      <c r="Q18" s="4"/>
      <c r="R18" s="4"/>
      <c r="S18" s="4"/>
      <c r="T18" s="4"/>
      <c r="U18" s="4"/>
      <c r="V18" s="4"/>
      <c r="W18" s="136" t="s">
        <v>149</v>
      </c>
      <c r="X18" s="137"/>
      <c r="Y18" s="137"/>
      <c r="Z18" s="137"/>
      <c r="AA18" s="137"/>
      <c r="AB18" s="137"/>
      <c r="AC18" s="138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5"/>
    </row>
    <row r="19" spans="1:58" ht="15" customHeight="1" x14ac:dyDescent="0.3">
      <c r="A19" s="3">
        <f>IF(B19="","",COUNTA($B$7:B19))</f>
        <v>13</v>
      </c>
      <c r="B19" s="66" t="s">
        <v>1541</v>
      </c>
      <c r="C19" s="4"/>
      <c r="D19" s="4"/>
      <c r="E19" s="4"/>
      <c r="F19" s="4"/>
      <c r="G19" s="4"/>
      <c r="H19" s="4"/>
      <c r="I19" s="4"/>
      <c r="J19" s="4"/>
      <c r="K19" s="5"/>
      <c r="L19" s="3" t="s">
        <v>1556</v>
      </c>
      <c r="M19" s="4"/>
      <c r="N19" s="4"/>
      <c r="O19" s="4"/>
      <c r="P19" s="4"/>
      <c r="Q19" s="4"/>
      <c r="R19" s="4"/>
      <c r="S19" s="4"/>
      <c r="T19" s="4"/>
      <c r="U19" s="4"/>
      <c r="V19" s="4"/>
      <c r="W19" s="136" t="s">
        <v>149</v>
      </c>
      <c r="X19" s="137"/>
      <c r="Y19" s="137"/>
      <c r="Z19" s="137"/>
      <c r="AA19" s="137"/>
      <c r="AB19" s="137"/>
      <c r="AC19" s="138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5"/>
    </row>
    <row r="20" spans="1:58" ht="15" customHeight="1" x14ac:dyDescent="0.3">
      <c r="A20" s="3">
        <f>IF(B20="","",COUNTA($B$7:B20))</f>
        <v>14</v>
      </c>
      <c r="B20" s="3" t="s">
        <v>1542</v>
      </c>
      <c r="C20" s="4"/>
      <c r="D20" s="4"/>
      <c r="E20" s="4"/>
      <c r="F20" s="4"/>
      <c r="G20" s="4"/>
      <c r="H20" s="4"/>
      <c r="I20" s="4"/>
      <c r="J20" s="4"/>
      <c r="K20" s="5"/>
      <c r="L20" s="3" t="s">
        <v>1557</v>
      </c>
      <c r="M20" s="4"/>
      <c r="N20" s="4"/>
      <c r="O20" s="4"/>
      <c r="P20" s="4"/>
      <c r="Q20" s="4"/>
      <c r="R20" s="4"/>
      <c r="S20" s="4"/>
      <c r="T20" s="4"/>
      <c r="U20" s="4"/>
      <c r="V20" s="4"/>
      <c r="W20" s="136" t="s">
        <v>149</v>
      </c>
      <c r="X20" s="137"/>
      <c r="Y20" s="137"/>
      <c r="Z20" s="137"/>
      <c r="AA20" s="137"/>
      <c r="AB20" s="137"/>
      <c r="AC20" s="138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5"/>
    </row>
    <row r="21" spans="1:58" ht="15" customHeight="1" x14ac:dyDescent="0.3">
      <c r="A21" s="3">
        <f>IF(B21="","",COUNTA($B$7:B21))</f>
        <v>15</v>
      </c>
      <c r="B21" s="3" t="s">
        <v>1558</v>
      </c>
      <c r="C21" s="4"/>
      <c r="D21" s="4"/>
      <c r="E21" s="4"/>
      <c r="F21" s="4"/>
      <c r="G21" s="4"/>
      <c r="H21" s="4"/>
      <c r="I21" s="4"/>
      <c r="J21" s="4"/>
      <c r="K21" s="5"/>
      <c r="L21" s="3" t="s">
        <v>1559</v>
      </c>
      <c r="M21" s="4"/>
      <c r="N21" s="4"/>
      <c r="O21" s="4"/>
      <c r="P21" s="4"/>
      <c r="Q21" s="4"/>
      <c r="R21" s="4"/>
      <c r="S21" s="4"/>
      <c r="T21" s="4"/>
      <c r="U21" s="4"/>
      <c r="V21" s="4"/>
      <c r="W21" s="136" t="s">
        <v>149</v>
      </c>
      <c r="X21" s="137"/>
      <c r="Y21" s="137"/>
      <c r="Z21" s="137"/>
      <c r="AA21" s="137"/>
      <c r="AB21" s="137"/>
      <c r="AC21" s="138"/>
      <c r="AD21" s="4" t="s">
        <v>1560</v>
      </c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5"/>
    </row>
    <row r="22" spans="1:58" ht="15" customHeight="1" x14ac:dyDescent="0.3">
      <c r="A22" s="3" t="str">
        <f>IF(B22="","",COUNTA($B$7:B22))</f>
        <v/>
      </c>
      <c r="B22" s="3"/>
      <c r="C22" s="4"/>
      <c r="D22" s="4"/>
      <c r="E22" s="4"/>
      <c r="F22" s="4"/>
      <c r="G22" s="4"/>
      <c r="H22" s="4"/>
      <c r="I22" s="4"/>
      <c r="J22" s="4"/>
      <c r="K22" s="5"/>
      <c r="L22" s="3"/>
      <c r="M22" s="4"/>
      <c r="N22" s="4"/>
      <c r="O22" s="4"/>
      <c r="P22" s="4"/>
      <c r="Q22" s="4"/>
      <c r="R22" s="4"/>
      <c r="S22" s="4"/>
      <c r="T22" s="4"/>
      <c r="U22" s="4"/>
      <c r="V22" s="4"/>
      <c r="W22" s="136"/>
      <c r="X22" s="137"/>
      <c r="Y22" s="137"/>
      <c r="Z22" s="137"/>
      <c r="AA22" s="137"/>
      <c r="AB22" s="137"/>
      <c r="AC22" s="138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5"/>
    </row>
    <row r="23" spans="1:58" ht="15" customHeight="1" x14ac:dyDescent="0.3">
      <c r="A23" s="3" t="str">
        <f>IF(B23="","",COUNTA($B$7:B23))</f>
        <v/>
      </c>
      <c r="B23" s="3"/>
      <c r="C23" s="4"/>
      <c r="D23" s="4"/>
      <c r="E23" s="4"/>
      <c r="F23" s="4"/>
      <c r="G23" s="4"/>
      <c r="H23" s="4"/>
      <c r="I23" s="4"/>
      <c r="J23" s="4"/>
      <c r="K23" s="5"/>
      <c r="L23" s="3"/>
      <c r="M23" s="4"/>
      <c r="N23" s="4"/>
      <c r="O23" s="4"/>
      <c r="P23" s="4"/>
      <c r="Q23" s="4"/>
      <c r="R23" s="4"/>
      <c r="S23" s="4"/>
      <c r="T23" s="4"/>
      <c r="U23" s="4"/>
      <c r="V23" s="4"/>
      <c r="W23" s="136"/>
      <c r="X23" s="137"/>
      <c r="Y23" s="137"/>
      <c r="Z23" s="137"/>
      <c r="AA23" s="137"/>
      <c r="AB23" s="137"/>
      <c r="AC23" s="138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5"/>
    </row>
    <row r="24" spans="1:58" ht="15" customHeight="1" x14ac:dyDescent="0.3">
      <c r="A24" s="3" t="str">
        <f>IF(B24="","",COUNTA($B$7:B24))</f>
        <v/>
      </c>
      <c r="B24" s="3"/>
      <c r="C24" s="4"/>
      <c r="D24" s="4"/>
      <c r="E24" s="4"/>
      <c r="F24" s="4"/>
      <c r="G24" s="4"/>
      <c r="H24" s="4"/>
      <c r="I24" s="4"/>
      <c r="J24" s="4"/>
      <c r="K24" s="5"/>
      <c r="L24" s="3"/>
      <c r="M24" s="4"/>
      <c r="N24" s="4"/>
      <c r="O24" s="4"/>
      <c r="P24" s="4"/>
      <c r="Q24" s="4"/>
      <c r="R24" s="4"/>
      <c r="S24" s="4"/>
      <c r="T24" s="4"/>
      <c r="U24" s="4"/>
      <c r="V24" s="4"/>
      <c r="W24" s="136"/>
      <c r="X24" s="137"/>
      <c r="Y24" s="137"/>
      <c r="Z24" s="137"/>
      <c r="AA24" s="137"/>
      <c r="AB24" s="137"/>
      <c r="AC24" s="138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5"/>
    </row>
    <row r="25" spans="1:58" ht="15" customHeight="1" x14ac:dyDescent="0.3">
      <c r="A25" s="3" t="str">
        <f>IF(B25="","",COUNTA($B$7:B25))</f>
        <v/>
      </c>
      <c r="B25" s="3"/>
      <c r="C25" s="4"/>
      <c r="D25" s="4"/>
      <c r="E25" s="4"/>
      <c r="F25" s="4"/>
      <c r="G25" s="4"/>
      <c r="H25" s="4"/>
      <c r="I25" s="4"/>
      <c r="J25" s="4"/>
      <c r="K25" s="5"/>
      <c r="L25" s="3"/>
      <c r="M25" s="4"/>
      <c r="N25" s="4"/>
      <c r="O25" s="4"/>
      <c r="P25" s="4"/>
      <c r="Q25" s="4"/>
      <c r="R25" s="4"/>
      <c r="S25" s="4"/>
      <c r="T25" s="4"/>
      <c r="U25" s="4"/>
      <c r="V25" s="4"/>
      <c r="W25" s="136"/>
      <c r="X25" s="137"/>
      <c r="Y25" s="137"/>
      <c r="Z25" s="137"/>
      <c r="AA25" s="137"/>
      <c r="AB25" s="137"/>
      <c r="AC25" s="138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5"/>
    </row>
    <row r="26" spans="1:58" ht="15" customHeight="1" x14ac:dyDescent="0.3">
      <c r="A26" s="3" t="str">
        <f>IF(B26="","",COUNTA($B$7:B26))</f>
        <v/>
      </c>
      <c r="B26" s="3"/>
      <c r="C26" s="4"/>
      <c r="D26" s="4"/>
      <c r="E26" s="4"/>
      <c r="F26" s="4"/>
      <c r="G26" s="4"/>
      <c r="H26" s="4"/>
      <c r="I26" s="4"/>
      <c r="J26" s="4"/>
      <c r="K26" s="5"/>
      <c r="L26" s="3"/>
      <c r="M26" s="4"/>
      <c r="N26" s="4"/>
      <c r="O26" s="4"/>
      <c r="P26" s="4"/>
      <c r="Q26" s="4"/>
      <c r="R26" s="4"/>
      <c r="S26" s="4"/>
      <c r="T26" s="4"/>
      <c r="U26" s="4"/>
      <c r="V26" s="4"/>
      <c r="W26" s="136"/>
      <c r="X26" s="137"/>
      <c r="Y26" s="137"/>
      <c r="Z26" s="137"/>
      <c r="AA26" s="137"/>
      <c r="AB26" s="137"/>
      <c r="AC26" s="138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5"/>
    </row>
    <row r="27" spans="1:58" ht="15" customHeight="1" x14ac:dyDescent="0.3">
      <c r="A27" s="3" t="str">
        <f>IF(B27="","",COUNTA($B$7:B27))</f>
        <v/>
      </c>
      <c r="B27" s="3"/>
      <c r="C27" s="4"/>
      <c r="D27" s="4"/>
      <c r="E27" s="4"/>
      <c r="F27" s="4"/>
      <c r="G27" s="4"/>
      <c r="H27" s="4"/>
      <c r="I27" s="4"/>
      <c r="J27" s="4"/>
      <c r="K27" s="5"/>
      <c r="L27" s="3"/>
      <c r="M27" s="4"/>
      <c r="N27" s="4"/>
      <c r="O27" s="4"/>
      <c r="P27" s="4"/>
      <c r="Q27" s="4"/>
      <c r="R27" s="4"/>
      <c r="S27" s="4"/>
      <c r="T27" s="4"/>
      <c r="U27" s="4"/>
      <c r="V27" s="4"/>
      <c r="W27" s="136"/>
      <c r="X27" s="137"/>
      <c r="Y27" s="137"/>
      <c r="Z27" s="137"/>
      <c r="AA27" s="137"/>
      <c r="AB27" s="137"/>
      <c r="AC27" s="138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5"/>
    </row>
    <row r="28" spans="1:58" ht="15" customHeight="1" x14ac:dyDescent="0.3">
      <c r="A28" s="3" t="str">
        <f>IF(B28="","",COUNTA($B$7:B28))</f>
        <v/>
      </c>
      <c r="B28" s="3"/>
      <c r="C28" s="4"/>
      <c r="D28" s="4"/>
      <c r="E28" s="4"/>
      <c r="F28" s="4"/>
      <c r="G28" s="4"/>
      <c r="H28" s="4"/>
      <c r="I28" s="4"/>
      <c r="J28" s="4"/>
      <c r="K28" s="5"/>
      <c r="L28" s="3"/>
      <c r="M28" s="4"/>
      <c r="N28" s="4"/>
      <c r="O28" s="4"/>
      <c r="P28" s="4"/>
      <c r="Q28" s="4"/>
      <c r="R28" s="4"/>
      <c r="S28" s="4"/>
      <c r="T28" s="4"/>
      <c r="U28" s="4"/>
      <c r="V28" s="4"/>
      <c r="W28" s="136"/>
      <c r="X28" s="137"/>
      <c r="Y28" s="137"/>
      <c r="Z28" s="137"/>
      <c r="AA28" s="137"/>
      <c r="AB28" s="137"/>
      <c r="AC28" s="138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5"/>
    </row>
    <row r="29" spans="1:58" ht="15" customHeight="1" x14ac:dyDescent="0.3">
      <c r="A29" s="3" t="str">
        <f>IF(B29="","",COUNTA($B$7:B29))</f>
        <v/>
      </c>
      <c r="B29" s="3"/>
      <c r="C29" s="4"/>
      <c r="D29" s="4"/>
      <c r="E29" s="4"/>
      <c r="F29" s="4"/>
      <c r="G29" s="4"/>
      <c r="H29" s="4"/>
      <c r="I29" s="4"/>
      <c r="J29" s="4"/>
      <c r="K29" s="5"/>
      <c r="L29" s="3"/>
      <c r="M29" s="4"/>
      <c r="N29" s="4"/>
      <c r="O29" s="4"/>
      <c r="P29" s="4"/>
      <c r="Q29" s="4"/>
      <c r="R29" s="4"/>
      <c r="S29" s="4"/>
      <c r="T29" s="4"/>
      <c r="U29" s="4"/>
      <c r="V29" s="4"/>
      <c r="W29" s="136"/>
      <c r="X29" s="137"/>
      <c r="Y29" s="137"/>
      <c r="Z29" s="137"/>
      <c r="AA29" s="137"/>
      <c r="AB29" s="137"/>
      <c r="AC29" s="138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5"/>
    </row>
    <row r="30" spans="1:58" ht="15" customHeight="1" x14ac:dyDescent="0.3">
      <c r="A30" s="3" t="str">
        <f>IF(B30="","",COUNTA($B$7:B30))</f>
        <v/>
      </c>
      <c r="B30" s="3"/>
      <c r="C30" s="4"/>
      <c r="D30" s="4"/>
      <c r="E30" s="4"/>
      <c r="F30" s="4"/>
      <c r="G30" s="4"/>
      <c r="H30" s="4"/>
      <c r="I30" s="4"/>
      <c r="J30" s="4"/>
      <c r="K30" s="5"/>
      <c r="L30" s="3"/>
      <c r="M30" s="4"/>
      <c r="N30" s="4"/>
      <c r="O30" s="4"/>
      <c r="P30" s="4"/>
      <c r="Q30" s="4"/>
      <c r="R30" s="4"/>
      <c r="S30" s="4"/>
      <c r="T30" s="4"/>
      <c r="U30" s="4"/>
      <c r="V30" s="4"/>
      <c r="W30" s="136"/>
      <c r="X30" s="137"/>
      <c r="Y30" s="137"/>
      <c r="Z30" s="137"/>
      <c r="AA30" s="137"/>
      <c r="AB30" s="137"/>
      <c r="AC30" s="138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5"/>
    </row>
    <row r="31" spans="1:58" ht="15" customHeight="1" x14ac:dyDescent="0.3">
      <c r="A31" s="3" t="str">
        <f>IF(B31="","",COUNTA($B$7:B31))</f>
        <v/>
      </c>
      <c r="B31" s="3"/>
      <c r="C31" s="4"/>
      <c r="D31" s="4"/>
      <c r="E31" s="4"/>
      <c r="F31" s="4"/>
      <c r="G31" s="4"/>
      <c r="H31" s="4"/>
      <c r="I31" s="4"/>
      <c r="J31" s="4"/>
      <c r="K31" s="5"/>
      <c r="L31" s="3"/>
      <c r="M31" s="4"/>
      <c r="N31" s="4"/>
      <c r="O31" s="4"/>
      <c r="P31" s="4"/>
      <c r="Q31" s="4"/>
      <c r="R31" s="4"/>
      <c r="S31" s="4"/>
      <c r="T31" s="4"/>
      <c r="U31" s="4"/>
      <c r="V31" s="4"/>
      <c r="W31" s="136"/>
      <c r="X31" s="137"/>
      <c r="Y31" s="137"/>
      <c r="Z31" s="137"/>
      <c r="AA31" s="137"/>
      <c r="AB31" s="137"/>
      <c r="AC31" s="138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5"/>
    </row>
    <row r="32" spans="1:58" ht="15" customHeight="1" x14ac:dyDescent="0.3">
      <c r="A32" s="3" t="str">
        <f>IF(B32="","",COUNTA($B$7:B32))</f>
        <v/>
      </c>
      <c r="B32" s="3"/>
      <c r="C32" s="4"/>
      <c r="D32" s="4"/>
      <c r="E32" s="4"/>
      <c r="F32" s="4"/>
      <c r="G32" s="4"/>
      <c r="H32" s="4"/>
      <c r="I32" s="4"/>
      <c r="J32" s="4"/>
      <c r="K32" s="5"/>
      <c r="L32" s="3"/>
      <c r="M32" s="4"/>
      <c r="N32" s="4"/>
      <c r="O32" s="4"/>
      <c r="P32" s="4"/>
      <c r="Q32" s="4"/>
      <c r="R32" s="4"/>
      <c r="S32" s="4"/>
      <c r="T32" s="4"/>
      <c r="U32" s="4"/>
      <c r="V32" s="4"/>
      <c r="W32" s="136"/>
      <c r="X32" s="137"/>
      <c r="Y32" s="137"/>
      <c r="Z32" s="137"/>
      <c r="AA32" s="137"/>
      <c r="AB32" s="137"/>
      <c r="AC32" s="138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5"/>
    </row>
    <row r="33" spans="1:58" ht="15" customHeight="1" x14ac:dyDescent="0.3">
      <c r="A33" s="3" t="str">
        <f>IF(B33="","",COUNTA($B$7:B33))</f>
        <v/>
      </c>
      <c r="B33" s="3"/>
      <c r="C33" s="4"/>
      <c r="D33" s="4"/>
      <c r="E33" s="4"/>
      <c r="F33" s="4"/>
      <c r="G33" s="4"/>
      <c r="H33" s="4"/>
      <c r="I33" s="4"/>
      <c r="J33" s="4"/>
      <c r="K33" s="5"/>
      <c r="L33" s="3"/>
      <c r="M33" s="4"/>
      <c r="N33" s="4"/>
      <c r="O33" s="4"/>
      <c r="P33" s="4"/>
      <c r="Q33" s="4"/>
      <c r="R33" s="4"/>
      <c r="S33" s="4"/>
      <c r="T33" s="4"/>
      <c r="U33" s="4"/>
      <c r="V33" s="4"/>
      <c r="W33" s="136"/>
      <c r="X33" s="137"/>
      <c r="Y33" s="137"/>
      <c r="Z33" s="137"/>
      <c r="AA33" s="137"/>
      <c r="AB33" s="137"/>
      <c r="AC33" s="138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5"/>
    </row>
    <row r="34" spans="1:58" ht="15" customHeight="1" x14ac:dyDescent="0.3">
      <c r="A34" s="3" t="str">
        <f>IF(B34="","",COUNTA($B$7:B34))</f>
        <v/>
      </c>
      <c r="B34" s="3"/>
      <c r="C34" s="4"/>
      <c r="D34" s="4"/>
      <c r="E34" s="4"/>
      <c r="F34" s="4"/>
      <c r="G34" s="4"/>
      <c r="H34" s="4"/>
      <c r="I34" s="4"/>
      <c r="J34" s="4"/>
      <c r="K34" s="5"/>
      <c r="L34" s="3"/>
      <c r="M34" s="4"/>
      <c r="N34" s="4"/>
      <c r="O34" s="4"/>
      <c r="P34" s="4"/>
      <c r="Q34" s="4"/>
      <c r="R34" s="4"/>
      <c r="S34" s="4"/>
      <c r="T34" s="4"/>
      <c r="U34" s="4"/>
      <c r="V34" s="4"/>
      <c r="W34" s="136"/>
      <c r="X34" s="137"/>
      <c r="Y34" s="137"/>
      <c r="Z34" s="137"/>
      <c r="AA34" s="137"/>
      <c r="AB34" s="137"/>
      <c r="AC34" s="138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5"/>
    </row>
    <row r="35" spans="1:58" ht="15" customHeight="1" x14ac:dyDescent="0.3">
      <c r="A35" s="3" t="str">
        <f>IF(B35="","",COUNTA($B$7:B35))</f>
        <v/>
      </c>
      <c r="B35" s="3"/>
      <c r="C35" s="4"/>
      <c r="D35" s="4"/>
      <c r="E35" s="4"/>
      <c r="F35" s="4"/>
      <c r="G35" s="4"/>
      <c r="H35" s="4"/>
      <c r="I35" s="4"/>
      <c r="J35" s="4"/>
      <c r="K35" s="5"/>
      <c r="L35" s="3"/>
      <c r="M35" s="4"/>
      <c r="N35" s="4"/>
      <c r="O35" s="4"/>
      <c r="P35" s="4"/>
      <c r="Q35" s="4"/>
      <c r="R35" s="4"/>
      <c r="S35" s="4"/>
      <c r="T35" s="4"/>
      <c r="U35" s="4"/>
      <c r="V35" s="4"/>
      <c r="W35" s="136"/>
      <c r="X35" s="137"/>
      <c r="Y35" s="137"/>
      <c r="Z35" s="137"/>
      <c r="AA35" s="137"/>
      <c r="AB35" s="137"/>
      <c r="AC35" s="138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5"/>
    </row>
    <row r="36" spans="1:58" ht="15" customHeight="1" x14ac:dyDescent="0.3">
      <c r="A36" s="3" t="str">
        <f>IF(B36="","",COUNTA($B$7:B36))</f>
        <v/>
      </c>
      <c r="B36" s="3"/>
      <c r="C36" s="4"/>
      <c r="D36" s="4"/>
      <c r="E36" s="4"/>
      <c r="F36" s="4"/>
      <c r="G36" s="4"/>
      <c r="H36" s="4"/>
      <c r="I36" s="4"/>
      <c r="J36" s="4"/>
      <c r="K36" s="5"/>
      <c r="L36" s="3"/>
      <c r="M36" s="4"/>
      <c r="N36" s="4"/>
      <c r="O36" s="4"/>
      <c r="P36" s="4"/>
      <c r="Q36" s="4"/>
      <c r="R36" s="4"/>
      <c r="S36" s="4"/>
      <c r="T36" s="4"/>
      <c r="U36" s="4"/>
      <c r="V36" s="4"/>
      <c r="W36" s="136"/>
      <c r="X36" s="137"/>
      <c r="Y36" s="137"/>
      <c r="Z36" s="137"/>
      <c r="AA36" s="137"/>
      <c r="AB36" s="137"/>
      <c r="AC36" s="138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5"/>
    </row>
    <row r="37" spans="1:58" ht="15" customHeight="1" x14ac:dyDescent="0.3">
      <c r="A37" s="3" t="str">
        <f>IF(B37="","",COUNTA($B$7:B37))</f>
        <v/>
      </c>
      <c r="B37" s="3"/>
      <c r="C37" s="4"/>
      <c r="D37" s="4"/>
      <c r="E37" s="4"/>
      <c r="F37" s="4"/>
      <c r="G37" s="4"/>
      <c r="H37" s="4"/>
      <c r="I37" s="4"/>
      <c r="J37" s="4"/>
      <c r="K37" s="5"/>
      <c r="L37" s="3"/>
      <c r="M37" s="4"/>
      <c r="N37" s="4"/>
      <c r="O37" s="4"/>
      <c r="P37" s="4"/>
      <c r="Q37" s="4"/>
      <c r="R37" s="4"/>
      <c r="S37" s="4"/>
      <c r="T37" s="4"/>
      <c r="U37" s="4"/>
      <c r="V37" s="4"/>
      <c r="W37" s="136"/>
      <c r="X37" s="137"/>
      <c r="Y37" s="137"/>
      <c r="Z37" s="137"/>
      <c r="AA37" s="137"/>
      <c r="AB37" s="137"/>
      <c r="AC37" s="138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5"/>
    </row>
    <row r="38" spans="1:58" ht="15" customHeight="1" x14ac:dyDescent="0.3">
      <c r="A38" s="3" t="str">
        <f>IF(B38="","",COUNTA($B$7:B38))</f>
        <v/>
      </c>
      <c r="B38" s="3"/>
      <c r="C38" s="4"/>
      <c r="D38" s="4"/>
      <c r="E38" s="4"/>
      <c r="F38" s="4"/>
      <c r="G38" s="4"/>
      <c r="H38" s="4"/>
      <c r="I38" s="4"/>
      <c r="J38" s="4"/>
      <c r="K38" s="5"/>
      <c r="L38" s="3"/>
      <c r="M38" s="4"/>
      <c r="N38" s="4"/>
      <c r="O38" s="4"/>
      <c r="P38" s="4"/>
      <c r="Q38" s="4"/>
      <c r="R38" s="4"/>
      <c r="S38" s="4"/>
      <c r="T38" s="4"/>
      <c r="U38" s="4"/>
      <c r="V38" s="4"/>
      <c r="W38" s="136"/>
      <c r="X38" s="137"/>
      <c r="Y38" s="137"/>
      <c r="Z38" s="137"/>
      <c r="AA38" s="137"/>
      <c r="AB38" s="137"/>
      <c r="AC38" s="138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5"/>
    </row>
    <row r="39" spans="1:58" ht="15" customHeight="1" x14ac:dyDescent="0.3">
      <c r="A39" s="3" t="str">
        <f>IF(B39="","",COUNTA($B$7:B39))</f>
        <v/>
      </c>
      <c r="B39" s="3"/>
      <c r="C39" s="4"/>
      <c r="D39" s="4"/>
      <c r="E39" s="4"/>
      <c r="F39" s="4"/>
      <c r="G39" s="4"/>
      <c r="H39" s="4"/>
      <c r="I39" s="4"/>
      <c r="J39" s="4"/>
      <c r="K39" s="5"/>
      <c r="L39" s="3"/>
      <c r="M39" s="4"/>
      <c r="N39" s="4"/>
      <c r="O39" s="4"/>
      <c r="P39" s="4"/>
      <c r="Q39" s="4"/>
      <c r="R39" s="4"/>
      <c r="S39" s="4"/>
      <c r="T39" s="4"/>
      <c r="U39" s="4"/>
      <c r="V39" s="4"/>
      <c r="W39" s="136"/>
      <c r="X39" s="137"/>
      <c r="Y39" s="137"/>
      <c r="Z39" s="137"/>
      <c r="AA39" s="137"/>
      <c r="AB39" s="137"/>
      <c r="AC39" s="138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5"/>
    </row>
    <row r="40" spans="1:58" ht="15" customHeight="1" x14ac:dyDescent="0.3">
      <c r="A40" s="3" t="str">
        <f>IF(B40="","",COUNTA($B$7:B40))</f>
        <v/>
      </c>
      <c r="B40" s="3"/>
      <c r="C40" s="4"/>
      <c r="D40" s="4"/>
      <c r="E40" s="4"/>
      <c r="F40" s="4"/>
      <c r="G40" s="4"/>
      <c r="H40" s="4"/>
      <c r="I40" s="4"/>
      <c r="J40" s="4"/>
      <c r="K40" s="5"/>
      <c r="L40" s="3"/>
      <c r="M40" s="4"/>
      <c r="N40" s="4"/>
      <c r="O40" s="4"/>
      <c r="P40" s="4"/>
      <c r="Q40" s="4"/>
      <c r="R40" s="4"/>
      <c r="S40" s="4"/>
      <c r="T40" s="4"/>
      <c r="U40" s="4"/>
      <c r="V40" s="4"/>
      <c r="W40" s="136"/>
      <c r="X40" s="137"/>
      <c r="Y40" s="137"/>
      <c r="Z40" s="137"/>
      <c r="AA40" s="137"/>
      <c r="AB40" s="137"/>
      <c r="AC40" s="138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5"/>
    </row>
    <row r="41" spans="1:58" ht="15" customHeight="1" x14ac:dyDescent="0.3">
      <c r="A41" s="3" t="str">
        <f>IF(B41="","",COUNTA($B$7:B41))</f>
        <v/>
      </c>
      <c r="B41" s="3"/>
      <c r="C41" s="4"/>
      <c r="D41" s="4"/>
      <c r="E41" s="4"/>
      <c r="F41" s="4"/>
      <c r="G41" s="4"/>
      <c r="H41" s="4"/>
      <c r="I41" s="4"/>
      <c r="J41" s="4"/>
      <c r="K41" s="5"/>
      <c r="L41" s="3"/>
      <c r="M41" s="4"/>
      <c r="N41" s="4"/>
      <c r="O41" s="4"/>
      <c r="P41" s="4"/>
      <c r="Q41" s="4"/>
      <c r="R41" s="4"/>
      <c r="S41" s="4"/>
      <c r="T41" s="4"/>
      <c r="U41" s="4"/>
      <c r="V41" s="4"/>
      <c r="W41" s="136"/>
      <c r="X41" s="137"/>
      <c r="Y41" s="137"/>
      <c r="Z41" s="137"/>
      <c r="AA41" s="137"/>
      <c r="AB41" s="137"/>
      <c r="AC41" s="138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5"/>
    </row>
    <row r="42" spans="1:58" ht="15" customHeight="1" x14ac:dyDescent="0.3">
      <c r="A42" s="3" t="str">
        <f>IF(B42="","",COUNTA($B$7:B42))</f>
        <v/>
      </c>
      <c r="B42" s="3"/>
      <c r="C42" s="4"/>
      <c r="D42" s="4"/>
      <c r="E42" s="4"/>
      <c r="F42" s="4"/>
      <c r="G42" s="4"/>
      <c r="H42" s="4"/>
      <c r="I42" s="4"/>
      <c r="J42" s="4"/>
      <c r="K42" s="5"/>
      <c r="L42" s="3"/>
      <c r="M42" s="4"/>
      <c r="N42" s="4"/>
      <c r="O42" s="4"/>
      <c r="P42" s="4"/>
      <c r="Q42" s="4"/>
      <c r="R42" s="4"/>
      <c r="S42" s="4"/>
      <c r="T42" s="4"/>
      <c r="U42" s="4"/>
      <c r="V42" s="4"/>
      <c r="W42" s="136"/>
      <c r="X42" s="137"/>
      <c r="Y42" s="137"/>
      <c r="Z42" s="137"/>
      <c r="AA42" s="137"/>
      <c r="AB42" s="137"/>
      <c r="AC42" s="138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5"/>
    </row>
    <row r="43" spans="1:58" ht="15" customHeight="1" x14ac:dyDescent="0.3">
      <c r="A43" s="3" t="str">
        <f>IF(B43="","",COUNTA($B$7:B43))</f>
        <v/>
      </c>
      <c r="B43" s="3"/>
      <c r="C43" s="4"/>
      <c r="D43" s="4"/>
      <c r="E43" s="4"/>
      <c r="F43" s="4"/>
      <c r="G43" s="4"/>
      <c r="H43" s="4"/>
      <c r="I43" s="4"/>
      <c r="J43" s="4"/>
      <c r="K43" s="5"/>
      <c r="L43" s="3"/>
      <c r="M43" s="4"/>
      <c r="N43" s="4"/>
      <c r="O43" s="4"/>
      <c r="P43" s="4"/>
      <c r="Q43" s="4"/>
      <c r="R43" s="4"/>
      <c r="S43" s="4"/>
      <c r="T43" s="4"/>
      <c r="U43" s="4"/>
      <c r="V43" s="4"/>
      <c r="W43" s="136"/>
      <c r="X43" s="137"/>
      <c r="Y43" s="137"/>
      <c r="Z43" s="137"/>
      <c r="AA43" s="137"/>
      <c r="AB43" s="137"/>
      <c r="AC43" s="138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5"/>
    </row>
    <row r="44" spans="1:58" ht="15" customHeight="1" x14ac:dyDescent="0.3">
      <c r="A44" s="3" t="str">
        <f>IF(B44="","",COUNTA($B$7:B44))</f>
        <v/>
      </c>
      <c r="B44" s="3"/>
      <c r="C44" s="4"/>
      <c r="D44" s="4"/>
      <c r="E44" s="4"/>
      <c r="F44" s="4"/>
      <c r="G44" s="4"/>
      <c r="H44" s="4"/>
      <c r="I44" s="4"/>
      <c r="J44" s="4"/>
      <c r="K44" s="5"/>
      <c r="L44" s="3"/>
      <c r="M44" s="4"/>
      <c r="N44" s="4"/>
      <c r="O44" s="4"/>
      <c r="P44" s="4"/>
      <c r="Q44" s="4"/>
      <c r="R44" s="4"/>
      <c r="S44" s="4"/>
      <c r="T44" s="4"/>
      <c r="U44" s="4"/>
      <c r="V44" s="4"/>
      <c r="W44" s="136"/>
      <c r="X44" s="137"/>
      <c r="Y44" s="137"/>
      <c r="Z44" s="137"/>
      <c r="AA44" s="137"/>
      <c r="AB44" s="137"/>
      <c r="AC44" s="138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5"/>
    </row>
  </sheetData>
  <mergeCells count="52">
    <mergeCell ref="W43:AC43"/>
    <mergeCell ref="W44:AC44"/>
    <mergeCell ref="L6:V6"/>
    <mergeCell ref="AD6:BF6"/>
    <mergeCell ref="W6:AC6"/>
    <mergeCell ref="W37:AC37"/>
    <mergeCell ref="W38:AC38"/>
    <mergeCell ref="W39:AC39"/>
    <mergeCell ref="W40:AC40"/>
    <mergeCell ref="W41:AC41"/>
    <mergeCell ref="W32:AC32"/>
    <mergeCell ref="W33:AC33"/>
    <mergeCell ref="W34:AC34"/>
    <mergeCell ref="W35:AC35"/>
    <mergeCell ref="W36:AC36"/>
    <mergeCell ref="W28:AC28"/>
    <mergeCell ref="W29:AC29"/>
    <mergeCell ref="W30:AC30"/>
    <mergeCell ref="W31:AC31"/>
    <mergeCell ref="W42:AC42"/>
    <mergeCell ref="W23:AC23"/>
    <mergeCell ref="W24:AC24"/>
    <mergeCell ref="W25:AC25"/>
    <mergeCell ref="W26:AC26"/>
    <mergeCell ref="W27:AC27"/>
    <mergeCell ref="W18:AC18"/>
    <mergeCell ref="W19:AC19"/>
    <mergeCell ref="W20:AC20"/>
    <mergeCell ref="W21:AC21"/>
    <mergeCell ref="W22:AC22"/>
    <mergeCell ref="W13:AC13"/>
    <mergeCell ref="W14:AC14"/>
    <mergeCell ref="W15:AC15"/>
    <mergeCell ref="W16:AC16"/>
    <mergeCell ref="W17:AC17"/>
    <mergeCell ref="W7:AC7"/>
    <mergeCell ref="W8:AC8"/>
    <mergeCell ref="W9:AC9"/>
    <mergeCell ref="W11:AC11"/>
    <mergeCell ref="W12:AC12"/>
    <mergeCell ref="W10:AC10"/>
    <mergeCell ref="B6:K6"/>
    <mergeCell ref="A1:K4"/>
    <mergeCell ref="L1:V1"/>
    <mergeCell ref="W1:AC1"/>
    <mergeCell ref="L2:V4"/>
    <mergeCell ref="W2:AC4"/>
    <mergeCell ref="AR2:AV2"/>
    <mergeCell ref="AR3:AV3"/>
    <mergeCell ref="AR4:AV4"/>
    <mergeCell ref="AD1:AQ1"/>
    <mergeCell ref="AD2:AQ4"/>
  </mergeCells>
  <phoneticPr fontId="4"/>
  <dataValidations count="2">
    <dataValidation imeMode="hiragana" allowBlank="1" showInputMessage="1" showErrorMessage="1" sqref="FBY982716:FCJ982718 FLU982716:FMF982718 FVQ982716:FWB982718 GFM982716:GFX982718 GPI982716:GPT982718 GZE982716:GZP982718 HJA982716:HJL982718 HSW982716:HTH982718 ICS982716:IDD982718 IMO982716:IMZ982718 IWK982716:IWV982718 JGG982716:JGR982718 JQC982716:JQN982718 JZY982716:KAJ982718 KJU982716:KKF982718 KTQ982716:KUB982718 LDM982716:LDX982718 LNI982716:LNT982718 LXE982716:LXP982718 MHA982716:MHL982718 MQW982716:MRH982718 NAS982716:NBD982718 NKO982716:NKZ982718 NUK982716:NUV982718 OEG982716:OER982718 OOC982716:OON982718 OXY982716:OYJ982718 PHU982716:PIF982718 PRQ982716:PSB982718 QBM982716:QBX982718 QLI982716:QLT982718 QVE982716:QVP982718 RFA982716:RFL982718 ROW982716:RPH982718 RYS982716:RZD982718 SIO982716:SIZ982718 SSK982716:SSV982718 TCG982716:TCR982718 TMC982716:TMN982718 TVY982716:TWJ982718 UFU982716:UGF982718 UPQ982716:UQB982718 UZM982716:UZX982718 VJI982716:VJT982718 VTE982716:VTP982718 WDA982716:WDL982718 WMW982716:WNH982718 WWS982716:WXD982718 AK982716:AU982718 AK917180:AU917182 AK851644:AU851646 AK786108:AU786110 AK720572:AU720574 AK655036:AU655038 AK589500:AU589502 AK523964:AU523966 AK458428:AU458430 AK392892:AU392894 AK327356:AU327358 AK261820:AU261822 AK196284:AU196286 AK130748:AU130750 AK65212:AU65214 KG65212:KR65214 UC65212:UN65214 ADY65212:AEJ65214 ANU65212:AOF65214 AXQ65212:AYB65214 BHM65212:BHX65214 BRI65212:BRT65214 CBE65212:CBP65214 CLA65212:CLL65214 CUW65212:CVH65214 DES65212:DFD65214 DOO65212:DOZ65214 DYK65212:DYV65214 EIG65212:EIR65214 ESC65212:ESN65214 FBY65212:FCJ65214 FLU65212:FMF65214 FVQ65212:FWB65214 GFM65212:GFX65214 GPI65212:GPT65214 GZE65212:GZP65214 HJA65212:HJL65214 HSW65212:HTH65214 ICS65212:IDD65214 IMO65212:IMZ65214 IWK65212:IWV65214 JGG65212:JGR65214 JQC65212:JQN65214 JZY65212:KAJ65214 KJU65212:KKF65214 KTQ65212:KUB65214 LDM65212:LDX65214 LNI65212:LNT65214 LXE65212:LXP65214 MHA65212:MHL65214 MQW65212:MRH65214 NAS65212:NBD65214 NKO65212:NKZ65214 NUK65212:NUV65214 OEG65212:OER65214 OOC65212:OON65214 OXY65212:OYJ65214 PHU65212:PIF65214 PRQ65212:PSB65214 QBM65212:QBX65214 QLI65212:QLT65214 QVE65212:QVP65214 RFA65212:RFL65214 ROW65212:RPH65214 RYS65212:RZD65214 SIO65212:SIZ65214 SSK65212:SSV65214 TCG65212:TCR65214 TMC65212:TMN65214 TVY65212:TWJ65214 UFU65212:UGF65214 UPQ65212:UQB65214 UZM65212:UZX65214 VJI65212:VJT65214 VTE65212:VTP65214 WDA65212:WDL65214 WMW65212:WNH65214 WWS65212:WXD65214 KG130748:KR130750 UC130748:UN130750 ADY130748:AEJ130750 ANU130748:AOF130750 AXQ130748:AYB130750 BHM130748:BHX130750 BRI130748:BRT130750 CBE130748:CBP130750 CLA130748:CLL130750 CUW130748:CVH130750 DES130748:DFD130750 DOO130748:DOZ130750 DYK130748:DYV130750 EIG130748:EIR130750 ESC130748:ESN130750 FBY130748:FCJ130750 FLU130748:FMF130750 FVQ130748:FWB130750 GFM130748:GFX130750 GPI130748:GPT130750 GZE130748:GZP130750 HJA130748:HJL130750 HSW130748:HTH130750 ICS130748:IDD130750 IMO130748:IMZ130750 IWK130748:IWV130750 JGG130748:JGR130750 JQC130748:JQN130750 JZY130748:KAJ130750 KJU130748:KKF130750 KTQ130748:KUB130750 LDM130748:LDX130750 LNI130748:LNT130750 LXE130748:LXP130750 MHA130748:MHL130750 MQW130748:MRH130750 NAS130748:NBD130750 NKO130748:NKZ130750 NUK130748:NUV130750 OEG130748:OER130750 OOC130748:OON130750 OXY130748:OYJ130750 PHU130748:PIF130750 PRQ130748:PSB130750 QBM130748:QBX130750 QLI130748:QLT130750 QVE130748:QVP130750 RFA130748:RFL130750 ROW130748:RPH130750 RYS130748:RZD130750 SIO130748:SIZ130750 SSK130748:SSV130750 TCG130748:TCR130750 TMC130748:TMN130750 TVY130748:TWJ130750 UFU130748:UGF130750 UPQ130748:UQB130750 UZM130748:UZX130750 VJI130748:VJT130750 VTE130748:VTP130750 WDA130748:WDL130750 WMW130748:WNH130750 WWS130748:WXD130750 KG196284:KR196286 UC196284:UN196286 ADY196284:AEJ196286 ANU196284:AOF196286 AXQ196284:AYB196286 BHM196284:BHX196286 BRI196284:BRT196286 CBE196284:CBP196286 CLA196284:CLL196286 CUW196284:CVH196286 DES196284:DFD196286 DOO196284:DOZ196286 DYK196284:DYV196286 EIG196284:EIR196286 ESC196284:ESN196286 FBY196284:FCJ196286 FLU196284:FMF196286 FVQ196284:FWB196286 GFM196284:GFX196286 GPI196284:GPT196286 GZE196284:GZP196286 HJA196284:HJL196286 HSW196284:HTH196286 ICS196284:IDD196286 IMO196284:IMZ196286 IWK196284:IWV196286 JGG196284:JGR196286 JQC196284:JQN196286 JZY196284:KAJ196286 KJU196284:KKF196286 KTQ196284:KUB196286 LDM196284:LDX196286 LNI196284:LNT196286 LXE196284:LXP196286 MHA196284:MHL196286 MQW196284:MRH196286 NAS196284:NBD196286 NKO196284:NKZ196286 NUK196284:NUV196286 OEG196284:OER196286 OOC196284:OON196286 OXY196284:OYJ196286 PHU196284:PIF196286 PRQ196284:PSB196286 QBM196284:QBX196286 QLI196284:QLT196286 QVE196284:QVP196286 RFA196284:RFL196286 ROW196284:RPH196286 RYS196284:RZD196286 SIO196284:SIZ196286 SSK196284:SSV196286 TCG196284:TCR196286 TMC196284:TMN196286 TVY196284:TWJ196286 UFU196284:UGF196286 UPQ196284:UQB196286 UZM196284:UZX196286 VJI196284:VJT196286 VTE196284:VTP196286 WDA196284:WDL196286 WMW196284:WNH196286 WWS196284:WXD196286 KG261820:KR261822 UC261820:UN261822 ADY261820:AEJ261822 ANU261820:AOF261822 AXQ261820:AYB261822 BHM261820:BHX261822 BRI261820:BRT261822 CBE261820:CBP261822 CLA261820:CLL261822 CUW261820:CVH261822 DES261820:DFD261822 DOO261820:DOZ261822 DYK261820:DYV261822 EIG261820:EIR261822 ESC261820:ESN261822 FBY261820:FCJ261822 FLU261820:FMF261822 FVQ261820:FWB261822 GFM261820:GFX261822 GPI261820:GPT261822 GZE261820:GZP261822 HJA261820:HJL261822 HSW261820:HTH261822 ICS261820:IDD261822 IMO261820:IMZ261822 IWK261820:IWV261822 JGG261820:JGR261822 JQC261820:JQN261822 JZY261820:KAJ261822 KJU261820:KKF261822 KTQ261820:KUB261822 LDM261820:LDX261822 LNI261820:LNT261822 LXE261820:LXP261822 MHA261820:MHL261822 MQW261820:MRH261822 NAS261820:NBD261822 NKO261820:NKZ261822 NUK261820:NUV261822 OEG261820:OER261822 OOC261820:OON261822 OXY261820:OYJ261822 PHU261820:PIF261822 PRQ261820:PSB261822 QBM261820:QBX261822 QLI261820:QLT261822 QVE261820:QVP261822 RFA261820:RFL261822 ROW261820:RPH261822 RYS261820:RZD261822 SIO261820:SIZ261822 SSK261820:SSV261822 TCG261820:TCR261822 TMC261820:TMN261822 TVY261820:TWJ261822 UFU261820:UGF261822 UPQ261820:UQB261822 UZM261820:UZX261822 VJI261820:VJT261822 VTE261820:VTP261822 WDA261820:WDL261822 WMW261820:WNH261822 WWS261820:WXD261822 KG327356:KR327358 UC327356:UN327358 ADY327356:AEJ327358 ANU327356:AOF327358 AXQ327356:AYB327358 BHM327356:BHX327358 BRI327356:BRT327358 CBE327356:CBP327358 CLA327356:CLL327358 CUW327356:CVH327358 DES327356:DFD327358 DOO327356:DOZ327358 DYK327356:DYV327358 EIG327356:EIR327358 ESC327356:ESN327358 FBY327356:FCJ327358 FLU327356:FMF327358 FVQ327356:FWB327358 GFM327356:GFX327358 GPI327356:GPT327358 GZE327356:GZP327358 HJA327356:HJL327358 HSW327356:HTH327358 ICS327356:IDD327358 IMO327356:IMZ327358 IWK327356:IWV327358 JGG327356:JGR327358 JQC327356:JQN327358 JZY327356:KAJ327358 KJU327356:KKF327358 KTQ327356:KUB327358 LDM327356:LDX327358 LNI327356:LNT327358 LXE327356:LXP327358 MHA327356:MHL327358 MQW327356:MRH327358 NAS327356:NBD327358 NKO327356:NKZ327358 NUK327356:NUV327358 OEG327356:OER327358 OOC327356:OON327358 OXY327356:OYJ327358 PHU327356:PIF327358 PRQ327356:PSB327358 QBM327356:QBX327358 QLI327356:QLT327358 QVE327356:QVP327358 RFA327356:RFL327358 ROW327356:RPH327358 RYS327356:RZD327358 SIO327356:SIZ327358 SSK327356:SSV327358 TCG327356:TCR327358 TMC327356:TMN327358 TVY327356:TWJ327358 UFU327356:UGF327358 UPQ327356:UQB327358 UZM327356:UZX327358 VJI327356:VJT327358 VTE327356:VTP327358 WDA327356:WDL327358 WMW327356:WNH327358 WWS327356:WXD327358 KG392892:KR392894 UC392892:UN392894 ADY392892:AEJ392894 ANU392892:AOF392894 AXQ392892:AYB392894 BHM392892:BHX392894 BRI392892:BRT392894 CBE392892:CBP392894 CLA392892:CLL392894 CUW392892:CVH392894 DES392892:DFD392894 DOO392892:DOZ392894 DYK392892:DYV392894 EIG392892:EIR392894 ESC392892:ESN392894 FBY392892:FCJ392894 FLU392892:FMF392894 FVQ392892:FWB392894 GFM392892:GFX392894 GPI392892:GPT392894 GZE392892:GZP392894 HJA392892:HJL392894 HSW392892:HTH392894 ICS392892:IDD392894 IMO392892:IMZ392894 IWK392892:IWV392894 JGG392892:JGR392894 JQC392892:JQN392894 JZY392892:KAJ392894 KJU392892:KKF392894 KTQ392892:KUB392894 LDM392892:LDX392894 LNI392892:LNT392894 LXE392892:LXP392894 MHA392892:MHL392894 MQW392892:MRH392894 NAS392892:NBD392894 NKO392892:NKZ392894 NUK392892:NUV392894 OEG392892:OER392894 OOC392892:OON392894 OXY392892:OYJ392894 PHU392892:PIF392894 PRQ392892:PSB392894 QBM392892:QBX392894 QLI392892:QLT392894 QVE392892:QVP392894 RFA392892:RFL392894 ROW392892:RPH392894 RYS392892:RZD392894 SIO392892:SIZ392894 SSK392892:SSV392894 TCG392892:TCR392894 TMC392892:TMN392894 TVY392892:TWJ392894 UFU392892:UGF392894 UPQ392892:UQB392894 UZM392892:UZX392894 VJI392892:VJT392894 VTE392892:VTP392894 WDA392892:WDL392894 WMW392892:WNH392894 WWS392892:WXD392894 KG458428:KR458430 UC458428:UN458430 ADY458428:AEJ458430 ANU458428:AOF458430 AXQ458428:AYB458430 BHM458428:BHX458430 BRI458428:BRT458430 CBE458428:CBP458430 CLA458428:CLL458430 CUW458428:CVH458430 DES458428:DFD458430 DOO458428:DOZ458430 DYK458428:DYV458430 EIG458428:EIR458430 ESC458428:ESN458430 FBY458428:FCJ458430 FLU458428:FMF458430 FVQ458428:FWB458430 GFM458428:GFX458430 GPI458428:GPT458430 GZE458428:GZP458430 HJA458428:HJL458430 HSW458428:HTH458430 ICS458428:IDD458430 IMO458428:IMZ458430 IWK458428:IWV458430 JGG458428:JGR458430 JQC458428:JQN458430 JZY458428:KAJ458430 KJU458428:KKF458430 KTQ458428:KUB458430 LDM458428:LDX458430 LNI458428:LNT458430 LXE458428:LXP458430 MHA458428:MHL458430 MQW458428:MRH458430 NAS458428:NBD458430 NKO458428:NKZ458430 NUK458428:NUV458430 OEG458428:OER458430 OOC458428:OON458430 OXY458428:OYJ458430 PHU458428:PIF458430 PRQ458428:PSB458430 QBM458428:QBX458430 QLI458428:QLT458430 QVE458428:QVP458430 RFA458428:RFL458430 ROW458428:RPH458430 RYS458428:RZD458430 SIO458428:SIZ458430 SSK458428:SSV458430 TCG458428:TCR458430 TMC458428:TMN458430 TVY458428:TWJ458430 UFU458428:UGF458430 UPQ458428:UQB458430 UZM458428:UZX458430 VJI458428:VJT458430 VTE458428:VTP458430 WDA458428:WDL458430 WMW458428:WNH458430 WWS458428:WXD458430 KG523964:KR523966 UC523964:UN523966 ADY523964:AEJ523966 ANU523964:AOF523966 AXQ523964:AYB523966 BHM523964:BHX523966 BRI523964:BRT523966 CBE523964:CBP523966 CLA523964:CLL523966 CUW523964:CVH523966 DES523964:DFD523966 DOO523964:DOZ523966 DYK523964:DYV523966 EIG523964:EIR523966 ESC523964:ESN523966 FBY523964:FCJ523966 FLU523964:FMF523966 FVQ523964:FWB523966 GFM523964:GFX523966 GPI523964:GPT523966 GZE523964:GZP523966 HJA523964:HJL523966 HSW523964:HTH523966 ICS523964:IDD523966 IMO523964:IMZ523966 IWK523964:IWV523966 JGG523964:JGR523966 JQC523964:JQN523966 JZY523964:KAJ523966 KJU523964:KKF523966 KTQ523964:KUB523966 LDM523964:LDX523966 LNI523964:LNT523966 LXE523964:LXP523966 MHA523964:MHL523966 MQW523964:MRH523966 NAS523964:NBD523966 NKO523964:NKZ523966 NUK523964:NUV523966 OEG523964:OER523966 OOC523964:OON523966 OXY523964:OYJ523966 PHU523964:PIF523966 PRQ523964:PSB523966 QBM523964:QBX523966 QLI523964:QLT523966 QVE523964:QVP523966 RFA523964:RFL523966 ROW523964:RPH523966 RYS523964:RZD523966 SIO523964:SIZ523966 SSK523964:SSV523966 TCG523964:TCR523966 TMC523964:TMN523966 TVY523964:TWJ523966 UFU523964:UGF523966 UPQ523964:UQB523966 UZM523964:UZX523966 VJI523964:VJT523966 VTE523964:VTP523966 WDA523964:WDL523966 WMW523964:WNH523966 WWS523964:WXD523966 KG589500:KR589502 UC589500:UN589502 ADY589500:AEJ589502 ANU589500:AOF589502 AXQ589500:AYB589502 BHM589500:BHX589502 BRI589500:BRT589502 CBE589500:CBP589502 CLA589500:CLL589502 CUW589500:CVH589502 DES589500:DFD589502 DOO589500:DOZ589502 DYK589500:DYV589502 EIG589500:EIR589502 ESC589500:ESN589502 FBY589500:FCJ589502 FLU589500:FMF589502 FVQ589500:FWB589502 GFM589500:GFX589502 GPI589500:GPT589502 GZE589500:GZP589502 HJA589500:HJL589502 HSW589500:HTH589502 ICS589500:IDD589502 IMO589500:IMZ589502 IWK589500:IWV589502 JGG589500:JGR589502 JQC589500:JQN589502 JZY589500:KAJ589502 KJU589500:KKF589502 KTQ589500:KUB589502 LDM589500:LDX589502 LNI589500:LNT589502 LXE589500:LXP589502 MHA589500:MHL589502 MQW589500:MRH589502 NAS589500:NBD589502 NKO589500:NKZ589502 NUK589500:NUV589502 OEG589500:OER589502 OOC589500:OON589502 OXY589500:OYJ589502 PHU589500:PIF589502 PRQ589500:PSB589502 QBM589500:QBX589502 QLI589500:QLT589502 QVE589500:QVP589502 RFA589500:RFL589502 ROW589500:RPH589502 RYS589500:RZD589502 SIO589500:SIZ589502 SSK589500:SSV589502 TCG589500:TCR589502 TMC589500:TMN589502 TVY589500:TWJ589502 UFU589500:UGF589502 UPQ589500:UQB589502 UZM589500:UZX589502 VJI589500:VJT589502 VTE589500:VTP589502 WDA589500:WDL589502 WMW589500:WNH589502 WWS589500:WXD589502 KG655036:KR655038 UC655036:UN655038 ADY655036:AEJ655038 ANU655036:AOF655038 AXQ655036:AYB655038 BHM655036:BHX655038 BRI655036:BRT655038 CBE655036:CBP655038 CLA655036:CLL655038 CUW655036:CVH655038 DES655036:DFD655038 DOO655036:DOZ655038 DYK655036:DYV655038 EIG655036:EIR655038 ESC655036:ESN655038 FBY655036:FCJ655038 FLU655036:FMF655038 FVQ655036:FWB655038 GFM655036:GFX655038 GPI655036:GPT655038 GZE655036:GZP655038 HJA655036:HJL655038 HSW655036:HTH655038 ICS655036:IDD655038 IMO655036:IMZ655038 IWK655036:IWV655038 JGG655036:JGR655038 JQC655036:JQN655038 JZY655036:KAJ655038 KJU655036:KKF655038 KTQ655036:KUB655038 LDM655036:LDX655038 LNI655036:LNT655038 LXE655036:LXP655038 MHA655036:MHL655038 MQW655036:MRH655038 NAS655036:NBD655038 NKO655036:NKZ655038 NUK655036:NUV655038 OEG655036:OER655038 OOC655036:OON655038 OXY655036:OYJ655038 PHU655036:PIF655038 PRQ655036:PSB655038 QBM655036:QBX655038 QLI655036:QLT655038 QVE655036:QVP655038 RFA655036:RFL655038 ROW655036:RPH655038 RYS655036:RZD655038 SIO655036:SIZ655038 SSK655036:SSV655038 TCG655036:TCR655038 TMC655036:TMN655038 TVY655036:TWJ655038 UFU655036:UGF655038 UPQ655036:UQB655038 UZM655036:UZX655038 VJI655036:VJT655038 VTE655036:VTP655038 WDA655036:WDL655038 WMW655036:WNH655038 WWS655036:WXD655038 KG720572:KR720574 UC720572:UN720574 ADY720572:AEJ720574 ANU720572:AOF720574 AXQ720572:AYB720574 BHM720572:BHX720574 BRI720572:BRT720574 CBE720572:CBP720574 CLA720572:CLL720574 CUW720572:CVH720574 DES720572:DFD720574 DOO720572:DOZ720574 DYK720572:DYV720574 EIG720572:EIR720574 ESC720572:ESN720574 FBY720572:FCJ720574 FLU720572:FMF720574 FVQ720572:FWB720574 GFM720572:GFX720574 GPI720572:GPT720574 GZE720572:GZP720574 HJA720572:HJL720574 HSW720572:HTH720574 ICS720572:IDD720574 IMO720572:IMZ720574 IWK720572:IWV720574 JGG720572:JGR720574 JQC720572:JQN720574 JZY720572:KAJ720574 KJU720572:KKF720574 KTQ720572:KUB720574 LDM720572:LDX720574 LNI720572:LNT720574 LXE720572:LXP720574 MHA720572:MHL720574 MQW720572:MRH720574 NAS720572:NBD720574 NKO720572:NKZ720574 NUK720572:NUV720574 OEG720572:OER720574 OOC720572:OON720574 OXY720572:OYJ720574 PHU720572:PIF720574 PRQ720572:PSB720574 QBM720572:QBX720574 QLI720572:QLT720574 QVE720572:QVP720574 RFA720572:RFL720574 ROW720572:RPH720574 RYS720572:RZD720574 SIO720572:SIZ720574 SSK720572:SSV720574 TCG720572:TCR720574 TMC720572:TMN720574 TVY720572:TWJ720574 UFU720572:UGF720574 UPQ720572:UQB720574 UZM720572:UZX720574 VJI720572:VJT720574 VTE720572:VTP720574 WDA720572:WDL720574 WMW720572:WNH720574 WWS720572:WXD720574 KG786108:KR786110 UC786108:UN786110 ADY786108:AEJ786110 ANU786108:AOF786110 AXQ786108:AYB786110 BHM786108:BHX786110 BRI786108:BRT786110 CBE786108:CBP786110 CLA786108:CLL786110 CUW786108:CVH786110 DES786108:DFD786110 DOO786108:DOZ786110 DYK786108:DYV786110 EIG786108:EIR786110 ESC786108:ESN786110 FBY786108:FCJ786110 FLU786108:FMF786110 FVQ786108:FWB786110 GFM786108:GFX786110 GPI786108:GPT786110 GZE786108:GZP786110 HJA786108:HJL786110 HSW786108:HTH786110 ICS786108:IDD786110 IMO786108:IMZ786110 IWK786108:IWV786110 JGG786108:JGR786110 JQC786108:JQN786110 JZY786108:KAJ786110 KJU786108:KKF786110 KTQ786108:KUB786110 LDM786108:LDX786110 LNI786108:LNT786110 LXE786108:LXP786110 MHA786108:MHL786110 MQW786108:MRH786110 NAS786108:NBD786110 NKO786108:NKZ786110 NUK786108:NUV786110 OEG786108:OER786110 OOC786108:OON786110 OXY786108:OYJ786110 PHU786108:PIF786110 PRQ786108:PSB786110 QBM786108:QBX786110 QLI786108:QLT786110 QVE786108:QVP786110 RFA786108:RFL786110 ROW786108:RPH786110 RYS786108:RZD786110 SIO786108:SIZ786110 SSK786108:SSV786110 TCG786108:TCR786110 TMC786108:TMN786110 TVY786108:TWJ786110 UFU786108:UGF786110 UPQ786108:UQB786110 UZM786108:UZX786110 VJI786108:VJT786110 VTE786108:VTP786110 WDA786108:WDL786110 WMW786108:WNH786110 WWS786108:WXD786110 KG851644:KR851646 UC851644:UN851646 ADY851644:AEJ851646 ANU851644:AOF851646 AXQ851644:AYB851646 BHM851644:BHX851646 BRI851644:BRT851646 CBE851644:CBP851646 CLA851644:CLL851646 CUW851644:CVH851646 DES851644:DFD851646 DOO851644:DOZ851646 DYK851644:DYV851646 EIG851644:EIR851646 ESC851644:ESN851646 FBY851644:FCJ851646 FLU851644:FMF851646 FVQ851644:FWB851646 GFM851644:GFX851646 GPI851644:GPT851646 GZE851644:GZP851646 HJA851644:HJL851646 HSW851644:HTH851646 ICS851644:IDD851646 IMO851644:IMZ851646 IWK851644:IWV851646 JGG851644:JGR851646 JQC851644:JQN851646 JZY851644:KAJ851646 KJU851644:KKF851646 KTQ851644:KUB851646 LDM851644:LDX851646 LNI851644:LNT851646 LXE851644:LXP851646 MHA851644:MHL851646 MQW851644:MRH851646 NAS851644:NBD851646 NKO851644:NKZ851646 NUK851644:NUV851646 OEG851644:OER851646 OOC851644:OON851646 OXY851644:OYJ851646 PHU851644:PIF851646 PRQ851644:PSB851646 QBM851644:QBX851646 QLI851644:QLT851646 QVE851644:QVP851646 RFA851644:RFL851646 ROW851644:RPH851646 RYS851644:RZD851646 SIO851644:SIZ851646 SSK851644:SSV851646 TCG851644:TCR851646 TMC851644:TMN851646 TVY851644:TWJ851646 UFU851644:UGF851646 UPQ851644:UQB851646 UZM851644:UZX851646 VJI851644:VJT851646 VTE851644:VTP851646 WDA851644:WDL851646 WMW851644:WNH851646 WWS851644:WXD851646 KG917180:KR917182 UC917180:UN917182 ADY917180:AEJ917182 ANU917180:AOF917182 AXQ917180:AYB917182 BHM917180:BHX917182 BRI917180:BRT917182 CBE917180:CBP917182 CLA917180:CLL917182 CUW917180:CVH917182 DES917180:DFD917182 DOO917180:DOZ917182 DYK917180:DYV917182 EIG917180:EIR917182 ESC917180:ESN917182 FBY917180:FCJ917182 FLU917180:FMF917182 FVQ917180:FWB917182 GFM917180:GFX917182 GPI917180:GPT917182 GZE917180:GZP917182 HJA917180:HJL917182 HSW917180:HTH917182 ICS917180:IDD917182 IMO917180:IMZ917182 IWK917180:IWV917182 JGG917180:JGR917182 JQC917180:JQN917182 JZY917180:KAJ917182 KJU917180:KKF917182 KTQ917180:KUB917182 LDM917180:LDX917182 LNI917180:LNT917182 LXE917180:LXP917182 MHA917180:MHL917182 MQW917180:MRH917182 NAS917180:NBD917182 NKO917180:NKZ917182 NUK917180:NUV917182 OEG917180:OER917182 OOC917180:OON917182 OXY917180:OYJ917182 PHU917180:PIF917182 PRQ917180:PSB917182 QBM917180:QBX917182 QLI917180:QLT917182 QVE917180:QVP917182 RFA917180:RFL917182 ROW917180:RPH917182 RYS917180:RZD917182 SIO917180:SIZ917182 SSK917180:SSV917182 TCG917180:TCR917182 TMC917180:TMN917182 TVY917180:TWJ917182 UFU917180:UGF917182 UPQ917180:UQB917182 UZM917180:UZX917182 VJI917180:VJT917182 VTE917180:VTP917182 WDA917180:WDL917182 WMW917180:WNH917182 WWS917180:WXD917182 KG982716:KR982718 UC982716:UN982718 ADY982716:AEJ982718 ANU982716:AOF982718 AXQ982716:AYB982718 BHM982716:BHX982718 BRI982716:BRT982718 CBE982716:CBP982718 CLA982716:CLL982718 CUW982716:CVH982718 DES982716:DFD982718 DOO982716:DOZ982718 DYK982716:DYV982718 EIG982716:EIR982718 ESC982716:ESN982718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W2" xr:uid="{00000000-0002-0000-0100-000000000000}"/>
    <dataValidation type="list" allowBlank="1" showInputMessage="1" showErrorMessage="1" sqref="W7:AC44" xr:uid="{00000000-0002-0000-0100-000001000000}">
      <formula1>"A.受注,B.生産計画,C.生産実績,D.出荷,E.資材,F.請求・入金,G.売上,H.支払,I.原価,J.製品棚卸,K.在庫,L.共通"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verticalDpi="300" r:id="rId1"/>
  <headerFooter alignWithMargins="0">
    <oddFooter>&amp;CD.出荷 テーブル一覧 - &amp;P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6"/>
  <dimension ref="A1:BE82"/>
  <sheetViews>
    <sheetView showGridLines="0" tabSelected="1" zoomScaleNormal="100" zoomScaleSheetLayoutView="100" workbookViewId="0">
      <selection activeCell="B10" sqref="B10"/>
    </sheetView>
  </sheetViews>
  <sheetFormatPr defaultColWidth="2.6328125" defaultRowHeight="15" customHeight="1" x14ac:dyDescent="0.3"/>
  <cols>
    <col min="1" max="1" width="4.6328125" style="17" customWidth="1"/>
    <col min="2" max="26" width="2.6328125" style="17"/>
    <col min="27" max="27" width="2.6328125" style="17" customWidth="1"/>
    <col min="28" max="29" width="2.6328125" style="17"/>
    <col min="30" max="30" width="4.6328125" style="17" customWidth="1"/>
    <col min="31" max="31" width="2.6328125" style="17" customWidth="1"/>
    <col min="32" max="33" width="2.6328125" style="17"/>
    <col min="34" max="34" width="6.6328125" style="17" customWidth="1"/>
    <col min="35" max="16384" width="2.6328125" style="17"/>
  </cols>
  <sheetData>
    <row r="1" spans="1:56" s="16" customFormat="1" ht="15" customHeight="1" x14ac:dyDescent="0.3">
      <c r="A1" s="144" t="s">
        <v>100</v>
      </c>
      <c r="B1" s="145"/>
      <c r="C1" s="145"/>
      <c r="D1" s="145"/>
      <c r="E1" s="145"/>
      <c r="F1" s="145"/>
      <c r="G1" s="145"/>
      <c r="H1" s="146"/>
      <c r="I1" s="103" t="s">
        <v>98</v>
      </c>
      <c r="J1" s="104"/>
      <c r="K1" s="104"/>
      <c r="L1" s="104"/>
      <c r="M1" s="104"/>
      <c r="N1" s="104"/>
      <c r="O1" s="104"/>
      <c r="P1" s="104"/>
      <c r="Q1" s="105"/>
      <c r="R1" s="103" t="s">
        <v>99</v>
      </c>
      <c r="S1" s="104"/>
      <c r="T1" s="104"/>
      <c r="U1" s="104"/>
      <c r="V1" s="104"/>
      <c r="W1" s="104"/>
      <c r="X1" s="105"/>
      <c r="Y1" s="103" t="s">
        <v>0</v>
      </c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5"/>
      <c r="AP1" s="153" t="s">
        <v>1</v>
      </c>
      <c r="AQ1" s="154"/>
      <c r="AR1" s="154"/>
      <c r="AS1" s="154"/>
      <c r="AT1" s="155"/>
      <c r="AU1" s="153" t="s">
        <v>2</v>
      </c>
      <c r="AV1" s="154"/>
      <c r="AW1" s="154"/>
      <c r="AX1" s="154"/>
      <c r="AY1" s="155"/>
      <c r="AZ1" s="153" t="s">
        <v>3</v>
      </c>
      <c r="BA1" s="154"/>
      <c r="BB1" s="154"/>
      <c r="BC1" s="154"/>
      <c r="BD1" s="155"/>
    </row>
    <row r="2" spans="1:56" s="16" customFormat="1" ht="15" customHeight="1" x14ac:dyDescent="0.3">
      <c r="A2" s="147"/>
      <c r="B2" s="148"/>
      <c r="C2" s="148"/>
      <c r="D2" s="148"/>
      <c r="E2" s="148"/>
      <c r="F2" s="148"/>
      <c r="G2" s="148"/>
      <c r="H2" s="149"/>
      <c r="I2" s="127" t="s">
        <v>97</v>
      </c>
      <c r="J2" s="128"/>
      <c r="K2" s="128"/>
      <c r="L2" s="128"/>
      <c r="M2" s="128"/>
      <c r="N2" s="128"/>
      <c r="O2" s="128"/>
      <c r="P2" s="128"/>
      <c r="Q2" s="129"/>
      <c r="R2" s="127" t="str">
        <f ca="1">VLOOKUP(RIGHT(CELL("filename",A2),LEN(CELL("filename",A2))-FIND("]",CELL("filename",A2))),テーブル一覧!B:AD,22,FALSE)</f>
        <v>D.出荷</v>
      </c>
      <c r="S2" s="128"/>
      <c r="T2" s="128"/>
      <c r="U2" s="128"/>
      <c r="V2" s="128"/>
      <c r="W2" s="128"/>
      <c r="X2" s="129"/>
      <c r="Y2" s="127" t="str">
        <f ca="1">VLOOKUP(RIGHT(CELL("filename",A2),LEN(CELL("filename",A2))-FIND("]",CELL("filename",A2))),テーブル一覧!B:AD,1,FALSE)</f>
        <v>出荷指示情報</v>
      </c>
      <c r="Z2" s="128"/>
      <c r="AA2" s="128"/>
      <c r="AB2" s="128"/>
      <c r="AC2" s="128"/>
      <c r="AD2" s="128"/>
      <c r="AE2" s="128"/>
      <c r="AF2" s="128"/>
      <c r="AG2" s="128"/>
      <c r="AH2" s="128"/>
      <c r="AI2" s="128"/>
      <c r="AJ2" s="128"/>
      <c r="AK2" s="128"/>
      <c r="AL2" s="128"/>
      <c r="AM2" s="128"/>
      <c r="AN2" s="128"/>
      <c r="AO2" s="129"/>
      <c r="AP2" s="97"/>
      <c r="AQ2" s="98"/>
      <c r="AR2" s="98"/>
      <c r="AS2" s="98"/>
      <c r="AT2" s="99"/>
      <c r="AU2" s="60" t="s">
        <v>188</v>
      </c>
      <c r="AV2" s="61"/>
      <c r="AW2" s="61"/>
      <c r="AX2" s="61"/>
      <c r="AY2" s="62"/>
      <c r="AZ2" s="181" t="s">
        <v>15</v>
      </c>
      <c r="BA2" s="182"/>
      <c r="BB2" s="182"/>
      <c r="BC2" s="182"/>
      <c r="BD2" s="183"/>
    </row>
    <row r="3" spans="1:56" s="16" customFormat="1" ht="15" customHeight="1" x14ac:dyDescent="0.3">
      <c r="A3" s="147"/>
      <c r="B3" s="148"/>
      <c r="C3" s="148"/>
      <c r="D3" s="148"/>
      <c r="E3" s="148"/>
      <c r="F3" s="148"/>
      <c r="G3" s="148"/>
      <c r="H3" s="149"/>
      <c r="I3" s="130"/>
      <c r="J3" s="131"/>
      <c r="K3" s="131"/>
      <c r="L3" s="131"/>
      <c r="M3" s="131"/>
      <c r="N3" s="131"/>
      <c r="O3" s="131"/>
      <c r="P3" s="131"/>
      <c r="Q3" s="132"/>
      <c r="R3" s="130"/>
      <c r="S3" s="131"/>
      <c r="T3" s="131"/>
      <c r="U3" s="131"/>
      <c r="V3" s="131"/>
      <c r="W3" s="131"/>
      <c r="X3" s="132"/>
      <c r="Y3" s="133"/>
      <c r="Z3" s="134"/>
      <c r="AA3" s="134"/>
      <c r="AB3" s="134"/>
      <c r="AC3" s="134"/>
      <c r="AD3" s="134"/>
      <c r="AE3" s="134"/>
      <c r="AF3" s="134"/>
      <c r="AG3" s="134"/>
      <c r="AH3" s="134"/>
      <c r="AI3" s="134"/>
      <c r="AJ3" s="134"/>
      <c r="AK3" s="134"/>
      <c r="AL3" s="134"/>
      <c r="AM3" s="134"/>
      <c r="AN3" s="134"/>
      <c r="AO3" s="135"/>
      <c r="AP3" s="100"/>
      <c r="AQ3" s="101"/>
      <c r="AR3" s="101"/>
      <c r="AS3" s="101"/>
      <c r="AT3" s="102"/>
      <c r="AU3" s="178"/>
      <c r="AV3" s="179"/>
      <c r="AW3" s="179"/>
      <c r="AX3" s="179"/>
      <c r="AY3" s="180"/>
      <c r="AZ3" s="181"/>
      <c r="BA3" s="182"/>
      <c r="BB3" s="182"/>
      <c r="BC3" s="182"/>
      <c r="BD3" s="183"/>
    </row>
    <row r="4" spans="1:56" s="16" customFormat="1" ht="15" customHeight="1" x14ac:dyDescent="0.3">
      <c r="A4" s="150"/>
      <c r="B4" s="151"/>
      <c r="C4" s="151"/>
      <c r="D4" s="151"/>
      <c r="E4" s="151"/>
      <c r="F4" s="151"/>
      <c r="G4" s="151"/>
      <c r="H4" s="152"/>
      <c r="I4" s="133"/>
      <c r="J4" s="134"/>
      <c r="K4" s="134"/>
      <c r="L4" s="134"/>
      <c r="M4" s="134"/>
      <c r="N4" s="134"/>
      <c r="O4" s="134"/>
      <c r="P4" s="134"/>
      <c r="Q4" s="135"/>
      <c r="R4" s="133"/>
      <c r="S4" s="134"/>
      <c r="T4" s="134"/>
      <c r="U4" s="134"/>
      <c r="V4" s="134"/>
      <c r="W4" s="134"/>
      <c r="X4" s="135"/>
      <c r="Y4" s="175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t_shukkashiji_h</v>
      </c>
      <c r="Z4" s="176"/>
      <c r="AA4" s="176"/>
      <c r="AB4" s="176"/>
      <c r="AC4" s="176"/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  <c r="AO4" s="177"/>
      <c r="AP4" s="100"/>
      <c r="AQ4" s="101"/>
      <c r="AR4" s="101"/>
      <c r="AS4" s="101"/>
      <c r="AT4" s="102"/>
      <c r="AU4" s="178"/>
      <c r="AV4" s="179"/>
      <c r="AW4" s="179"/>
      <c r="AX4" s="179"/>
      <c r="AY4" s="180"/>
      <c r="AZ4" s="181"/>
      <c r="BA4" s="182"/>
      <c r="BB4" s="182"/>
      <c r="BC4" s="182"/>
      <c r="BD4" s="183"/>
    </row>
    <row r="6" spans="1:56" ht="15" customHeight="1" x14ac:dyDescent="0.3">
      <c r="A6" s="156" t="s">
        <v>101</v>
      </c>
      <c r="B6" s="158" t="s">
        <v>4</v>
      </c>
      <c r="C6" s="159"/>
      <c r="D6" s="159"/>
      <c r="E6" s="159"/>
      <c r="F6" s="159"/>
      <c r="G6" s="159"/>
      <c r="H6" s="160"/>
      <c r="I6" s="158" t="s">
        <v>5</v>
      </c>
      <c r="J6" s="159"/>
      <c r="K6" s="159"/>
      <c r="L6" s="159"/>
      <c r="M6" s="159"/>
      <c r="N6" s="159"/>
      <c r="O6" s="159"/>
      <c r="P6" s="159"/>
      <c r="Q6" s="160"/>
      <c r="R6" s="158" t="s">
        <v>145</v>
      </c>
      <c r="S6" s="159"/>
      <c r="T6" s="159"/>
      <c r="U6" s="159"/>
      <c r="V6" s="159"/>
      <c r="W6" s="159"/>
      <c r="X6" s="160"/>
      <c r="Y6" s="158" t="s">
        <v>6</v>
      </c>
      <c r="Z6" s="160"/>
      <c r="AA6" s="158" t="s">
        <v>7</v>
      </c>
      <c r="AB6" s="159"/>
      <c r="AC6" s="160"/>
      <c r="AD6" s="164" t="s">
        <v>8</v>
      </c>
      <c r="AE6" s="185" t="s">
        <v>9</v>
      </c>
      <c r="AF6" s="164" t="s">
        <v>10</v>
      </c>
      <c r="AG6" s="164" t="s">
        <v>11</v>
      </c>
      <c r="AH6" s="164" t="s">
        <v>12</v>
      </c>
      <c r="AI6" s="166" t="s">
        <v>13</v>
      </c>
      <c r="AJ6" s="167"/>
      <c r="AK6" s="167"/>
      <c r="AL6" s="167"/>
      <c r="AM6" s="167"/>
      <c r="AN6" s="167"/>
      <c r="AO6" s="167"/>
      <c r="AP6" s="167"/>
      <c r="AQ6" s="167"/>
      <c r="AR6" s="168"/>
      <c r="AS6" s="169" t="s">
        <v>14</v>
      </c>
      <c r="AT6" s="170"/>
      <c r="AU6" s="170"/>
      <c r="AV6" s="170"/>
      <c r="AW6" s="170"/>
      <c r="AX6" s="170"/>
      <c r="AY6" s="170"/>
      <c r="AZ6" s="170"/>
      <c r="BA6" s="170"/>
      <c r="BB6" s="170"/>
      <c r="BC6" s="170"/>
      <c r="BD6" s="171"/>
    </row>
    <row r="7" spans="1:56" ht="15" customHeight="1" x14ac:dyDescent="0.3">
      <c r="A7" s="157"/>
      <c r="B7" s="161"/>
      <c r="C7" s="162"/>
      <c r="D7" s="162"/>
      <c r="E7" s="162"/>
      <c r="F7" s="162"/>
      <c r="G7" s="162"/>
      <c r="H7" s="163"/>
      <c r="I7" s="161"/>
      <c r="J7" s="162"/>
      <c r="K7" s="162"/>
      <c r="L7" s="162"/>
      <c r="M7" s="162"/>
      <c r="N7" s="162"/>
      <c r="O7" s="162"/>
      <c r="P7" s="162"/>
      <c r="Q7" s="163"/>
      <c r="R7" s="161"/>
      <c r="S7" s="162"/>
      <c r="T7" s="162"/>
      <c r="U7" s="162"/>
      <c r="V7" s="162"/>
      <c r="W7" s="162"/>
      <c r="X7" s="163"/>
      <c r="Y7" s="161"/>
      <c r="Z7" s="163"/>
      <c r="AA7" s="161"/>
      <c r="AB7" s="162"/>
      <c r="AC7" s="163"/>
      <c r="AD7" s="165"/>
      <c r="AE7" s="186"/>
      <c r="AF7" s="165"/>
      <c r="AG7" s="165"/>
      <c r="AH7" s="165"/>
      <c r="AI7" s="56">
        <v>1</v>
      </c>
      <c r="AJ7" s="56">
        <v>2</v>
      </c>
      <c r="AK7" s="56">
        <v>3</v>
      </c>
      <c r="AL7" s="56">
        <v>4</v>
      </c>
      <c r="AM7" s="56">
        <v>5</v>
      </c>
      <c r="AN7" s="56">
        <v>6</v>
      </c>
      <c r="AO7" s="56">
        <v>7</v>
      </c>
      <c r="AP7" s="56">
        <v>8</v>
      </c>
      <c r="AQ7" s="56">
        <v>9</v>
      </c>
      <c r="AR7" s="56">
        <v>10</v>
      </c>
      <c r="AS7" s="172"/>
      <c r="AT7" s="173"/>
      <c r="AU7" s="173"/>
      <c r="AV7" s="173"/>
      <c r="AW7" s="173"/>
      <c r="AX7" s="173"/>
      <c r="AY7" s="173"/>
      <c r="AZ7" s="173"/>
      <c r="BA7" s="173"/>
      <c r="BB7" s="173"/>
      <c r="BC7" s="173"/>
      <c r="BD7" s="174"/>
    </row>
    <row r="8" spans="1:56" ht="15" customHeight="1" x14ac:dyDescent="0.3">
      <c r="A8" s="54">
        <f>IF(B8="","",COUNTA($B$8:B8))</f>
        <v>1</v>
      </c>
      <c r="B8" s="18" t="s">
        <v>150</v>
      </c>
      <c r="C8" s="19"/>
      <c r="D8" s="19"/>
      <c r="E8" s="19"/>
      <c r="F8" s="19"/>
      <c r="G8" s="19"/>
      <c r="H8" s="19"/>
      <c r="I8" s="31" t="str">
        <f>VLOOKUP(B8,Sheet1!A:B,2,FALSE)</f>
        <v>shukka_shiji_no</v>
      </c>
      <c r="J8" s="21"/>
      <c r="K8" s="21"/>
      <c r="L8" s="21"/>
      <c r="M8" s="21"/>
      <c r="N8" s="21"/>
      <c r="O8" s="21"/>
      <c r="P8" s="21"/>
      <c r="Q8" s="21"/>
      <c r="R8" s="18" t="s">
        <v>198</v>
      </c>
      <c r="S8" s="19"/>
      <c r="T8" s="19"/>
      <c r="U8" s="19"/>
      <c r="V8" s="19"/>
      <c r="W8" s="19"/>
      <c r="X8" s="19"/>
      <c r="Y8" s="139" t="s">
        <v>111</v>
      </c>
      <c r="Z8" s="140"/>
      <c r="AA8" s="141" t="s">
        <v>107</v>
      </c>
      <c r="AB8" s="142"/>
      <c r="AC8" s="143"/>
      <c r="AD8" s="25">
        <v>10</v>
      </c>
      <c r="AE8" s="26"/>
      <c r="AF8" s="26" t="s">
        <v>119</v>
      </c>
      <c r="AG8" s="26" t="s">
        <v>85</v>
      </c>
      <c r="AH8" s="26"/>
      <c r="AI8" s="26"/>
      <c r="AJ8" s="26"/>
      <c r="AK8" s="26"/>
      <c r="AL8" s="26"/>
      <c r="AM8" s="26"/>
      <c r="AN8" s="26"/>
      <c r="AO8" s="27"/>
      <c r="AP8" s="27"/>
      <c r="AQ8" s="27"/>
      <c r="AR8" s="27"/>
      <c r="AS8" s="42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68"/>
    </row>
    <row r="9" spans="1:56" ht="15" customHeight="1" x14ac:dyDescent="0.3">
      <c r="A9" s="54">
        <f>IF(B9="","",COUNTA($B$8:B9))</f>
        <v>2</v>
      </c>
      <c r="B9" s="42" t="s">
        <v>217</v>
      </c>
      <c r="C9" s="41"/>
      <c r="D9" s="41"/>
      <c r="E9" s="41"/>
      <c r="F9" s="41"/>
      <c r="G9" s="41"/>
      <c r="H9" s="41"/>
      <c r="I9" s="31" t="str">
        <f>VLOOKUP(B9,Sheet1!A:B,2,FALSE)</f>
        <v>shukka_shiji_edaban</v>
      </c>
      <c r="J9" s="32"/>
      <c r="K9" s="32"/>
      <c r="L9" s="32"/>
      <c r="M9" s="32"/>
      <c r="N9" s="32"/>
      <c r="O9" s="32"/>
      <c r="P9" s="32"/>
      <c r="Q9" s="32"/>
      <c r="R9" s="42" t="s">
        <v>218</v>
      </c>
      <c r="S9" s="41"/>
      <c r="T9" s="41"/>
      <c r="U9" s="41"/>
      <c r="V9" s="41"/>
      <c r="W9" s="41"/>
      <c r="X9" s="41"/>
      <c r="Y9" s="139" t="s">
        <v>108</v>
      </c>
      <c r="Z9" s="140"/>
      <c r="AA9" s="141" t="s">
        <v>110</v>
      </c>
      <c r="AB9" s="142"/>
      <c r="AC9" s="143"/>
      <c r="AD9" s="72">
        <v>3</v>
      </c>
      <c r="AE9" s="27"/>
      <c r="AF9" s="27">
        <v>2</v>
      </c>
      <c r="AG9" s="27" t="s">
        <v>215</v>
      </c>
      <c r="AH9" s="27"/>
      <c r="AI9" s="27">
        <v>1</v>
      </c>
      <c r="AJ9" s="27"/>
      <c r="AK9" s="27"/>
      <c r="AL9" s="27"/>
      <c r="AM9" s="27"/>
      <c r="AN9" s="27"/>
      <c r="AO9" s="27"/>
      <c r="AP9" s="27"/>
      <c r="AQ9" s="27"/>
      <c r="AR9" s="27"/>
      <c r="AS9" s="42" t="s">
        <v>216</v>
      </c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68"/>
    </row>
    <row r="10" spans="1:56" ht="15" customHeight="1" x14ac:dyDescent="0.3">
      <c r="A10" s="54">
        <f>IF(B10="","",COUNTA($B$8:B10))</f>
        <v>3</v>
      </c>
      <c r="B10" s="42" t="s">
        <v>120</v>
      </c>
      <c r="C10" s="41"/>
      <c r="D10" s="41"/>
      <c r="E10" s="41"/>
      <c r="F10" s="41"/>
      <c r="G10" s="41"/>
      <c r="H10" s="41"/>
      <c r="I10" s="31" t="str">
        <f>VLOOKUP(B10,Sheet1!A:B,2,FALSE)</f>
        <v>kokunai_kaigai_kbn</v>
      </c>
      <c r="J10" s="32"/>
      <c r="K10" s="32"/>
      <c r="L10" s="32"/>
      <c r="M10" s="32"/>
      <c r="N10" s="32"/>
      <c r="O10" s="32"/>
      <c r="P10" s="32"/>
      <c r="Q10" s="32"/>
      <c r="R10" s="42" t="s">
        <v>120</v>
      </c>
      <c r="S10" s="41"/>
      <c r="T10" s="41"/>
      <c r="U10" s="41"/>
      <c r="V10" s="41"/>
      <c r="W10" s="41"/>
      <c r="X10" s="41"/>
      <c r="Y10" s="139" t="s">
        <v>111</v>
      </c>
      <c r="Z10" s="140"/>
      <c r="AA10" s="141" t="s">
        <v>107</v>
      </c>
      <c r="AB10" s="142"/>
      <c r="AC10" s="143"/>
      <c r="AD10" s="72">
        <v>1</v>
      </c>
      <c r="AE10" s="27"/>
      <c r="AF10" s="27"/>
      <c r="AG10" s="27"/>
      <c r="AH10" s="27"/>
      <c r="AI10" s="27">
        <v>1</v>
      </c>
      <c r="AJ10" s="27"/>
      <c r="AK10" s="27"/>
      <c r="AL10" s="27"/>
      <c r="AM10" s="27"/>
      <c r="AN10" s="27"/>
      <c r="AO10" s="27"/>
      <c r="AP10" s="27"/>
      <c r="AQ10" s="27"/>
      <c r="AR10" s="27"/>
      <c r="AS10" s="199" t="s">
        <v>1569</v>
      </c>
      <c r="AT10" s="200"/>
      <c r="AU10" s="200"/>
      <c r="AV10" s="200"/>
      <c r="AW10" s="200"/>
      <c r="AX10" s="200"/>
      <c r="AY10" s="43"/>
      <c r="AZ10" s="43"/>
      <c r="BA10" s="43"/>
      <c r="BB10" s="43"/>
      <c r="BC10" s="43"/>
      <c r="BD10" s="68"/>
    </row>
    <row r="11" spans="1:56" ht="15" customHeight="1" x14ac:dyDescent="0.3">
      <c r="A11" s="54">
        <f>IF(B11="","",COUNTA($B$8:B11))</f>
        <v>4</v>
      </c>
      <c r="B11" s="188" t="s">
        <v>1563</v>
      </c>
      <c r="C11" s="189"/>
      <c r="D11" s="189"/>
      <c r="E11" s="189"/>
      <c r="F11" s="189"/>
      <c r="G11" s="189"/>
      <c r="H11" s="189"/>
      <c r="I11" s="190" t="str">
        <f>VLOOKUP(B11,Sheet1!A:B,2,FALSE)</f>
        <v>shukka_ido_kbn</v>
      </c>
      <c r="J11" s="191"/>
      <c r="K11" s="191"/>
      <c r="L11" s="191"/>
      <c r="M11" s="191"/>
      <c r="N11" s="191"/>
      <c r="O11" s="191"/>
      <c r="P11" s="191"/>
      <c r="Q11" s="191"/>
      <c r="R11" s="188" t="s">
        <v>1567</v>
      </c>
      <c r="S11" s="189"/>
      <c r="T11" s="189"/>
      <c r="U11" s="189"/>
      <c r="V11" s="189"/>
      <c r="W11" s="189"/>
      <c r="X11" s="189"/>
      <c r="Y11" s="192" t="s">
        <v>111</v>
      </c>
      <c r="Z11" s="193"/>
      <c r="AA11" s="194" t="s">
        <v>107</v>
      </c>
      <c r="AB11" s="195"/>
      <c r="AC11" s="196"/>
      <c r="AD11" s="197">
        <v>1</v>
      </c>
      <c r="AE11" s="198"/>
      <c r="AF11" s="198"/>
      <c r="AG11" s="198"/>
      <c r="AH11" s="198"/>
      <c r="AI11" s="198"/>
      <c r="AJ11" s="198"/>
      <c r="AK11" s="198"/>
      <c r="AL11" s="198"/>
      <c r="AM11" s="198"/>
      <c r="AN11" s="198"/>
      <c r="AO11" s="198"/>
      <c r="AP11" s="198"/>
      <c r="AQ11" s="198"/>
      <c r="AR11" s="198"/>
      <c r="AS11" s="199" t="s">
        <v>1568</v>
      </c>
      <c r="AT11" s="200"/>
      <c r="AU11" s="200"/>
      <c r="AV11" s="200"/>
      <c r="AW11" s="200"/>
      <c r="AX11" s="200"/>
      <c r="AY11" s="200"/>
      <c r="AZ11" s="200"/>
      <c r="BA11" s="200"/>
      <c r="BB11" s="200"/>
      <c r="BC11" s="200"/>
      <c r="BD11" s="201"/>
    </row>
    <row r="12" spans="1:56" ht="15" customHeight="1" x14ac:dyDescent="0.3">
      <c r="A12" s="54">
        <f>IF(B12="","",COUNTA($B$8:B12))</f>
        <v>5</v>
      </c>
      <c r="B12" s="42" t="s">
        <v>151</v>
      </c>
      <c r="C12" s="41"/>
      <c r="D12" s="41"/>
      <c r="E12" s="41"/>
      <c r="F12" s="41"/>
      <c r="G12" s="41"/>
      <c r="H12" s="41"/>
      <c r="I12" s="31" t="str">
        <f>VLOOKUP(B12,Sheet1!A:B,2,FALSE)</f>
        <v>shukka_date</v>
      </c>
      <c r="J12" s="32"/>
      <c r="K12" s="32"/>
      <c r="L12" s="32"/>
      <c r="M12" s="32"/>
      <c r="N12" s="32"/>
      <c r="O12" s="32"/>
      <c r="P12" s="32"/>
      <c r="Q12" s="32"/>
      <c r="R12" s="42" t="s">
        <v>151</v>
      </c>
      <c r="S12" s="41"/>
      <c r="T12" s="41"/>
      <c r="U12" s="41"/>
      <c r="V12" s="41"/>
      <c r="W12" s="41"/>
      <c r="X12" s="41"/>
      <c r="Y12" s="139" t="s">
        <v>87</v>
      </c>
      <c r="Z12" s="140"/>
      <c r="AA12" s="141" t="s">
        <v>109</v>
      </c>
      <c r="AB12" s="142"/>
      <c r="AC12" s="143"/>
      <c r="AD12" s="72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42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68"/>
    </row>
    <row r="13" spans="1:56" ht="15" customHeight="1" x14ac:dyDescent="0.3">
      <c r="A13" s="54">
        <f>IF(B13="","",COUNTA($B$8:B13))</f>
        <v>6</v>
      </c>
      <c r="B13" s="42" t="s">
        <v>152</v>
      </c>
      <c r="C13" s="44"/>
      <c r="D13" s="44"/>
      <c r="E13" s="44"/>
      <c r="F13" s="44"/>
      <c r="G13" s="44"/>
      <c r="H13" s="44"/>
      <c r="I13" s="31" t="str">
        <f>VLOOKUP(B13,Sheet1!A:B,2,FALSE)</f>
        <v>nonyu_date</v>
      </c>
      <c r="J13" s="32"/>
      <c r="K13" s="32"/>
      <c r="L13" s="32"/>
      <c r="M13" s="32"/>
      <c r="N13" s="32"/>
      <c r="O13" s="32"/>
      <c r="P13" s="32"/>
      <c r="Q13" s="32"/>
      <c r="R13" s="42" t="s">
        <v>152</v>
      </c>
      <c r="S13" s="44"/>
      <c r="T13" s="44"/>
      <c r="U13" s="44"/>
      <c r="V13" s="44"/>
      <c r="W13" s="44"/>
      <c r="X13" s="44"/>
      <c r="Y13" s="139" t="s">
        <v>87</v>
      </c>
      <c r="Z13" s="140"/>
      <c r="AA13" s="141" t="s">
        <v>109</v>
      </c>
      <c r="AB13" s="142"/>
      <c r="AC13" s="143"/>
      <c r="AD13" s="45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42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68"/>
    </row>
    <row r="14" spans="1:56" ht="15" customHeight="1" x14ac:dyDescent="0.3">
      <c r="A14" s="54">
        <f>IF(B14="","",COUNTA($B$8:B14))</f>
        <v>7</v>
      </c>
      <c r="B14" s="42" t="s">
        <v>122</v>
      </c>
      <c r="C14" s="41"/>
      <c r="D14" s="41"/>
      <c r="E14" s="41"/>
      <c r="F14" s="41"/>
      <c r="G14" s="41"/>
      <c r="H14" s="41"/>
      <c r="I14" s="31" t="str">
        <f>VLOOKUP(B14,Sheet1!A:B,2,FALSE)</f>
        <v>tokuisaki_cd</v>
      </c>
      <c r="J14" s="32"/>
      <c r="K14" s="32"/>
      <c r="L14" s="32"/>
      <c r="M14" s="32"/>
      <c r="N14" s="32"/>
      <c r="O14" s="32"/>
      <c r="P14" s="32"/>
      <c r="Q14" s="32"/>
      <c r="R14" s="42" t="s">
        <v>122</v>
      </c>
      <c r="S14" s="41"/>
      <c r="T14" s="41"/>
      <c r="U14" s="41"/>
      <c r="V14" s="41"/>
      <c r="W14" s="41"/>
      <c r="X14" s="41"/>
      <c r="Y14" s="139" t="s">
        <v>111</v>
      </c>
      <c r="Z14" s="140"/>
      <c r="AA14" s="141" t="s">
        <v>107</v>
      </c>
      <c r="AB14" s="142"/>
      <c r="AC14" s="143"/>
      <c r="AD14" s="72">
        <v>5</v>
      </c>
      <c r="AE14" s="27"/>
      <c r="AF14" s="27"/>
      <c r="AG14" s="27"/>
      <c r="AH14" s="27"/>
      <c r="AI14" s="27"/>
      <c r="AJ14" s="27">
        <v>1</v>
      </c>
      <c r="AK14" s="27"/>
      <c r="AL14" s="27"/>
      <c r="AM14" s="27"/>
      <c r="AN14" s="27"/>
      <c r="AO14" s="27"/>
      <c r="AP14" s="27"/>
      <c r="AQ14" s="27"/>
      <c r="AR14" s="27"/>
      <c r="AS14" s="42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68"/>
    </row>
    <row r="15" spans="1:56" ht="15" customHeight="1" x14ac:dyDescent="0.3">
      <c r="A15" s="54">
        <f>IF(B15="","",COUNTA($B$8:B15))</f>
        <v>8</v>
      </c>
      <c r="B15" s="42" t="s">
        <v>123</v>
      </c>
      <c r="C15" s="41"/>
      <c r="D15" s="41"/>
      <c r="E15" s="41"/>
      <c r="F15" s="41"/>
      <c r="G15" s="41"/>
      <c r="H15" s="41"/>
      <c r="I15" s="31" t="str">
        <f>VLOOKUP(B15,Sheet1!A:B,2,FALSE)</f>
        <v>tokuisaki_nm</v>
      </c>
      <c r="J15" s="32"/>
      <c r="K15" s="32"/>
      <c r="L15" s="32"/>
      <c r="M15" s="32"/>
      <c r="N15" s="32"/>
      <c r="O15" s="32"/>
      <c r="P15" s="32"/>
      <c r="Q15" s="32"/>
      <c r="R15" s="42" t="s">
        <v>123</v>
      </c>
      <c r="S15" s="41"/>
      <c r="T15" s="41"/>
      <c r="U15" s="41"/>
      <c r="V15" s="41"/>
      <c r="W15" s="41"/>
      <c r="X15" s="41"/>
      <c r="Y15" s="139" t="s">
        <v>111</v>
      </c>
      <c r="Z15" s="140"/>
      <c r="AA15" s="141" t="s">
        <v>107</v>
      </c>
      <c r="AB15" s="142"/>
      <c r="AC15" s="143"/>
      <c r="AD15" s="72">
        <v>80</v>
      </c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42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68"/>
    </row>
    <row r="16" spans="1:56" ht="15" customHeight="1" x14ac:dyDescent="0.3">
      <c r="A16" s="54">
        <f>IF(B16="","",COUNTA($B$8:B16))</f>
        <v>9</v>
      </c>
      <c r="B16" s="42" t="s">
        <v>124</v>
      </c>
      <c r="C16" s="41"/>
      <c r="D16" s="41"/>
      <c r="E16" s="41"/>
      <c r="F16" s="41"/>
      <c r="G16" s="41"/>
      <c r="H16" s="41"/>
      <c r="I16" s="31" t="str">
        <f>VLOOKUP(B16,Sheet1!A:B,2,FALSE)</f>
        <v>nonyusaki_cd</v>
      </c>
      <c r="J16" s="32"/>
      <c r="K16" s="32"/>
      <c r="L16" s="32"/>
      <c r="M16" s="32"/>
      <c r="N16" s="32"/>
      <c r="O16" s="32"/>
      <c r="P16" s="32"/>
      <c r="Q16" s="32"/>
      <c r="R16" s="42" t="s">
        <v>124</v>
      </c>
      <c r="S16" s="41"/>
      <c r="T16" s="41"/>
      <c r="U16" s="41"/>
      <c r="V16" s="41"/>
      <c r="W16" s="41"/>
      <c r="X16" s="41"/>
      <c r="Y16" s="139" t="s">
        <v>111</v>
      </c>
      <c r="Z16" s="140"/>
      <c r="AA16" s="141" t="s">
        <v>107</v>
      </c>
      <c r="AB16" s="142"/>
      <c r="AC16" s="143"/>
      <c r="AD16" s="72">
        <v>5</v>
      </c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42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68"/>
    </row>
    <row r="17" spans="1:56" ht="15" customHeight="1" x14ac:dyDescent="0.3">
      <c r="A17" s="54">
        <f>IF(B17="","",COUNTA($B$8:B17))</f>
        <v>10</v>
      </c>
      <c r="B17" s="42" t="s">
        <v>125</v>
      </c>
      <c r="C17" s="41"/>
      <c r="D17" s="41"/>
      <c r="E17" s="41"/>
      <c r="F17" s="41"/>
      <c r="G17" s="41"/>
      <c r="H17" s="41"/>
      <c r="I17" s="31" t="str">
        <f>VLOOKUP(B17,Sheet1!A:B,2,FALSE)</f>
        <v>nonyusaki_nm</v>
      </c>
      <c r="J17" s="32"/>
      <c r="K17" s="32"/>
      <c r="L17" s="32"/>
      <c r="M17" s="32"/>
      <c r="N17" s="32"/>
      <c r="O17" s="32"/>
      <c r="P17" s="32"/>
      <c r="Q17" s="32"/>
      <c r="R17" s="42" t="s">
        <v>125</v>
      </c>
      <c r="S17" s="41"/>
      <c r="T17" s="41"/>
      <c r="U17" s="41"/>
      <c r="V17" s="41"/>
      <c r="W17" s="41"/>
      <c r="X17" s="41"/>
      <c r="Y17" s="139" t="s">
        <v>111</v>
      </c>
      <c r="Z17" s="140"/>
      <c r="AA17" s="141" t="s">
        <v>107</v>
      </c>
      <c r="AB17" s="142"/>
      <c r="AC17" s="143"/>
      <c r="AD17" s="72">
        <v>80</v>
      </c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42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68"/>
    </row>
    <row r="18" spans="1:56" ht="15" customHeight="1" x14ac:dyDescent="0.3">
      <c r="A18" s="54">
        <f>IF(B18="","",COUNTA($B$8:B18))</f>
        <v>11</v>
      </c>
      <c r="B18" s="42" t="s">
        <v>126</v>
      </c>
      <c r="C18" s="41"/>
      <c r="D18" s="41"/>
      <c r="E18" s="41"/>
      <c r="F18" s="41"/>
      <c r="G18" s="41"/>
      <c r="H18" s="41"/>
      <c r="I18" s="31" t="str">
        <f>VLOOKUP(B18,Sheet1!A:B,2,FALSE)</f>
        <v>atsukaiten_cd</v>
      </c>
      <c r="J18" s="32"/>
      <c r="K18" s="32"/>
      <c r="L18" s="32"/>
      <c r="M18" s="32"/>
      <c r="N18" s="32"/>
      <c r="O18" s="32"/>
      <c r="P18" s="32"/>
      <c r="Q18" s="32"/>
      <c r="R18" s="42" t="s">
        <v>126</v>
      </c>
      <c r="S18" s="41"/>
      <c r="T18" s="41"/>
      <c r="U18" s="41"/>
      <c r="V18" s="41"/>
      <c r="W18" s="41"/>
      <c r="X18" s="41"/>
      <c r="Y18" s="139" t="s">
        <v>111</v>
      </c>
      <c r="Z18" s="184"/>
      <c r="AA18" s="141" t="s">
        <v>107</v>
      </c>
      <c r="AB18" s="142"/>
      <c r="AC18" s="143"/>
      <c r="AD18" s="72">
        <v>5</v>
      </c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42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68"/>
    </row>
    <row r="19" spans="1:56" ht="15" customHeight="1" x14ac:dyDescent="0.3">
      <c r="A19" s="54">
        <f>IF(B19="","",COUNTA($B$8:B19))</f>
        <v>12</v>
      </c>
      <c r="B19" s="42" t="s">
        <v>127</v>
      </c>
      <c r="C19" s="41"/>
      <c r="D19" s="41"/>
      <c r="E19" s="41"/>
      <c r="F19" s="41"/>
      <c r="G19" s="41"/>
      <c r="H19" s="41"/>
      <c r="I19" s="31" t="str">
        <f>VLOOKUP(B19,Sheet1!A:B,2,FALSE)</f>
        <v>atsukaiten_nm</v>
      </c>
      <c r="J19" s="32"/>
      <c r="K19" s="32"/>
      <c r="L19" s="32"/>
      <c r="M19" s="32"/>
      <c r="N19" s="32"/>
      <c r="O19" s="32"/>
      <c r="P19" s="32"/>
      <c r="Q19" s="32"/>
      <c r="R19" s="42" t="s">
        <v>127</v>
      </c>
      <c r="S19" s="41"/>
      <c r="T19" s="41"/>
      <c r="U19" s="41"/>
      <c r="V19" s="41"/>
      <c r="W19" s="41"/>
      <c r="X19" s="41"/>
      <c r="Y19" s="139" t="s">
        <v>111</v>
      </c>
      <c r="Z19" s="184"/>
      <c r="AA19" s="141" t="s">
        <v>107</v>
      </c>
      <c r="AB19" s="142"/>
      <c r="AC19" s="143"/>
      <c r="AD19" s="72">
        <v>80</v>
      </c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42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68"/>
    </row>
    <row r="20" spans="1:56" ht="15" customHeight="1" x14ac:dyDescent="0.3">
      <c r="A20" s="54">
        <f>IF(B20="","",COUNTA($B$8:B20))</f>
        <v>13</v>
      </c>
      <c r="B20" s="18" t="s">
        <v>1491</v>
      </c>
      <c r="C20" s="41"/>
      <c r="D20" s="41"/>
      <c r="E20" s="41"/>
      <c r="F20" s="41"/>
      <c r="G20" s="41"/>
      <c r="H20" s="41"/>
      <c r="I20" s="31" t="str">
        <f>VLOOKUP(B20,Sheet1!A:B,2,FALSE)</f>
        <v>unsokaisha_cd</v>
      </c>
      <c r="J20" s="32"/>
      <c r="K20" s="32"/>
      <c r="L20" s="32"/>
      <c r="M20" s="32"/>
      <c r="N20" s="32"/>
      <c r="O20" s="32"/>
      <c r="P20" s="32"/>
      <c r="Q20" s="32"/>
      <c r="R20" s="18" t="s">
        <v>1491</v>
      </c>
      <c r="S20" s="41"/>
      <c r="T20" s="41"/>
      <c r="U20" s="41"/>
      <c r="V20" s="41"/>
      <c r="W20" s="41"/>
      <c r="X20" s="41"/>
      <c r="Y20" s="139" t="s">
        <v>111</v>
      </c>
      <c r="Z20" s="184"/>
      <c r="AA20" s="141" t="s">
        <v>107</v>
      </c>
      <c r="AB20" s="142"/>
      <c r="AC20" s="143"/>
      <c r="AD20" s="72">
        <v>5</v>
      </c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42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68"/>
    </row>
    <row r="21" spans="1:56" ht="15" customHeight="1" x14ac:dyDescent="0.3">
      <c r="A21" s="54">
        <f>IF(B21="","",COUNTA($B$8:B21))</f>
        <v>14</v>
      </c>
      <c r="B21" s="23" t="s">
        <v>1493</v>
      </c>
      <c r="C21" s="41"/>
      <c r="D21" s="41"/>
      <c r="E21" s="41"/>
      <c r="F21" s="41"/>
      <c r="G21" s="41"/>
      <c r="H21" s="41"/>
      <c r="I21" s="31" t="str">
        <f>VLOOKUP(B21,Sheet1!A:B,2,FALSE)</f>
        <v>unsokaisha_nm</v>
      </c>
      <c r="J21" s="32"/>
      <c r="K21" s="32"/>
      <c r="L21" s="32"/>
      <c r="M21" s="32"/>
      <c r="N21" s="32"/>
      <c r="O21" s="32"/>
      <c r="P21" s="32"/>
      <c r="Q21" s="32"/>
      <c r="R21" s="23" t="s">
        <v>1493</v>
      </c>
      <c r="S21" s="41"/>
      <c r="T21" s="41"/>
      <c r="U21" s="41"/>
      <c r="V21" s="41"/>
      <c r="W21" s="41"/>
      <c r="X21" s="41"/>
      <c r="Y21" s="139" t="s">
        <v>111</v>
      </c>
      <c r="Z21" s="184"/>
      <c r="AA21" s="141" t="s">
        <v>107</v>
      </c>
      <c r="AB21" s="142"/>
      <c r="AC21" s="143"/>
      <c r="AD21" s="72">
        <v>80</v>
      </c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42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68"/>
    </row>
    <row r="22" spans="1:56" ht="15" customHeight="1" x14ac:dyDescent="0.3">
      <c r="A22" s="54">
        <f>IF(B22="","",COUNTA($B$8:B22))</f>
        <v>15</v>
      </c>
      <c r="B22" s="18" t="s">
        <v>197</v>
      </c>
      <c r="C22" s="41"/>
      <c r="D22" s="41"/>
      <c r="E22" s="41"/>
      <c r="F22" s="41"/>
      <c r="G22" s="41"/>
      <c r="H22" s="41"/>
      <c r="I22" s="31" t="str">
        <f>VLOOKUP(B22,Sheet1!A:B,2,FALSE)</f>
        <v>nisugata_su</v>
      </c>
      <c r="J22" s="32"/>
      <c r="K22" s="32"/>
      <c r="L22" s="32"/>
      <c r="M22" s="32"/>
      <c r="N22" s="32"/>
      <c r="O22" s="32"/>
      <c r="P22" s="32"/>
      <c r="Q22" s="32"/>
      <c r="R22" s="18" t="s">
        <v>197</v>
      </c>
      <c r="S22" s="41"/>
      <c r="T22" s="41"/>
      <c r="U22" s="41"/>
      <c r="V22" s="41"/>
      <c r="W22" s="41"/>
      <c r="X22" s="41"/>
      <c r="Y22" s="139" t="s">
        <v>108</v>
      </c>
      <c r="Z22" s="140"/>
      <c r="AA22" s="141" t="s">
        <v>110</v>
      </c>
      <c r="AB22" s="142"/>
      <c r="AC22" s="143"/>
      <c r="AD22" s="72">
        <v>3</v>
      </c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42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68"/>
    </row>
    <row r="23" spans="1:56" ht="15" customHeight="1" x14ac:dyDescent="0.3">
      <c r="A23" s="54">
        <f>IF(B23="","",COUNTA($B$8:B23))</f>
        <v>16</v>
      </c>
      <c r="B23" s="18" t="s">
        <v>172</v>
      </c>
      <c r="C23" s="41"/>
      <c r="D23" s="41"/>
      <c r="E23" s="41"/>
      <c r="F23" s="41"/>
      <c r="G23" s="41"/>
      <c r="H23" s="41"/>
      <c r="I23" s="31" t="str">
        <f>VLOOKUP(B23,Sheet1!A:B,2,FALSE)</f>
        <v>nisugata_unit</v>
      </c>
      <c r="J23" s="32"/>
      <c r="K23" s="32"/>
      <c r="L23" s="32"/>
      <c r="M23" s="32"/>
      <c r="N23" s="32"/>
      <c r="O23" s="32"/>
      <c r="P23" s="32"/>
      <c r="Q23" s="32"/>
      <c r="R23" s="18" t="s">
        <v>172</v>
      </c>
      <c r="S23" s="41"/>
      <c r="T23" s="41"/>
      <c r="U23" s="41"/>
      <c r="V23" s="41"/>
      <c r="W23" s="41"/>
      <c r="X23" s="41"/>
      <c r="Y23" s="139" t="s">
        <v>111</v>
      </c>
      <c r="Z23" s="140"/>
      <c r="AA23" s="141" t="s">
        <v>107</v>
      </c>
      <c r="AB23" s="142"/>
      <c r="AC23" s="143"/>
      <c r="AD23" s="72">
        <v>4</v>
      </c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42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68"/>
    </row>
    <row r="24" spans="1:56" ht="15" customHeight="1" x14ac:dyDescent="0.3">
      <c r="A24" s="54">
        <f>IF(B24="","",COUNTA($B$8:B24))</f>
        <v>17</v>
      </c>
      <c r="B24" s="18" t="s">
        <v>139</v>
      </c>
      <c r="C24" s="41"/>
      <c r="D24" s="41"/>
      <c r="E24" s="41"/>
      <c r="F24" s="41"/>
      <c r="G24" s="41"/>
      <c r="H24" s="41"/>
      <c r="I24" s="31" t="str">
        <f>VLOOKUP(B24,Sheet1!A:B,2,FALSE)</f>
        <v>biko</v>
      </c>
      <c r="J24" s="32"/>
      <c r="K24" s="32"/>
      <c r="L24" s="32"/>
      <c r="M24" s="32"/>
      <c r="N24" s="32"/>
      <c r="O24" s="32"/>
      <c r="P24" s="32"/>
      <c r="Q24" s="32"/>
      <c r="R24" s="18" t="s">
        <v>139</v>
      </c>
      <c r="S24" s="41"/>
      <c r="T24" s="41"/>
      <c r="U24" s="41"/>
      <c r="V24" s="41"/>
      <c r="W24" s="41"/>
      <c r="X24" s="41"/>
      <c r="Y24" s="139" t="s">
        <v>111</v>
      </c>
      <c r="Z24" s="140"/>
      <c r="AA24" s="141" t="s">
        <v>107</v>
      </c>
      <c r="AB24" s="142"/>
      <c r="AC24" s="143"/>
      <c r="AD24" s="72">
        <v>1000</v>
      </c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42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68"/>
    </row>
    <row r="25" spans="1:56" ht="15" customHeight="1" x14ac:dyDescent="0.3">
      <c r="A25" s="54">
        <f>IF(B25="","",COUNTA($B$8:B25))</f>
        <v>18</v>
      </c>
      <c r="B25" s="18" t="s">
        <v>1510</v>
      </c>
      <c r="C25" s="41"/>
      <c r="D25" s="41"/>
      <c r="E25" s="41"/>
      <c r="F25" s="41"/>
      <c r="G25" s="41"/>
      <c r="H25" s="41"/>
      <c r="I25" s="31" t="str">
        <f>VLOOKUP(B25,Sheet1!A:B,2,FALSE)</f>
        <v>unso_biko</v>
      </c>
      <c r="J25" s="32"/>
      <c r="K25" s="32"/>
      <c r="L25" s="32"/>
      <c r="M25" s="32"/>
      <c r="N25" s="32"/>
      <c r="O25" s="32"/>
      <c r="P25" s="32"/>
      <c r="Q25" s="32"/>
      <c r="R25" s="18" t="s">
        <v>1509</v>
      </c>
      <c r="S25" s="41"/>
      <c r="T25" s="41"/>
      <c r="U25" s="41"/>
      <c r="V25" s="41"/>
      <c r="W25" s="41"/>
      <c r="X25" s="41"/>
      <c r="Y25" s="139" t="s">
        <v>111</v>
      </c>
      <c r="Z25" s="140"/>
      <c r="AA25" s="141" t="s">
        <v>107</v>
      </c>
      <c r="AB25" s="142"/>
      <c r="AC25" s="143"/>
      <c r="AD25" s="72">
        <v>1000</v>
      </c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42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68"/>
    </row>
    <row r="26" spans="1:56" ht="15" customHeight="1" x14ac:dyDescent="0.3">
      <c r="A26" s="54">
        <f>IF(B26="","",COUNTA($B$8:B26))</f>
        <v>19</v>
      </c>
      <c r="B26" s="42" t="s">
        <v>1511</v>
      </c>
      <c r="C26" s="41"/>
      <c r="D26" s="41"/>
      <c r="E26" s="41"/>
      <c r="F26" s="41"/>
      <c r="G26" s="41"/>
      <c r="H26" s="41"/>
      <c r="I26" s="31" t="str">
        <f>VLOOKUP(B26,Sheet1!A:B,2,FALSE)</f>
        <v>okurijo_nonyu_basho</v>
      </c>
      <c r="J26" s="32"/>
      <c r="K26" s="32"/>
      <c r="L26" s="32"/>
      <c r="M26" s="32"/>
      <c r="N26" s="32"/>
      <c r="O26" s="32"/>
      <c r="P26" s="32"/>
      <c r="Q26" s="32"/>
      <c r="R26" s="42" t="s">
        <v>1511</v>
      </c>
      <c r="S26" s="41"/>
      <c r="T26" s="41"/>
      <c r="U26" s="41"/>
      <c r="V26" s="41"/>
      <c r="W26" s="41"/>
      <c r="X26" s="41"/>
      <c r="Y26" s="139" t="s">
        <v>111</v>
      </c>
      <c r="Z26" s="140"/>
      <c r="AA26" s="141" t="s">
        <v>107</v>
      </c>
      <c r="AB26" s="142"/>
      <c r="AC26" s="143"/>
      <c r="AD26" s="72">
        <v>50</v>
      </c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42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68"/>
    </row>
    <row r="27" spans="1:56" ht="15" customHeight="1" x14ac:dyDescent="0.3">
      <c r="A27" s="54">
        <f>IF(B27="","",COUNTA($B$8:B27))</f>
        <v>20</v>
      </c>
      <c r="B27" s="18" t="s">
        <v>1512</v>
      </c>
      <c r="C27" s="41"/>
      <c r="D27" s="41"/>
      <c r="E27" s="41"/>
      <c r="F27" s="41"/>
      <c r="G27" s="41"/>
      <c r="H27" s="41"/>
      <c r="I27" s="31" t="str">
        <f>VLOOKUP(B27,Sheet1!A:B,2,FALSE)</f>
        <v>okurijo_nonyubi_biko</v>
      </c>
      <c r="J27" s="32"/>
      <c r="K27" s="32"/>
      <c r="L27" s="32"/>
      <c r="M27" s="32"/>
      <c r="N27" s="32"/>
      <c r="O27" s="32"/>
      <c r="P27" s="32"/>
      <c r="Q27" s="32"/>
      <c r="R27" s="18" t="s">
        <v>1512</v>
      </c>
      <c r="S27" s="41"/>
      <c r="T27" s="41"/>
      <c r="U27" s="41"/>
      <c r="V27" s="41"/>
      <c r="W27" s="41"/>
      <c r="X27" s="41"/>
      <c r="Y27" s="139" t="s">
        <v>111</v>
      </c>
      <c r="Z27" s="140"/>
      <c r="AA27" s="141" t="s">
        <v>107</v>
      </c>
      <c r="AB27" s="142"/>
      <c r="AC27" s="143"/>
      <c r="AD27" s="72">
        <v>50</v>
      </c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42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68"/>
    </row>
    <row r="28" spans="1:56" ht="15" customHeight="1" x14ac:dyDescent="0.3">
      <c r="A28" s="54">
        <f>IF(B28="","",COUNTA($B$8:B28))</f>
        <v>21</v>
      </c>
      <c r="B28" s="18" t="s">
        <v>153</v>
      </c>
      <c r="C28" s="41"/>
      <c r="D28" s="41"/>
      <c r="E28" s="41"/>
      <c r="F28" s="41"/>
      <c r="G28" s="41"/>
      <c r="H28" s="41"/>
      <c r="I28" s="31" t="str">
        <f>VLOOKUP(B28,Sheet1!A:B,2,FALSE)</f>
        <v>okurijo_tekiyo</v>
      </c>
      <c r="J28" s="32"/>
      <c r="K28" s="32"/>
      <c r="L28" s="32"/>
      <c r="M28" s="32"/>
      <c r="N28" s="32"/>
      <c r="O28" s="32"/>
      <c r="P28" s="32"/>
      <c r="Q28" s="32"/>
      <c r="R28" s="18" t="s">
        <v>153</v>
      </c>
      <c r="S28" s="41"/>
      <c r="T28" s="41"/>
      <c r="U28" s="41"/>
      <c r="V28" s="41"/>
      <c r="W28" s="41"/>
      <c r="X28" s="41"/>
      <c r="Y28" s="139" t="s">
        <v>111</v>
      </c>
      <c r="Z28" s="140"/>
      <c r="AA28" s="141" t="s">
        <v>107</v>
      </c>
      <c r="AB28" s="142"/>
      <c r="AC28" s="143"/>
      <c r="AD28" s="72">
        <v>50</v>
      </c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42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68"/>
    </row>
    <row r="29" spans="1:56" ht="15" customHeight="1" x14ac:dyDescent="0.3">
      <c r="A29" s="54">
        <f>IF(B29="","",COUNTA($B$8:B29))</f>
        <v>22</v>
      </c>
      <c r="B29" s="42" t="s">
        <v>1513</v>
      </c>
      <c r="C29" s="41"/>
      <c r="D29" s="41"/>
      <c r="E29" s="41"/>
      <c r="F29" s="41"/>
      <c r="G29" s="41"/>
      <c r="H29" s="41"/>
      <c r="I29" s="31" t="str">
        <f>VLOOKUP(B29,Sheet1!A:B,2,FALSE)</f>
        <v>okurijo_juryo</v>
      </c>
      <c r="J29" s="32"/>
      <c r="K29" s="32"/>
      <c r="L29" s="32"/>
      <c r="M29" s="32"/>
      <c r="N29" s="32"/>
      <c r="O29" s="32"/>
      <c r="P29" s="32"/>
      <c r="Q29" s="32"/>
      <c r="R29" s="42" t="s">
        <v>1513</v>
      </c>
      <c r="S29" s="41"/>
      <c r="T29" s="41"/>
      <c r="U29" s="41"/>
      <c r="V29" s="41"/>
      <c r="W29" s="41"/>
      <c r="X29" s="41"/>
      <c r="Y29" s="139" t="s">
        <v>111</v>
      </c>
      <c r="Z29" s="140"/>
      <c r="AA29" s="141" t="s">
        <v>110</v>
      </c>
      <c r="AB29" s="142"/>
      <c r="AC29" s="143"/>
      <c r="AD29" s="72">
        <v>6</v>
      </c>
      <c r="AE29" s="27">
        <v>1</v>
      </c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42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68"/>
    </row>
    <row r="30" spans="1:56" ht="15" customHeight="1" x14ac:dyDescent="0.3">
      <c r="A30" s="54">
        <f>IF(B30="","",COUNTA($B$8:B30))</f>
        <v>23</v>
      </c>
      <c r="B30" s="18" t="s">
        <v>174</v>
      </c>
      <c r="C30" s="41"/>
      <c r="D30" s="41"/>
      <c r="E30" s="41"/>
      <c r="F30" s="41"/>
      <c r="G30" s="41"/>
      <c r="H30" s="41"/>
      <c r="I30" s="31" t="str">
        <f>VLOOKUP(B30,Sheet1!A:B,2,FALSE)</f>
        <v>okurijo_print_kbn</v>
      </c>
      <c r="J30" s="32"/>
      <c r="K30" s="32"/>
      <c r="L30" s="32"/>
      <c r="M30" s="32"/>
      <c r="N30" s="32"/>
      <c r="O30" s="32"/>
      <c r="P30" s="32"/>
      <c r="Q30" s="32"/>
      <c r="R30" s="18" t="s">
        <v>174</v>
      </c>
      <c r="S30" s="41"/>
      <c r="T30" s="41"/>
      <c r="U30" s="41"/>
      <c r="V30" s="41"/>
      <c r="W30" s="41"/>
      <c r="X30" s="41"/>
      <c r="Y30" s="139" t="s">
        <v>111</v>
      </c>
      <c r="Z30" s="140"/>
      <c r="AA30" s="141" t="s">
        <v>107</v>
      </c>
      <c r="AB30" s="142"/>
      <c r="AC30" s="143"/>
      <c r="AD30" s="25">
        <v>1</v>
      </c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8" t="s">
        <v>179</v>
      </c>
      <c r="AT30" s="69"/>
      <c r="AU30" s="69"/>
      <c r="AV30" s="69"/>
      <c r="AW30" s="69"/>
      <c r="AX30" s="69"/>
      <c r="AY30" s="69"/>
      <c r="AZ30" s="69"/>
      <c r="BA30" s="69"/>
      <c r="BB30" s="69"/>
      <c r="BC30" s="69"/>
      <c r="BD30" s="70"/>
    </row>
    <row r="31" spans="1:56" ht="15" customHeight="1" x14ac:dyDescent="0.3">
      <c r="A31" s="54">
        <f>IF(B31="","",COUNTA($B$8:B31))</f>
        <v>24</v>
      </c>
      <c r="B31" s="18" t="s">
        <v>175</v>
      </c>
      <c r="C31" s="41"/>
      <c r="D31" s="41"/>
      <c r="E31" s="41"/>
      <c r="F31" s="41"/>
      <c r="G31" s="41"/>
      <c r="H31" s="41"/>
      <c r="I31" s="31" t="str">
        <f>VLOOKUP(B31,Sheet1!A:B,2,FALSE)</f>
        <v>nifuda_print_kbn</v>
      </c>
      <c r="J31" s="32"/>
      <c r="K31" s="32"/>
      <c r="L31" s="32"/>
      <c r="M31" s="32"/>
      <c r="N31" s="32"/>
      <c r="O31" s="32"/>
      <c r="P31" s="32"/>
      <c r="Q31" s="32"/>
      <c r="R31" s="18" t="s">
        <v>175</v>
      </c>
      <c r="S31" s="41"/>
      <c r="T31" s="41"/>
      <c r="U31" s="41"/>
      <c r="V31" s="41"/>
      <c r="W31" s="41"/>
      <c r="X31" s="41"/>
      <c r="Y31" s="139" t="s">
        <v>111</v>
      </c>
      <c r="Z31" s="140"/>
      <c r="AA31" s="141" t="s">
        <v>107</v>
      </c>
      <c r="AB31" s="142"/>
      <c r="AC31" s="143"/>
      <c r="AD31" s="25">
        <v>1</v>
      </c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8" t="s">
        <v>179</v>
      </c>
      <c r="AT31" s="69"/>
      <c r="AU31" s="69"/>
      <c r="AV31" s="69"/>
      <c r="AW31" s="69"/>
      <c r="AX31" s="69"/>
      <c r="AY31" s="69"/>
      <c r="AZ31" s="69"/>
      <c r="BA31" s="69"/>
      <c r="BB31" s="69"/>
      <c r="BC31" s="69"/>
      <c r="BD31" s="70"/>
    </row>
    <row r="32" spans="1:56" ht="15" customHeight="1" x14ac:dyDescent="0.3">
      <c r="A32" s="54">
        <f>IF(B32="","",COUNTA($B$8:B32))</f>
        <v>25</v>
      </c>
      <c r="B32" s="18" t="s">
        <v>176</v>
      </c>
      <c r="C32" s="41"/>
      <c r="D32" s="41"/>
      <c r="E32" s="41"/>
      <c r="F32" s="41"/>
      <c r="G32" s="41"/>
      <c r="H32" s="41"/>
      <c r="I32" s="31" t="str">
        <f>VLOOKUP(B32,Sheet1!A:B,2,FALSE)</f>
        <v>nohinkanjosho_out_kbn</v>
      </c>
      <c r="J32" s="32"/>
      <c r="K32" s="32"/>
      <c r="L32" s="32"/>
      <c r="M32" s="32"/>
      <c r="N32" s="32"/>
      <c r="O32" s="32"/>
      <c r="P32" s="32"/>
      <c r="Q32" s="32"/>
      <c r="R32" s="18" t="s">
        <v>176</v>
      </c>
      <c r="S32" s="41"/>
      <c r="T32" s="41"/>
      <c r="U32" s="41"/>
      <c r="V32" s="41"/>
      <c r="W32" s="41"/>
      <c r="X32" s="41"/>
      <c r="Y32" s="139" t="s">
        <v>111</v>
      </c>
      <c r="Z32" s="140"/>
      <c r="AA32" s="141" t="s">
        <v>107</v>
      </c>
      <c r="AB32" s="142"/>
      <c r="AC32" s="143"/>
      <c r="AD32" s="55">
        <v>1</v>
      </c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8" t="s">
        <v>179</v>
      </c>
      <c r="AT32" s="69"/>
      <c r="AU32" s="69"/>
      <c r="AV32" s="69"/>
      <c r="AW32" s="69"/>
      <c r="AX32" s="69"/>
      <c r="AY32" s="69"/>
      <c r="AZ32" s="69"/>
      <c r="BA32" s="69"/>
      <c r="BB32" s="69"/>
      <c r="BC32" s="69"/>
      <c r="BD32" s="70"/>
    </row>
    <row r="33" spans="1:56" ht="15" customHeight="1" x14ac:dyDescent="0.3">
      <c r="A33" s="54">
        <f>IF(B33="","",COUNTA($B$8:B33))</f>
        <v>26</v>
      </c>
      <c r="B33" s="18" t="s">
        <v>177</v>
      </c>
      <c r="C33" s="41"/>
      <c r="D33" s="41"/>
      <c r="E33" s="41"/>
      <c r="F33" s="41"/>
      <c r="G33" s="41"/>
      <c r="H33" s="41"/>
      <c r="I33" s="31" t="str">
        <f>VLOOKUP(B33,Sheet1!A:B,2,FALSE)</f>
        <v>shukka_jisseki_regist_kbn</v>
      </c>
      <c r="J33" s="32"/>
      <c r="K33" s="32"/>
      <c r="L33" s="32"/>
      <c r="M33" s="32"/>
      <c r="N33" s="32"/>
      <c r="O33" s="32"/>
      <c r="P33" s="32"/>
      <c r="Q33" s="32"/>
      <c r="R33" s="18" t="s">
        <v>177</v>
      </c>
      <c r="S33" s="41"/>
      <c r="T33" s="41"/>
      <c r="U33" s="41"/>
      <c r="V33" s="41"/>
      <c r="W33" s="41"/>
      <c r="X33" s="41"/>
      <c r="Y33" s="139" t="s">
        <v>111</v>
      </c>
      <c r="Z33" s="140"/>
      <c r="AA33" s="141" t="s">
        <v>107</v>
      </c>
      <c r="AB33" s="142"/>
      <c r="AC33" s="143"/>
      <c r="AD33" s="25">
        <v>1</v>
      </c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8" t="s">
        <v>180</v>
      </c>
      <c r="AT33" s="69"/>
      <c r="AU33" s="69"/>
      <c r="AV33" s="69"/>
      <c r="AW33" s="69"/>
      <c r="AX33" s="69"/>
      <c r="AY33" s="69"/>
      <c r="AZ33" s="69"/>
      <c r="BA33" s="69"/>
      <c r="BB33" s="69"/>
      <c r="BC33" s="69"/>
      <c r="BD33" s="70"/>
    </row>
    <row r="34" spans="1:56" ht="15" customHeight="1" x14ac:dyDescent="0.3">
      <c r="A34" s="54">
        <f>IF(B34="","",COUNTA($B$8:B34))</f>
        <v>27</v>
      </c>
      <c r="B34" s="18" t="s">
        <v>178</v>
      </c>
      <c r="C34" s="19"/>
      <c r="D34" s="19"/>
      <c r="E34" s="19"/>
      <c r="F34" s="19"/>
      <c r="G34" s="19"/>
      <c r="H34" s="19"/>
      <c r="I34" s="31" t="str">
        <f>VLOOKUP(B34,Sheet1!A:B,2,FALSE)</f>
        <v>lock_status</v>
      </c>
      <c r="J34" s="21"/>
      <c r="K34" s="21"/>
      <c r="L34" s="21"/>
      <c r="M34" s="21"/>
      <c r="N34" s="21"/>
      <c r="O34" s="21"/>
      <c r="P34" s="21"/>
      <c r="Q34" s="21"/>
      <c r="R34" s="18" t="s">
        <v>178</v>
      </c>
      <c r="S34" s="19"/>
      <c r="T34" s="19"/>
      <c r="U34" s="19"/>
      <c r="V34" s="19"/>
      <c r="W34" s="19"/>
      <c r="X34" s="19"/>
      <c r="Y34" s="139" t="s">
        <v>111</v>
      </c>
      <c r="Z34" s="140"/>
      <c r="AA34" s="141" t="s">
        <v>107</v>
      </c>
      <c r="AB34" s="142"/>
      <c r="AC34" s="143"/>
      <c r="AD34" s="55">
        <v>1</v>
      </c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8"/>
      <c r="AP34" s="38"/>
      <c r="AQ34" s="38"/>
      <c r="AR34" s="38"/>
      <c r="AS34" s="39" t="s">
        <v>181</v>
      </c>
      <c r="AT34" s="40"/>
      <c r="AU34" s="69"/>
      <c r="AV34" s="69"/>
      <c r="AW34" s="69"/>
      <c r="AX34" s="69"/>
      <c r="AY34" s="69"/>
      <c r="AZ34" s="69"/>
      <c r="BA34" s="69"/>
      <c r="BB34" s="69"/>
      <c r="BC34" s="69"/>
      <c r="BD34" s="70"/>
    </row>
    <row r="35" spans="1:56" ht="15" customHeight="1" x14ac:dyDescent="0.3">
      <c r="A35" s="71">
        <f>IF(B35="","",COUNTA($B$8:B35))</f>
        <v>28</v>
      </c>
      <c r="B35" s="18" t="s">
        <v>186</v>
      </c>
      <c r="C35" s="19"/>
      <c r="D35" s="19"/>
      <c r="E35" s="19"/>
      <c r="F35" s="19"/>
      <c r="G35" s="19"/>
      <c r="H35" s="22"/>
      <c r="I35" s="31" t="str">
        <f>VLOOKUP(B35,Sheet1!A:B,2,FALSE)</f>
        <v>nohin_kanjosho_denpyo_no</v>
      </c>
      <c r="J35" s="21"/>
      <c r="K35" s="21"/>
      <c r="L35" s="21"/>
      <c r="M35" s="21"/>
      <c r="N35" s="21"/>
      <c r="O35" s="21"/>
      <c r="P35" s="21"/>
      <c r="Q35" s="33"/>
      <c r="R35" s="18" t="s">
        <v>186</v>
      </c>
      <c r="S35" s="21"/>
      <c r="T35" s="21"/>
      <c r="U35" s="21"/>
      <c r="V35" s="21"/>
      <c r="W35" s="21"/>
      <c r="X35" s="22"/>
      <c r="Y35" s="139" t="s">
        <v>56</v>
      </c>
      <c r="Z35" s="184"/>
      <c r="AA35" s="141" t="s">
        <v>107</v>
      </c>
      <c r="AB35" s="142"/>
      <c r="AC35" s="143"/>
      <c r="AD35" s="25">
        <v>4</v>
      </c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7"/>
      <c r="AP35" s="27"/>
      <c r="AQ35" s="27"/>
      <c r="AR35" s="27"/>
      <c r="AS35" s="28"/>
      <c r="AT35" s="69"/>
      <c r="AU35" s="69"/>
      <c r="AV35" s="69"/>
      <c r="AW35" s="69"/>
      <c r="AX35" s="69"/>
      <c r="AY35" s="69"/>
      <c r="AZ35" s="69"/>
      <c r="BA35" s="69"/>
      <c r="BB35" s="69"/>
      <c r="BC35" s="69"/>
      <c r="BD35" s="70"/>
    </row>
    <row r="36" spans="1:56" s="49" customFormat="1" ht="15" customHeight="1" x14ac:dyDescent="0.3">
      <c r="A36" s="54">
        <f>IF(B36="","",COUNTA($B$8:B36))</f>
        <v>29</v>
      </c>
      <c r="B36" s="18" t="s">
        <v>219</v>
      </c>
      <c r="C36" s="19"/>
      <c r="D36" s="19"/>
      <c r="E36" s="19"/>
      <c r="F36" s="19"/>
      <c r="G36" s="19"/>
      <c r="H36" s="19"/>
      <c r="I36" s="31" t="str">
        <f>VLOOKUP(B36,Sheet1!A:B,2,FALSE)</f>
        <v>shukka_datetime</v>
      </c>
      <c r="J36" s="21"/>
      <c r="K36" s="21"/>
      <c r="L36" s="21"/>
      <c r="M36" s="21"/>
      <c r="N36" s="21"/>
      <c r="O36" s="21"/>
      <c r="P36" s="21"/>
      <c r="Q36" s="21"/>
      <c r="R36" s="18" t="s">
        <v>219</v>
      </c>
      <c r="S36" s="19"/>
      <c r="T36" s="19"/>
      <c r="U36" s="19"/>
      <c r="V36" s="19"/>
      <c r="W36" s="19"/>
      <c r="X36" s="19"/>
      <c r="Y36" s="139" t="s">
        <v>225</v>
      </c>
      <c r="Z36" s="140"/>
      <c r="AA36" s="141" t="s">
        <v>109</v>
      </c>
      <c r="AB36" s="142"/>
      <c r="AC36" s="143"/>
      <c r="AD36" s="55"/>
      <c r="AE36" s="26"/>
      <c r="AF36" s="47"/>
      <c r="AG36" s="47"/>
      <c r="AH36" s="47"/>
      <c r="AI36" s="47"/>
      <c r="AJ36" s="47"/>
      <c r="AK36" s="47"/>
      <c r="AL36" s="47"/>
      <c r="AM36" s="47"/>
      <c r="AN36" s="47"/>
      <c r="AO36" s="48"/>
      <c r="AP36" s="48"/>
      <c r="AQ36" s="48"/>
      <c r="AR36" s="48"/>
      <c r="AS36" s="28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30"/>
    </row>
    <row r="37" spans="1:56" s="49" customFormat="1" ht="15" customHeight="1" x14ac:dyDescent="0.3">
      <c r="A37" s="54">
        <f>IF(B37="","",COUNTA($B$8:B37))</f>
        <v>30</v>
      </c>
      <c r="B37" s="18" t="s">
        <v>1231</v>
      </c>
      <c r="C37" s="19"/>
      <c r="D37" s="19"/>
      <c r="E37" s="19"/>
      <c r="F37" s="19"/>
      <c r="G37" s="19"/>
      <c r="H37" s="19"/>
      <c r="I37" s="31" t="str">
        <f>VLOOKUP(B37,Sheet1!A:B,2,FALSE)</f>
        <v>tantosya_nm</v>
      </c>
      <c r="J37" s="21"/>
      <c r="K37" s="21"/>
      <c r="L37" s="21"/>
      <c r="M37" s="21"/>
      <c r="N37" s="21"/>
      <c r="O37" s="21"/>
      <c r="P37" s="21"/>
      <c r="Q37" s="21"/>
      <c r="R37" s="18" t="s">
        <v>1231</v>
      </c>
      <c r="S37" s="19"/>
      <c r="T37" s="19"/>
      <c r="U37" s="19"/>
      <c r="V37" s="19"/>
      <c r="W37" s="19"/>
      <c r="X37" s="19"/>
      <c r="Y37" s="139" t="s">
        <v>111</v>
      </c>
      <c r="Z37" s="140"/>
      <c r="AA37" s="141" t="s">
        <v>107</v>
      </c>
      <c r="AB37" s="142"/>
      <c r="AC37" s="143"/>
      <c r="AD37" s="55">
        <v>10</v>
      </c>
      <c r="AE37" s="26"/>
      <c r="AF37" s="47"/>
      <c r="AG37" s="47"/>
      <c r="AH37" s="47"/>
      <c r="AI37" s="47"/>
      <c r="AJ37" s="47"/>
      <c r="AK37" s="47"/>
      <c r="AL37" s="47"/>
      <c r="AM37" s="47"/>
      <c r="AN37" s="47"/>
      <c r="AO37" s="48"/>
      <c r="AP37" s="48"/>
      <c r="AQ37" s="48"/>
      <c r="AR37" s="48"/>
      <c r="AS37" s="28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30"/>
    </row>
    <row r="38" spans="1:56" s="49" customFormat="1" ht="15" customHeight="1" x14ac:dyDescent="0.3">
      <c r="A38" s="54">
        <f>IF(B38="","",COUNTA($B$8:B38))</f>
        <v>31</v>
      </c>
      <c r="B38" s="18" t="s">
        <v>221</v>
      </c>
      <c r="C38" s="19"/>
      <c r="D38" s="19"/>
      <c r="E38" s="19"/>
      <c r="F38" s="19"/>
      <c r="G38" s="19"/>
      <c r="H38" s="19"/>
      <c r="I38" s="31" t="str">
        <f>VLOOKUP(B38,Sheet1!A:B,2,FALSE)</f>
        <v>container_size</v>
      </c>
      <c r="J38" s="21"/>
      <c r="K38" s="21"/>
      <c r="L38" s="21"/>
      <c r="M38" s="21"/>
      <c r="N38" s="21"/>
      <c r="O38" s="21"/>
      <c r="P38" s="21"/>
      <c r="Q38" s="21"/>
      <c r="R38" s="18" t="s">
        <v>220</v>
      </c>
      <c r="S38" s="19"/>
      <c r="T38" s="19"/>
      <c r="U38" s="19"/>
      <c r="V38" s="19"/>
      <c r="W38" s="19"/>
      <c r="X38" s="19"/>
      <c r="Y38" s="139" t="s">
        <v>111</v>
      </c>
      <c r="Z38" s="140"/>
      <c r="AA38" s="141" t="s">
        <v>107</v>
      </c>
      <c r="AB38" s="142"/>
      <c r="AC38" s="143"/>
      <c r="AD38" s="55">
        <v>1</v>
      </c>
      <c r="AE38" s="26"/>
      <c r="AF38" s="47"/>
      <c r="AG38" s="47"/>
      <c r="AH38" s="47"/>
      <c r="AI38" s="47"/>
      <c r="AJ38" s="47"/>
      <c r="AK38" s="47"/>
      <c r="AL38" s="47"/>
      <c r="AM38" s="47"/>
      <c r="AN38" s="47"/>
      <c r="AO38" s="48"/>
      <c r="AP38" s="48"/>
      <c r="AQ38" s="48"/>
      <c r="AR38" s="48"/>
      <c r="AS38" s="28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30"/>
    </row>
    <row r="39" spans="1:56" s="49" customFormat="1" ht="15" customHeight="1" x14ac:dyDescent="0.3">
      <c r="A39" s="54">
        <f>IF(B39="","",COUNTA($B$8:B39))</f>
        <v>32</v>
      </c>
      <c r="B39" s="18" t="s">
        <v>222</v>
      </c>
      <c r="C39" s="19"/>
      <c r="D39" s="19"/>
      <c r="E39" s="19"/>
      <c r="F39" s="19"/>
      <c r="G39" s="19"/>
      <c r="H39" s="19"/>
      <c r="I39" s="31" t="str">
        <f>VLOOKUP(B39,Sheet1!A:B,2,FALSE)</f>
        <v>container_type</v>
      </c>
      <c r="J39" s="21"/>
      <c r="K39" s="21"/>
      <c r="L39" s="21"/>
      <c r="M39" s="21"/>
      <c r="N39" s="21"/>
      <c r="O39" s="21"/>
      <c r="P39" s="21"/>
      <c r="Q39" s="21"/>
      <c r="R39" s="18" t="s">
        <v>222</v>
      </c>
      <c r="S39" s="19"/>
      <c r="T39" s="19"/>
      <c r="U39" s="19"/>
      <c r="V39" s="19"/>
      <c r="W39" s="19"/>
      <c r="X39" s="19"/>
      <c r="Y39" s="139" t="s">
        <v>111</v>
      </c>
      <c r="Z39" s="140"/>
      <c r="AA39" s="141" t="s">
        <v>107</v>
      </c>
      <c r="AB39" s="142"/>
      <c r="AC39" s="143"/>
      <c r="AD39" s="55">
        <v>1</v>
      </c>
      <c r="AE39" s="26"/>
      <c r="AF39" s="47"/>
      <c r="AG39" s="47"/>
      <c r="AH39" s="47"/>
      <c r="AI39" s="47"/>
      <c r="AJ39" s="47"/>
      <c r="AK39" s="47"/>
      <c r="AL39" s="47"/>
      <c r="AM39" s="47"/>
      <c r="AN39" s="47"/>
      <c r="AO39" s="48"/>
      <c r="AP39" s="48"/>
      <c r="AQ39" s="48"/>
      <c r="AR39" s="48"/>
      <c r="AS39" s="28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30"/>
    </row>
    <row r="40" spans="1:56" s="49" customFormat="1" ht="15" customHeight="1" x14ac:dyDescent="0.3">
      <c r="A40" s="54">
        <f>IF(B40="","",COUNTA($B$8:B40))</f>
        <v>33</v>
      </c>
      <c r="B40" s="18" t="s">
        <v>223</v>
      </c>
      <c r="C40" s="19"/>
      <c r="D40" s="19"/>
      <c r="E40" s="19"/>
      <c r="F40" s="19"/>
      <c r="G40" s="19"/>
      <c r="H40" s="19"/>
      <c r="I40" s="31" t="str">
        <f>VLOOKUP(B40,Sheet1!A:B,2,FALSE)</f>
        <v>tsumikomi_basho</v>
      </c>
      <c r="J40" s="21"/>
      <c r="K40" s="21"/>
      <c r="L40" s="21"/>
      <c r="M40" s="21"/>
      <c r="N40" s="21"/>
      <c r="O40" s="21"/>
      <c r="P40" s="21"/>
      <c r="Q40" s="21"/>
      <c r="R40" s="18" t="s">
        <v>223</v>
      </c>
      <c r="S40" s="19"/>
      <c r="T40" s="19"/>
      <c r="U40" s="19"/>
      <c r="V40" s="19"/>
      <c r="W40" s="19"/>
      <c r="X40" s="19"/>
      <c r="Y40" s="139" t="s">
        <v>111</v>
      </c>
      <c r="Z40" s="140"/>
      <c r="AA40" s="141" t="s">
        <v>107</v>
      </c>
      <c r="AB40" s="142"/>
      <c r="AC40" s="143"/>
      <c r="AD40" s="55">
        <v>2</v>
      </c>
      <c r="AE40" s="26"/>
      <c r="AF40" s="47"/>
      <c r="AG40" s="47"/>
      <c r="AH40" s="47"/>
      <c r="AI40" s="47"/>
      <c r="AJ40" s="47"/>
      <c r="AK40" s="47"/>
      <c r="AL40" s="47"/>
      <c r="AM40" s="47"/>
      <c r="AN40" s="47"/>
      <c r="AO40" s="48"/>
      <c r="AP40" s="48"/>
      <c r="AQ40" s="48"/>
      <c r="AR40" s="48"/>
      <c r="AS40" s="28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30"/>
    </row>
    <row r="41" spans="1:56" s="49" customFormat="1" ht="15" customHeight="1" x14ac:dyDescent="0.3">
      <c r="A41" s="54">
        <f>IF(B41="","",COUNTA($B$8:B41))</f>
        <v>34</v>
      </c>
      <c r="B41" s="18" t="s">
        <v>224</v>
      </c>
      <c r="C41" s="19"/>
      <c r="D41" s="19"/>
      <c r="E41" s="19"/>
      <c r="F41" s="19"/>
      <c r="G41" s="19"/>
      <c r="H41" s="19"/>
      <c r="I41" s="31" t="str">
        <f>VLOOKUP(B41,Sheet1!A:B,2,FALSE)</f>
        <v>notice</v>
      </c>
      <c r="J41" s="21"/>
      <c r="K41" s="21"/>
      <c r="L41" s="21"/>
      <c r="M41" s="21"/>
      <c r="N41" s="21"/>
      <c r="O41" s="21"/>
      <c r="P41" s="21"/>
      <c r="Q41" s="21"/>
      <c r="R41" s="18" t="s">
        <v>224</v>
      </c>
      <c r="S41" s="19"/>
      <c r="T41" s="19"/>
      <c r="U41" s="19"/>
      <c r="V41" s="19"/>
      <c r="W41" s="19"/>
      <c r="X41" s="19"/>
      <c r="Y41" s="139" t="s">
        <v>111</v>
      </c>
      <c r="Z41" s="140"/>
      <c r="AA41" s="141" t="s">
        <v>107</v>
      </c>
      <c r="AB41" s="142"/>
      <c r="AC41" s="143"/>
      <c r="AD41" s="55">
        <v>1000</v>
      </c>
      <c r="AE41" s="26"/>
      <c r="AF41" s="47"/>
      <c r="AG41" s="47"/>
      <c r="AH41" s="47"/>
      <c r="AI41" s="47"/>
      <c r="AJ41" s="47"/>
      <c r="AK41" s="47"/>
      <c r="AL41" s="47"/>
      <c r="AM41" s="47"/>
      <c r="AN41" s="47"/>
      <c r="AO41" s="48"/>
      <c r="AP41" s="48"/>
      <c r="AQ41" s="48"/>
      <c r="AR41" s="48"/>
      <c r="AS41" s="28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30"/>
    </row>
    <row r="42" spans="1:56" s="49" customFormat="1" ht="15" customHeight="1" x14ac:dyDescent="0.3">
      <c r="A42" s="54">
        <f>IF(B42="","",COUNTA($B$8:B42))</f>
        <v>35</v>
      </c>
      <c r="B42" s="18" t="s">
        <v>1261</v>
      </c>
      <c r="C42" s="19"/>
      <c r="D42" s="19"/>
      <c r="E42" s="19"/>
      <c r="F42" s="19"/>
      <c r="G42" s="19"/>
      <c r="H42" s="19"/>
      <c r="I42" s="31" t="str">
        <f>VLOOKUP(B42,Sheet1!A:B,2,FALSE)</f>
        <v>invoice_no</v>
      </c>
      <c r="J42" s="21"/>
      <c r="K42" s="21"/>
      <c r="L42" s="21"/>
      <c r="M42" s="21"/>
      <c r="N42" s="21"/>
      <c r="O42" s="21"/>
      <c r="P42" s="21"/>
      <c r="Q42" s="21"/>
      <c r="R42" s="18" t="s">
        <v>1261</v>
      </c>
      <c r="S42" s="19"/>
      <c r="T42" s="19"/>
      <c r="U42" s="19"/>
      <c r="V42" s="19"/>
      <c r="W42" s="19"/>
      <c r="X42" s="19"/>
      <c r="Y42" s="139" t="s">
        <v>111</v>
      </c>
      <c r="Z42" s="140"/>
      <c r="AA42" s="141" t="s">
        <v>107</v>
      </c>
      <c r="AB42" s="142"/>
      <c r="AC42" s="143"/>
      <c r="AD42" s="55">
        <v>20</v>
      </c>
      <c r="AE42" s="26"/>
      <c r="AF42" s="47"/>
      <c r="AG42" s="47"/>
      <c r="AH42" s="47"/>
      <c r="AI42" s="47"/>
      <c r="AJ42" s="47"/>
      <c r="AK42" s="47"/>
      <c r="AL42" s="47"/>
      <c r="AM42" s="47"/>
      <c r="AN42" s="47"/>
      <c r="AO42" s="48"/>
      <c r="AP42" s="48"/>
      <c r="AQ42" s="48"/>
      <c r="AR42" s="48"/>
      <c r="AS42" s="28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30"/>
    </row>
    <row r="43" spans="1:56" ht="15" customHeight="1" x14ac:dyDescent="0.3">
      <c r="A43" s="71">
        <f>IF(B43="","",COUNTA($B$8:B43))</f>
        <v>36</v>
      </c>
      <c r="B43" s="18" t="s">
        <v>182</v>
      </c>
      <c r="C43" s="19"/>
      <c r="D43" s="19"/>
      <c r="E43" s="19"/>
      <c r="F43" s="19"/>
      <c r="G43" s="19"/>
      <c r="H43" s="22"/>
      <c r="I43" s="31" t="str">
        <f>VLOOKUP(B43,Sheet1!A:B,2,FALSE)</f>
        <v>shukan_busho_cd</v>
      </c>
      <c r="J43" s="21"/>
      <c r="K43" s="21"/>
      <c r="L43" s="21"/>
      <c r="M43" s="21"/>
      <c r="N43" s="21"/>
      <c r="O43" s="21"/>
      <c r="P43" s="21"/>
      <c r="Q43" s="33"/>
      <c r="R43" s="18" t="s">
        <v>184</v>
      </c>
      <c r="S43" s="21"/>
      <c r="T43" s="21"/>
      <c r="U43" s="21"/>
      <c r="V43" s="21"/>
      <c r="W43" s="21"/>
      <c r="X43" s="22"/>
      <c r="Y43" s="139" t="s">
        <v>56</v>
      </c>
      <c r="Z43" s="184"/>
      <c r="AA43" s="141" t="s">
        <v>107</v>
      </c>
      <c r="AB43" s="142"/>
      <c r="AC43" s="143"/>
      <c r="AD43" s="25">
        <v>4</v>
      </c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7"/>
      <c r="AP43" s="27"/>
      <c r="AQ43" s="27"/>
      <c r="AR43" s="27"/>
      <c r="AS43" s="28"/>
      <c r="AT43" s="69"/>
      <c r="AU43" s="69"/>
      <c r="AV43" s="69"/>
      <c r="AW43" s="69"/>
      <c r="AX43" s="69"/>
      <c r="AY43" s="69"/>
      <c r="AZ43" s="69"/>
      <c r="BA43" s="69"/>
      <c r="BB43" s="69"/>
      <c r="BC43" s="69"/>
      <c r="BD43" s="70"/>
    </row>
    <row r="44" spans="1:56" ht="15" customHeight="1" x14ac:dyDescent="0.3">
      <c r="A44" s="54">
        <f>IF(B44="","",COUNTA($B$8:B44))</f>
        <v>37</v>
      </c>
      <c r="B44" s="18" t="s">
        <v>183</v>
      </c>
      <c r="C44" s="19"/>
      <c r="D44" s="19"/>
      <c r="E44" s="19"/>
      <c r="F44" s="19"/>
      <c r="G44" s="19"/>
      <c r="H44" s="22"/>
      <c r="I44" s="31" t="str">
        <f>VLOOKUP(B44,Sheet1!A:B,2,FALSE)</f>
        <v>shukan_kotei_cd</v>
      </c>
      <c r="J44" s="21"/>
      <c r="K44" s="21"/>
      <c r="L44" s="21"/>
      <c r="M44" s="21"/>
      <c r="N44" s="21"/>
      <c r="O44" s="21"/>
      <c r="P44" s="21"/>
      <c r="Q44" s="33"/>
      <c r="R44" s="18" t="s">
        <v>183</v>
      </c>
      <c r="S44" s="21"/>
      <c r="T44" s="21"/>
      <c r="U44" s="21"/>
      <c r="V44" s="21"/>
      <c r="W44" s="21"/>
      <c r="X44" s="22"/>
      <c r="Y44" s="18" t="s">
        <v>56</v>
      </c>
      <c r="Z44" s="35"/>
      <c r="AA44" s="23" t="s">
        <v>107</v>
      </c>
      <c r="AB44" s="24"/>
      <c r="AC44" s="36"/>
      <c r="AD44" s="25">
        <v>4</v>
      </c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7"/>
      <c r="AP44" s="27"/>
      <c r="AQ44" s="27"/>
      <c r="AR44" s="27"/>
      <c r="AS44" s="28"/>
      <c r="AT44" s="69"/>
      <c r="AU44" s="69"/>
      <c r="AV44" s="69"/>
      <c r="AW44" s="69"/>
      <c r="AX44" s="69"/>
      <c r="AY44" s="69"/>
      <c r="AZ44" s="69"/>
      <c r="BA44" s="69"/>
      <c r="BB44" s="69"/>
      <c r="BC44" s="69"/>
      <c r="BD44" s="70"/>
    </row>
    <row r="45" spans="1:56" ht="15" customHeight="1" x14ac:dyDescent="0.3">
      <c r="A45" s="54">
        <f>IF(B45="","",COUNTA($B$8:B45))</f>
        <v>38</v>
      </c>
      <c r="B45" s="18" t="s">
        <v>1095</v>
      </c>
      <c r="C45" s="41"/>
      <c r="D45" s="41"/>
      <c r="E45" s="41"/>
      <c r="F45" s="41"/>
      <c r="G45" s="41"/>
      <c r="H45" s="41"/>
      <c r="I45" s="31" t="str">
        <f>VLOOKUP(B45,Sheet1!A:B,2,FALSE)</f>
        <v>insert_func_cd</v>
      </c>
      <c r="J45" s="32"/>
      <c r="K45" s="32"/>
      <c r="L45" s="32"/>
      <c r="M45" s="32"/>
      <c r="N45" s="32"/>
      <c r="O45" s="32"/>
      <c r="P45" s="32"/>
      <c r="Q45" s="32"/>
      <c r="R45" s="18" t="s">
        <v>1095</v>
      </c>
      <c r="S45" s="41"/>
      <c r="T45" s="41"/>
      <c r="U45" s="41"/>
      <c r="V45" s="41"/>
      <c r="W45" s="41"/>
      <c r="X45" s="41"/>
      <c r="Y45" s="18" t="s">
        <v>111</v>
      </c>
      <c r="Z45" s="34"/>
      <c r="AA45" s="23" t="s">
        <v>107</v>
      </c>
      <c r="AB45" s="24"/>
      <c r="AC45" s="36"/>
      <c r="AD45" s="25">
        <v>10</v>
      </c>
      <c r="AE45" s="37"/>
      <c r="AF45" s="37"/>
      <c r="AG45" s="37"/>
      <c r="AH45" s="37"/>
      <c r="AI45" s="37"/>
      <c r="AJ45" s="37"/>
      <c r="AK45" s="37"/>
      <c r="AL45" s="37"/>
      <c r="AM45" s="37"/>
      <c r="AN45" s="37"/>
      <c r="AO45" s="38"/>
      <c r="AP45" s="38"/>
      <c r="AQ45" s="38"/>
      <c r="AR45" s="38"/>
      <c r="AS45" s="39"/>
      <c r="AT45" s="40"/>
      <c r="AU45" s="69"/>
      <c r="AV45" s="69"/>
      <c r="AW45" s="43"/>
      <c r="AX45" s="43"/>
      <c r="AY45" s="43"/>
      <c r="AZ45" s="43"/>
      <c r="BA45" s="43"/>
      <c r="BB45" s="43"/>
      <c r="BC45" s="43"/>
      <c r="BD45" s="68"/>
    </row>
    <row r="46" spans="1:56" ht="15" customHeight="1" x14ac:dyDescent="0.3">
      <c r="A46" s="54">
        <f>IF(B46="","",COUNTA($B$8:B46))</f>
        <v>39</v>
      </c>
      <c r="B46" s="18" t="s">
        <v>112</v>
      </c>
      <c r="C46" s="41"/>
      <c r="D46" s="41"/>
      <c r="E46" s="41"/>
      <c r="F46" s="41"/>
      <c r="G46" s="41"/>
      <c r="H46" s="41"/>
      <c r="I46" s="31" t="str">
        <f>VLOOKUP(B46,Sheet1!A:B,2,FALSE)</f>
        <v>insert_user_cd</v>
      </c>
      <c r="J46" s="32"/>
      <c r="K46" s="32"/>
      <c r="L46" s="32"/>
      <c r="M46" s="32"/>
      <c r="N46" s="32"/>
      <c r="O46" s="32"/>
      <c r="P46" s="32"/>
      <c r="Q46" s="32"/>
      <c r="R46" s="18" t="s">
        <v>112</v>
      </c>
      <c r="S46" s="41"/>
      <c r="T46" s="41"/>
      <c r="U46" s="41"/>
      <c r="V46" s="41"/>
      <c r="W46" s="41"/>
      <c r="X46" s="41"/>
      <c r="Y46" s="18" t="s">
        <v>111</v>
      </c>
      <c r="Z46" s="34"/>
      <c r="AA46" s="23" t="s">
        <v>107</v>
      </c>
      <c r="AB46" s="24"/>
      <c r="AC46" s="36"/>
      <c r="AD46" s="25">
        <v>10</v>
      </c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7"/>
      <c r="AP46" s="27"/>
      <c r="AQ46" s="27"/>
      <c r="AR46" s="27"/>
      <c r="AS46" s="39"/>
      <c r="AT46" s="46"/>
      <c r="AU46" s="43"/>
      <c r="AV46" s="43"/>
      <c r="AW46" s="43"/>
      <c r="AX46" s="43"/>
      <c r="AY46" s="43"/>
      <c r="AZ46" s="43"/>
      <c r="BA46" s="43"/>
      <c r="BB46" s="43"/>
      <c r="BC46" s="43"/>
      <c r="BD46" s="68"/>
    </row>
    <row r="47" spans="1:56" ht="15" customHeight="1" x14ac:dyDescent="0.3">
      <c r="A47" s="54">
        <f>IF(B47="","",COUNTA($B$8:B47))</f>
        <v>40</v>
      </c>
      <c r="B47" s="18" t="s">
        <v>113</v>
      </c>
      <c r="C47" s="41"/>
      <c r="D47" s="41"/>
      <c r="E47" s="41"/>
      <c r="F47" s="41"/>
      <c r="G47" s="41"/>
      <c r="H47" s="41"/>
      <c r="I47" s="31" t="str">
        <f>VLOOKUP(B47,Sheet1!A:B,2,FALSE)</f>
        <v>insert_datetime</v>
      </c>
      <c r="J47" s="32"/>
      <c r="K47" s="32"/>
      <c r="L47" s="32"/>
      <c r="M47" s="32"/>
      <c r="N47" s="32"/>
      <c r="O47" s="32"/>
      <c r="P47" s="32"/>
      <c r="Q47" s="32"/>
      <c r="R47" s="18" t="s">
        <v>113</v>
      </c>
      <c r="S47" s="41"/>
      <c r="T47" s="41"/>
      <c r="U47" s="41"/>
      <c r="V47" s="41"/>
      <c r="W47" s="41"/>
      <c r="X47" s="41"/>
      <c r="Y47" s="18" t="s">
        <v>87</v>
      </c>
      <c r="Z47" s="34"/>
      <c r="AA47" s="23" t="s">
        <v>109</v>
      </c>
      <c r="AB47" s="24"/>
      <c r="AC47" s="36"/>
      <c r="AD47" s="55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7"/>
      <c r="AP47" s="27"/>
      <c r="AQ47" s="27"/>
      <c r="AR47" s="27"/>
      <c r="AS47" s="39"/>
      <c r="AT47" s="46"/>
      <c r="AU47" s="43"/>
      <c r="AV47" s="43"/>
      <c r="AW47" s="43"/>
      <c r="AX47" s="43"/>
      <c r="AY47" s="43"/>
      <c r="AZ47" s="43"/>
      <c r="BA47" s="43"/>
      <c r="BB47" s="43"/>
      <c r="BC47" s="43"/>
      <c r="BD47" s="68"/>
    </row>
    <row r="48" spans="1:56" ht="15" customHeight="1" x14ac:dyDescent="0.3">
      <c r="A48" s="54">
        <f>IF(B48="","",COUNTA($B$8:B48))</f>
        <v>41</v>
      </c>
      <c r="B48" s="18" t="s">
        <v>1094</v>
      </c>
      <c r="C48" s="41"/>
      <c r="D48" s="41"/>
      <c r="E48" s="41"/>
      <c r="F48" s="41"/>
      <c r="G48" s="41"/>
      <c r="H48" s="41"/>
      <c r="I48" s="31" t="str">
        <f>VLOOKUP(B48,Sheet1!A:B,2,FALSE)</f>
        <v>update_func_cd</v>
      </c>
      <c r="J48" s="32"/>
      <c r="K48" s="32"/>
      <c r="L48" s="32"/>
      <c r="M48" s="32"/>
      <c r="N48" s="32"/>
      <c r="O48" s="32"/>
      <c r="P48" s="32"/>
      <c r="Q48" s="32"/>
      <c r="R48" s="18" t="s">
        <v>1094</v>
      </c>
      <c r="S48" s="41"/>
      <c r="T48" s="41"/>
      <c r="U48" s="41"/>
      <c r="V48" s="41"/>
      <c r="W48" s="41"/>
      <c r="X48" s="41"/>
      <c r="Y48" s="18" t="s">
        <v>111</v>
      </c>
      <c r="Z48" s="34"/>
      <c r="AA48" s="23" t="s">
        <v>107</v>
      </c>
      <c r="AB48" s="24"/>
      <c r="AC48" s="36"/>
      <c r="AD48" s="25">
        <v>10</v>
      </c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8"/>
      <c r="AP48" s="38"/>
      <c r="AQ48" s="38"/>
      <c r="AR48" s="38"/>
      <c r="AS48" s="39"/>
      <c r="AT48" s="40"/>
      <c r="AU48" s="43"/>
      <c r="AV48" s="43"/>
      <c r="AW48" s="43"/>
      <c r="AX48" s="43"/>
      <c r="AY48" s="43"/>
      <c r="AZ48" s="43"/>
      <c r="BA48" s="43"/>
      <c r="BB48" s="43"/>
      <c r="BC48" s="43"/>
      <c r="BD48" s="68"/>
    </row>
    <row r="49" spans="1:57" ht="15" customHeight="1" x14ac:dyDescent="0.3">
      <c r="A49" s="54">
        <f>IF(B49="","",COUNTA($B$8:B49))</f>
        <v>42</v>
      </c>
      <c r="B49" s="18" t="s">
        <v>114</v>
      </c>
      <c r="C49" s="19"/>
      <c r="D49" s="19"/>
      <c r="E49" s="19"/>
      <c r="F49" s="19"/>
      <c r="G49" s="19"/>
      <c r="H49" s="19"/>
      <c r="I49" s="31" t="str">
        <f>VLOOKUP(B49,Sheet1!A:B,2,FALSE)</f>
        <v>update_user_cd</v>
      </c>
      <c r="J49" s="21"/>
      <c r="K49" s="21"/>
      <c r="L49" s="21"/>
      <c r="M49" s="21"/>
      <c r="N49" s="21"/>
      <c r="O49" s="21"/>
      <c r="P49" s="21"/>
      <c r="Q49" s="21"/>
      <c r="R49" s="18" t="s">
        <v>114</v>
      </c>
      <c r="S49" s="19"/>
      <c r="T49" s="19"/>
      <c r="U49" s="19"/>
      <c r="V49" s="19"/>
      <c r="W49" s="19"/>
      <c r="X49" s="19"/>
      <c r="Y49" s="18" t="s">
        <v>111</v>
      </c>
      <c r="Z49" s="34"/>
      <c r="AA49" s="23" t="s">
        <v>107</v>
      </c>
      <c r="AB49" s="24"/>
      <c r="AC49" s="36"/>
      <c r="AD49" s="55">
        <v>10</v>
      </c>
      <c r="AE49" s="37"/>
      <c r="AF49" s="37"/>
      <c r="AG49" s="37"/>
      <c r="AH49" s="37"/>
      <c r="AI49" s="37"/>
      <c r="AJ49" s="37"/>
      <c r="AK49" s="37"/>
      <c r="AL49" s="37"/>
      <c r="AM49" s="37"/>
      <c r="AN49" s="37"/>
      <c r="AO49" s="38"/>
      <c r="AP49" s="38"/>
      <c r="AQ49" s="38"/>
      <c r="AR49" s="38"/>
      <c r="AS49" s="39"/>
      <c r="AT49" s="40"/>
      <c r="AU49" s="43"/>
      <c r="AV49" s="43"/>
      <c r="AW49" s="43"/>
      <c r="AX49" s="43"/>
      <c r="AY49" s="43"/>
      <c r="AZ49" s="43"/>
      <c r="BA49" s="43"/>
      <c r="BB49" s="43"/>
      <c r="BC49" s="43"/>
      <c r="BD49" s="68"/>
    </row>
    <row r="50" spans="1:57" ht="15" customHeight="1" x14ac:dyDescent="0.3">
      <c r="A50" s="54">
        <f>IF(B50="","",COUNTA($B$8:B50))</f>
        <v>43</v>
      </c>
      <c r="B50" s="18" t="s">
        <v>115</v>
      </c>
      <c r="C50" s="19"/>
      <c r="D50" s="19"/>
      <c r="E50" s="19"/>
      <c r="F50" s="19"/>
      <c r="G50" s="19"/>
      <c r="H50" s="19"/>
      <c r="I50" s="31" t="str">
        <f>VLOOKUP(B50,Sheet1!A:B,2,FALSE)</f>
        <v>update_datetime</v>
      </c>
      <c r="J50" s="21"/>
      <c r="K50" s="21"/>
      <c r="L50" s="21"/>
      <c r="M50" s="21"/>
      <c r="N50" s="21"/>
      <c r="O50" s="21"/>
      <c r="P50" s="21"/>
      <c r="Q50" s="21"/>
      <c r="R50" s="18" t="s">
        <v>115</v>
      </c>
      <c r="S50" s="19"/>
      <c r="T50" s="19"/>
      <c r="U50" s="19"/>
      <c r="V50" s="19"/>
      <c r="W50" s="19"/>
      <c r="X50" s="19"/>
      <c r="Y50" s="18" t="s">
        <v>87</v>
      </c>
      <c r="Z50" s="34"/>
      <c r="AA50" s="23" t="s">
        <v>109</v>
      </c>
      <c r="AB50" s="24"/>
      <c r="AC50" s="36"/>
      <c r="AD50" s="55"/>
      <c r="AE50" s="27"/>
      <c r="AF50" s="27"/>
      <c r="AG50" s="27"/>
      <c r="AH50" s="27"/>
      <c r="AI50" s="27"/>
      <c r="AJ50" s="27"/>
      <c r="AK50" s="27"/>
      <c r="AL50" s="27"/>
      <c r="AM50" s="27"/>
      <c r="AN50" s="27"/>
      <c r="AO50" s="27"/>
      <c r="AP50" s="27"/>
      <c r="AQ50" s="27"/>
      <c r="AR50" s="27"/>
      <c r="AS50" s="42"/>
      <c r="AT50" s="43"/>
      <c r="AU50" s="43"/>
      <c r="AV50" s="43"/>
      <c r="AW50" s="43"/>
      <c r="AX50" s="43"/>
      <c r="AY50" s="43"/>
      <c r="AZ50" s="43"/>
      <c r="BA50" s="43"/>
      <c r="BB50" s="43"/>
      <c r="BC50" s="43"/>
      <c r="BD50" s="68"/>
    </row>
    <row r="51" spans="1:57" s="49" customFormat="1" ht="15" customHeight="1" x14ac:dyDescent="0.3">
      <c r="A51" s="54" t="str">
        <f>IF(B51="","",COUNTA($B$8:B51))</f>
        <v/>
      </c>
      <c r="B51" s="18"/>
      <c r="C51" s="19"/>
      <c r="D51" s="19"/>
      <c r="E51" s="19"/>
      <c r="F51" s="19"/>
      <c r="G51" s="19"/>
      <c r="H51" s="19"/>
      <c r="I51" s="20"/>
      <c r="J51" s="21"/>
      <c r="K51" s="21"/>
      <c r="L51" s="21"/>
      <c r="M51" s="21"/>
      <c r="N51" s="21"/>
      <c r="O51" s="21"/>
      <c r="P51" s="21"/>
      <c r="Q51" s="21"/>
      <c r="R51" s="18"/>
      <c r="S51" s="19"/>
      <c r="T51" s="19"/>
      <c r="U51" s="19"/>
      <c r="V51" s="19"/>
      <c r="W51" s="19"/>
      <c r="X51" s="19"/>
      <c r="Y51" s="139"/>
      <c r="Z51" s="140"/>
      <c r="AA51" s="141"/>
      <c r="AB51" s="142"/>
      <c r="AC51" s="143"/>
      <c r="AD51" s="55"/>
      <c r="AE51" s="26"/>
      <c r="AF51" s="47"/>
      <c r="AG51" s="47"/>
      <c r="AH51" s="47"/>
      <c r="AI51" s="47"/>
      <c r="AJ51" s="47"/>
      <c r="AK51" s="47"/>
      <c r="AL51" s="47"/>
      <c r="AM51" s="47"/>
      <c r="AN51" s="47"/>
      <c r="AO51" s="48"/>
      <c r="AP51" s="48"/>
      <c r="AQ51" s="48"/>
      <c r="AR51" s="48"/>
      <c r="AS51" s="28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30"/>
    </row>
    <row r="52" spans="1:57" ht="15" customHeight="1" x14ac:dyDescent="0.3">
      <c r="A52" s="54" t="str">
        <f>IF(B52="","",COUNTA($B$8:B52))</f>
        <v/>
      </c>
      <c r="B52" s="42"/>
      <c r="C52" s="41"/>
      <c r="D52" s="41"/>
      <c r="E52" s="41"/>
      <c r="F52" s="41"/>
      <c r="G52" s="41"/>
      <c r="H52" s="41"/>
      <c r="I52" s="31"/>
      <c r="J52" s="32"/>
      <c r="K52" s="32"/>
      <c r="L52" s="32"/>
      <c r="M52" s="32"/>
      <c r="N52" s="32"/>
      <c r="O52" s="32"/>
      <c r="P52" s="32"/>
      <c r="Q52" s="32"/>
      <c r="R52" s="42"/>
      <c r="S52" s="41"/>
      <c r="T52" s="41"/>
      <c r="U52" s="41"/>
      <c r="V52" s="41"/>
      <c r="W52" s="41"/>
      <c r="X52" s="41"/>
      <c r="Y52" s="139"/>
      <c r="Z52" s="140"/>
      <c r="AA52" s="141"/>
      <c r="AB52" s="142"/>
      <c r="AC52" s="143"/>
      <c r="AD52" s="72"/>
      <c r="AE52" s="27"/>
      <c r="AF52" s="27"/>
      <c r="AG52" s="27"/>
      <c r="AH52" s="27"/>
      <c r="AI52" s="27"/>
      <c r="AJ52" s="27"/>
      <c r="AK52" s="27"/>
      <c r="AL52" s="27"/>
      <c r="AM52" s="27"/>
      <c r="AN52" s="27"/>
      <c r="AO52" s="27"/>
      <c r="AP52" s="27"/>
      <c r="AQ52" s="27"/>
      <c r="AR52" s="27"/>
      <c r="AS52" s="42"/>
      <c r="AT52" s="43"/>
      <c r="AU52" s="43"/>
      <c r="AV52" s="43"/>
      <c r="AW52" s="43"/>
      <c r="AX52" s="43"/>
      <c r="AY52" s="43"/>
      <c r="AZ52" s="43"/>
      <c r="BA52" s="43"/>
      <c r="BB52" s="43"/>
      <c r="BC52" s="43"/>
      <c r="BD52" s="68"/>
    </row>
    <row r="53" spans="1:57" ht="15" customHeight="1" x14ac:dyDescent="0.3">
      <c r="A53" s="54" t="str">
        <f>IF(B53="","",COUNTA($B$8:B53))</f>
        <v/>
      </c>
      <c r="B53" s="42"/>
      <c r="C53" s="41"/>
      <c r="D53" s="41"/>
      <c r="E53" s="41"/>
      <c r="F53" s="41"/>
      <c r="G53" s="41"/>
      <c r="H53" s="41"/>
      <c r="I53" s="31"/>
      <c r="J53" s="32"/>
      <c r="K53" s="32"/>
      <c r="L53" s="32"/>
      <c r="M53" s="32"/>
      <c r="N53" s="32"/>
      <c r="O53" s="32"/>
      <c r="P53" s="32"/>
      <c r="Q53" s="32"/>
      <c r="R53" s="42"/>
      <c r="S53" s="41"/>
      <c r="T53" s="41"/>
      <c r="U53" s="41"/>
      <c r="V53" s="41"/>
      <c r="W53" s="41"/>
      <c r="X53" s="41"/>
      <c r="Y53" s="139"/>
      <c r="Z53" s="140"/>
      <c r="AA53" s="141"/>
      <c r="AB53" s="142"/>
      <c r="AC53" s="143"/>
      <c r="AD53" s="72"/>
      <c r="AE53" s="27"/>
      <c r="AF53" s="27"/>
      <c r="AG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50"/>
      <c r="AT53" s="51"/>
      <c r="AU53" s="51"/>
      <c r="AV53" s="51"/>
      <c r="AW53" s="51"/>
      <c r="AX53" s="51"/>
      <c r="AY53" s="51"/>
      <c r="AZ53" s="51"/>
      <c r="BA53" s="51"/>
      <c r="BB53" s="51"/>
      <c r="BC53" s="51"/>
      <c r="BD53" s="52"/>
      <c r="BE53" s="53"/>
    </row>
    <row r="54" spans="1:57" ht="15" customHeight="1" x14ac:dyDescent="0.3">
      <c r="A54" s="54" t="str">
        <f>IF(B54="","",COUNTA($B$8:B54))</f>
        <v/>
      </c>
      <c r="B54" s="42"/>
      <c r="C54" s="41"/>
      <c r="D54" s="41"/>
      <c r="E54" s="41"/>
      <c r="F54" s="41"/>
      <c r="G54" s="41"/>
      <c r="H54" s="41"/>
      <c r="I54" s="31"/>
      <c r="J54" s="32"/>
      <c r="K54" s="32"/>
      <c r="L54" s="32"/>
      <c r="M54" s="32"/>
      <c r="N54" s="32"/>
      <c r="O54" s="32"/>
      <c r="P54" s="32"/>
      <c r="Q54" s="32"/>
      <c r="R54" s="42"/>
      <c r="S54" s="41"/>
      <c r="T54" s="41"/>
      <c r="U54" s="41"/>
      <c r="V54" s="41"/>
      <c r="W54" s="41"/>
      <c r="X54" s="41"/>
      <c r="Y54" s="139"/>
      <c r="Z54" s="140"/>
      <c r="AA54" s="141"/>
      <c r="AB54" s="142"/>
      <c r="AC54" s="143"/>
      <c r="AD54" s="72"/>
      <c r="AE54" s="27"/>
      <c r="AF54" s="27"/>
      <c r="AG54" s="27"/>
      <c r="AH54" s="27"/>
      <c r="AI54" s="27"/>
      <c r="AJ54" s="27"/>
      <c r="AK54" s="27"/>
      <c r="AL54" s="27"/>
      <c r="AM54" s="27"/>
      <c r="AN54" s="27"/>
      <c r="AO54" s="27"/>
      <c r="AP54" s="27"/>
      <c r="AQ54" s="27"/>
      <c r="AR54" s="27"/>
      <c r="AS54" s="50"/>
      <c r="AT54" s="51"/>
      <c r="AU54" s="51"/>
      <c r="AV54" s="51"/>
      <c r="AW54" s="51"/>
      <c r="AX54" s="51"/>
      <c r="AY54" s="51"/>
      <c r="AZ54" s="51"/>
      <c r="BA54" s="51"/>
      <c r="BB54" s="51"/>
      <c r="BC54" s="51"/>
      <c r="BD54" s="52"/>
      <c r="BE54" s="53"/>
    </row>
    <row r="55" spans="1:57" ht="15" customHeight="1" x14ac:dyDescent="0.3">
      <c r="A55" s="54" t="str">
        <f>IF(B55="","",COUNTA($B$8:B55))</f>
        <v/>
      </c>
      <c r="B55" s="42"/>
      <c r="C55" s="41"/>
      <c r="D55" s="41"/>
      <c r="E55" s="41"/>
      <c r="F55" s="41"/>
      <c r="G55" s="41"/>
      <c r="H55" s="41"/>
      <c r="I55" s="31"/>
      <c r="J55" s="32"/>
      <c r="K55" s="32"/>
      <c r="L55" s="32"/>
      <c r="M55" s="32"/>
      <c r="N55" s="32"/>
      <c r="O55" s="32"/>
      <c r="P55" s="32"/>
      <c r="Q55" s="32"/>
      <c r="R55" s="42"/>
      <c r="S55" s="41"/>
      <c r="T55" s="41"/>
      <c r="U55" s="41"/>
      <c r="V55" s="41"/>
      <c r="W55" s="41"/>
      <c r="X55" s="41"/>
      <c r="Y55" s="139"/>
      <c r="Z55" s="140"/>
      <c r="AA55" s="141"/>
      <c r="AB55" s="142"/>
      <c r="AC55" s="143"/>
      <c r="AD55" s="72"/>
      <c r="AE55" s="27"/>
      <c r="AF55" s="27"/>
      <c r="AG55" s="27"/>
      <c r="AH55" s="27"/>
      <c r="AI55" s="27"/>
      <c r="AJ55" s="27"/>
      <c r="AK55" s="27"/>
      <c r="AL55" s="27"/>
      <c r="AM55" s="27"/>
      <c r="AN55" s="27"/>
      <c r="AO55" s="27"/>
      <c r="AP55" s="27"/>
      <c r="AQ55" s="27"/>
      <c r="AR55" s="27"/>
      <c r="AS55" s="50"/>
      <c r="AT55" s="51"/>
      <c r="AU55" s="51"/>
      <c r="AV55" s="51"/>
      <c r="AW55" s="51"/>
      <c r="AX55" s="51"/>
      <c r="AY55" s="51"/>
      <c r="AZ55" s="51"/>
      <c r="BA55" s="51"/>
      <c r="BB55" s="51"/>
      <c r="BC55" s="51"/>
      <c r="BD55" s="52"/>
      <c r="BE55" s="53"/>
    </row>
    <row r="56" spans="1:57" ht="15" customHeight="1" x14ac:dyDescent="0.3">
      <c r="A56" s="54" t="str">
        <f>IF(B56="","",COUNTA($B$8:B56))</f>
        <v/>
      </c>
      <c r="B56" s="42"/>
      <c r="C56" s="41"/>
      <c r="D56" s="41"/>
      <c r="E56" s="41"/>
      <c r="F56" s="41"/>
      <c r="G56" s="41"/>
      <c r="H56" s="41"/>
      <c r="I56" s="31"/>
      <c r="J56" s="32"/>
      <c r="K56" s="32"/>
      <c r="L56" s="32"/>
      <c r="M56" s="32"/>
      <c r="N56" s="32"/>
      <c r="O56" s="32"/>
      <c r="P56" s="32"/>
      <c r="Q56" s="32"/>
      <c r="R56" s="42"/>
      <c r="S56" s="41"/>
      <c r="T56" s="41"/>
      <c r="U56" s="41"/>
      <c r="V56" s="41"/>
      <c r="W56" s="41"/>
      <c r="X56" s="41"/>
      <c r="Y56" s="139"/>
      <c r="Z56" s="140"/>
      <c r="AA56" s="141"/>
      <c r="AB56" s="142"/>
      <c r="AC56" s="143"/>
      <c r="AD56" s="72"/>
      <c r="AE56" s="27"/>
      <c r="AF56" s="27"/>
      <c r="AG56" s="27"/>
      <c r="AH56" s="27"/>
      <c r="AI56" s="27"/>
      <c r="AJ56" s="27"/>
      <c r="AK56" s="27"/>
      <c r="AL56" s="27"/>
      <c r="AM56" s="27"/>
      <c r="AN56" s="27"/>
      <c r="AO56" s="27"/>
      <c r="AP56" s="27"/>
      <c r="AQ56" s="27"/>
      <c r="AR56" s="27"/>
      <c r="AS56" s="50"/>
      <c r="AT56" s="51"/>
      <c r="AU56" s="51"/>
      <c r="AV56" s="51"/>
      <c r="AW56" s="51"/>
      <c r="AX56" s="51"/>
      <c r="AY56" s="51"/>
      <c r="AZ56" s="51"/>
      <c r="BA56" s="51"/>
      <c r="BB56" s="51"/>
      <c r="BC56" s="51"/>
      <c r="BD56" s="52"/>
      <c r="BE56" s="53"/>
    </row>
    <row r="57" spans="1:57" ht="15" customHeight="1" x14ac:dyDescent="0.3">
      <c r="A57" s="54" t="str">
        <f>IF(B57="","",COUNTA($B$8:B57))</f>
        <v/>
      </c>
      <c r="B57" s="42"/>
      <c r="C57" s="41"/>
      <c r="D57" s="41"/>
      <c r="E57" s="41"/>
      <c r="F57" s="41"/>
      <c r="G57" s="41"/>
      <c r="H57" s="41"/>
      <c r="I57" s="31"/>
      <c r="J57" s="32"/>
      <c r="K57" s="32"/>
      <c r="L57" s="32"/>
      <c r="M57" s="32"/>
      <c r="N57" s="32"/>
      <c r="O57" s="32"/>
      <c r="P57" s="32"/>
      <c r="Q57" s="32"/>
      <c r="R57" s="42"/>
      <c r="S57" s="41"/>
      <c r="T57" s="41"/>
      <c r="U57" s="41"/>
      <c r="V57" s="41"/>
      <c r="W57" s="41"/>
      <c r="X57" s="41"/>
      <c r="Y57" s="139"/>
      <c r="Z57" s="140"/>
      <c r="AA57" s="141"/>
      <c r="AB57" s="142"/>
      <c r="AC57" s="143"/>
      <c r="AD57" s="72"/>
      <c r="AE57" s="27"/>
      <c r="AF57" s="27"/>
      <c r="AG57" s="27"/>
      <c r="AH57" s="27"/>
      <c r="AI57" s="27"/>
      <c r="AJ57" s="27"/>
      <c r="AK57" s="27"/>
      <c r="AL57" s="27"/>
      <c r="AM57" s="27"/>
      <c r="AN57" s="27"/>
      <c r="AO57" s="27"/>
      <c r="AP57" s="27"/>
      <c r="AQ57" s="27"/>
      <c r="AR57" s="27"/>
      <c r="AS57" s="50"/>
      <c r="AT57" s="51"/>
      <c r="AU57" s="51"/>
      <c r="AV57" s="51"/>
      <c r="AW57" s="51"/>
      <c r="AX57" s="51"/>
      <c r="AY57" s="51"/>
      <c r="AZ57" s="51"/>
      <c r="BA57" s="51"/>
      <c r="BB57" s="51"/>
      <c r="BC57" s="51"/>
      <c r="BD57" s="52"/>
      <c r="BE57" s="53"/>
    </row>
    <row r="58" spans="1:57" ht="15" customHeight="1" x14ac:dyDescent="0.3">
      <c r="A58" s="54" t="str">
        <f>IF(B58="","",COUNTA($B$8:B58))</f>
        <v/>
      </c>
      <c r="B58" s="42"/>
      <c r="C58" s="41"/>
      <c r="D58" s="41"/>
      <c r="E58" s="41"/>
      <c r="F58" s="41"/>
      <c r="G58" s="41"/>
      <c r="H58" s="41"/>
      <c r="I58" s="31"/>
      <c r="J58" s="32"/>
      <c r="K58" s="32"/>
      <c r="L58" s="32"/>
      <c r="M58" s="32"/>
      <c r="N58" s="32"/>
      <c r="O58" s="32"/>
      <c r="P58" s="32"/>
      <c r="Q58" s="32"/>
      <c r="R58" s="42"/>
      <c r="S58" s="41"/>
      <c r="T58" s="41"/>
      <c r="U58" s="41"/>
      <c r="V58" s="41"/>
      <c r="W58" s="41"/>
      <c r="X58" s="41"/>
      <c r="Y58" s="139"/>
      <c r="Z58" s="140"/>
      <c r="AA58" s="141"/>
      <c r="AB58" s="142"/>
      <c r="AC58" s="143"/>
      <c r="AD58" s="72"/>
      <c r="AE58" s="27"/>
      <c r="AF58" s="27"/>
      <c r="AG58" s="27"/>
      <c r="AH58" s="27"/>
      <c r="AI58" s="27"/>
      <c r="AJ58" s="27"/>
      <c r="AK58" s="27"/>
      <c r="AL58" s="27"/>
      <c r="AM58" s="27"/>
      <c r="AN58" s="27"/>
      <c r="AO58" s="27"/>
      <c r="AP58" s="27"/>
      <c r="AQ58" s="27"/>
      <c r="AR58" s="27"/>
      <c r="AS58" s="50"/>
      <c r="AT58" s="51"/>
      <c r="AU58" s="51"/>
      <c r="AV58" s="51"/>
      <c r="AW58" s="51"/>
      <c r="AX58" s="51"/>
      <c r="AY58" s="51"/>
      <c r="AZ58" s="51"/>
      <c r="BA58" s="51"/>
      <c r="BB58" s="51"/>
      <c r="BC58" s="51"/>
      <c r="BD58" s="52"/>
      <c r="BE58" s="53"/>
    </row>
    <row r="59" spans="1:57" ht="15" customHeight="1" x14ac:dyDescent="0.3">
      <c r="A59" s="54" t="str">
        <f>IF(B59="","",COUNTA($B$8:B59))</f>
        <v/>
      </c>
      <c r="B59" s="42"/>
      <c r="C59" s="41"/>
      <c r="D59" s="41"/>
      <c r="E59" s="41"/>
      <c r="F59" s="41"/>
      <c r="G59" s="41"/>
      <c r="H59" s="41"/>
      <c r="I59" s="31"/>
      <c r="J59" s="32"/>
      <c r="K59" s="32"/>
      <c r="L59" s="32"/>
      <c r="M59" s="32"/>
      <c r="N59" s="32"/>
      <c r="O59" s="32"/>
      <c r="P59" s="32"/>
      <c r="Q59" s="32"/>
      <c r="R59" s="42"/>
      <c r="S59" s="41"/>
      <c r="T59" s="41"/>
      <c r="U59" s="41"/>
      <c r="V59" s="41"/>
      <c r="W59" s="41"/>
      <c r="X59" s="41"/>
      <c r="Y59" s="139"/>
      <c r="Z59" s="140"/>
      <c r="AA59" s="141"/>
      <c r="AB59" s="142"/>
      <c r="AC59" s="143"/>
      <c r="AD59" s="72"/>
      <c r="AE59" s="27"/>
      <c r="AF59" s="27"/>
      <c r="AG59" s="27"/>
      <c r="AH59" s="27"/>
      <c r="AI59" s="27"/>
      <c r="AJ59" s="27"/>
      <c r="AK59" s="27"/>
      <c r="AL59" s="27"/>
      <c r="AM59" s="27"/>
      <c r="AN59" s="27"/>
      <c r="AO59" s="27"/>
      <c r="AP59" s="27"/>
      <c r="AQ59" s="27"/>
      <c r="AR59" s="27"/>
      <c r="AS59" s="50"/>
      <c r="AT59" s="51"/>
      <c r="AU59" s="51"/>
      <c r="AV59" s="51"/>
      <c r="AW59" s="51"/>
      <c r="AX59" s="51"/>
      <c r="AY59" s="51"/>
      <c r="AZ59" s="51"/>
      <c r="BA59" s="51"/>
      <c r="BB59" s="51"/>
      <c r="BC59" s="51"/>
      <c r="BD59" s="52"/>
      <c r="BE59" s="53"/>
    </row>
    <row r="60" spans="1:57" ht="15" customHeight="1" x14ac:dyDescent="0.3">
      <c r="A60" s="54" t="str">
        <f>IF(B60="","",COUNTA($B$8:B60))</f>
        <v/>
      </c>
      <c r="B60" s="42"/>
      <c r="C60" s="41"/>
      <c r="D60" s="41"/>
      <c r="E60" s="41"/>
      <c r="F60" s="41"/>
      <c r="G60" s="41"/>
      <c r="H60" s="41"/>
      <c r="I60" s="31"/>
      <c r="J60" s="32"/>
      <c r="K60" s="32"/>
      <c r="L60" s="32"/>
      <c r="M60" s="32"/>
      <c r="N60" s="32"/>
      <c r="O60" s="32"/>
      <c r="P60" s="32"/>
      <c r="Q60" s="32"/>
      <c r="R60" s="42"/>
      <c r="S60" s="41"/>
      <c r="T60" s="41"/>
      <c r="U60" s="41"/>
      <c r="V60" s="41"/>
      <c r="W60" s="41"/>
      <c r="X60" s="41"/>
      <c r="Y60" s="139"/>
      <c r="Z60" s="140"/>
      <c r="AA60" s="141"/>
      <c r="AB60" s="142"/>
      <c r="AC60" s="143"/>
      <c r="AD60" s="72"/>
      <c r="AE60" s="27"/>
      <c r="AF60" s="27"/>
      <c r="AG60" s="27"/>
      <c r="AH60" s="27"/>
      <c r="AI60" s="27"/>
      <c r="AJ60" s="27"/>
      <c r="AK60" s="27"/>
      <c r="AL60" s="27"/>
      <c r="AM60" s="27"/>
      <c r="AN60" s="27"/>
      <c r="AO60" s="27"/>
      <c r="AP60" s="27"/>
      <c r="AQ60" s="27"/>
      <c r="AR60" s="27"/>
      <c r="AS60" s="50"/>
      <c r="AT60" s="51"/>
      <c r="AU60" s="51"/>
      <c r="AV60" s="51"/>
      <c r="AW60" s="51"/>
      <c r="AX60" s="51"/>
      <c r="AY60" s="51"/>
      <c r="AZ60" s="51"/>
      <c r="BA60" s="51"/>
      <c r="BB60" s="51"/>
      <c r="BC60" s="51"/>
      <c r="BD60" s="52"/>
      <c r="BE60" s="53"/>
    </row>
    <row r="61" spans="1:57" ht="15" customHeight="1" x14ac:dyDescent="0.3">
      <c r="A61" s="54" t="str">
        <f>IF(B61="","",COUNTA($B$8:B61))</f>
        <v/>
      </c>
      <c r="B61" s="42"/>
      <c r="C61" s="41"/>
      <c r="D61" s="41"/>
      <c r="E61" s="41"/>
      <c r="F61" s="41"/>
      <c r="G61" s="41"/>
      <c r="H61" s="41"/>
      <c r="I61" s="31"/>
      <c r="J61" s="32"/>
      <c r="K61" s="32"/>
      <c r="L61" s="32"/>
      <c r="M61" s="32"/>
      <c r="N61" s="32"/>
      <c r="O61" s="32"/>
      <c r="P61" s="32"/>
      <c r="Q61" s="32"/>
      <c r="R61" s="42"/>
      <c r="S61" s="41"/>
      <c r="T61" s="41"/>
      <c r="U61" s="41"/>
      <c r="V61" s="41"/>
      <c r="W61" s="41"/>
      <c r="X61" s="41"/>
      <c r="Y61" s="139"/>
      <c r="Z61" s="140"/>
      <c r="AA61" s="141"/>
      <c r="AB61" s="142"/>
      <c r="AC61" s="143"/>
      <c r="AD61" s="72"/>
      <c r="AE61" s="27"/>
      <c r="AF61" s="27"/>
      <c r="AG61" s="27"/>
      <c r="AH61" s="27"/>
      <c r="AI61" s="27"/>
      <c r="AJ61" s="27"/>
      <c r="AK61" s="27"/>
      <c r="AL61" s="27"/>
      <c r="AM61" s="27"/>
      <c r="AN61" s="27"/>
      <c r="AO61" s="27"/>
      <c r="AP61" s="27"/>
      <c r="AQ61" s="27"/>
      <c r="AR61" s="27"/>
      <c r="AS61" s="50"/>
      <c r="AT61" s="51"/>
      <c r="AU61" s="51"/>
      <c r="AV61" s="51"/>
      <c r="AW61" s="51"/>
      <c r="AX61" s="51"/>
      <c r="AY61" s="51"/>
      <c r="AZ61" s="51"/>
      <c r="BA61" s="51"/>
      <c r="BB61" s="51"/>
      <c r="BC61" s="51"/>
      <c r="BD61" s="52"/>
      <c r="BE61" s="53"/>
    </row>
    <row r="62" spans="1:57" ht="15" customHeight="1" x14ac:dyDescent="0.3">
      <c r="A62" s="54" t="str">
        <f>IF(B62="","",COUNTA($B$8:B62))</f>
        <v/>
      </c>
      <c r="B62" s="42"/>
      <c r="C62" s="41"/>
      <c r="D62" s="41"/>
      <c r="E62" s="41"/>
      <c r="F62" s="41"/>
      <c r="G62" s="41"/>
      <c r="H62" s="41"/>
      <c r="I62" s="31"/>
      <c r="J62" s="32"/>
      <c r="K62" s="32"/>
      <c r="L62" s="32"/>
      <c r="M62" s="32"/>
      <c r="N62" s="32"/>
      <c r="O62" s="32"/>
      <c r="P62" s="32"/>
      <c r="Q62" s="32"/>
      <c r="R62" s="42"/>
      <c r="S62" s="41"/>
      <c r="T62" s="41"/>
      <c r="U62" s="41"/>
      <c r="V62" s="41"/>
      <c r="W62" s="41"/>
      <c r="X62" s="41"/>
      <c r="Y62" s="139"/>
      <c r="Z62" s="140"/>
      <c r="AA62" s="141"/>
      <c r="AB62" s="142"/>
      <c r="AC62" s="143"/>
      <c r="AD62" s="72"/>
      <c r="AE62" s="27"/>
      <c r="AF62" s="27"/>
      <c r="AG62" s="27"/>
      <c r="AH62" s="27"/>
      <c r="AI62" s="27"/>
      <c r="AJ62" s="27"/>
      <c r="AK62" s="27"/>
      <c r="AL62" s="27"/>
      <c r="AM62" s="27"/>
      <c r="AN62" s="27"/>
      <c r="AO62" s="27"/>
      <c r="AP62" s="27"/>
      <c r="AQ62" s="27"/>
      <c r="AR62" s="27"/>
      <c r="AS62" s="50"/>
      <c r="AT62" s="51"/>
      <c r="AU62" s="51"/>
      <c r="AV62" s="51"/>
      <c r="AW62" s="51"/>
      <c r="AX62" s="51"/>
      <c r="AY62" s="51"/>
      <c r="AZ62" s="51"/>
      <c r="BA62" s="51"/>
      <c r="BB62" s="51"/>
      <c r="BC62" s="51"/>
      <c r="BD62" s="52"/>
      <c r="BE62" s="53"/>
    </row>
    <row r="63" spans="1:57" ht="15" customHeight="1" x14ac:dyDescent="0.3">
      <c r="A63" s="54" t="str">
        <f>IF(B63="","",COUNTA($B$8:B63))</f>
        <v/>
      </c>
      <c r="B63" s="42"/>
      <c r="C63" s="41"/>
      <c r="D63" s="41"/>
      <c r="E63" s="41"/>
      <c r="F63" s="41"/>
      <c r="G63" s="41"/>
      <c r="H63" s="41"/>
      <c r="I63" s="31"/>
      <c r="J63" s="32"/>
      <c r="K63" s="32"/>
      <c r="L63" s="32"/>
      <c r="M63" s="32"/>
      <c r="N63" s="32"/>
      <c r="O63" s="32"/>
      <c r="P63" s="32"/>
      <c r="Q63" s="32"/>
      <c r="R63" s="42"/>
      <c r="S63" s="41"/>
      <c r="T63" s="41"/>
      <c r="U63" s="41"/>
      <c r="V63" s="41"/>
      <c r="W63" s="41"/>
      <c r="X63" s="41"/>
      <c r="Y63" s="139"/>
      <c r="Z63" s="140"/>
      <c r="AA63" s="141"/>
      <c r="AB63" s="142"/>
      <c r="AC63" s="143"/>
      <c r="AD63" s="72"/>
      <c r="AE63" s="27"/>
      <c r="AF63" s="27"/>
      <c r="AG63" s="27"/>
      <c r="AH63" s="27"/>
      <c r="AI63" s="27"/>
      <c r="AJ63" s="27"/>
      <c r="AK63" s="27"/>
      <c r="AL63" s="27"/>
      <c r="AM63" s="27"/>
      <c r="AN63" s="27"/>
      <c r="AO63" s="27"/>
      <c r="AP63" s="27"/>
      <c r="AQ63" s="27"/>
      <c r="AR63" s="27"/>
      <c r="AS63" s="50"/>
      <c r="AT63" s="51"/>
      <c r="AU63" s="51"/>
      <c r="AV63" s="51"/>
      <c r="AW63" s="51"/>
      <c r="AX63" s="51"/>
      <c r="AY63" s="51"/>
      <c r="AZ63" s="51"/>
      <c r="BA63" s="51"/>
      <c r="BB63" s="51"/>
      <c r="BC63" s="51"/>
      <c r="BD63" s="52"/>
      <c r="BE63" s="53"/>
    </row>
    <row r="64" spans="1:57" ht="15" customHeight="1" x14ac:dyDescent="0.3">
      <c r="A64" s="54" t="str">
        <f>IF(B64="","",COUNTA($B$8:B64))</f>
        <v/>
      </c>
      <c r="B64" s="42"/>
      <c r="C64" s="41"/>
      <c r="D64" s="41"/>
      <c r="E64" s="41"/>
      <c r="F64" s="41"/>
      <c r="G64" s="41"/>
      <c r="H64" s="41"/>
      <c r="I64" s="31"/>
      <c r="J64" s="32"/>
      <c r="K64" s="32"/>
      <c r="L64" s="32"/>
      <c r="M64" s="32"/>
      <c r="N64" s="32"/>
      <c r="O64" s="32"/>
      <c r="P64" s="32"/>
      <c r="Q64" s="32"/>
      <c r="R64" s="42"/>
      <c r="S64" s="41"/>
      <c r="T64" s="41"/>
      <c r="U64" s="41"/>
      <c r="V64" s="41"/>
      <c r="W64" s="41"/>
      <c r="X64" s="41"/>
      <c r="Y64" s="139"/>
      <c r="Z64" s="140"/>
      <c r="AA64" s="141"/>
      <c r="AB64" s="142"/>
      <c r="AC64" s="143"/>
      <c r="AD64" s="72"/>
      <c r="AE64" s="27"/>
      <c r="AF64" s="27"/>
      <c r="AG64" s="27"/>
      <c r="AH64" s="27"/>
      <c r="AI64" s="27"/>
      <c r="AJ64" s="27"/>
      <c r="AK64" s="27"/>
      <c r="AL64" s="27"/>
      <c r="AM64" s="27"/>
      <c r="AN64" s="27"/>
      <c r="AO64" s="27"/>
      <c r="AP64" s="27"/>
      <c r="AQ64" s="27"/>
      <c r="AR64" s="27"/>
      <c r="AS64" s="50"/>
      <c r="AT64" s="51"/>
      <c r="AU64" s="51"/>
      <c r="AV64" s="51"/>
      <c r="AW64" s="51"/>
      <c r="AX64" s="51"/>
      <c r="AY64" s="51"/>
      <c r="AZ64" s="51"/>
      <c r="BA64" s="51"/>
      <c r="BB64" s="51"/>
      <c r="BC64" s="51"/>
      <c r="BD64" s="52"/>
      <c r="BE64" s="53"/>
    </row>
    <row r="65" spans="1:57" ht="15" customHeight="1" x14ac:dyDescent="0.3">
      <c r="A65" s="54" t="str">
        <f>IF(B65="","",COUNTA($B$8:B65))</f>
        <v/>
      </c>
      <c r="B65" s="42"/>
      <c r="C65" s="41"/>
      <c r="D65" s="41"/>
      <c r="E65" s="41"/>
      <c r="F65" s="41"/>
      <c r="G65" s="41"/>
      <c r="H65" s="41"/>
      <c r="I65" s="31"/>
      <c r="J65" s="32"/>
      <c r="K65" s="32"/>
      <c r="L65" s="32"/>
      <c r="M65" s="32"/>
      <c r="N65" s="32"/>
      <c r="O65" s="32"/>
      <c r="P65" s="32"/>
      <c r="Q65" s="32"/>
      <c r="R65" s="42"/>
      <c r="S65" s="41"/>
      <c r="T65" s="41"/>
      <c r="U65" s="41"/>
      <c r="V65" s="41"/>
      <c r="W65" s="41"/>
      <c r="X65" s="41"/>
      <c r="Y65" s="139"/>
      <c r="Z65" s="140"/>
      <c r="AA65" s="141"/>
      <c r="AB65" s="142"/>
      <c r="AC65" s="143"/>
      <c r="AD65" s="72"/>
      <c r="AE65" s="27"/>
      <c r="AF65" s="27"/>
      <c r="AG65" s="27"/>
      <c r="AH65" s="27"/>
      <c r="AI65" s="27"/>
      <c r="AJ65" s="27"/>
      <c r="AK65" s="27"/>
      <c r="AL65" s="27"/>
      <c r="AM65" s="27"/>
      <c r="AN65" s="27"/>
      <c r="AO65" s="27"/>
      <c r="AP65" s="27"/>
      <c r="AQ65" s="27"/>
      <c r="AR65" s="27"/>
      <c r="AS65" s="50"/>
      <c r="AT65" s="51"/>
      <c r="AU65" s="51"/>
      <c r="AV65" s="51"/>
      <c r="AW65" s="51"/>
      <c r="AX65" s="51"/>
      <c r="AY65" s="51"/>
      <c r="AZ65" s="51"/>
      <c r="BA65" s="51"/>
      <c r="BB65" s="51"/>
      <c r="BC65" s="51"/>
      <c r="BD65" s="52"/>
      <c r="BE65" s="53"/>
    </row>
    <row r="66" spans="1:57" ht="15" customHeight="1" x14ac:dyDescent="0.3">
      <c r="A66" s="54" t="str">
        <f>IF(B66="","",COUNTA($B$8:B66))</f>
        <v/>
      </c>
      <c r="B66" s="42"/>
      <c r="C66" s="41"/>
      <c r="D66" s="41"/>
      <c r="E66" s="41"/>
      <c r="F66" s="41"/>
      <c r="G66" s="41"/>
      <c r="H66" s="41"/>
      <c r="I66" s="31"/>
      <c r="J66" s="32"/>
      <c r="K66" s="32"/>
      <c r="L66" s="32"/>
      <c r="M66" s="32"/>
      <c r="N66" s="32"/>
      <c r="O66" s="32"/>
      <c r="P66" s="32"/>
      <c r="Q66" s="32"/>
      <c r="R66" s="42"/>
      <c r="S66" s="41"/>
      <c r="T66" s="41"/>
      <c r="U66" s="41"/>
      <c r="V66" s="41"/>
      <c r="W66" s="41"/>
      <c r="X66" s="41"/>
      <c r="Y66" s="139"/>
      <c r="Z66" s="140"/>
      <c r="AA66" s="141"/>
      <c r="AB66" s="142"/>
      <c r="AC66" s="143"/>
      <c r="AD66" s="72"/>
      <c r="AE66" s="27"/>
      <c r="AF66" s="27"/>
      <c r="AG66" s="27"/>
      <c r="AH66" s="27"/>
      <c r="AI66" s="27"/>
      <c r="AJ66" s="27"/>
      <c r="AK66" s="27"/>
      <c r="AL66" s="27"/>
      <c r="AM66" s="27"/>
      <c r="AN66" s="27"/>
      <c r="AO66" s="27"/>
      <c r="AP66" s="27"/>
      <c r="AQ66" s="27"/>
      <c r="AR66" s="27"/>
      <c r="AS66" s="50"/>
      <c r="AT66" s="51"/>
      <c r="AU66" s="51"/>
      <c r="AV66" s="51"/>
      <c r="AW66" s="51"/>
      <c r="AX66" s="51"/>
      <c r="AY66" s="51"/>
      <c r="AZ66" s="51"/>
      <c r="BA66" s="51"/>
      <c r="BB66" s="51"/>
      <c r="BC66" s="51"/>
      <c r="BD66" s="52"/>
      <c r="BE66" s="53"/>
    </row>
    <row r="67" spans="1:57" ht="15" customHeight="1" x14ac:dyDescent="0.3">
      <c r="A67" s="54" t="str">
        <f>IF(B67="","",COUNTA($B$8:B67))</f>
        <v/>
      </c>
      <c r="B67" s="42"/>
      <c r="C67" s="41"/>
      <c r="D67" s="41"/>
      <c r="E67" s="41"/>
      <c r="F67" s="41"/>
      <c r="G67" s="41"/>
      <c r="H67" s="41"/>
      <c r="I67" s="31"/>
      <c r="J67" s="32"/>
      <c r="K67" s="32"/>
      <c r="L67" s="32"/>
      <c r="M67" s="32"/>
      <c r="N67" s="32"/>
      <c r="O67" s="32"/>
      <c r="P67" s="32"/>
      <c r="Q67" s="32"/>
      <c r="R67" s="42"/>
      <c r="S67" s="41"/>
      <c r="T67" s="41"/>
      <c r="U67" s="41"/>
      <c r="V67" s="41"/>
      <c r="W67" s="41"/>
      <c r="X67" s="41"/>
      <c r="Y67" s="139"/>
      <c r="Z67" s="140"/>
      <c r="AA67" s="141"/>
      <c r="AB67" s="142"/>
      <c r="AC67" s="143"/>
      <c r="AD67" s="72"/>
      <c r="AE67" s="27"/>
      <c r="AF67" s="27"/>
      <c r="AG67" s="27"/>
      <c r="AH67" s="27"/>
      <c r="AI67" s="27"/>
      <c r="AJ67" s="27"/>
      <c r="AK67" s="27"/>
      <c r="AL67" s="27"/>
      <c r="AM67" s="27"/>
      <c r="AN67" s="27"/>
      <c r="AO67" s="27"/>
      <c r="AP67" s="27"/>
      <c r="AQ67" s="27"/>
      <c r="AR67" s="27"/>
      <c r="AS67" s="50"/>
      <c r="AT67" s="51"/>
      <c r="AU67" s="51"/>
      <c r="AV67" s="51"/>
      <c r="AW67" s="51"/>
      <c r="AX67" s="51"/>
      <c r="AY67" s="51"/>
      <c r="AZ67" s="51"/>
      <c r="BA67" s="51"/>
      <c r="BB67" s="51"/>
      <c r="BC67" s="51"/>
      <c r="BD67" s="52"/>
      <c r="BE67" s="53"/>
    </row>
    <row r="68" spans="1:57" ht="15" customHeight="1" x14ac:dyDescent="0.3">
      <c r="A68" s="54" t="str">
        <f>IF(B68="","",COUNTA($B$8:B68))</f>
        <v/>
      </c>
      <c r="B68" s="42"/>
      <c r="C68" s="41"/>
      <c r="D68" s="41"/>
      <c r="E68" s="41"/>
      <c r="F68" s="41"/>
      <c r="G68" s="41"/>
      <c r="H68" s="41"/>
      <c r="I68" s="31"/>
      <c r="J68" s="32"/>
      <c r="K68" s="32"/>
      <c r="L68" s="32"/>
      <c r="M68" s="32"/>
      <c r="N68" s="32"/>
      <c r="O68" s="32"/>
      <c r="P68" s="32"/>
      <c r="Q68" s="32"/>
      <c r="R68" s="42"/>
      <c r="S68" s="41"/>
      <c r="T68" s="41"/>
      <c r="U68" s="41"/>
      <c r="V68" s="41"/>
      <c r="W68" s="41"/>
      <c r="X68" s="41"/>
      <c r="Y68" s="139"/>
      <c r="Z68" s="140"/>
      <c r="AA68" s="141"/>
      <c r="AB68" s="142"/>
      <c r="AC68" s="143"/>
      <c r="AD68" s="72"/>
      <c r="AE68" s="27"/>
      <c r="AF68" s="27"/>
      <c r="AG68" s="27"/>
      <c r="AH68" s="27"/>
      <c r="AI68" s="27"/>
      <c r="AJ68" s="27"/>
      <c r="AK68" s="27"/>
      <c r="AL68" s="27"/>
      <c r="AM68" s="27"/>
      <c r="AN68" s="27"/>
      <c r="AO68" s="27"/>
      <c r="AP68" s="27"/>
      <c r="AQ68" s="27"/>
      <c r="AR68" s="27"/>
      <c r="AS68" s="50"/>
      <c r="AT68" s="51"/>
      <c r="AU68" s="51"/>
      <c r="AV68" s="51"/>
      <c r="AW68" s="51"/>
      <c r="AX68" s="51"/>
      <c r="AY68" s="51"/>
      <c r="AZ68" s="51"/>
      <c r="BA68" s="51"/>
      <c r="BB68" s="51"/>
      <c r="BC68" s="51"/>
      <c r="BD68" s="52"/>
      <c r="BE68" s="53"/>
    </row>
    <row r="69" spans="1:57" ht="15" customHeight="1" x14ac:dyDescent="0.3">
      <c r="A69" s="54" t="str">
        <f>IF(B69="","",COUNTA($B$8:B69))</f>
        <v/>
      </c>
      <c r="B69" s="42"/>
      <c r="C69" s="41"/>
      <c r="D69" s="41"/>
      <c r="E69" s="41"/>
      <c r="F69" s="41"/>
      <c r="G69" s="41"/>
      <c r="H69" s="41"/>
      <c r="I69" s="31"/>
      <c r="J69" s="32"/>
      <c r="K69" s="32"/>
      <c r="L69" s="32"/>
      <c r="M69" s="32"/>
      <c r="N69" s="32"/>
      <c r="O69" s="32"/>
      <c r="P69" s="32"/>
      <c r="Q69" s="32"/>
      <c r="R69" s="42"/>
      <c r="S69" s="41"/>
      <c r="T69" s="41"/>
      <c r="U69" s="41"/>
      <c r="V69" s="41"/>
      <c r="W69" s="41"/>
      <c r="X69" s="41"/>
      <c r="Y69" s="139"/>
      <c r="Z69" s="140"/>
      <c r="AA69" s="141"/>
      <c r="AB69" s="142"/>
      <c r="AC69" s="143"/>
      <c r="AD69" s="72"/>
      <c r="AE69" s="27"/>
      <c r="AF69" s="27"/>
      <c r="AG69" s="27"/>
      <c r="AH69" s="27"/>
      <c r="AI69" s="27"/>
      <c r="AJ69" s="27"/>
      <c r="AK69" s="27"/>
      <c r="AL69" s="27"/>
      <c r="AM69" s="27"/>
      <c r="AN69" s="27"/>
      <c r="AO69" s="27"/>
      <c r="AP69" s="27"/>
      <c r="AQ69" s="27"/>
      <c r="AR69" s="27"/>
      <c r="AS69" s="50"/>
      <c r="AT69" s="51"/>
      <c r="AU69" s="51"/>
      <c r="AV69" s="51"/>
      <c r="AW69" s="51"/>
      <c r="AX69" s="51"/>
      <c r="AY69" s="51"/>
      <c r="AZ69" s="51"/>
      <c r="BA69" s="51"/>
      <c r="BB69" s="51"/>
      <c r="BC69" s="51"/>
      <c r="BD69" s="52"/>
      <c r="BE69" s="53"/>
    </row>
    <row r="70" spans="1:57" ht="15" customHeight="1" x14ac:dyDescent="0.3">
      <c r="A70" s="54" t="str">
        <f>IF(B70="","",COUNTA($B$8:B70))</f>
        <v/>
      </c>
      <c r="B70" s="42"/>
      <c r="C70" s="41"/>
      <c r="D70" s="41"/>
      <c r="E70" s="41"/>
      <c r="F70" s="41"/>
      <c r="G70" s="41"/>
      <c r="H70" s="41"/>
      <c r="I70" s="31"/>
      <c r="J70" s="32"/>
      <c r="K70" s="32"/>
      <c r="L70" s="32"/>
      <c r="M70" s="32"/>
      <c r="N70" s="32"/>
      <c r="O70" s="32"/>
      <c r="P70" s="32"/>
      <c r="Q70" s="32"/>
      <c r="R70" s="42"/>
      <c r="S70" s="41"/>
      <c r="T70" s="41"/>
      <c r="U70" s="41"/>
      <c r="V70" s="41"/>
      <c r="W70" s="41"/>
      <c r="X70" s="41"/>
      <c r="Y70" s="139"/>
      <c r="Z70" s="140"/>
      <c r="AA70" s="141"/>
      <c r="AB70" s="142"/>
      <c r="AC70" s="143"/>
      <c r="AD70" s="72"/>
      <c r="AE70" s="27"/>
      <c r="AF70" s="27"/>
      <c r="AG70" s="27"/>
      <c r="AH70" s="27"/>
      <c r="AI70" s="27"/>
      <c r="AJ70" s="27"/>
      <c r="AK70" s="27"/>
      <c r="AL70" s="27"/>
      <c r="AM70" s="27"/>
      <c r="AN70" s="27"/>
      <c r="AO70" s="27"/>
      <c r="AP70" s="27"/>
      <c r="AQ70" s="27"/>
      <c r="AR70" s="27"/>
      <c r="AS70" s="50"/>
      <c r="AT70" s="51"/>
      <c r="AU70" s="51"/>
      <c r="AV70" s="51"/>
      <c r="AW70" s="51"/>
      <c r="AX70" s="51"/>
      <c r="AY70" s="51"/>
      <c r="AZ70" s="51"/>
      <c r="BA70" s="51"/>
      <c r="BB70" s="51"/>
      <c r="BC70" s="51"/>
      <c r="BD70" s="52"/>
      <c r="BE70" s="53"/>
    </row>
    <row r="71" spans="1:57" ht="15" customHeight="1" x14ac:dyDescent="0.3">
      <c r="A71" s="54" t="str">
        <f>IF(B71="","",COUNTA($B$8:B71))</f>
        <v/>
      </c>
      <c r="B71" s="42"/>
      <c r="C71" s="41"/>
      <c r="D71" s="41"/>
      <c r="E71" s="41"/>
      <c r="F71" s="41"/>
      <c r="G71" s="41"/>
      <c r="H71" s="41"/>
      <c r="I71" s="31"/>
      <c r="J71" s="32"/>
      <c r="K71" s="32"/>
      <c r="L71" s="32"/>
      <c r="M71" s="32"/>
      <c r="N71" s="32"/>
      <c r="O71" s="32"/>
      <c r="P71" s="32"/>
      <c r="Q71" s="32"/>
      <c r="R71" s="42"/>
      <c r="S71" s="41"/>
      <c r="T71" s="41"/>
      <c r="U71" s="41"/>
      <c r="V71" s="41"/>
      <c r="W71" s="41"/>
      <c r="X71" s="41"/>
      <c r="Y71" s="139"/>
      <c r="Z71" s="140"/>
      <c r="AA71" s="141"/>
      <c r="AB71" s="142"/>
      <c r="AC71" s="143"/>
      <c r="AD71" s="72"/>
      <c r="AE71" s="27"/>
      <c r="AF71" s="27"/>
      <c r="AG71" s="27"/>
      <c r="AH71" s="27"/>
      <c r="AI71" s="27"/>
      <c r="AJ71" s="27"/>
      <c r="AK71" s="27"/>
      <c r="AL71" s="27"/>
      <c r="AM71" s="27"/>
      <c r="AN71" s="27"/>
      <c r="AO71" s="27"/>
      <c r="AP71" s="27"/>
      <c r="AQ71" s="27"/>
      <c r="AR71" s="27"/>
      <c r="AS71" s="50"/>
      <c r="AT71" s="51"/>
      <c r="AU71" s="51"/>
      <c r="AV71" s="51"/>
      <c r="AW71" s="51"/>
      <c r="AX71" s="51"/>
      <c r="AY71" s="51"/>
      <c r="AZ71" s="51"/>
      <c r="BA71" s="51"/>
      <c r="BB71" s="51"/>
      <c r="BC71" s="51"/>
      <c r="BD71" s="52"/>
      <c r="BE71" s="53"/>
    </row>
    <row r="72" spans="1:57" ht="15" customHeight="1" x14ac:dyDescent="0.3">
      <c r="A72" s="54" t="str">
        <f>IF(B72="","",COUNTA($B$8:B72))</f>
        <v/>
      </c>
      <c r="B72" s="42"/>
      <c r="C72" s="41"/>
      <c r="D72" s="41"/>
      <c r="E72" s="41"/>
      <c r="F72" s="41"/>
      <c r="G72" s="41"/>
      <c r="H72" s="41"/>
      <c r="I72" s="31"/>
      <c r="J72" s="32"/>
      <c r="K72" s="32"/>
      <c r="L72" s="32"/>
      <c r="M72" s="32"/>
      <c r="N72" s="32"/>
      <c r="O72" s="32"/>
      <c r="P72" s="32"/>
      <c r="Q72" s="32"/>
      <c r="R72" s="42"/>
      <c r="S72" s="41"/>
      <c r="T72" s="41"/>
      <c r="U72" s="41"/>
      <c r="V72" s="41"/>
      <c r="W72" s="41"/>
      <c r="X72" s="41"/>
      <c r="Y72" s="139"/>
      <c r="Z72" s="140"/>
      <c r="AA72" s="141"/>
      <c r="AB72" s="142"/>
      <c r="AC72" s="143"/>
      <c r="AD72" s="72"/>
      <c r="AE72" s="27"/>
      <c r="AF72" s="27"/>
      <c r="AG72" s="27"/>
      <c r="AH72" s="27"/>
      <c r="AI72" s="27"/>
      <c r="AJ72" s="27"/>
      <c r="AK72" s="27"/>
      <c r="AL72" s="27"/>
      <c r="AM72" s="27"/>
      <c r="AN72" s="27"/>
      <c r="AO72" s="27"/>
      <c r="AP72" s="27"/>
      <c r="AQ72" s="27"/>
      <c r="AR72" s="27"/>
      <c r="AS72" s="50"/>
      <c r="AT72" s="51"/>
      <c r="AU72" s="51"/>
      <c r="AV72" s="51"/>
      <c r="AW72" s="51"/>
      <c r="AX72" s="51"/>
      <c r="AY72" s="51"/>
      <c r="AZ72" s="51"/>
      <c r="BA72" s="51"/>
      <c r="BB72" s="51"/>
      <c r="BC72" s="51"/>
      <c r="BD72" s="52"/>
      <c r="BE72" s="53"/>
    </row>
    <row r="73" spans="1:57" ht="15" customHeight="1" x14ac:dyDescent="0.3">
      <c r="A73" s="54" t="str">
        <f>IF(B73="","",COUNTA($B$8:B73))</f>
        <v/>
      </c>
      <c r="B73" s="42"/>
      <c r="C73" s="41"/>
      <c r="D73" s="41"/>
      <c r="E73" s="41"/>
      <c r="F73" s="41"/>
      <c r="G73" s="41"/>
      <c r="H73" s="41"/>
      <c r="I73" s="31"/>
      <c r="J73" s="32"/>
      <c r="K73" s="32"/>
      <c r="L73" s="32"/>
      <c r="M73" s="32"/>
      <c r="N73" s="32"/>
      <c r="O73" s="32"/>
      <c r="P73" s="32"/>
      <c r="Q73" s="32"/>
      <c r="R73" s="42"/>
      <c r="S73" s="41"/>
      <c r="T73" s="41"/>
      <c r="U73" s="41"/>
      <c r="V73" s="41"/>
      <c r="W73" s="41"/>
      <c r="X73" s="41"/>
      <c r="Y73" s="139"/>
      <c r="Z73" s="140"/>
      <c r="AA73" s="141"/>
      <c r="AB73" s="142"/>
      <c r="AC73" s="143"/>
      <c r="AD73" s="72"/>
      <c r="AE73" s="27"/>
      <c r="AF73" s="27"/>
      <c r="AG73" s="27"/>
      <c r="AH73" s="27"/>
      <c r="AI73" s="27"/>
      <c r="AJ73" s="27"/>
      <c r="AK73" s="27"/>
      <c r="AL73" s="27"/>
      <c r="AM73" s="27"/>
      <c r="AN73" s="27"/>
      <c r="AO73" s="27"/>
      <c r="AP73" s="27"/>
      <c r="AQ73" s="27"/>
      <c r="AR73" s="27"/>
      <c r="AS73" s="50"/>
      <c r="AT73" s="51"/>
      <c r="AU73" s="51"/>
      <c r="AV73" s="51"/>
      <c r="AW73" s="51"/>
      <c r="AX73" s="51"/>
      <c r="AY73" s="51"/>
      <c r="AZ73" s="51"/>
      <c r="BA73" s="51"/>
      <c r="BB73" s="51"/>
      <c r="BC73" s="51"/>
      <c r="BD73" s="52"/>
      <c r="BE73" s="53"/>
    </row>
    <row r="74" spans="1:57" ht="15" customHeight="1" x14ac:dyDescent="0.3">
      <c r="A74" s="54" t="str">
        <f>IF(B74="","",COUNTA($B$8:B74))</f>
        <v/>
      </c>
      <c r="B74" s="42"/>
      <c r="C74" s="41"/>
      <c r="D74" s="41"/>
      <c r="E74" s="41"/>
      <c r="F74" s="41"/>
      <c r="G74" s="41"/>
      <c r="H74" s="41"/>
      <c r="I74" s="31"/>
      <c r="J74" s="32"/>
      <c r="K74" s="32"/>
      <c r="L74" s="32"/>
      <c r="M74" s="32"/>
      <c r="N74" s="32"/>
      <c r="O74" s="32"/>
      <c r="P74" s="32"/>
      <c r="Q74" s="32"/>
      <c r="R74" s="42"/>
      <c r="S74" s="41"/>
      <c r="T74" s="41"/>
      <c r="U74" s="41"/>
      <c r="V74" s="41"/>
      <c r="W74" s="41"/>
      <c r="X74" s="41"/>
      <c r="Y74" s="139"/>
      <c r="Z74" s="140"/>
      <c r="AA74" s="141"/>
      <c r="AB74" s="142"/>
      <c r="AC74" s="143"/>
      <c r="AD74" s="72"/>
      <c r="AE74" s="27"/>
      <c r="AF74" s="27"/>
      <c r="AG74" s="27"/>
      <c r="AH74" s="27"/>
      <c r="AI74" s="27"/>
      <c r="AJ74" s="27"/>
      <c r="AK74" s="27"/>
      <c r="AL74" s="27"/>
      <c r="AM74" s="27"/>
      <c r="AN74" s="27"/>
      <c r="AO74" s="27"/>
      <c r="AP74" s="27"/>
      <c r="AQ74" s="27"/>
      <c r="AR74" s="27"/>
      <c r="AS74" s="50"/>
      <c r="AT74" s="51"/>
      <c r="AU74" s="51"/>
      <c r="AV74" s="51"/>
      <c r="AW74" s="51"/>
      <c r="AX74" s="51"/>
      <c r="AY74" s="51"/>
      <c r="AZ74" s="51"/>
      <c r="BA74" s="51"/>
      <c r="BB74" s="51"/>
      <c r="BC74" s="51"/>
      <c r="BD74" s="52"/>
      <c r="BE74" s="53"/>
    </row>
    <row r="75" spans="1:57" ht="15" customHeight="1" x14ac:dyDescent="0.3">
      <c r="A75" s="54" t="str">
        <f>IF(B75="","",COUNTA($B$8:B75))</f>
        <v/>
      </c>
      <c r="B75" s="42"/>
      <c r="C75" s="41"/>
      <c r="D75" s="41"/>
      <c r="E75" s="41"/>
      <c r="F75" s="41"/>
      <c r="G75" s="41"/>
      <c r="H75" s="41"/>
      <c r="I75" s="31"/>
      <c r="J75" s="32"/>
      <c r="K75" s="32"/>
      <c r="L75" s="32"/>
      <c r="M75" s="32"/>
      <c r="N75" s="32"/>
      <c r="O75" s="32"/>
      <c r="P75" s="32"/>
      <c r="Q75" s="32"/>
      <c r="R75" s="42"/>
      <c r="S75" s="41"/>
      <c r="T75" s="41"/>
      <c r="U75" s="41"/>
      <c r="V75" s="41"/>
      <c r="W75" s="41"/>
      <c r="X75" s="41"/>
      <c r="Y75" s="139"/>
      <c r="Z75" s="140"/>
      <c r="AA75" s="141"/>
      <c r="AB75" s="142"/>
      <c r="AC75" s="143"/>
      <c r="AD75" s="72"/>
      <c r="AE75" s="27"/>
      <c r="AF75" s="27"/>
      <c r="AG75" s="27"/>
      <c r="AH75" s="27"/>
      <c r="AI75" s="27"/>
      <c r="AJ75" s="27"/>
      <c r="AK75" s="27"/>
      <c r="AL75" s="27"/>
      <c r="AM75" s="27"/>
      <c r="AN75" s="27"/>
      <c r="AO75" s="27"/>
      <c r="AP75" s="27"/>
      <c r="AQ75" s="27"/>
      <c r="AR75" s="27"/>
      <c r="AS75" s="50"/>
      <c r="AT75" s="51"/>
      <c r="AU75" s="51"/>
      <c r="AV75" s="51"/>
      <c r="AW75" s="51"/>
      <c r="AX75" s="51"/>
      <c r="AY75" s="51"/>
      <c r="AZ75" s="51"/>
      <c r="BA75" s="51"/>
      <c r="BB75" s="51"/>
      <c r="BC75" s="51"/>
      <c r="BD75" s="52"/>
      <c r="BE75" s="53"/>
    </row>
    <row r="76" spans="1:57" ht="15" customHeight="1" x14ac:dyDescent="0.3">
      <c r="A76" s="54" t="str">
        <f>IF(B76="","",COUNTA($B$8:B76))</f>
        <v/>
      </c>
      <c r="B76" s="42"/>
      <c r="C76" s="41"/>
      <c r="D76" s="41"/>
      <c r="E76" s="41"/>
      <c r="F76" s="41"/>
      <c r="G76" s="41"/>
      <c r="H76" s="41"/>
      <c r="I76" s="31"/>
      <c r="J76" s="32"/>
      <c r="K76" s="32"/>
      <c r="L76" s="32"/>
      <c r="M76" s="32"/>
      <c r="N76" s="32"/>
      <c r="O76" s="32"/>
      <c r="P76" s="32"/>
      <c r="Q76" s="32"/>
      <c r="R76" s="42"/>
      <c r="S76" s="41"/>
      <c r="T76" s="41"/>
      <c r="U76" s="41"/>
      <c r="V76" s="41"/>
      <c r="W76" s="41"/>
      <c r="X76" s="41"/>
      <c r="Y76" s="139"/>
      <c r="Z76" s="140"/>
      <c r="AA76" s="141"/>
      <c r="AB76" s="142"/>
      <c r="AC76" s="143"/>
      <c r="AD76" s="72"/>
      <c r="AE76" s="27"/>
      <c r="AF76" s="27"/>
      <c r="AG76" s="27"/>
      <c r="AH76" s="27"/>
      <c r="AI76" s="27"/>
      <c r="AJ76" s="27"/>
      <c r="AK76" s="27"/>
      <c r="AL76" s="27"/>
      <c r="AM76" s="27"/>
      <c r="AN76" s="27"/>
      <c r="AO76" s="27"/>
      <c r="AP76" s="27"/>
      <c r="AQ76" s="27"/>
      <c r="AR76" s="27"/>
      <c r="AS76" s="50"/>
      <c r="AT76" s="51"/>
      <c r="AU76" s="51"/>
      <c r="AV76" s="51"/>
      <c r="AW76" s="51"/>
      <c r="AX76" s="51"/>
      <c r="AY76" s="51"/>
      <c r="AZ76" s="51"/>
      <c r="BA76" s="51"/>
      <c r="BB76" s="51"/>
      <c r="BC76" s="51"/>
      <c r="BD76" s="52"/>
      <c r="BE76" s="53"/>
    </row>
    <row r="77" spans="1:57" ht="15" customHeight="1" x14ac:dyDescent="0.3">
      <c r="A77" s="54" t="str">
        <f>IF(B77="","",COUNTA($B$8:B77))</f>
        <v/>
      </c>
      <c r="B77" s="42"/>
      <c r="C77" s="41"/>
      <c r="D77" s="41"/>
      <c r="E77" s="41"/>
      <c r="F77" s="41"/>
      <c r="G77" s="41"/>
      <c r="H77" s="41"/>
      <c r="I77" s="31"/>
      <c r="J77" s="32"/>
      <c r="K77" s="32"/>
      <c r="L77" s="32"/>
      <c r="M77" s="32"/>
      <c r="N77" s="32"/>
      <c r="O77" s="32"/>
      <c r="P77" s="32"/>
      <c r="Q77" s="32"/>
      <c r="R77" s="42"/>
      <c r="S77" s="41"/>
      <c r="T77" s="41"/>
      <c r="U77" s="41"/>
      <c r="V77" s="41"/>
      <c r="W77" s="41"/>
      <c r="X77" s="41"/>
      <c r="Y77" s="139"/>
      <c r="Z77" s="140"/>
      <c r="AA77" s="141"/>
      <c r="AB77" s="142"/>
      <c r="AC77" s="143"/>
      <c r="AD77" s="72"/>
      <c r="AE77" s="27"/>
      <c r="AF77" s="27"/>
      <c r="AG77" s="27"/>
      <c r="AH77" s="27"/>
      <c r="AI77" s="27"/>
      <c r="AJ77" s="27"/>
      <c r="AK77" s="27"/>
      <c r="AL77" s="27"/>
      <c r="AM77" s="27"/>
      <c r="AN77" s="27"/>
      <c r="AO77" s="27"/>
      <c r="AP77" s="27"/>
      <c r="AQ77" s="27"/>
      <c r="AR77" s="27"/>
      <c r="AS77" s="50"/>
      <c r="AT77" s="51"/>
      <c r="AU77" s="51"/>
      <c r="AV77" s="51"/>
      <c r="AW77" s="51"/>
      <c r="AX77" s="51"/>
      <c r="AY77" s="51"/>
      <c r="AZ77" s="51"/>
      <c r="BA77" s="51"/>
      <c r="BB77" s="51"/>
      <c r="BC77" s="51"/>
      <c r="BD77" s="52"/>
      <c r="BE77" s="53"/>
    </row>
    <row r="78" spans="1:57" ht="15" customHeight="1" x14ac:dyDescent="0.3">
      <c r="A78" s="54" t="str">
        <f>IF(B78="","",COUNTA($B$8:B78))</f>
        <v/>
      </c>
      <c r="B78" s="42"/>
      <c r="C78" s="41"/>
      <c r="D78" s="41"/>
      <c r="E78" s="41"/>
      <c r="F78" s="41"/>
      <c r="G78" s="41"/>
      <c r="H78" s="41"/>
      <c r="I78" s="31"/>
      <c r="J78" s="32"/>
      <c r="K78" s="32"/>
      <c r="L78" s="32"/>
      <c r="M78" s="32"/>
      <c r="N78" s="32"/>
      <c r="O78" s="32"/>
      <c r="P78" s="32"/>
      <c r="Q78" s="32"/>
      <c r="R78" s="42"/>
      <c r="S78" s="41"/>
      <c r="T78" s="41"/>
      <c r="U78" s="41"/>
      <c r="V78" s="41"/>
      <c r="W78" s="41"/>
      <c r="X78" s="41"/>
      <c r="Y78" s="139"/>
      <c r="Z78" s="140"/>
      <c r="AA78" s="141"/>
      <c r="AB78" s="142"/>
      <c r="AC78" s="143"/>
      <c r="AD78" s="72"/>
      <c r="AE78" s="27"/>
      <c r="AF78" s="27"/>
      <c r="AG78" s="27"/>
      <c r="AH78" s="27"/>
      <c r="AI78" s="27"/>
      <c r="AJ78" s="27"/>
      <c r="AK78" s="27"/>
      <c r="AL78" s="27"/>
      <c r="AM78" s="27"/>
      <c r="AN78" s="27"/>
      <c r="AO78" s="27"/>
      <c r="AP78" s="27"/>
      <c r="AQ78" s="27"/>
      <c r="AR78" s="27"/>
      <c r="AS78" s="50"/>
      <c r="AT78" s="51"/>
      <c r="AU78" s="51"/>
      <c r="AV78" s="51"/>
      <c r="AW78" s="51"/>
      <c r="AX78" s="51"/>
      <c r="AY78" s="51"/>
      <c r="AZ78" s="51"/>
      <c r="BA78" s="51"/>
      <c r="BB78" s="51"/>
      <c r="BC78" s="51"/>
      <c r="BD78" s="52"/>
      <c r="BE78" s="53"/>
    </row>
    <row r="79" spans="1:57" ht="15" customHeight="1" x14ac:dyDescent="0.3">
      <c r="A79" s="54" t="str">
        <f>IF(B79="","",COUNTA($B$8:B79))</f>
        <v/>
      </c>
      <c r="B79" s="42"/>
      <c r="C79" s="41"/>
      <c r="D79" s="41"/>
      <c r="E79" s="41"/>
      <c r="F79" s="41"/>
      <c r="G79" s="41"/>
      <c r="H79" s="41"/>
      <c r="I79" s="31"/>
      <c r="J79" s="32"/>
      <c r="K79" s="32"/>
      <c r="L79" s="32"/>
      <c r="M79" s="32"/>
      <c r="N79" s="32"/>
      <c r="O79" s="32"/>
      <c r="P79" s="32"/>
      <c r="Q79" s="32"/>
      <c r="R79" s="42"/>
      <c r="S79" s="41"/>
      <c r="T79" s="41"/>
      <c r="U79" s="41"/>
      <c r="V79" s="41"/>
      <c r="W79" s="41"/>
      <c r="X79" s="41"/>
      <c r="Y79" s="139"/>
      <c r="Z79" s="140"/>
      <c r="AA79" s="141"/>
      <c r="AB79" s="142"/>
      <c r="AC79" s="143"/>
      <c r="AD79" s="72"/>
      <c r="AE79" s="27"/>
      <c r="AF79" s="27"/>
      <c r="AG79" s="27"/>
      <c r="AH79" s="27"/>
      <c r="AI79" s="27"/>
      <c r="AJ79" s="27"/>
      <c r="AK79" s="27"/>
      <c r="AL79" s="27"/>
      <c r="AM79" s="27"/>
      <c r="AN79" s="27"/>
      <c r="AO79" s="27"/>
      <c r="AP79" s="27"/>
      <c r="AQ79" s="27"/>
      <c r="AR79" s="27"/>
      <c r="AS79" s="50"/>
      <c r="AT79" s="51"/>
      <c r="AU79" s="51"/>
      <c r="AV79" s="51"/>
      <c r="AW79" s="51"/>
      <c r="AX79" s="51"/>
      <c r="AY79" s="51"/>
      <c r="AZ79" s="51"/>
      <c r="BA79" s="51"/>
      <c r="BB79" s="51"/>
      <c r="BC79" s="51"/>
      <c r="BD79" s="52"/>
      <c r="BE79" s="53"/>
    </row>
    <row r="80" spans="1:57" ht="15" customHeight="1" x14ac:dyDescent="0.3">
      <c r="A80" s="54" t="str">
        <f>IF(B80="","",COUNTA($B$8:B80))</f>
        <v/>
      </c>
      <c r="B80" s="42"/>
      <c r="C80" s="41"/>
      <c r="D80" s="41"/>
      <c r="E80" s="41"/>
      <c r="F80" s="41"/>
      <c r="G80" s="41"/>
      <c r="H80" s="41"/>
      <c r="I80" s="31"/>
      <c r="J80" s="32"/>
      <c r="K80" s="32"/>
      <c r="L80" s="32"/>
      <c r="M80" s="32"/>
      <c r="N80" s="32"/>
      <c r="O80" s="32"/>
      <c r="P80" s="32"/>
      <c r="Q80" s="32"/>
      <c r="R80" s="42"/>
      <c r="S80" s="41"/>
      <c r="T80" s="41"/>
      <c r="U80" s="41"/>
      <c r="V80" s="41"/>
      <c r="W80" s="41"/>
      <c r="X80" s="41"/>
      <c r="Y80" s="139"/>
      <c r="Z80" s="140"/>
      <c r="AA80" s="141"/>
      <c r="AB80" s="142"/>
      <c r="AC80" s="143"/>
      <c r="AD80" s="72"/>
      <c r="AE80" s="27"/>
      <c r="AF80" s="27"/>
      <c r="AG80" s="27"/>
      <c r="AH80" s="27"/>
      <c r="AI80" s="27"/>
      <c r="AJ80" s="27"/>
      <c r="AK80" s="27"/>
      <c r="AL80" s="27"/>
      <c r="AM80" s="27"/>
      <c r="AN80" s="27"/>
      <c r="AO80" s="27"/>
      <c r="AP80" s="27"/>
      <c r="AQ80" s="27"/>
      <c r="AR80" s="27"/>
      <c r="AS80" s="50"/>
      <c r="AT80" s="51"/>
      <c r="AU80" s="51"/>
      <c r="AV80" s="51"/>
      <c r="AW80" s="51"/>
      <c r="AX80" s="51"/>
      <c r="AY80" s="51"/>
      <c r="AZ80" s="51"/>
      <c r="BA80" s="51"/>
      <c r="BB80" s="51"/>
      <c r="BC80" s="51"/>
      <c r="BD80" s="52"/>
      <c r="BE80" s="53"/>
    </row>
    <row r="81" spans="1:57" ht="15" customHeight="1" x14ac:dyDescent="0.3">
      <c r="A81" s="54" t="str">
        <f>IF(B81="","",COUNTA($B$8:B81))</f>
        <v/>
      </c>
      <c r="B81" s="42"/>
      <c r="C81" s="41"/>
      <c r="D81" s="41"/>
      <c r="E81" s="41"/>
      <c r="F81" s="41"/>
      <c r="G81" s="41"/>
      <c r="H81" s="41"/>
      <c r="I81" s="31"/>
      <c r="J81" s="32"/>
      <c r="K81" s="32"/>
      <c r="L81" s="32"/>
      <c r="M81" s="32"/>
      <c r="N81" s="32"/>
      <c r="O81" s="32"/>
      <c r="P81" s="32"/>
      <c r="Q81" s="32"/>
      <c r="R81" s="42"/>
      <c r="S81" s="41"/>
      <c r="T81" s="41"/>
      <c r="U81" s="41"/>
      <c r="V81" s="41"/>
      <c r="W81" s="41"/>
      <c r="X81" s="41"/>
      <c r="Y81" s="139"/>
      <c r="Z81" s="140"/>
      <c r="AA81" s="141"/>
      <c r="AB81" s="142"/>
      <c r="AC81" s="143"/>
      <c r="AD81" s="72"/>
      <c r="AE81" s="27"/>
      <c r="AF81" s="27"/>
      <c r="AG81" s="27"/>
      <c r="AH81" s="27"/>
      <c r="AI81" s="27"/>
      <c r="AJ81" s="27"/>
      <c r="AK81" s="27"/>
      <c r="AL81" s="27"/>
      <c r="AM81" s="27"/>
      <c r="AN81" s="27"/>
      <c r="AO81" s="27"/>
      <c r="AP81" s="27"/>
      <c r="AQ81" s="27"/>
      <c r="AR81" s="27"/>
      <c r="AS81" s="50"/>
      <c r="AT81" s="51"/>
      <c r="AU81" s="51"/>
      <c r="AV81" s="51"/>
      <c r="AW81" s="51"/>
      <c r="AX81" s="51"/>
      <c r="AY81" s="51"/>
      <c r="AZ81" s="51"/>
      <c r="BA81" s="51"/>
      <c r="BB81" s="51"/>
      <c r="BC81" s="51"/>
      <c r="BD81" s="52"/>
      <c r="BE81" s="53"/>
    </row>
    <row r="82" spans="1:57" ht="15" customHeight="1" x14ac:dyDescent="0.3">
      <c r="A82" s="54" t="str">
        <f>IF(B82="","",COUNTA($B$8:B82))</f>
        <v/>
      </c>
      <c r="B82" s="28"/>
      <c r="C82" s="41"/>
      <c r="D82" s="41"/>
      <c r="E82" s="41"/>
      <c r="F82" s="41"/>
      <c r="G82" s="41"/>
      <c r="H82" s="41"/>
      <c r="I82" s="20"/>
      <c r="J82" s="32"/>
      <c r="K82" s="32"/>
      <c r="L82" s="32"/>
      <c r="M82" s="32"/>
      <c r="N82" s="32"/>
      <c r="O82" s="32"/>
      <c r="P82" s="32"/>
      <c r="Q82" s="32"/>
      <c r="R82" s="28"/>
      <c r="S82" s="41"/>
      <c r="T82" s="41"/>
      <c r="U82" s="41"/>
      <c r="V82" s="41"/>
      <c r="W82" s="41"/>
      <c r="X82" s="41"/>
      <c r="Y82" s="139"/>
      <c r="Z82" s="140"/>
      <c r="AA82" s="141"/>
      <c r="AB82" s="142"/>
      <c r="AC82" s="143"/>
      <c r="AD82" s="55"/>
      <c r="AE82" s="27"/>
      <c r="AF82" s="27"/>
      <c r="AG82" s="27"/>
      <c r="AH82" s="27"/>
      <c r="AI82" s="27"/>
      <c r="AJ82" s="27"/>
      <c r="AK82" s="27"/>
      <c r="AL82" s="27"/>
      <c r="AM82" s="27"/>
      <c r="AN82" s="27"/>
      <c r="AO82" s="27"/>
      <c r="AP82" s="27"/>
      <c r="AQ82" s="27"/>
      <c r="AR82" s="27"/>
      <c r="AS82" s="28"/>
      <c r="AT82" s="69"/>
      <c r="AU82" s="69"/>
      <c r="AV82" s="69"/>
      <c r="AW82" s="69"/>
      <c r="AX82" s="69"/>
      <c r="AY82" s="69"/>
      <c r="AZ82" s="69"/>
      <c r="BA82" s="69"/>
      <c r="BB82" s="69"/>
      <c r="BC82" s="69"/>
      <c r="BD82" s="70"/>
    </row>
  </sheetData>
  <mergeCells count="168">
    <mergeCell ref="Y29:Z29"/>
    <mergeCell ref="AA29:AC29"/>
    <mergeCell ref="Y82:Z82"/>
    <mergeCell ref="AA82:AC82"/>
    <mergeCell ref="Y53:Z53"/>
    <mergeCell ref="AA53:AC53"/>
    <mergeCell ref="Y52:Z52"/>
    <mergeCell ref="AA52:AC52"/>
    <mergeCell ref="Y35:Z35"/>
    <mergeCell ref="AA35:AC35"/>
    <mergeCell ref="Y43:Z43"/>
    <mergeCell ref="AA43:AC43"/>
    <mergeCell ref="Y51:Z51"/>
    <mergeCell ref="AA51:AC51"/>
    <mergeCell ref="Y36:Z36"/>
    <mergeCell ref="AA36:AC36"/>
    <mergeCell ref="Y37:Z37"/>
    <mergeCell ref="AA37:AC37"/>
    <mergeCell ref="Y38:Z38"/>
    <mergeCell ref="AA38:AC38"/>
    <mergeCell ref="Y39:Z39"/>
    <mergeCell ref="AA39:AC39"/>
    <mergeCell ref="Y40:Z40"/>
    <mergeCell ref="AA40:AC40"/>
    <mergeCell ref="Y41:Z41"/>
    <mergeCell ref="AA41:AC41"/>
    <mergeCell ref="Y42:Z42"/>
    <mergeCell ref="AA42:AC42"/>
    <mergeCell ref="Y17:Z17"/>
    <mergeCell ref="AA17:AC17"/>
    <mergeCell ref="Y26:Z26"/>
    <mergeCell ref="AA26:AC26"/>
    <mergeCell ref="Y34:Z34"/>
    <mergeCell ref="AA34:AC34"/>
    <mergeCell ref="Y31:Z31"/>
    <mergeCell ref="AA31:AC31"/>
    <mergeCell ref="Y32:Z32"/>
    <mergeCell ref="AA32:AC32"/>
    <mergeCell ref="Y33:Z33"/>
    <mergeCell ref="AA33:AC33"/>
    <mergeCell ref="Y25:Z25"/>
    <mergeCell ref="AA25:AC25"/>
    <mergeCell ref="Y30:Z30"/>
    <mergeCell ref="AA30:AC30"/>
    <mergeCell ref="Y21:Z21"/>
    <mergeCell ref="AA21:AC21"/>
    <mergeCell ref="Y28:Z28"/>
    <mergeCell ref="AA28:AC28"/>
    <mergeCell ref="Y22:Z22"/>
    <mergeCell ref="AA22:AC22"/>
    <mergeCell ref="Y23:Z23"/>
    <mergeCell ref="AA23:AC23"/>
    <mergeCell ref="AA6:AC7"/>
    <mergeCell ref="AD6:AD7"/>
    <mergeCell ref="AE6:AE7"/>
    <mergeCell ref="Y27:Z27"/>
    <mergeCell ref="AA27:AC27"/>
    <mergeCell ref="Y24:Z24"/>
    <mergeCell ref="AA24:AC24"/>
    <mergeCell ref="Y11:Z11"/>
    <mergeCell ref="AA11:AC11"/>
    <mergeCell ref="AF6:AF7"/>
    <mergeCell ref="Y20:Z20"/>
    <mergeCell ref="AA20:AC20"/>
    <mergeCell ref="Y12:Z12"/>
    <mergeCell ref="AA12:AC12"/>
    <mergeCell ref="Y18:Z18"/>
    <mergeCell ref="AA18:AC18"/>
    <mergeCell ref="Y13:Z13"/>
    <mergeCell ref="AA13:AC13"/>
    <mergeCell ref="Y14:Z14"/>
    <mergeCell ref="AA14:AC14"/>
    <mergeCell ref="Y15:Z15"/>
    <mergeCell ref="AA15:AC15"/>
    <mergeCell ref="Y19:Z19"/>
    <mergeCell ref="AA19:AC19"/>
    <mergeCell ref="Y16:Z16"/>
    <mergeCell ref="AA16:AC16"/>
    <mergeCell ref="AP4:AT4"/>
    <mergeCell ref="AU4:AY4"/>
    <mergeCell ref="AZ1:BD1"/>
    <mergeCell ref="Y2:AO3"/>
    <mergeCell ref="AP2:AT2"/>
    <mergeCell ref="AZ2:BD2"/>
    <mergeCell ref="AP3:AT3"/>
    <mergeCell ref="AU3:AY3"/>
    <mergeCell ref="AZ3:BD3"/>
    <mergeCell ref="AZ4:BD4"/>
    <mergeCell ref="A1:H4"/>
    <mergeCell ref="I1:Q1"/>
    <mergeCell ref="R1:X1"/>
    <mergeCell ref="Y1:AO1"/>
    <mergeCell ref="AP1:AT1"/>
    <mergeCell ref="I2:Q4"/>
    <mergeCell ref="R2:X4"/>
    <mergeCell ref="Y10:Z10"/>
    <mergeCell ref="AA10:AC10"/>
    <mergeCell ref="A6:A7"/>
    <mergeCell ref="B6:H7"/>
    <mergeCell ref="I6:Q7"/>
    <mergeCell ref="R6:X7"/>
    <mergeCell ref="Y6:Z7"/>
    <mergeCell ref="Y9:Z9"/>
    <mergeCell ref="AA9:AC9"/>
    <mergeCell ref="AG6:AG7"/>
    <mergeCell ref="AH6:AH7"/>
    <mergeCell ref="AI6:AR6"/>
    <mergeCell ref="AS6:BD7"/>
    <mergeCell ref="Y8:Z8"/>
    <mergeCell ref="AA8:AC8"/>
    <mergeCell ref="AU1:AY1"/>
    <mergeCell ref="Y4:AO4"/>
    <mergeCell ref="Y54:Z54"/>
    <mergeCell ref="AA54:AC54"/>
    <mergeCell ref="Y55:Z55"/>
    <mergeCell ref="AA55:AC55"/>
    <mergeCell ref="Y56:Z56"/>
    <mergeCell ref="AA56:AC56"/>
    <mergeCell ref="Y57:Z57"/>
    <mergeCell ref="AA57:AC57"/>
    <mergeCell ref="Y58:Z58"/>
    <mergeCell ref="AA58:AC58"/>
    <mergeCell ref="Y59:Z59"/>
    <mergeCell ref="AA59:AC59"/>
    <mergeCell ref="Y60:Z60"/>
    <mergeCell ref="AA60:AC60"/>
    <mergeCell ref="Y61:Z61"/>
    <mergeCell ref="AA61:AC61"/>
    <mergeCell ref="Y62:Z62"/>
    <mergeCell ref="AA62:AC62"/>
    <mergeCell ref="Y63:Z63"/>
    <mergeCell ref="AA63:AC63"/>
    <mergeCell ref="Y64:Z64"/>
    <mergeCell ref="AA64:AC64"/>
    <mergeCell ref="Y65:Z65"/>
    <mergeCell ref="AA65:AC65"/>
    <mergeCell ref="Y66:Z66"/>
    <mergeCell ref="AA66:AC66"/>
    <mergeCell ref="Y67:Z67"/>
    <mergeCell ref="AA67:AC67"/>
    <mergeCell ref="Y68:Z68"/>
    <mergeCell ref="AA68:AC68"/>
    <mergeCell ref="Y69:Z69"/>
    <mergeCell ref="AA69:AC69"/>
    <mergeCell ref="Y70:Z70"/>
    <mergeCell ref="AA70:AC70"/>
    <mergeCell ref="Y71:Z71"/>
    <mergeCell ref="AA71:AC71"/>
    <mergeCell ref="Y72:Z72"/>
    <mergeCell ref="AA72:AC72"/>
    <mergeCell ref="Y73:Z73"/>
    <mergeCell ref="AA73:AC73"/>
    <mergeCell ref="Y79:Z79"/>
    <mergeCell ref="AA79:AC79"/>
    <mergeCell ref="Y80:Z80"/>
    <mergeCell ref="AA80:AC80"/>
    <mergeCell ref="Y81:Z81"/>
    <mergeCell ref="AA81:AC81"/>
    <mergeCell ref="Y74:Z74"/>
    <mergeCell ref="AA74:AC74"/>
    <mergeCell ref="Y75:Z75"/>
    <mergeCell ref="AA75:AC75"/>
    <mergeCell ref="Y76:Z76"/>
    <mergeCell ref="AA76:AC76"/>
    <mergeCell ref="Y77:Z77"/>
    <mergeCell ref="AA77:AC77"/>
    <mergeCell ref="Y78:Z78"/>
    <mergeCell ref="AA78:AC78"/>
  </mergeCells>
  <phoneticPr fontId="4"/>
  <dataValidations count="3">
    <dataValidation imeMode="hiragana" allowBlank="1" showInputMessage="1" showErrorMessage="1" sqref="JG65557:JR65559 TC65557:TN65559 ACY65557:ADJ65559 AMU65557:ANF65559 AWQ65557:AXB65559 BGM65557:BGX65559 BQI65557:BQT65559 CAE65557:CAP65559 CKA65557:CKL65559 CTW65557:CUH65559 DDS65557:DED65559 DNO65557:DNZ65559 DXK65557:DXV65559 EHG65557:EHR65559 ERC65557:ERN65559 FAY65557:FBJ65559 FKU65557:FLF65559 FUQ65557:FVB65559 GEM65557:GEX65559 GOI65557:GOT65559 GYE65557:GYP65559 HIA65557:HIL65559 HRW65557:HSH65559 IBS65557:ICD65559 ILO65557:ILZ65559 IVK65557:IVV65559 JFG65557:JFR65559 JPC65557:JPN65559 JYY65557:JZJ65559 KIU65557:KJF65559 KSQ65557:KTB65559 LCM65557:LCX65559 LMI65557:LMT65559 LWE65557:LWP65559 MGA65557:MGL65559 MPW65557:MQH65559 MZS65557:NAD65559 NJO65557:NJZ65559 NTK65557:NTV65559 ODG65557:ODR65559 ONC65557:ONN65559 OWY65557:OXJ65559 PGU65557:PHF65559 PQQ65557:PRB65559 QAM65557:QAX65559 QKI65557:QKT65559 QUE65557:QUP65559 REA65557:REL65559 RNW65557:ROH65559 RXS65557:RYD65559 SHO65557:SHZ65559 SRK65557:SRV65559 TBG65557:TBR65559 TLC65557:TLN65559 TUY65557:TVJ65559 UEU65557:UFF65559 UOQ65557:UPB65559 UYM65557:UYX65559 VII65557:VIT65559 VSE65557:VSP65559 WCA65557:WCL65559 WLW65557:WMH65559 WVS65557:WWD65559 JG131093:JR131095 TC131093:TN131095 ACY131093:ADJ131095 AMU131093:ANF131095 AWQ131093:AXB131095 BGM131093:BGX131095 BQI131093:BQT131095 CAE131093:CAP131095 CKA131093:CKL131095 CTW131093:CUH131095 DDS131093:DED131095 DNO131093:DNZ131095 DXK131093:DXV131095 EHG131093:EHR131095 ERC131093:ERN131095 FAY131093:FBJ131095 FKU131093:FLF131095 FUQ131093:FVB131095 GEM131093:GEX131095 GOI131093:GOT131095 GYE131093:GYP131095 HIA131093:HIL131095 HRW131093:HSH131095 IBS131093:ICD131095 ILO131093:ILZ131095 IVK131093:IVV131095 JFG131093:JFR131095 JPC131093:JPN131095 JYY131093:JZJ131095 KIU131093:KJF131095 KSQ131093:KTB131095 LCM131093:LCX131095 LMI131093:LMT131095 LWE131093:LWP131095 MGA131093:MGL131095 MPW131093:MQH131095 MZS131093:NAD131095 NJO131093:NJZ131095 NTK131093:NTV131095 ODG131093:ODR131095 ONC131093:ONN131095 OWY131093:OXJ131095 PGU131093:PHF131095 PQQ131093:PRB131095 QAM131093:QAX131095 QKI131093:QKT131095 QUE131093:QUP131095 REA131093:REL131095 RNW131093:ROH131095 RXS131093:RYD131095 SHO131093:SHZ131095 SRK131093:SRV131095 TBG131093:TBR131095 TLC131093:TLN131095 TUY131093:TVJ131095 UEU131093:UFF131095 UOQ131093:UPB131095 UYM131093:UYX131095 VII131093:VIT131095 VSE131093:VSP131095 WCA131093:WCL131095 WLW131093:WMH131095 WVS131093:WWD131095 JG196629:JR196631 TC196629:TN196631 ACY196629:ADJ196631 AMU196629:ANF196631 AWQ196629:AXB196631 BGM196629:BGX196631 BQI196629:BQT196631 CAE196629:CAP196631 CKA196629:CKL196631 CTW196629:CUH196631 DDS196629:DED196631 DNO196629:DNZ196631 DXK196629:DXV196631 EHG196629:EHR196631 ERC196629:ERN196631 FAY196629:FBJ196631 FKU196629:FLF196631 FUQ196629:FVB196631 GEM196629:GEX196631 GOI196629:GOT196631 GYE196629:GYP196631 HIA196629:HIL196631 HRW196629:HSH196631 IBS196629:ICD196631 ILO196629:ILZ196631 IVK196629:IVV196631 JFG196629:JFR196631 JPC196629:JPN196631 JYY196629:JZJ196631 KIU196629:KJF196631 KSQ196629:KTB196631 LCM196629:LCX196631 LMI196629:LMT196631 LWE196629:LWP196631 MGA196629:MGL196631 MPW196629:MQH196631 MZS196629:NAD196631 NJO196629:NJZ196631 NTK196629:NTV196631 ODG196629:ODR196631 ONC196629:ONN196631 OWY196629:OXJ196631 PGU196629:PHF196631 PQQ196629:PRB196631 QAM196629:QAX196631 QKI196629:QKT196631 QUE196629:QUP196631 REA196629:REL196631 RNW196629:ROH196631 RXS196629:RYD196631 SHO196629:SHZ196631 SRK196629:SRV196631 TBG196629:TBR196631 TLC196629:TLN196631 TUY196629:TVJ196631 UEU196629:UFF196631 UOQ196629:UPB196631 UYM196629:UYX196631 VII196629:VIT196631 VSE196629:VSP196631 WCA196629:WCL196631 WLW196629:WMH196631 WVS196629:WWD196631 JG262165:JR262167 TC262165:TN262167 ACY262165:ADJ262167 AMU262165:ANF262167 AWQ262165:AXB262167 BGM262165:BGX262167 BQI262165:BQT262167 CAE262165:CAP262167 CKA262165:CKL262167 CTW262165:CUH262167 DDS262165:DED262167 DNO262165:DNZ262167 DXK262165:DXV262167 EHG262165:EHR262167 ERC262165:ERN262167 FAY262165:FBJ262167 FKU262165:FLF262167 FUQ262165:FVB262167 GEM262165:GEX262167 GOI262165:GOT262167 GYE262165:GYP262167 HIA262165:HIL262167 HRW262165:HSH262167 IBS262165:ICD262167 ILO262165:ILZ262167 IVK262165:IVV262167 JFG262165:JFR262167 JPC262165:JPN262167 JYY262165:JZJ262167 KIU262165:KJF262167 KSQ262165:KTB262167 LCM262165:LCX262167 LMI262165:LMT262167 LWE262165:LWP262167 MGA262165:MGL262167 MPW262165:MQH262167 MZS262165:NAD262167 NJO262165:NJZ262167 NTK262165:NTV262167 ODG262165:ODR262167 ONC262165:ONN262167 OWY262165:OXJ262167 PGU262165:PHF262167 PQQ262165:PRB262167 QAM262165:QAX262167 QKI262165:QKT262167 QUE262165:QUP262167 REA262165:REL262167 RNW262165:ROH262167 RXS262165:RYD262167 SHO262165:SHZ262167 SRK262165:SRV262167 TBG262165:TBR262167 TLC262165:TLN262167 TUY262165:TVJ262167 UEU262165:UFF262167 UOQ262165:UPB262167 UYM262165:UYX262167 VII262165:VIT262167 VSE262165:VSP262167 WCA262165:WCL262167 WLW262165:WMH262167 WVS262165:WWD262167 JG327701:JR327703 TC327701:TN327703 ACY327701:ADJ327703 AMU327701:ANF327703 AWQ327701:AXB327703 BGM327701:BGX327703 BQI327701:BQT327703 CAE327701:CAP327703 CKA327701:CKL327703 CTW327701:CUH327703 DDS327701:DED327703 DNO327701:DNZ327703 DXK327701:DXV327703 EHG327701:EHR327703 ERC327701:ERN327703 FAY327701:FBJ327703 FKU327701:FLF327703 FUQ327701:FVB327703 GEM327701:GEX327703 GOI327701:GOT327703 GYE327701:GYP327703 HIA327701:HIL327703 HRW327701:HSH327703 IBS327701:ICD327703 ILO327701:ILZ327703 IVK327701:IVV327703 JFG327701:JFR327703 JPC327701:JPN327703 JYY327701:JZJ327703 KIU327701:KJF327703 KSQ327701:KTB327703 LCM327701:LCX327703 LMI327701:LMT327703 LWE327701:LWP327703 MGA327701:MGL327703 MPW327701:MQH327703 MZS327701:NAD327703 NJO327701:NJZ327703 NTK327701:NTV327703 ODG327701:ODR327703 ONC327701:ONN327703 OWY327701:OXJ327703 PGU327701:PHF327703 PQQ327701:PRB327703 QAM327701:QAX327703 QKI327701:QKT327703 QUE327701:QUP327703 REA327701:REL327703 RNW327701:ROH327703 RXS327701:RYD327703 SHO327701:SHZ327703 SRK327701:SRV327703 TBG327701:TBR327703 TLC327701:TLN327703 TUY327701:TVJ327703 UEU327701:UFF327703 UOQ327701:UPB327703 UYM327701:UYX327703 VII327701:VIT327703 VSE327701:VSP327703 WCA327701:WCL327703 WLW327701:WMH327703 WVS327701:WWD327703 JG393237:JR393239 TC393237:TN393239 ACY393237:ADJ393239 AMU393237:ANF393239 AWQ393237:AXB393239 BGM393237:BGX393239 BQI393237:BQT393239 CAE393237:CAP393239 CKA393237:CKL393239 CTW393237:CUH393239 DDS393237:DED393239 DNO393237:DNZ393239 DXK393237:DXV393239 EHG393237:EHR393239 ERC393237:ERN393239 FAY393237:FBJ393239 FKU393237:FLF393239 FUQ393237:FVB393239 GEM393237:GEX393239 GOI393237:GOT393239 GYE393237:GYP393239 HIA393237:HIL393239 HRW393237:HSH393239 IBS393237:ICD393239 ILO393237:ILZ393239 IVK393237:IVV393239 JFG393237:JFR393239 JPC393237:JPN393239 JYY393237:JZJ393239 KIU393237:KJF393239 KSQ393237:KTB393239 LCM393237:LCX393239 LMI393237:LMT393239 LWE393237:LWP393239 MGA393237:MGL393239 MPW393237:MQH393239 MZS393237:NAD393239 NJO393237:NJZ393239 NTK393237:NTV393239 ODG393237:ODR393239 ONC393237:ONN393239 OWY393237:OXJ393239 PGU393237:PHF393239 PQQ393237:PRB393239 QAM393237:QAX393239 QKI393237:QKT393239 QUE393237:QUP393239 REA393237:REL393239 RNW393237:ROH393239 RXS393237:RYD393239 SHO393237:SHZ393239 SRK393237:SRV393239 TBG393237:TBR393239 TLC393237:TLN393239 TUY393237:TVJ393239 UEU393237:UFF393239 UOQ393237:UPB393239 UYM393237:UYX393239 VII393237:VIT393239 VSE393237:VSP393239 WCA393237:WCL393239 WLW393237:WMH393239 WVS393237:WWD393239 JG458773:JR458775 TC458773:TN458775 ACY458773:ADJ458775 AMU458773:ANF458775 AWQ458773:AXB458775 BGM458773:BGX458775 BQI458773:BQT458775 CAE458773:CAP458775 CKA458773:CKL458775 CTW458773:CUH458775 DDS458773:DED458775 DNO458773:DNZ458775 DXK458773:DXV458775 EHG458773:EHR458775 ERC458773:ERN458775 FAY458773:FBJ458775 FKU458773:FLF458775 FUQ458773:FVB458775 GEM458773:GEX458775 GOI458773:GOT458775 GYE458773:GYP458775 HIA458773:HIL458775 HRW458773:HSH458775 IBS458773:ICD458775 ILO458773:ILZ458775 IVK458773:IVV458775 JFG458773:JFR458775 JPC458773:JPN458775 JYY458773:JZJ458775 KIU458773:KJF458775 KSQ458773:KTB458775 LCM458773:LCX458775 LMI458773:LMT458775 LWE458773:LWP458775 MGA458773:MGL458775 MPW458773:MQH458775 MZS458773:NAD458775 NJO458773:NJZ458775 NTK458773:NTV458775 ODG458773:ODR458775 ONC458773:ONN458775 OWY458773:OXJ458775 PGU458773:PHF458775 PQQ458773:PRB458775 QAM458773:QAX458775 QKI458773:QKT458775 QUE458773:QUP458775 REA458773:REL458775 RNW458773:ROH458775 RXS458773:RYD458775 SHO458773:SHZ458775 SRK458773:SRV458775 TBG458773:TBR458775 TLC458773:TLN458775 TUY458773:TVJ458775 UEU458773:UFF458775 UOQ458773:UPB458775 UYM458773:UYX458775 VII458773:VIT458775 VSE458773:VSP458775 WCA458773:WCL458775 WLW458773:WMH458775 WVS458773:WWD458775 JG524309:JR524311 TC524309:TN524311 ACY524309:ADJ524311 AMU524309:ANF524311 AWQ524309:AXB524311 BGM524309:BGX524311 BQI524309:BQT524311 CAE524309:CAP524311 CKA524309:CKL524311 CTW524309:CUH524311 DDS524309:DED524311 DNO524309:DNZ524311 DXK524309:DXV524311 EHG524309:EHR524311 ERC524309:ERN524311 FAY524309:FBJ524311 FKU524309:FLF524311 FUQ524309:FVB524311 GEM524309:GEX524311 GOI524309:GOT524311 GYE524309:GYP524311 HIA524309:HIL524311 HRW524309:HSH524311 IBS524309:ICD524311 ILO524309:ILZ524311 IVK524309:IVV524311 JFG524309:JFR524311 JPC524309:JPN524311 JYY524309:JZJ524311 KIU524309:KJF524311 KSQ524309:KTB524311 LCM524309:LCX524311 LMI524309:LMT524311 LWE524309:LWP524311 MGA524309:MGL524311 MPW524309:MQH524311 MZS524309:NAD524311 NJO524309:NJZ524311 NTK524309:NTV524311 ODG524309:ODR524311 ONC524309:ONN524311 OWY524309:OXJ524311 PGU524309:PHF524311 PQQ524309:PRB524311 QAM524309:QAX524311 QKI524309:QKT524311 QUE524309:QUP524311 REA524309:REL524311 RNW524309:ROH524311 RXS524309:RYD524311 SHO524309:SHZ524311 SRK524309:SRV524311 TBG524309:TBR524311 TLC524309:TLN524311 TUY524309:TVJ524311 UEU524309:UFF524311 UOQ524309:UPB524311 UYM524309:UYX524311 VII524309:VIT524311 VSE524309:VSP524311 WCA524309:WCL524311 WLW524309:WMH524311 WVS524309:WWD524311 JG589845:JR589847 TC589845:TN589847 ACY589845:ADJ589847 AMU589845:ANF589847 AWQ589845:AXB589847 BGM589845:BGX589847 BQI589845:BQT589847 CAE589845:CAP589847 CKA589845:CKL589847 CTW589845:CUH589847 DDS589845:DED589847 DNO589845:DNZ589847 DXK589845:DXV589847 EHG589845:EHR589847 ERC589845:ERN589847 FAY589845:FBJ589847 FKU589845:FLF589847 FUQ589845:FVB589847 GEM589845:GEX589847 GOI589845:GOT589847 GYE589845:GYP589847 HIA589845:HIL589847 HRW589845:HSH589847 IBS589845:ICD589847 ILO589845:ILZ589847 IVK589845:IVV589847 JFG589845:JFR589847 JPC589845:JPN589847 JYY589845:JZJ589847 KIU589845:KJF589847 KSQ589845:KTB589847 LCM589845:LCX589847 LMI589845:LMT589847 LWE589845:LWP589847 MGA589845:MGL589847 MPW589845:MQH589847 MZS589845:NAD589847 NJO589845:NJZ589847 NTK589845:NTV589847 ODG589845:ODR589847 ONC589845:ONN589847 OWY589845:OXJ589847 PGU589845:PHF589847 PQQ589845:PRB589847 QAM589845:QAX589847 QKI589845:QKT589847 QUE589845:QUP589847 REA589845:REL589847 RNW589845:ROH589847 RXS589845:RYD589847 SHO589845:SHZ589847 SRK589845:SRV589847 TBG589845:TBR589847 TLC589845:TLN589847 TUY589845:TVJ589847 UEU589845:UFF589847 UOQ589845:UPB589847 UYM589845:UYX589847 VII589845:VIT589847 VSE589845:VSP589847 WCA589845:WCL589847 WLW589845:WMH589847 WVS589845:WWD589847 JG655381:JR655383 TC655381:TN655383 ACY655381:ADJ655383 AMU655381:ANF655383 AWQ655381:AXB655383 BGM655381:BGX655383 BQI655381:BQT655383 CAE655381:CAP655383 CKA655381:CKL655383 CTW655381:CUH655383 DDS655381:DED655383 DNO655381:DNZ655383 DXK655381:DXV655383 EHG655381:EHR655383 ERC655381:ERN655383 FAY655381:FBJ655383 FKU655381:FLF655383 FUQ655381:FVB655383 GEM655381:GEX655383 GOI655381:GOT655383 GYE655381:GYP655383 HIA655381:HIL655383 HRW655381:HSH655383 IBS655381:ICD655383 ILO655381:ILZ655383 IVK655381:IVV655383 JFG655381:JFR655383 JPC655381:JPN655383 JYY655381:JZJ655383 KIU655381:KJF655383 KSQ655381:KTB655383 LCM655381:LCX655383 LMI655381:LMT655383 LWE655381:LWP655383 MGA655381:MGL655383 MPW655381:MQH655383 MZS655381:NAD655383 NJO655381:NJZ655383 NTK655381:NTV655383 ODG655381:ODR655383 ONC655381:ONN655383 OWY655381:OXJ655383 PGU655381:PHF655383 PQQ655381:PRB655383 QAM655381:QAX655383 QKI655381:QKT655383 QUE655381:QUP655383 REA655381:REL655383 RNW655381:ROH655383 RXS655381:RYD655383 SHO655381:SHZ655383 SRK655381:SRV655383 TBG655381:TBR655383 TLC655381:TLN655383 TUY655381:TVJ655383 UEU655381:UFF655383 UOQ655381:UPB655383 UYM655381:UYX655383 VII655381:VIT655383 VSE655381:VSP655383 WCA655381:WCL655383 WLW655381:WMH655383 WVS655381:WWD655383 JG720917:JR720919 TC720917:TN720919 ACY720917:ADJ720919 AMU720917:ANF720919 AWQ720917:AXB720919 BGM720917:BGX720919 BQI720917:BQT720919 CAE720917:CAP720919 CKA720917:CKL720919 CTW720917:CUH720919 DDS720917:DED720919 DNO720917:DNZ720919 DXK720917:DXV720919 EHG720917:EHR720919 ERC720917:ERN720919 FAY720917:FBJ720919 FKU720917:FLF720919 FUQ720917:FVB720919 GEM720917:GEX720919 GOI720917:GOT720919 GYE720917:GYP720919 HIA720917:HIL720919 HRW720917:HSH720919 IBS720917:ICD720919 ILO720917:ILZ720919 IVK720917:IVV720919 JFG720917:JFR720919 JPC720917:JPN720919 JYY720917:JZJ720919 KIU720917:KJF720919 KSQ720917:KTB720919 LCM720917:LCX720919 LMI720917:LMT720919 LWE720917:LWP720919 MGA720917:MGL720919 MPW720917:MQH720919 MZS720917:NAD720919 NJO720917:NJZ720919 NTK720917:NTV720919 ODG720917:ODR720919 ONC720917:ONN720919 OWY720917:OXJ720919 PGU720917:PHF720919 PQQ720917:PRB720919 QAM720917:QAX720919 QKI720917:QKT720919 QUE720917:QUP720919 REA720917:REL720919 RNW720917:ROH720919 RXS720917:RYD720919 SHO720917:SHZ720919 SRK720917:SRV720919 TBG720917:TBR720919 TLC720917:TLN720919 TUY720917:TVJ720919 UEU720917:UFF720919 UOQ720917:UPB720919 UYM720917:UYX720919 VII720917:VIT720919 VSE720917:VSP720919 WCA720917:WCL720919 WLW720917:WMH720919 WVS720917:WWD720919 JG786453:JR786455 TC786453:TN786455 ACY786453:ADJ786455 AMU786453:ANF786455 AWQ786453:AXB786455 BGM786453:BGX786455 BQI786453:BQT786455 CAE786453:CAP786455 CKA786453:CKL786455 CTW786453:CUH786455 DDS786453:DED786455 DNO786453:DNZ786455 DXK786453:DXV786455 EHG786453:EHR786455 ERC786453:ERN786455 FAY786453:FBJ786455 FKU786453:FLF786455 FUQ786453:FVB786455 GEM786453:GEX786455 GOI786453:GOT786455 GYE786453:GYP786455 HIA786453:HIL786455 HRW786453:HSH786455 IBS786453:ICD786455 ILO786453:ILZ786455 IVK786453:IVV786455 JFG786453:JFR786455 JPC786453:JPN786455 JYY786453:JZJ786455 KIU786453:KJF786455 KSQ786453:KTB786455 LCM786453:LCX786455 LMI786453:LMT786455 LWE786453:LWP786455 MGA786453:MGL786455 MPW786453:MQH786455 MZS786453:NAD786455 NJO786453:NJZ786455 NTK786453:NTV786455 ODG786453:ODR786455 ONC786453:ONN786455 OWY786453:OXJ786455 PGU786453:PHF786455 PQQ786453:PRB786455 QAM786453:QAX786455 QKI786453:QKT786455 QUE786453:QUP786455 REA786453:REL786455 RNW786453:ROH786455 RXS786453:RYD786455 SHO786453:SHZ786455 SRK786453:SRV786455 TBG786453:TBR786455 TLC786453:TLN786455 TUY786453:TVJ786455 UEU786453:UFF786455 UOQ786453:UPB786455 UYM786453:UYX786455 VII786453:VIT786455 VSE786453:VSP786455 WCA786453:WCL786455 WLW786453:WMH786455 WVS786453:WWD786455 JG851989:JR851991 TC851989:TN851991 ACY851989:ADJ851991 AMU851989:ANF851991 AWQ851989:AXB851991 BGM851989:BGX851991 BQI851989:BQT851991 CAE851989:CAP851991 CKA851989:CKL851991 CTW851989:CUH851991 DDS851989:DED851991 DNO851989:DNZ851991 DXK851989:DXV851991 EHG851989:EHR851991 ERC851989:ERN851991 FAY851989:FBJ851991 FKU851989:FLF851991 FUQ851989:FVB851991 GEM851989:GEX851991 GOI851989:GOT851991 GYE851989:GYP851991 HIA851989:HIL851991 HRW851989:HSH851991 IBS851989:ICD851991 ILO851989:ILZ851991 IVK851989:IVV851991 JFG851989:JFR851991 JPC851989:JPN851991 JYY851989:JZJ851991 KIU851989:KJF851991 KSQ851989:KTB851991 LCM851989:LCX851991 LMI851989:LMT851991 LWE851989:LWP851991 MGA851989:MGL851991 MPW851989:MQH851991 MZS851989:NAD851991 NJO851989:NJZ851991 NTK851989:NTV851991 ODG851989:ODR851991 ONC851989:ONN851991 OWY851989:OXJ851991 PGU851989:PHF851991 PQQ851989:PRB851991 QAM851989:QAX851991 QKI851989:QKT851991 QUE851989:QUP851991 REA851989:REL851991 RNW851989:ROH851991 RXS851989:RYD851991 SHO851989:SHZ851991 SRK851989:SRV851991 TBG851989:TBR851991 TLC851989:TLN851991 TUY851989:TVJ851991 UEU851989:UFF851991 UOQ851989:UPB851991 UYM851989:UYX851991 VII851989:VIT851991 VSE851989:VSP851991 WCA851989:WCL851991 WLW851989:WMH851991 WVS851989:WWD851991 JG917525:JR917527 TC917525:TN917527 ACY917525:ADJ917527 AMU917525:ANF917527 AWQ917525:AXB917527 BGM917525:BGX917527 BQI917525:BQT917527 CAE917525:CAP917527 CKA917525:CKL917527 CTW917525:CUH917527 DDS917525:DED917527 DNO917525:DNZ917527 DXK917525:DXV917527 EHG917525:EHR917527 ERC917525:ERN917527 FAY917525:FBJ917527 FKU917525:FLF917527 FUQ917525:FVB917527 GEM917525:GEX917527 GOI917525:GOT917527 GYE917525:GYP917527 HIA917525:HIL917527 HRW917525:HSH917527 IBS917525:ICD917527 ILO917525:ILZ917527 IVK917525:IVV917527 JFG917525:JFR917527 JPC917525:JPN917527 JYY917525:JZJ917527 KIU917525:KJF917527 KSQ917525:KTB917527 LCM917525:LCX917527 LMI917525:LMT917527 LWE917525:LWP917527 MGA917525:MGL917527 MPW917525:MQH917527 MZS917525:NAD917527 NJO917525:NJZ917527 NTK917525:NTV917527 ODG917525:ODR917527 ONC917525:ONN917527 OWY917525:OXJ917527 PGU917525:PHF917527 PQQ917525:PRB917527 QAM917525:QAX917527 QKI917525:QKT917527 QUE917525:QUP917527 REA917525:REL917527 RNW917525:ROH917527 RXS917525:RYD917527 SHO917525:SHZ917527 SRK917525:SRV917527 TBG917525:TBR917527 TLC917525:TLN917527 TUY917525:TVJ917527 UEU917525:UFF917527 UOQ917525:UPB917527 UYM917525:UYX917527 VII917525:VIT917527 VSE917525:VSP917527 WCA917525:WCL917527 WLW917525:WMH917527 WVS917525:WWD917527 JG983061:JR983063 TC983061:TN983063 ACY983061:ADJ983063 AMU983061:ANF983063 AWQ983061:AXB983063 BGM983061:BGX983063 BQI983061:BQT983063 CAE983061:CAP983063 CKA983061:CKL983063 CTW983061:CUH983063 DDS983061:DED983063 DNO983061:DNZ983063 DXK983061:DXV983063 EHG983061:EHR983063 ERC983061:ERN983063 FAY983061:FBJ983063 FKU983061:FLF983063 FUQ983061:FVB983063 GEM983061:GEX983063 GOI983061:GOT983063 GYE983061:GYP983063 HIA983061:HIL983063 HRW983061:HSH983063 IBS983061:ICD983063 ILO983061:ILZ983063 IVK983061:IVV983063 JFG983061:JFR983063 JPC983061:JPN983063 JYY983061:JZJ983063 KIU983061:KJF983063 KSQ983061:KTB983063 LCM983061:LCX983063 LMI983061:LMT983063 LWE983061:LWP983063 MGA983061:MGL983063 MPW983061:MQH983063 MZS983061:NAD983063 NJO983061:NJZ983063 NTK983061:NTV983063 ODG983061:ODR983063 ONC983061:ONN983063 OWY983061:OXJ983063 PGU983061:PHF983063 PQQ983061:PRB983063 QAM983061:QAX983063 QKI983061:QKT983063 QUE983061:QUP983063 REA983061:REL983063 RNW983061:ROH983063 RXS983061:RYD983063 SHO983061:SHZ983063 SRK983061:SRV983063 TBG983061:TBR983063 TLC983061:TLN983063 TUY983061:TVJ983063 UEU983061:UFF983063 UOQ983061:UPB983063 UYM983061:UYX983063 VII983061:VIT983063 VSE983061:VSP983063 WCA983061:WCL983063 WLW983061:WMH983063 WVS983061:WWD983063 WVS983066:WWD983068 JG65562:JR65564 TC65562:TN65564 ACY65562:ADJ65564 AMU65562:ANF65564 AWQ65562:AXB65564 BGM65562:BGX65564 BQI65562:BQT65564 CAE65562:CAP65564 CKA65562:CKL65564 CTW65562:CUH65564 DDS65562:DED65564 DNO65562:DNZ65564 DXK65562:DXV65564 EHG65562:EHR65564 ERC65562:ERN65564 FAY65562:FBJ65564 FKU65562:FLF65564 FUQ65562:FVB65564 GEM65562:GEX65564 GOI65562:GOT65564 GYE65562:GYP65564 HIA65562:HIL65564 HRW65562:HSH65564 IBS65562:ICD65564 ILO65562:ILZ65564 IVK65562:IVV65564 JFG65562:JFR65564 JPC65562:JPN65564 JYY65562:JZJ65564 KIU65562:KJF65564 KSQ65562:KTB65564 LCM65562:LCX65564 LMI65562:LMT65564 LWE65562:LWP65564 MGA65562:MGL65564 MPW65562:MQH65564 MZS65562:NAD65564 NJO65562:NJZ65564 NTK65562:NTV65564 ODG65562:ODR65564 ONC65562:ONN65564 OWY65562:OXJ65564 PGU65562:PHF65564 PQQ65562:PRB65564 QAM65562:QAX65564 QKI65562:QKT65564 QUE65562:QUP65564 REA65562:REL65564 RNW65562:ROH65564 RXS65562:RYD65564 SHO65562:SHZ65564 SRK65562:SRV65564 TBG65562:TBR65564 TLC65562:TLN65564 TUY65562:TVJ65564 UEU65562:UFF65564 UOQ65562:UPB65564 UYM65562:UYX65564 VII65562:VIT65564 VSE65562:VSP65564 WCA65562:WCL65564 WLW65562:WMH65564 WVS65562:WWD65564 JG131098:JR131100 TC131098:TN131100 ACY131098:ADJ131100 AMU131098:ANF131100 AWQ131098:AXB131100 BGM131098:BGX131100 BQI131098:BQT131100 CAE131098:CAP131100 CKA131098:CKL131100 CTW131098:CUH131100 DDS131098:DED131100 DNO131098:DNZ131100 DXK131098:DXV131100 EHG131098:EHR131100 ERC131098:ERN131100 FAY131098:FBJ131100 FKU131098:FLF131100 FUQ131098:FVB131100 GEM131098:GEX131100 GOI131098:GOT131100 GYE131098:GYP131100 HIA131098:HIL131100 HRW131098:HSH131100 IBS131098:ICD131100 ILO131098:ILZ131100 IVK131098:IVV131100 JFG131098:JFR131100 JPC131098:JPN131100 JYY131098:JZJ131100 KIU131098:KJF131100 KSQ131098:KTB131100 LCM131098:LCX131100 LMI131098:LMT131100 LWE131098:LWP131100 MGA131098:MGL131100 MPW131098:MQH131100 MZS131098:NAD131100 NJO131098:NJZ131100 NTK131098:NTV131100 ODG131098:ODR131100 ONC131098:ONN131100 OWY131098:OXJ131100 PGU131098:PHF131100 PQQ131098:PRB131100 QAM131098:QAX131100 QKI131098:QKT131100 QUE131098:QUP131100 REA131098:REL131100 RNW131098:ROH131100 RXS131098:RYD131100 SHO131098:SHZ131100 SRK131098:SRV131100 TBG131098:TBR131100 TLC131098:TLN131100 TUY131098:TVJ131100 UEU131098:UFF131100 UOQ131098:UPB131100 UYM131098:UYX131100 VII131098:VIT131100 VSE131098:VSP131100 WCA131098:WCL131100 WLW131098:WMH131100 WVS131098:WWD131100 JG196634:JR196636 TC196634:TN196636 ACY196634:ADJ196636 AMU196634:ANF196636 AWQ196634:AXB196636 BGM196634:BGX196636 BQI196634:BQT196636 CAE196634:CAP196636 CKA196634:CKL196636 CTW196634:CUH196636 DDS196634:DED196636 DNO196634:DNZ196636 DXK196634:DXV196636 EHG196634:EHR196636 ERC196634:ERN196636 FAY196634:FBJ196636 FKU196634:FLF196636 FUQ196634:FVB196636 GEM196634:GEX196636 GOI196634:GOT196636 GYE196634:GYP196636 HIA196634:HIL196636 HRW196634:HSH196636 IBS196634:ICD196636 ILO196634:ILZ196636 IVK196634:IVV196636 JFG196634:JFR196636 JPC196634:JPN196636 JYY196634:JZJ196636 KIU196634:KJF196636 KSQ196634:KTB196636 LCM196634:LCX196636 LMI196634:LMT196636 LWE196634:LWP196636 MGA196634:MGL196636 MPW196634:MQH196636 MZS196634:NAD196636 NJO196634:NJZ196636 NTK196634:NTV196636 ODG196634:ODR196636 ONC196634:ONN196636 OWY196634:OXJ196636 PGU196634:PHF196636 PQQ196634:PRB196636 QAM196634:QAX196636 QKI196634:QKT196636 QUE196634:QUP196636 REA196634:REL196636 RNW196634:ROH196636 RXS196634:RYD196636 SHO196634:SHZ196636 SRK196634:SRV196636 TBG196634:TBR196636 TLC196634:TLN196636 TUY196634:TVJ196636 UEU196634:UFF196636 UOQ196634:UPB196636 UYM196634:UYX196636 VII196634:VIT196636 VSE196634:VSP196636 WCA196634:WCL196636 WLW196634:WMH196636 WVS196634:WWD196636 JG262170:JR262172 TC262170:TN262172 ACY262170:ADJ262172 AMU262170:ANF262172 AWQ262170:AXB262172 BGM262170:BGX262172 BQI262170:BQT262172 CAE262170:CAP262172 CKA262170:CKL262172 CTW262170:CUH262172 DDS262170:DED262172 DNO262170:DNZ262172 DXK262170:DXV262172 EHG262170:EHR262172 ERC262170:ERN262172 FAY262170:FBJ262172 FKU262170:FLF262172 FUQ262170:FVB262172 GEM262170:GEX262172 GOI262170:GOT262172 GYE262170:GYP262172 HIA262170:HIL262172 HRW262170:HSH262172 IBS262170:ICD262172 ILO262170:ILZ262172 IVK262170:IVV262172 JFG262170:JFR262172 JPC262170:JPN262172 JYY262170:JZJ262172 KIU262170:KJF262172 KSQ262170:KTB262172 LCM262170:LCX262172 LMI262170:LMT262172 LWE262170:LWP262172 MGA262170:MGL262172 MPW262170:MQH262172 MZS262170:NAD262172 NJO262170:NJZ262172 NTK262170:NTV262172 ODG262170:ODR262172 ONC262170:ONN262172 OWY262170:OXJ262172 PGU262170:PHF262172 PQQ262170:PRB262172 QAM262170:QAX262172 QKI262170:QKT262172 QUE262170:QUP262172 REA262170:REL262172 RNW262170:ROH262172 RXS262170:RYD262172 SHO262170:SHZ262172 SRK262170:SRV262172 TBG262170:TBR262172 TLC262170:TLN262172 TUY262170:TVJ262172 UEU262170:UFF262172 UOQ262170:UPB262172 UYM262170:UYX262172 VII262170:VIT262172 VSE262170:VSP262172 WCA262170:WCL262172 WLW262170:WMH262172 WVS262170:WWD262172 JG327706:JR327708 TC327706:TN327708 ACY327706:ADJ327708 AMU327706:ANF327708 AWQ327706:AXB327708 BGM327706:BGX327708 BQI327706:BQT327708 CAE327706:CAP327708 CKA327706:CKL327708 CTW327706:CUH327708 DDS327706:DED327708 DNO327706:DNZ327708 DXK327706:DXV327708 EHG327706:EHR327708 ERC327706:ERN327708 FAY327706:FBJ327708 FKU327706:FLF327708 FUQ327706:FVB327708 GEM327706:GEX327708 GOI327706:GOT327708 GYE327706:GYP327708 HIA327706:HIL327708 HRW327706:HSH327708 IBS327706:ICD327708 ILO327706:ILZ327708 IVK327706:IVV327708 JFG327706:JFR327708 JPC327706:JPN327708 JYY327706:JZJ327708 KIU327706:KJF327708 KSQ327706:KTB327708 LCM327706:LCX327708 LMI327706:LMT327708 LWE327706:LWP327708 MGA327706:MGL327708 MPW327706:MQH327708 MZS327706:NAD327708 NJO327706:NJZ327708 NTK327706:NTV327708 ODG327706:ODR327708 ONC327706:ONN327708 OWY327706:OXJ327708 PGU327706:PHF327708 PQQ327706:PRB327708 QAM327706:QAX327708 QKI327706:QKT327708 QUE327706:QUP327708 REA327706:REL327708 RNW327706:ROH327708 RXS327706:RYD327708 SHO327706:SHZ327708 SRK327706:SRV327708 TBG327706:TBR327708 TLC327706:TLN327708 TUY327706:TVJ327708 UEU327706:UFF327708 UOQ327706:UPB327708 UYM327706:UYX327708 VII327706:VIT327708 VSE327706:VSP327708 WCA327706:WCL327708 WLW327706:WMH327708 WVS327706:WWD327708 JG393242:JR393244 TC393242:TN393244 ACY393242:ADJ393244 AMU393242:ANF393244 AWQ393242:AXB393244 BGM393242:BGX393244 BQI393242:BQT393244 CAE393242:CAP393244 CKA393242:CKL393244 CTW393242:CUH393244 DDS393242:DED393244 DNO393242:DNZ393244 DXK393242:DXV393244 EHG393242:EHR393244 ERC393242:ERN393244 FAY393242:FBJ393244 FKU393242:FLF393244 FUQ393242:FVB393244 GEM393242:GEX393244 GOI393242:GOT393244 GYE393242:GYP393244 HIA393242:HIL393244 HRW393242:HSH393244 IBS393242:ICD393244 ILO393242:ILZ393244 IVK393242:IVV393244 JFG393242:JFR393244 JPC393242:JPN393244 JYY393242:JZJ393244 KIU393242:KJF393244 KSQ393242:KTB393244 LCM393242:LCX393244 LMI393242:LMT393244 LWE393242:LWP393244 MGA393242:MGL393244 MPW393242:MQH393244 MZS393242:NAD393244 NJO393242:NJZ393244 NTK393242:NTV393244 ODG393242:ODR393244 ONC393242:ONN393244 OWY393242:OXJ393244 PGU393242:PHF393244 PQQ393242:PRB393244 QAM393242:QAX393244 QKI393242:QKT393244 QUE393242:QUP393244 REA393242:REL393244 RNW393242:ROH393244 RXS393242:RYD393244 SHO393242:SHZ393244 SRK393242:SRV393244 TBG393242:TBR393244 TLC393242:TLN393244 TUY393242:TVJ393244 UEU393242:UFF393244 UOQ393242:UPB393244 UYM393242:UYX393244 VII393242:VIT393244 VSE393242:VSP393244 WCA393242:WCL393244 WLW393242:WMH393244 WVS393242:WWD393244 JG458778:JR458780 TC458778:TN458780 ACY458778:ADJ458780 AMU458778:ANF458780 AWQ458778:AXB458780 BGM458778:BGX458780 BQI458778:BQT458780 CAE458778:CAP458780 CKA458778:CKL458780 CTW458778:CUH458780 DDS458778:DED458780 DNO458778:DNZ458780 DXK458778:DXV458780 EHG458778:EHR458780 ERC458778:ERN458780 FAY458778:FBJ458780 FKU458778:FLF458780 FUQ458778:FVB458780 GEM458778:GEX458780 GOI458778:GOT458780 GYE458778:GYP458780 HIA458778:HIL458780 HRW458778:HSH458780 IBS458778:ICD458780 ILO458778:ILZ458780 IVK458778:IVV458780 JFG458778:JFR458780 JPC458778:JPN458780 JYY458778:JZJ458780 KIU458778:KJF458780 KSQ458778:KTB458780 LCM458778:LCX458780 LMI458778:LMT458780 LWE458778:LWP458780 MGA458778:MGL458780 MPW458778:MQH458780 MZS458778:NAD458780 NJO458778:NJZ458780 NTK458778:NTV458780 ODG458778:ODR458780 ONC458778:ONN458780 OWY458778:OXJ458780 PGU458778:PHF458780 PQQ458778:PRB458780 QAM458778:QAX458780 QKI458778:QKT458780 QUE458778:QUP458780 REA458778:REL458780 RNW458778:ROH458780 RXS458778:RYD458780 SHO458778:SHZ458780 SRK458778:SRV458780 TBG458778:TBR458780 TLC458778:TLN458780 TUY458778:TVJ458780 UEU458778:UFF458780 UOQ458778:UPB458780 UYM458778:UYX458780 VII458778:VIT458780 VSE458778:VSP458780 WCA458778:WCL458780 WLW458778:WMH458780 WVS458778:WWD458780 JG524314:JR524316 TC524314:TN524316 ACY524314:ADJ524316 AMU524314:ANF524316 AWQ524314:AXB524316 BGM524314:BGX524316 BQI524314:BQT524316 CAE524314:CAP524316 CKA524314:CKL524316 CTW524314:CUH524316 DDS524314:DED524316 DNO524314:DNZ524316 DXK524314:DXV524316 EHG524314:EHR524316 ERC524314:ERN524316 FAY524314:FBJ524316 FKU524314:FLF524316 FUQ524314:FVB524316 GEM524314:GEX524316 GOI524314:GOT524316 GYE524314:GYP524316 HIA524314:HIL524316 HRW524314:HSH524316 IBS524314:ICD524316 ILO524314:ILZ524316 IVK524314:IVV524316 JFG524314:JFR524316 JPC524314:JPN524316 JYY524314:JZJ524316 KIU524314:KJF524316 KSQ524314:KTB524316 LCM524314:LCX524316 LMI524314:LMT524316 LWE524314:LWP524316 MGA524314:MGL524316 MPW524314:MQH524316 MZS524314:NAD524316 NJO524314:NJZ524316 NTK524314:NTV524316 ODG524314:ODR524316 ONC524314:ONN524316 OWY524314:OXJ524316 PGU524314:PHF524316 PQQ524314:PRB524316 QAM524314:QAX524316 QKI524314:QKT524316 QUE524314:QUP524316 REA524314:REL524316 RNW524314:ROH524316 RXS524314:RYD524316 SHO524314:SHZ524316 SRK524314:SRV524316 TBG524314:TBR524316 TLC524314:TLN524316 TUY524314:TVJ524316 UEU524314:UFF524316 UOQ524314:UPB524316 UYM524314:UYX524316 VII524314:VIT524316 VSE524314:VSP524316 WCA524314:WCL524316 WLW524314:WMH524316 WVS524314:WWD524316 JG589850:JR589852 TC589850:TN589852 ACY589850:ADJ589852 AMU589850:ANF589852 AWQ589850:AXB589852 BGM589850:BGX589852 BQI589850:BQT589852 CAE589850:CAP589852 CKA589850:CKL589852 CTW589850:CUH589852 DDS589850:DED589852 DNO589850:DNZ589852 DXK589850:DXV589852 EHG589850:EHR589852 ERC589850:ERN589852 FAY589850:FBJ589852 FKU589850:FLF589852 FUQ589850:FVB589852 GEM589850:GEX589852 GOI589850:GOT589852 GYE589850:GYP589852 HIA589850:HIL589852 HRW589850:HSH589852 IBS589850:ICD589852 ILO589850:ILZ589852 IVK589850:IVV589852 JFG589850:JFR589852 JPC589850:JPN589852 JYY589850:JZJ589852 KIU589850:KJF589852 KSQ589850:KTB589852 LCM589850:LCX589852 LMI589850:LMT589852 LWE589850:LWP589852 MGA589850:MGL589852 MPW589850:MQH589852 MZS589850:NAD589852 NJO589850:NJZ589852 NTK589850:NTV589852 ODG589850:ODR589852 ONC589850:ONN589852 OWY589850:OXJ589852 PGU589850:PHF589852 PQQ589850:PRB589852 QAM589850:QAX589852 QKI589850:QKT589852 QUE589850:QUP589852 REA589850:REL589852 RNW589850:ROH589852 RXS589850:RYD589852 SHO589850:SHZ589852 SRK589850:SRV589852 TBG589850:TBR589852 TLC589850:TLN589852 TUY589850:TVJ589852 UEU589850:UFF589852 UOQ589850:UPB589852 UYM589850:UYX589852 VII589850:VIT589852 VSE589850:VSP589852 WCA589850:WCL589852 WLW589850:WMH589852 WVS589850:WWD589852 JG655386:JR655388 TC655386:TN655388 ACY655386:ADJ655388 AMU655386:ANF655388 AWQ655386:AXB655388 BGM655386:BGX655388 BQI655386:BQT655388 CAE655386:CAP655388 CKA655386:CKL655388 CTW655386:CUH655388 DDS655386:DED655388 DNO655386:DNZ655388 DXK655386:DXV655388 EHG655386:EHR655388 ERC655386:ERN655388 FAY655386:FBJ655388 FKU655386:FLF655388 FUQ655386:FVB655388 GEM655386:GEX655388 GOI655386:GOT655388 GYE655386:GYP655388 HIA655386:HIL655388 HRW655386:HSH655388 IBS655386:ICD655388 ILO655386:ILZ655388 IVK655386:IVV655388 JFG655386:JFR655388 JPC655386:JPN655388 JYY655386:JZJ655388 KIU655386:KJF655388 KSQ655386:KTB655388 LCM655386:LCX655388 LMI655386:LMT655388 LWE655386:LWP655388 MGA655386:MGL655388 MPW655386:MQH655388 MZS655386:NAD655388 NJO655386:NJZ655388 NTK655386:NTV655388 ODG655386:ODR655388 ONC655386:ONN655388 OWY655386:OXJ655388 PGU655386:PHF655388 PQQ655386:PRB655388 QAM655386:QAX655388 QKI655386:QKT655388 QUE655386:QUP655388 REA655386:REL655388 RNW655386:ROH655388 RXS655386:RYD655388 SHO655386:SHZ655388 SRK655386:SRV655388 TBG655386:TBR655388 TLC655386:TLN655388 TUY655386:TVJ655388 UEU655386:UFF655388 UOQ655386:UPB655388 UYM655386:UYX655388 VII655386:VIT655388 VSE655386:VSP655388 WCA655386:WCL655388 WLW655386:WMH655388 WVS655386:WWD655388 JG720922:JR720924 TC720922:TN720924 ACY720922:ADJ720924 AMU720922:ANF720924 AWQ720922:AXB720924 BGM720922:BGX720924 BQI720922:BQT720924 CAE720922:CAP720924 CKA720922:CKL720924 CTW720922:CUH720924 DDS720922:DED720924 DNO720922:DNZ720924 DXK720922:DXV720924 EHG720922:EHR720924 ERC720922:ERN720924 FAY720922:FBJ720924 FKU720922:FLF720924 FUQ720922:FVB720924 GEM720922:GEX720924 GOI720922:GOT720924 GYE720922:GYP720924 HIA720922:HIL720924 HRW720922:HSH720924 IBS720922:ICD720924 ILO720922:ILZ720924 IVK720922:IVV720924 JFG720922:JFR720924 JPC720922:JPN720924 JYY720922:JZJ720924 KIU720922:KJF720924 KSQ720922:KTB720924 LCM720922:LCX720924 LMI720922:LMT720924 LWE720922:LWP720924 MGA720922:MGL720924 MPW720922:MQH720924 MZS720922:NAD720924 NJO720922:NJZ720924 NTK720922:NTV720924 ODG720922:ODR720924 ONC720922:ONN720924 OWY720922:OXJ720924 PGU720922:PHF720924 PQQ720922:PRB720924 QAM720922:QAX720924 QKI720922:QKT720924 QUE720922:QUP720924 REA720922:REL720924 RNW720922:ROH720924 RXS720922:RYD720924 SHO720922:SHZ720924 SRK720922:SRV720924 TBG720922:TBR720924 TLC720922:TLN720924 TUY720922:TVJ720924 UEU720922:UFF720924 UOQ720922:UPB720924 UYM720922:UYX720924 VII720922:VIT720924 VSE720922:VSP720924 WCA720922:WCL720924 WLW720922:WMH720924 WVS720922:WWD720924 JG786458:JR786460 TC786458:TN786460 ACY786458:ADJ786460 AMU786458:ANF786460 AWQ786458:AXB786460 BGM786458:BGX786460 BQI786458:BQT786460 CAE786458:CAP786460 CKA786458:CKL786460 CTW786458:CUH786460 DDS786458:DED786460 DNO786458:DNZ786460 DXK786458:DXV786460 EHG786458:EHR786460 ERC786458:ERN786460 FAY786458:FBJ786460 FKU786458:FLF786460 FUQ786458:FVB786460 GEM786458:GEX786460 GOI786458:GOT786460 GYE786458:GYP786460 HIA786458:HIL786460 HRW786458:HSH786460 IBS786458:ICD786460 ILO786458:ILZ786460 IVK786458:IVV786460 JFG786458:JFR786460 JPC786458:JPN786460 JYY786458:JZJ786460 KIU786458:KJF786460 KSQ786458:KTB786460 LCM786458:LCX786460 LMI786458:LMT786460 LWE786458:LWP786460 MGA786458:MGL786460 MPW786458:MQH786460 MZS786458:NAD786460 NJO786458:NJZ786460 NTK786458:NTV786460 ODG786458:ODR786460 ONC786458:ONN786460 OWY786458:OXJ786460 PGU786458:PHF786460 PQQ786458:PRB786460 QAM786458:QAX786460 QKI786458:QKT786460 QUE786458:QUP786460 REA786458:REL786460 RNW786458:ROH786460 RXS786458:RYD786460 SHO786458:SHZ786460 SRK786458:SRV786460 TBG786458:TBR786460 TLC786458:TLN786460 TUY786458:TVJ786460 UEU786458:UFF786460 UOQ786458:UPB786460 UYM786458:UYX786460 VII786458:VIT786460 VSE786458:VSP786460 WCA786458:WCL786460 WLW786458:WMH786460 WVS786458:WWD786460 JG851994:JR851996 TC851994:TN851996 ACY851994:ADJ851996 AMU851994:ANF851996 AWQ851994:AXB851996 BGM851994:BGX851996 BQI851994:BQT851996 CAE851994:CAP851996 CKA851994:CKL851996 CTW851994:CUH851996 DDS851994:DED851996 DNO851994:DNZ851996 DXK851994:DXV851996 EHG851994:EHR851996 ERC851994:ERN851996 FAY851994:FBJ851996 FKU851994:FLF851996 FUQ851994:FVB851996 GEM851994:GEX851996 GOI851994:GOT851996 GYE851994:GYP851996 HIA851994:HIL851996 HRW851994:HSH851996 IBS851994:ICD851996 ILO851994:ILZ851996 IVK851994:IVV851996 JFG851994:JFR851996 JPC851994:JPN851996 JYY851994:JZJ851996 KIU851994:KJF851996 KSQ851994:KTB851996 LCM851994:LCX851996 LMI851994:LMT851996 LWE851994:LWP851996 MGA851994:MGL851996 MPW851994:MQH851996 MZS851994:NAD851996 NJO851994:NJZ851996 NTK851994:NTV851996 ODG851994:ODR851996 ONC851994:ONN851996 OWY851994:OXJ851996 PGU851994:PHF851996 PQQ851994:PRB851996 QAM851994:QAX851996 QKI851994:QKT851996 QUE851994:QUP851996 REA851994:REL851996 RNW851994:ROH851996 RXS851994:RYD851996 SHO851994:SHZ851996 SRK851994:SRV851996 TBG851994:TBR851996 TLC851994:TLN851996 TUY851994:TVJ851996 UEU851994:UFF851996 UOQ851994:UPB851996 UYM851994:UYX851996 VII851994:VIT851996 VSE851994:VSP851996 WCA851994:WCL851996 WLW851994:WMH851996 WVS851994:WWD851996 JG917530:JR917532 TC917530:TN917532 ACY917530:ADJ917532 AMU917530:ANF917532 AWQ917530:AXB917532 BGM917530:BGX917532 BQI917530:BQT917532 CAE917530:CAP917532 CKA917530:CKL917532 CTW917530:CUH917532 DDS917530:DED917532 DNO917530:DNZ917532 DXK917530:DXV917532 EHG917530:EHR917532 ERC917530:ERN917532 FAY917530:FBJ917532 FKU917530:FLF917532 FUQ917530:FVB917532 GEM917530:GEX917532 GOI917530:GOT917532 GYE917530:GYP917532 HIA917530:HIL917532 HRW917530:HSH917532 IBS917530:ICD917532 ILO917530:ILZ917532 IVK917530:IVV917532 JFG917530:JFR917532 JPC917530:JPN917532 JYY917530:JZJ917532 KIU917530:KJF917532 KSQ917530:KTB917532 LCM917530:LCX917532 LMI917530:LMT917532 LWE917530:LWP917532 MGA917530:MGL917532 MPW917530:MQH917532 MZS917530:NAD917532 NJO917530:NJZ917532 NTK917530:NTV917532 ODG917530:ODR917532 ONC917530:ONN917532 OWY917530:OXJ917532 PGU917530:PHF917532 PQQ917530:PRB917532 QAM917530:QAX917532 QKI917530:QKT917532 QUE917530:QUP917532 REA917530:REL917532 RNW917530:ROH917532 RXS917530:RYD917532 SHO917530:SHZ917532 SRK917530:SRV917532 TBG917530:TBR917532 TLC917530:TLN917532 TUY917530:TVJ917532 UEU917530:UFF917532 UOQ917530:UPB917532 UYM917530:UYX917532 VII917530:VIT917532 VSE917530:VSP917532 WCA917530:WCL917532 WLW917530:WMH917532 WVS917530:WWD917532 JG983066:JR983068 TC983066:TN983068 ACY983066:ADJ983068 AMU983066:ANF983068 AWQ983066:AXB983068 BGM983066:BGX983068 BQI983066:BQT983068 CAE983066:CAP983068 CKA983066:CKL983068 CTW983066:CUH983068 DDS983066:DED983068 DNO983066:DNZ983068 DXK983066:DXV983068 EHG983066:EHR983068 ERC983066:ERN983068 FAY983066:FBJ983068 FKU983066:FLF983068 FUQ983066:FVB983068 GEM983066:GEX983068 GOI983066:GOT983068 GYE983066:GYP983068 HIA983066:HIL983068 HRW983066:HSH983068 IBS983066:ICD983068 ILO983066:ILZ983068 IVK983066:IVV983068 JFG983066:JFR983068 JPC983066:JPN983068 JYY983066:JZJ983068 KIU983066:KJF983068 KSQ983066:KTB983068 LCM983066:LCX983068 LMI983066:LMT983068 LWE983066:LWP983068 MGA983066:MGL983068 MPW983066:MQH983068 MZS983066:NAD983068 NJO983066:NJZ983068 NTK983066:NTV983068 ODG983066:ODR983068 ONC983066:ONN983068 OWY983066:OXJ983068 PGU983066:PHF983068 PQQ983066:PRB983068 QAM983066:QAX983068 QKI983066:QKT983068 QUE983066:QUP983068 REA983066:REL983068 RNW983066:ROH983068 RXS983066:RYD983068 SHO983066:SHZ983068 SRK983066:SRV983068 TBG983066:TBR983068 TLC983066:TLN983068 TUY983066:TVJ983068 UEU983066:UFF983068 UOQ983066:UPB983068 UYM983066:UYX983068 VII983066:VIT983068 VSE983066:VSP983068 WCA983066:WCL983068 WLW983066:WMH983068 Z262165:AJ262167 Z196629:AJ196631 Z131093:AJ131095 Z65557:AJ65559 Z983066:AJ983068 Z917530:AJ917532 Z851994:AJ851996 Z786458:AJ786460 Z720922:AJ720924 Z655386:AJ655388 Z589850:AJ589852 Z524314:AJ524316 Z458778:AJ458780 Z393242:AJ393244 Z327706:AJ327708 Z262170:AJ262172 Z196634:AJ196636 Z131098:AJ131100 Z65562:AJ65564 Z983061:AJ983063 Z917525:AJ917527 Z851989:AJ851991 Z786453:AJ786455 Z720917:AJ720919 Z655381:AJ655383 Z589845:AJ589847 Z524309:AJ524311 Z458773:AJ458775 Z393237:AJ393239 Z327701:AJ327703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0200-000000000000}"/>
    <dataValidation type="list" allowBlank="1" showInputMessage="1" showErrorMessage="1" sqref="AA36:AA42 AA45:AA82 AA35:AC35 AA43:AC44 AA8:AA34" xr:uid="{00000000-0002-0000-0200-000001000000}">
      <formula1>"datetime,int,numeric,varchar,nvarchar"</formula1>
    </dataValidation>
    <dataValidation type="list" allowBlank="1" showInputMessage="1" showErrorMessage="1" sqref="Y8:Z82" xr:uid="{00000000-0002-0000-02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7"/>
  <dimension ref="A1:BD45"/>
  <sheetViews>
    <sheetView showGridLines="0" topLeftCell="A7" zoomScaleNormal="100" zoomScaleSheetLayoutView="100" workbookViewId="0">
      <selection activeCell="C15" sqref="C15"/>
    </sheetView>
  </sheetViews>
  <sheetFormatPr defaultColWidth="2.6328125" defaultRowHeight="15" customHeight="1" x14ac:dyDescent="0.3"/>
  <cols>
    <col min="1" max="1" width="4.6328125" style="17" customWidth="1"/>
    <col min="2" max="26" width="2.6328125" style="17"/>
    <col min="27" max="27" width="2.6328125" style="17" customWidth="1"/>
    <col min="28" max="29" width="2.6328125" style="17"/>
    <col min="30" max="30" width="4.6328125" style="17" customWidth="1"/>
    <col min="31" max="31" width="2.6328125" style="17" customWidth="1"/>
    <col min="32" max="33" width="2.6328125" style="17"/>
    <col min="34" max="34" width="6.6328125" style="17" customWidth="1"/>
    <col min="35" max="16384" width="2.6328125" style="17"/>
  </cols>
  <sheetData>
    <row r="1" spans="1:56" s="16" customFormat="1" ht="15" customHeight="1" x14ac:dyDescent="0.3">
      <c r="A1" s="144" t="s">
        <v>100</v>
      </c>
      <c r="B1" s="145"/>
      <c r="C1" s="145"/>
      <c r="D1" s="145"/>
      <c r="E1" s="145"/>
      <c r="F1" s="145"/>
      <c r="G1" s="145"/>
      <c r="H1" s="146"/>
      <c r="I1" s="103" t="s">
        <v>98</v>
      </c>
      <c r="J1" s="104"/>
      <c r="K1" s="104"/>
      <c r="L1" s="104"/>
      <c r="M1" s="104"/>
      <c r="N1" s="104"/>
      <c r="O1" s="104"/>
      <c r="P1" s="104"/>
      <c r="Q1" s="105"/>
      <c r="R1" s="103" t="s">
        <v>99</v>
      </c>
      <c r="S1" s="104"/>
      <c r="T1" s="104"/>
      <c r="U1" s="104"/>
      <c r="V1" s="104"/>
      <c r="W1" s="104"/>
      <c r="X1" s="105"/>
      <c r="Y1" s="103" t="s">
        <v>0</v>
      </c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5"/>
      <c r="AP1" s="153" t="s">
        <v>1</v>
      </c>
      <c r="AQ1" s="154"/>
      <c r="AR1" s="154"/>
      <c r="AS1" s="154"/>
      <c r="AT1" s="155"/>
      <c r="AU1" s="153" t="s">
        <v>2</v>
      </c>
      <c r="AV1" s="154"/>
      <c r="AW1" s="154"/>
      <c r="AX1" s="154"/>
      <c r="AY1" s="155"/>
      <c r="AZ1" s="153" t="s">
        <v>3</v>
      </c>
      <c r="BA1" s="154"/>
      <c r="BB1" s="154"/>
      <c r="BC1" s="154"/>
      <c r="BD1" s="155"/>
    </row>
    <row r="2" spans="1:56" s="16" customFormat="1" ht="15" customHeight="1" x14ac:dyDescent="0.3">
      <c r="A2" s="147"/>
      <c r="B2" s="148"/>
      <c r="C2" s="148"/>
      <c r="D2" s="148"/>
      <c r="E2" s="148"/>
      <c r="F2" s="148"/>
      <c r="G2" s="148"/>
      <c r="H2" s="149"/>
      <c r="I2" s="127" t="s">
        <v>97</v>
      </c>
      <c r="J2" s="128"/>
      <c r="K2" s="128"/>
      <c r="L2" s="128"/>
      <c r="M2" s="128"/>
      <c r="N2" s="128"/>
      <c r="O2" s="128"/>
      <c r="P2" s="128"/>
      <c r="Q2" s="129"/>
      <c r="R2" s="127" t="str">
        <f ca="1">VLOOKUP(RIGHT(CELL("filename",A2),LEN(CELL("filename",A2))-FIND("]",CELL("filename",A2))),テーブル一覧!B:AD,22,FALSE)</f>
        <v>D.出荷</v>
      </c>
      <c r="S2" s="128"/>
      <c r="T2" s="128"/>
      <c r="U2" s="128"/>
      <c r="V2" s="128"/>
      <c r="W2" s="128"/>
      <c r="X2" s="129"/>
      <c r="Y2" s="127" t="str">
        <f ca="1">VLOOKUP(RIGHT(CELL("filename",A2),LEN(CELL("filename",A2))-FIND("]",CELL("filename",A2))),テーブル一覧!B:AD,1,FALSE)</f>
        <v>出荷指示明細情報（受注）</v>
      </c>
      <c r="Z2" s="128"/>
      <c r="AA2" s="128"/>
      <c r="AB2" s="128"/>
      <c r="AC2" s="128"/>
      <c r="AD2" s="128"/>
      <c r="AE2" s="128"/>
      <c r="AF2" s="128"/>
      <c r="AG2" s="128"/>
      <c r="AH2" s="128"/>
      <c r="AI2" s="128"/>
      <c r="AJ2" s="128"/>
      <c r="AK2" s="128"/>
      <c r="AL2" s="128"/>
      <c r="AM2" s="128"/>
      <c r="AN2" s="128"/>
      <c r="AO2" s="129"/>
      <c r="AP2" s="97"/>
      <c r="AQ2" s="98"/>
      <c r="AR2" s="98"/>
      <c r="AS2" s="98"/>
      <c r="AT2" s="99"/>
      <c r="AU2" s="60" t="s">
        <v>188</v>
      </c>
      <c r="AV2" s="61"/>
      <c r="AW2" s="61"/>
      <c r="AX2" s="61"/>
      <c r="AY2" s="62"/>
      <c r="AZ2" s="181" t="s">
        <v>15</v>
      </c>
      <c r="BA2" s="182"/>
      <c r="BB2" s="182"/>
      <c r="BC2" s="182"/>
      <c r="BD2" s="183"/>
    </row>
    <row r="3" spans="1:56" s="16" customFormat="1" ht="15" customHeight="1" x14ac:dyDescent="0.3">
      <c r="A3" s="147"/>
      <c r="B3" s="148"/>
      <c r="C3" s="148"/>
      <c r="D3" s="148"/>
      <c r="E3" s="148"/>
      <c r="F3" s="148"/>
      <c r="G3" s="148"/>
      <c r="H3" s="149"/>
      <c r="I3" s="130"/>
      <c r="J3" s="131"/>
      <c r="K3" s="131"/>
      <c r="L3" s="131"/>
      <c r="M3" s="131"/>
      <c r="N3" s="131"/>
      <c r="O3" s="131"/>
      <c r="P3" s="131"/>
      <c r="Q3" s="132"/>
      <c r="R3" s="130"/>
      <c r="S3" s="131"/>
      <c r="T3" s="131"/>
      <c r="U3" s="131"/>
      <c r="V3" s="131"/>
      <c r="W3" s="131"/>
      <c r="X3" s="132"/>
      <c r="Y3" s="133"/>
      <c r="Z3" s="134"/>
      <c r="AA3" s="134"/>
      <c r="AB3" s="134"/>
      <c r="AC3" s="134"/>
      <c r="AD3" s="134"/>
      <c r="AE3" s="134"/>
      <c r="AF3" s="134"/>
      <c r="AG3" s="134"/>
      <c r="AH3" s="134"/>
      <c r="AI3" s="134"/>
      <c r="AJ3" s="134"/>
      <c r="AK3" s="134"/>
      <c r="AL3" s="134"/>
      <c r="AM3" s="134"/>
      <c r="AN3" s="134"/>
      <c r="AO3" s="135"/>
      <c r="AP3" s="100"/>
      <c r="AQ3" s="101"/>
      <c r="AR3" s="101"/>
      <c r="AS3" s="101"/>
      <c r="AT3" s="102"/>
      <c r="AU3" s="178"/>
      <c r="AV3" s="179"/>
      <c r="AW3" s="179"/>
      <c r="AX3" s="179"/>
      <c r="AY3" s="180"/>
      <c r="AZ3" s="181"/>
      <c r="BA3" s="182"/>
      <c r="BB3" s="182"/>
      <c r="BC3" s="182"/>
      <c r="BD3" s="183"/>
    </row>
    <row r="4" spans="1:56" s="16" customFormat="1" ht="15" customHeight="1" x14ac:dyDescent="0.3">
      <c r="A4" s="150"/>
      <c r="B4" s="151"/>
      <c r="C4" s="151"/>
      <c r="D4" s="151"/>
      <c r="E4" s="151"/>
      <c r="F4" s="151"/>
      <c r="G4" s="151"/>
      <c r="H4" s="152"/>
      <c r="I4" s="133"/>
      <c r="J4" s="134"/>
      <c r="K4" s="134"/>
      <c r="L4" s="134"/>
      <c r="M4" s="134"/>
      <c r="N4" s="134"/>
      <c r="O4" s="134"/>
      <c r="P4" s="134"/>
      <c r="Q4" s="135"/>
      <c r="R4" s="133"/>
      <c r="S4" s="134"/>
      <c r="T4" s="134"/>
      <c r="U4" s="134"/>
      <c r="V4" s="134"/>
      <c r="W4" s="134"/>
      <c r="X4" s="135"/>
      <c r="Y4" s="175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t_shukkashiji_juchu_m</v>
      </c>
      <c r="Z4" s="176"/>
      <c r="AA4" s="176"/>
      <c r="AB4" s="176"/>
      <c r="AC4" s="176"/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  <c r="AO4" s="177"/>
      <c r="AP4" s="100"/>
      <c r="AQ4" s="101"/>
      <c r="AR4" s="101"/>
      <c r="AS4" s="101"/>
      <c r="AT4" s="102"/>
      <c r="AU4" s="178"/>
      <c r="AV4" s="179"/>
      <c r="AW4" s="179"/>
      <c r="AX4" s="179"/>
      <c r="AY4" s="180"/>
      <c r="AZ4" s="181"/>
      <c r="BA4" s="182"/>
      <c r="BB4" s="182"/>
      <c r="BC4" s="182"/>
      <c r="BD4" s="183"/>
    </row>
    <row r="6" spans="1:56" ht="15" customHeight="1" x14ac:dyDescent="0.3">
      <c r="A6" s="156" t="s">
        <v>101</v>
      </c>
      <c r="B6" s="158" t="s">
        <v>4</v>
      </c>
      <c r="C6" s="159"/>
      <c r="D6" s="159"/>
      <c r="E6" s="159"/>
      <c r="F6" s="159"/>
      <c r="G6" s="159"/>
      <c r="H6" s="160"/>
      <c r="I6" s="158" t="s">
        <v>5</v>
      </c>
      <c r="J6" s="159"/>
      <c r="K6" s="159"/>
      <c r="L6" s="159"/>
      <c r="M6" s="159"/>
      <c r="N6" s="159"/>
      <c r="O6" s="159"/>
      <c r="P6" s="159"/>
      <c r="Q6" s="160"/>
      <c r="R6" s="158" t="s">
        <v>145</v>
      </c>
      <c r="S6" s="159"/>
      <c r="T6" s="159"/>
      <c r="U6" s="159"/>
      <c r="V6" s="159"/>
      <c r="W6" s="159"/>
      <c r="X6" s="160"/>
      <c r="Y6" s="158" t="s">
        <v>6</v>
      </c>
      <c r="Z6" s="160"/>
      <c r="AA6" s="158" t="s">
        <v>7</v>
      </c>
      <c r="AB6" s="159"/>
      <c r="AC6" s="160"/>
      <c r="AD6" s="164" t="s">
        <v>8</v>
      </c>
      <c r="AE6" s="185" t="s">
        <v>9</v>
      </c>
      <c r="AF6" s="164" t="s">
        <v>10</v>
      </c>
      <c r="AG6" s="164" t="s">
        <v>11</v>
      </c>
      <c r="AH6" s="164" t="s">
        <v>12</v>
      </c>
      <c r="AI6" s="166" t="s">
        <v>13</v>
      </c>
      <c r="AJ6" s="167"/>
      <c r="AK6" s="167"/>
      <c r="AL6" s="167"/>
      <c r="AM6" s="167"/>
      <c r="AN6" s="167"/>
      <c r="AO6" s="167"/>
      <c r="AP6" s="167"/>
      <c r="AQ6" s="167"/>
      <c r="AR6" s="168"/>
      <c r="AS6" s="169" t="s">
        <v>14</v>
      </c>
      <c r="AT6" s="170"/>
      <c r="AU6" s="170"/>
      <c r="AV6" s="170"/>
      <c r="AW6" s="170"/>
      <c r="AX6" s="170"/>
      <c r="AY6" s="170"/>
      <c r="AZ6" s="170"/>
      <c r="BA6" s="170"/>
      <c r="BB6" s="170"/>
      <c r="BC6" s="170"/>
      <c r="BD6" s="171"/>
    </row>
    <row r="7" spans="1:56" ht="15" customHeight="1" x14ac:dyDescent="0.3">
      <c r="A7" s="157"/>
      <c r="B7" s="161"/>
      <c r="C7" s="162"/>
      <c r="D7" s="162"/>
      <c r="E7" s="162"/>
      <c r="F7" s="162"/>
      <c r="G7" s="162"/>
      <c r="H7" s="163"/>
      <c r="I7" s="161"/>
      <c r="J7" s="162"/>
      <c r="K7" s="162"/>
      <c r="L7" s="162"/>
      <c r="M7" s="162"/>
      <c r="N7" s="162"/>
      <c r="O7" s="162"/>
      <c r="P7" s="162"/>
      <c r="Q7" s="163"/>
      <c r="R7" s="161"/>
      <c r="S7" s="162"/>
      <c r="T7" s="162"/>
      <c r="U7" s="162"/>
      <c r="V7" s="162"/>
      <c r="W7" s="162"/>
      <c r="X7" s="163"/>
      <c r="Y7" s="161"/>
      <c r="Z7" s="163"/>
      <c r="AA7" s="161"/>
      <c r="AB7" s="162"/>
      <c r="AC7" s="163"/>
      <c r="AD7" s="165"/>
      <c r="AE7" s="186"/>
      <c r="AF7" s="165"/>
      <c r="AG7" s="165"/>
      <c r="AH7" s="165"/>
      <c r="AI7" s="56">
        <v>1</v>
      </c>
      <c r="AJ7" s="56">
        <v>2</v>
      </c>
      <c r="AK7" s="56">
        <v>3</v>
      </c>
      <c r="AL7" s="56">
        <v>4</v>
      </c>
      <c r="AM7" s="56">
        <v>5</v>
      </c>
      <c r="AN7" s="56">
        <v>6</v>
      </c>
      <c r="AO7" s="56">
        <v>7</v>
      </c>
      <c r="AP7" s="56">
        <v>8</v>
      </c>
      <c r="AQ7" s="56">
        <v>9</v>
      </c>
      <c r="AR7" s="56">
        <v>10</v>
      </c>
      <c r="AS7" s="172"/>
      <c r="AT7" s="173"/>
      <c r="AU7" s="173"/>
      <c r="AV7" s="173"/>
      <c r="AW7" s="173"/>
      <c r="AX7" s="173"/>
      <c r="AY7" s="173"/>
      <c r="AZ7" s="173"/>
      <c r="BA7" s="173"/>
      <c r="BB7" s="173"/>
      <c r="BC7" s="173"/>
      <c r="BD7" s="174"/>
    </row>
    <row r="8" spans="1:56" ht="15" customHeight="1" x14ac:dyDescent="0.3">
      <c r="A8" s="54">
        <f>IF(B8="","",COUNTA($B$8:B8))</f>
        <v>1</v>
      </c>
      <c r="B8" s="18" t="s">
        <v>150</v>
      </c>
      <c r="C8" s="19"/>
      <c r="D8" s="19"/>
      <c r="E8" s="19"/>
      <c r="F8" s="19"/>
      <c r="G8" s="19"/>
      <c r="H8" s="19"/>
      <c r="I8" s="31" t="str">
        <f>VLOOKUP(B8,Sheet1!A:B,2,FALSE)</f>
        <v>shukka_shiji_no</v>
      </c>
      <c r="J8" s="21"/>
      <c r="K8" s="21"/>
      <c r="L8" s="21"/>
      <c r="M8" s="21"/>
      <c r="N8" s="21"/>
      <c r="O8" s="21"/>
      <c r="P8" s="21"/>
      <c r="Q8" s="21"/>
      <c r="R8" s="18" t="s">
        <v>150</v>
      </c>
      <c r="S8" s="19"/>
      <c r="T8" s="19"/>
      <c r="U8" s="19"/>
      <c r="V8" s="19"/>
      <c r="W8" s="19"/>
      <c r="X8" s="19"/>
      <c r="Y8" s="139" t="s">
        <v>111</v>
      </c>
      <c r="Z8" s="140"/>
      <c r="AA8" s="141" t="s">
        <v>107</v>
      </c>
      <c r="AB8" s="142"/>
      <c r="AC8" s="143"/>
      <c r="AD8" s="25">
        <v>10</v>
      </c>
      <c r="AE8" s="26"/>
      <c r="AF8" s="26" t="s">
        <v>119</v>
      </c>
      <c r="AG8" s="26" t="s">
        <v>85</v>
      </c>
      <c r="AH8" s="26"/>
      <c r="AI8" s="26"/>
      <c r="AJ8" s="26"/>
      <c r="AK8" s="26"/>
      <c r="AL8" s="26"/>
      <c r="AM8" s="26"/>
      <c r="AN8" s="26"/>
      <c r="AO8" s="27"/>
      <c r="AP8" s="27"/>
      <c r="AQ8" s="27"/>
      <c r="AR8" s="27"/>
      <c r="AS8" s="42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68"/>
    </row>
    <row r="9" spans="1:56" ht="15" customHeight="1" x14ac:dyDescent="0.3">
      <c r="A9" s="54">
        <f>IF(B9="","",COUNTA($B$8:B9))</f>
        <v>2</v>
      </c>
      <c r="B9" s="42" t="s">
        <v>217</v>
      </c>
      <c r="C9" s="41"/>
      <c r="D9" s="41"/>
      <c r="E9" s="41"/>
      <c r="F9" s="41"/>
      <c r="G9" s="41"/>
      <c r="H9" s="41"/>
      <c r="I9" s="31" t="str">
        <f>VLOOKUP(B9,Sheet1!A:B,2,FALSE)</f>
        <v>shukka_shiji_edaban</v>
      </c>
      <c r="J9" s="32"/>
      <c r="K9" s="32"/>
      <c r="L9" s="32"/>
      <c r="M9" s="32"/>
      <c r="N9" s="32"/>
      <c r="O9" s="32"/>
      <c r="P9" s="32"/>
      <c r="Q9" s="32"/>
      <c r="R9" s="42" t="s">
        <v>217</v>
      </c>
      <c r="S9" s="41"/>
      <c r="T9" s="41"/>
      <c r="U9" s="41"/>
      <c r="V9" s="41"/>
      <c r="W9" s="41"/>
      <c r="X9" s="41"/>
      <c r="Y9" s="139" t="s">
        <v>108</v>
      </c>
      <c r="Z9" s="140"/>
      <c r="AA9" s="141" t="s">
        <v>110</v>
      </c>
      <c r="AB9" s="142"/>
      <c r="AC9" s="143"/>
      <c r="AD9" s="72">
        <v>3</v>
      </c>
      <c r="AE9" s="27"/>
      <c r="AF9" s="27">
        <v>2</v>
      </c>
      <c r="AG9" s="27" t="s">
        <v>85</v>
      </c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42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68"/>
    </row>
    <row r="10" spans="1:56" ht="15" customHeight="1" x14ac:dyDescent="0.3">
      <c r="A10" s="54">
        <f>IF(B10="","",COUNTA($B$8:B10))</f>
        <v>3</v>
      </c>
      <c r="B10" s="42" t="s">
        <v>191</v>
      </c>
      <c r="C10" s="41"/>
      <c r="D10" s="41"/>
      <c r="E10" s="41"/>
      <c r="F10" s="41"/>
      <c r="G10" s="41"/>
      <c r="H10" s="41"/>
      <c r="I10" s="31" t="str">
        <f>VLOOKUP(B10,Sheet1!A:B,2,FALSE)</f>
        <v>juchu_meisai_seq</v>
      </c>
      <c r="J10" s="32"/>
      <c r="K10" s="32"/>
      <c r="L10" s="32"/>
      <c r="M10" s="32"/>
      <c r="N10" s="32"/>
      <c r="O10" s="32"/>
      <c r="P10" s="32"/>
      <c r="Q10" s="32"/>
      <c r="R10" s="42" t="s">
        <v>191</v>
      </c>
      <c r="S10" s="41"/>
      <c r="T10" s="41"/>
      <c r="U10" s="41"/>
      <c r="V10" s="41"/>
      <c r="W10" s="41"/>
      <c r="X10" s="41"/>
      <c r="Y10" s="139" t="s">
        <v>108</v>
      </c>
      <c r="Z10" s="140"/>
      <c r="AA10" s="141" t="s">
        <v>110</v>
      </c>
      <c r="AB10" s="142"/>
      <c r="AC10" s="143"/>
      <c r="AD10" s="72">
        <v>3</v>
      </c>
      <c r="AE10" s="27"/>
      <c r="AF10" s="27">
        <v>3</v>
      </c>
      <c r="AG10" s="27" t="s">
        <v>85</v>
      </c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42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68"/>
    </row>
    <row r="11" spans="1:56" ht="15" customHeight="1" x14ac:dyDescent="0.3">
      <c r="A11" s="54">
        <f>IF(B11="","",COUNTA($B$8:B11))</f>
        <v>4</v>
      </c>
      <c r="B11" s="42" t="s">
        <v>155</v>
      </c>
      <c r="C11" s="41"/>
      <c r="D11" s="41"/>
      <c r="E11" s="41"/>
      <c r="F11" s="41"/>
      <c r="G11" s="41"/>
      <c r="H11" s="41"/>
      <c r="I11" s="31" t="str">
        <f>VLOOKUP(B11,Sheet1!A:B,2,FALSE)</f>
        <v>juchu_no</v>
      </c>
      <c r="J11" s="32"/>
      <c r="K11" s="32"/>
      <c r="L11" s="32"/>
      <c r="M11" s="32"/>
      <c r="N11" s="32"/>
      <c r="O11" s="32"/>
      <c r="P11" s="32"/>
      <c r="Q11" s="32"/>
      <c r="R11" s="18" t="s">
        <v>118</v>
      </c>
      <c r="S11" s="19"/>
      <c r="T11" s="19"/>
      <c r="U11" s="19"/>
      <c r="V11" s="19"/>
      <c r="W11" s="19"/>
      <c r="X11" s="19"/>
      <c r="Y11" s="139" t="s">
        <v>111</v>
      </c>
      <c r="Z11" s="140"/>
      <c r="AA11" s="141" t="s">
        <v>107</v>
      </c>
      <c r="AB11" s="142"/>
      <c r="AC11" s="143"/>
      <c r="AD11" s="25">
        <v>10</v>
      </c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42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68"/>
    </row>
    <row r="12" spans="1:56" ht="15" customHeight="1" x14ac:dyDescent="0.3">
      <c r="A12" s="54">
        <f>IF(B12="","",COUNTA($B$8:B12))</f>
        <v>5</v>
      </c>
      <c r="B12" s="42" t="s">
        <v>156</v>
      </c>
      <c r="C12" s="41"/>
      <c r="D12" s="41"/>
      <c r="E12" s="41"/>
      <c r="F12" s="41"/>
      <c r="G12" s="41"/>
      <c r="H12" s="41"/>
      <c r="I12" s="31" t="str">
        <f>VLOOKUP(B12,Sheet1!A:B,2,FALSE)</f>
        <v>juchu_date</v>
      </c>
      <c r="J12" s="32"/>
      <c r="K12" s="32"/>
      <c r="L12" s="32"/>
      <c r="M12" s="32"/>
      <c r="N12" s="32"/>
      <c r="O12" s="32"/>
      <c r="P12" s="32"/>
      <c r="Q12" s="32"/>
      <c r="R12" s="18" t="s">
        <v>121</v>
      </c>
      <c r="S12" s="19"/>
      <c r="T12" s="19"/>
      <c r="U12" s="19"/>
      <c r="V12" s="19"/>
      <c r="W12" s="19"/>
      <c r="X12" s="19"/>
      <c r="Y12" s="139" t="s">
        <v>87</v>
      </c>
      <c r="Z12" s="140"/>
      <c r="AA12" s="141" t="s">
        <v>109</v>
      </c>
      <c r="AB12" s="142"/>
      <c r="AC12" s="143"/>
      <c r="AD12" s="72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42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68"/>
    </row>
    <row r="13" spans="1:56" ht="15" customHeight="1" x14ac:dyDescent="0.3">
      <c r="A13" s="54">
        <f>IF(B13="","",COUNTA($B$8:B13))</f>
        <v>6</v>
      </c>
      <c r="B13" s="42" t="s">
        <v>157</v>
      </c>
      <c r="C13" s="41"/>
      <c r="D13" s="41"/>
      <c r="E13" s="41"/>
      <c r="F13" s="41"/>
      <c r="G13" s="41"/>
      <c r="H13" s="41"/>
      <c r="I13" s="31" t="str">
        <f>VLOOKUP(B13,Sheet1!A:B,2,FALSE)</f>
        <v>kotei</v>
      </c>
      <c r="J13" s="32"/>
      <c r="K13" s="32"/>
      <c r="L13" s="32"/>
      <c r="M13" s="32"/>
      <c r="N13" s="32"/>
      <c r="O13" s="32"/>
      <c r="P13" s="32"/>
      <c r="Q13" s="32"/>
      <c r="R13" s="42" t="s">
        <v>131</v>
      </c>
      <c r="S13" s="41"/>
      <c r="T13" s="41"/>
      <c r="U13" s="41"/>
      <c r="V13" s="41"/>
      <c r="W13" s="41"/>
      <c r="X13" s="41"/>
      <c r="Y13" s="139" t="s">
        <v>111</v>
      </c>
      <c r="Z13" s="184"/>
      <c r="AA13" s="141" t="s">
        <v>107</v>
      </c>
      <c r="AB13" s="142"/>
      <c r="AC13" s="143"/>
      <c r="AD13" s="72">
        <v>4</v>
      </c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42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68"/>
    </row>
    <row r="14" spans="1:56" ht="15" customHeight="1" x14ac:dyDescent="0.3">
      <c r="A14" s="54">
        <f>IF(B14="","",COUNTA($B$8:B14))</f>
        <v>7</v>
      </c>
      <c r="B14" s="188" t="s">
        <v>1570</v>
      </c>
      <c r="C14" s="189"/>
      <c r="D14" s="189"/>
      <c r="E14" s="189"/>
      <c r="F14" s="189"/>
      <c r="G14" s="189"/>
      <c r="H14" s="189"/>
      <c r="I14" s="190" t="str">
        <f>VLOOKUP(B14,Sheet1!A:B,2,FALSE)</f>
        <v>seihin_kbn</v>
      </c>
      <c r="J14" s="191"/>
      <c r="K14" s="191"/>
      <c r="L14" s="191"/>
      <c r="M14" s="191"/>
      <c r="N14" s="191"/>
      <c r="O14" s="191"/>
      <c r="P14" s="191"/>
      <c r="Q14" s="191"/>
      <c r="R14" s="188" t="s">
        <v>1570</v>
      </c>
      <c r="S14" s="189"/>
      <c r="T14" s="189"/>
      <c r="U14" s="189"/>
      <c r="V14" s="189"/>
      <c r="W14" s="189"/>
      <c r="X14" s="189"/>
      <c r="Y14" s="202" t="s">
        <v>111</v>
      </c>
      <c r="Z14" s="208"/>
      <c r="AA14" s="204" t="s">
        <v>107</v>
      </c>
      <c r="AB14" s="205"/>
      <c r="AC14" s="206"/>
      <c r="AD14" s="207">
        <v>2</v>
      </c>
      <c r="AE14" s="198"/>
      <c r="AF14" s="198"/>
      <c r="AG14" s="198"/>
      <c r="AH14" s="198"/>
      <c r="AI14" s="198"/>
      <c r="AJ14" s="198"/>
      <c r="AK14" s="198"/>
      <c r="AL14" s="198"/>
      <c r="AM14" s="198"/>
      <c r="AN14" s="198"/>
      <c r="AO14" s="198"/>
      <c r="AP14" s="198"/>
      <c r="AQ14" s="198"/>
      <c r="AR14" s="198"/>
      <c r="AS14" s="199" t="s">
        <v>1571</v>
      </c>
      <c r="AT14" s="200"/>
      <c r="AU14" s="200"/>
      <c r="AV14" s="200"/>
      <c r="AW14" s="200"/>
      <c r="AX14" s="200"/>
      <c r="AY14" s="43"/>
      <c r="AZ14" s="43"/>
      <c r="BA14" s="43"/>
      <c r="BB14" s="43"/>
      <c r="BC14" s="43"/>
      <c r="BD14" s="68"/>
    </row>
    <row r="15" spans="1:56" ht="15" customHeight="1" x14ac:dyDescent="0.3">
      <c r="A15" s="54">
        <f>IF(B15="","",COUNTA($B$8:B15))</f>
        <v>8</v>
      </c>
      <c r="B15" s="42" t="s">
        <v>158</v>
      </c>
      <c r="C15" s="41"/>
      <c r="D15" s="41"/>
      <c r="E15" s="41"/>
      <c r="F15" s="41"/>
      <c r="G15" s="41"/>
      <c r="H15" s="41"/>
      <c r="I15" s="31" t="str">
        <f>VLOOKUP(B15,Sheet1!A:B,2,FALSE)</f>
        <v>seihin_no</v>
      </c>
      <c r="J15" s="32"/>
      <c r="K15" s="32"/>
      <c r="L15" s="32"/>
      <c r="M15" s="32"/>
      <c r="N15" s="32"/>
      <c r="O15" s="32"/>
      <c r="P15" s="32"/>
      <c r="Q15" s="32"/>
      <c r="R15" s="42" t="s">
        <v>128</v>
      </c>
      <c r="S15" s="41"/>
      <c r="T15" s="41"/>
      <c r="U15" s="41"/>
      <c r="V15" s="41"/>
      <c r="W15" s="41"/>
      <c r="X15" s="41"/>
      <c r="Y15" s="139" t="s">
        <v>111</v>
      </c>
      <c r="Z15" s="184"/>
      <c r="AA15" s="141" t="s">
        <v>107</v>
      </c>
      <c r="AB15" s="142"/>
      <c r="AC15" s="143"/>
      <c r="AD15" s="207">
        <v>5</v>
      </c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42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68"/>
    </row>
    <row r="16" spans="1:56" ht="15" customHeight="1" x14ac:dyDescent="0.3">
      <c r="A16" s="54">
        <f>IF(B16="","",COUNTA($B$8:B16))</f>
        <v>9</v>
      </c>
      <c r="B16" s="42" t="s">
        <v>159</v>
      </c>
      <c r="C16" s="41"/>
      <c r="D16" s="41"/>
      <c r="E16" s="41"/>
      <c r="F16" s="41"/>
      <c r="G16" s="41"/>
      <c r="H16" s="41"/>
      <c r="I16" s="31" t="str">
        <f>VLOOKUP(B16,Sheet1!A:B,2,FALSE)</f>
        <v>hinshu_cd</v>
      </c>
      <c r="J16" s="32"/>
      <c r="K16" s="32"/>
      <c r="L16" s="32"/>
      <c r="M16" s="32"/>
      <c r="N16" s="32"/>
      <c r="O16" s="32"/>
      <c r="P16" s="32"/>
      <c r="Q16" s="32"/>
      <c r="R16" s="42" t="s">
        <v>129</v>
      </c>
      <c r="S16" s="41"/>
      <c r="T16" s="41"/>
      <c r="U16" s="41"/>
      <c r="V16" s="41"/>
      <c r="W16" s="41"/>
      <c r="X16" s="41"/>
      <c r="Y16" s="139" t="s">
        <v>111</v>
      </c>
      <c r="Z16" s="184"/>
      <c r="AA16" s="141" t="s">
        <v>107</v>
      </c>
      <c r="AB16" s="142"/>
      <c r="AC16" s="143"/>
      <c r="AD16" s="72">
        <v>12</v>
      </c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42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68"/>
    </row>
    <row r="17" spans="1:56" ht="15" customHeight="1" x14ac:dyDescent="0.3">
      <c r="A17" s="54">
        <f>IF(B17="","",COUNTA($B$8:B17))</f>
        <v>10</v>
      </c>
      <c r="B17" s="42" t="s">
        <v>160</v>
      </c>
      <c r="C17" s="41"/>
      <c r="D17" s="41"/>
      <c r="E17" s="41"/>
      <c r="F17" s="41"/>
      <c r="G17" s="41"/>
      <c r="H17" s="41"/>
      <c r="I17" s="31" t="str">
        <f>VLOOKUP(B17,Sheet1!A:B,2,FALSE)</f>
        <v>hinmei</v>
      </c>
      <c r="J17" s="32"/>
      <c r="K17" s="32"/>
      <c r="L17" s="32"/>
      <c r="M17" s="32"/>
      <c r="N17" s="32"/>
      <c r="O17" s="32"/>
      <c r="P17" s="32"/>
      <c r="Q17" s="32"/>
      <c r="R17" s="42" t="s">
        <v>130</v>
      </c>
      <c r="S17" s="41"/>
      <c r="T17" s="41"/>
      <c r="U17" s="41"/>
      <c r="V17" s="41"/>
      <c r="W17" s="41"/>
      <c r="X17" s="41"/>
      <c r="Y17" s="139" t="s">
        <v>111</v>
      </c>
      <c r="Z17" s="184"/>
      <c r="AA17" s="141" t="s">
        <v>107</v>
      </c>
      <c r="AB17" s="142"/>
      <c r="AC17" s="143"/>
      <c r="AD17" s="72">
        <v>30</v>
      </c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42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68"/>
    </row>
    <row r="18" spans="1:56" ht="15" customHeight="1" x14ac:dyDescent="0.3">
      <c r="A18" s="54">
        <f>IF(B18="","",COUNTA($B$8:B18))</f>
        <v>11</v>
      </c>
      <c r="B18" s="42" t="s">
        <v>161</v>
      </c>
      <c r="C18" s="41"/>
      <c r="D18" s="41"/>
      <c r="E18" s="41"/>
      <c r="F18" s="41"/>
      <c r="G18" s="41"/>
      <c r="H18" s="41"/>
      <c r="I18" s="31" t="str">
        <f>VLOOKUP(B18,Sheet1!A:B,2,FALSE)</f>
        <v>paper_weight</v>
      </c>
      <c r="J18" s="32"/>
      <c r="K18" s="32"/>
      <c r="L18" s="32"/>
      <c r="M18" s="32"/>
      <c r="N18" s="32"/>
      <c r="O18" s="32"/>
      <c r="P18" s="32"/>
      <c r="Q18" s="32"/>
      <c r="R18" s="42" t="s">
        <v>132</v>
      </c>
      <c r="S18" s="41"/>
      <c r="T18" s="41"/>
      <c r="U18" s="41"/>
      <c r="V18" s="41"/>
      <c r="W18" s="41"/>
      <c r="X18" s="41"/>
      <c r="Y18" s="139" t="s">
        <v>108</v>
      </c>
      <c r="Z18" s="140"/>
      <c r="AA18" s="141" t="s">
        <v>110</v>
      </c>
      <c r="AB18" s="142"/>
      <c r="AC18" s="143"/>
      <c r="AD18" s="72">
        <v>5</v>
      </c>
      <c r="AE18" s="27">
        <v>2</v>
      </c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42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68"/>
    </row>
    <row r="19" spans="1:56" ht="15" customHeight="1" x14ac:dyDescent="0.3">
      <c r="A19" s="54">
        <f>IF(B19="","",COUNTA($B$8:B19))</f>
        <v>12</v>
      </c>
      <c r="B19" s="42" t="s">
        <v>162</v>
      </c>
      <c r="C19" s="41"/>
      <c r="D19" s="41"/>
      <c r="E19" s="41"/>
      <c r="F19" s="41"/>
      <c r="G19" s="41"/>
      <c r="H19" s="41"/>
      <c r="I19" s="31" t="str">
        <f>VLOOKUP(B19,Sheet1!A:B,2,FALSE)</f>
        <v>width</v>
      </c>
      <c r="J19" s="32"/>
      <c r="K19" s="32"/>
      <c r="L19" s="32"/>
      <c r="M19" s="32"/>
      <c r="N19" s="32"/>
      <c r="O19" s="32"/>
      <c r="P19" s="32"/>
      <c r="Q19" s="32"/>
      <c r="R19" s="42" t="s">
        <v>133</v>
      </c>
      <c r="S19" s="41"/>
      <c r="T19" s="41"/>
      <c r="U19" s="41"/>
      <c r="V19" s="41"/>
      <c r="W19" s="41"/>
      <c r="X19" s="41"/>
      <c r="Y19" s="139" t="s">
        <v>108</v>
      </c>
      <c r="Z19" s="140"/>
      <c r="AA19" s="141" t="s">
        <v>110</v>
      </c>
      <c r="AB19" s="142"/>
      <c r="AC19" s="143"/>
      <c r="AD19" s="72">
        <v>4</v>
      </c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42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68"/>
    </row>
    <row r="20" spans="1:56" ht="15" customHeight="1" x14ac:dyDescent="0.3">
      <c r="A20" s="54">
        <f>IF(B20="","",COUNTA($B$8:B20))</f>
        <v>13</v>
      </c>
      <c r="B20" s="42" t="s">
        <v>163</v>
      </c>
      <c r="C20" s="41"/>
      <c r="D20" s="41"/>
      <c r="E20" s="41"/>
      <c r="F20" s="41"/>
      <c r="G20" s="41"/>
      <c r="H20" s="41"/>
      <c r="I20" s="31" t="str">
        <f>VLOOKUP(B20,Sheet1!A:B,2,FALSE)</f>
        <v>length</v>
      </c>
      <c r="J20" s="32"/>
      <c r="K20" s="32"/>
      <c r="L20" s="32"/>
      <c r="M20" s="32"/>
      <c r="N20" s="32"/>
      <c r="O20" s="32"/>
      <c r="P20" s="32"/>
      <c r="Q20" s="32"/>
      <c r="R20" s="42" t="s">
        <v>134</v>
      </c>
      <c r="S20" s="41"/>
      <c r="T20" s="41"/>
      <c r="U20" s="41"/>
      <c r="V20" s="41"/>
      <c r="W20" s="41"/>
      <c r="X20" s="41"/>
      <c r="Y20" s="139" t="s">
        <v>108</v>
      </c>
      <c r="Z20" s="140"/>
      <c r="AA20" s="141" t="s">
        <v>110</v>
      </c>
      <c r="AB20" s="142"/>
      <c r="AC20" s="143"/>
      <c r="AD20" s="72">
        <v>5</v>
      </c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42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68"/>
    </row>
    <row r="21" spans="1:56" ht="15" customHeight="1" x14ac:dyDescent="0.3">
      <c r="A21" s="54">
        <f>IF(B21="","",COUNTA($B$8:B21))</f>
        <v>14</v>
      </c>
      <c r="B21" s="42" t="s">
        <v>164</v>
      </c>
      <c r="C21" s="41"/>
      <c r="D21" s="41"/>
      <c r="E21" s="41"/>
      <c r="F21" s="41"/>
      <c r="G21" s="41"/>
      <c r="H21" s="41"/>
      <c r="I21" s="31" t="str">
        <f>VLOOKUP(B21,Sheet1!A:B,2,FALSE)</f>
        <v>renryo</v>
      </c>
      <c r="J21" s="32"/>
      <c r="K21" s="32"/>
      <c r="L21" s="32"/>
      <c r="M21" s="32"/>
      <c r="N21" s="32"/>
      <c r="O21" s="32"/>
      <c r="P21" s="32"/>
      <c r="Q21" s="32"/>
      <c r="R21" s="42" t="s">
        <v>135</v>
      </c>
      <c r="S21" s="41"/>
      <c r="T21" s="41"/>
      <c r="U21" s="41"/>
      <c r="V21" s="41"/>
      <c r="W21" s="41"/>
      <c r="X21" s="41"/>
      <c r="Y21" s="139" t="s">
        <v>108</v>
      </c>
      <c r="Z21" s="140"/>
      <c r="AA21" s="141" t="s">
        <v>110</v>
      </c>
      <c r="AB21" s="142"/>
      <c r="AC21" s="143"/>
      <c r="AD21" s="72">
        <v>7</v>
      </c>
      <c r="AE21" s="27">
        <v>2</v>
      </c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42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68"/>
    </row>
    <row r="22" spans="1:56" ht="15" customHeight="1" x14ac:dyDescent="0.3">
      <c r="A22" s="54">
        <f>IF(B22="","",COUNTA($B$8:B22))</f>
        <v>15</v>
      </c>
      <c r="B22" s="42" t="s">
        <v>194</v>
      </c>
      <c r="C22" s="41"/>
      <c r="D22" s="41"/>
      <c r="E22" s="41"/>
      <c r="F22" s="41"/>
      <c r="G22" s="41"/>
      <c r="H22" s="41"/>
      <c r="I22" s="31" t="str">
        <f>VLOOKUP(B22,Sheet1!A:B,2,FALSE)</f>
        <v>juchu_su</v>
      </c>
      <c r="J22" s="32"/>
      <c r="K22" s="32"/>
      <c r="L22" s="32"/>
      <c r="M22" s="32"/>
      <c r="N22" s="32"/>
      <c r="O22" s="32"/>
      <c r="P22" s="32"/>
      <c r="Q22" s="32"/>
      <c r="R22" s="42" t="s">
        <v>194</v>
      </c>
      <c r="S22" s="41"/>
      <c r="T22" s="41"/>
      <c r="U22" s="41"/>
      <c r="V22" s="41"/>
      <c r="W22" s="41"/>
      <c r="X22" s="41"/>
      <c r="Y22" s="139" t="s">
        <v>108</v>
      </c>
      <c r="Z22" s="140"/>
      <c r="AA22" s="141" t="s">
        <v>110</v>
      </c>
      <c r="AB22" s="142"/>
      <c r="AC22" s="143"/>
      <c r="AD22" s="72">
        <v>5</v>
      </c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42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68"/>
    </row>
    <row r="23" spans="1:56" ht="15" customHeight="1" x14ac:dyDescent="0.3">
      <c r="A23" s="54">
        <f>IF(B23="","",COUNTA($B$8:B23))</f>
        <v>16</v>
      </c>
      <c r="B23" s="42" t="s">
        <v>227</v>
      </c>
      <c r="C23" s="41"/>
      <c r="D23" s="41"/>
      <c r="E23" s="41"/>
      <c r="F23" s="41"/>
      <c r="G23" s="41"/>
      <c r="H23" s="41"/>
      <c r="I23" s="31" t="str">
        <f>VLOOKUP(B23,Sheet1!A:B,2,FALSE)</f>
        <v>shiji_su</v>
      </c>
      <c r="J23" s="32"/>
      <c r="K23" s="32"/>
      <c r="L23" s="32"/>
      <c r="M23" s="32"/>
      <c r="N23" s="32"/>
      <c r="O23" s="32"/>
      <c r="P23" s="32"/>
      <c r="Q23" s="32"/>
      <c r="R23" s="42" t="s">
        <v>227</v>
      </c>
      <c r="S23" s="41"/>
      <c r="T23" s="41"/>
      <c r="U23" s="41"/>
      <c r="V23" s="41"/>
      <c r="W23" s="41"/>
      <c r="X23" s="41"/>
      <c r="Y23" s="139" t="s">
        <v>108</v>
      </c>
      <c r="Z23" s="140"/>
      <c r="AA23" s="141" t="s">
        <v>110</v>
      </c>
      <c r="AB23" s="142"/>
      <c r="AC23" s="143"/>
      <c r="AD23" s="72">
        <v>5</v>
      </c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42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68"/>
    </row>
    <row r="24" spans="1:56" ht="15" customHeight="1" x14ac:dyDescent="0.3">
      <c r="A24" s="54">
        <f>IF(B24="","",COUNTA($B$8:B24))</f>
        <v>17</v>
      </c>
      <c r="B24" s="42" t="s">
        <v>195</v>
      </c>
      <c r="C24" s="41"/>
      <c r="D24" s="41"/>
      <c r="E24" s="41"/>
      <c r="F24" s="41"/>
      <c r="G24" s="41"/>
      <c r="H24" s="41"/>
      <c r="I24" s="31" t="str">
        <f>VLOOKUP(B24,Sheet1!A:B,2,FALSE)</f>
        <v>kosu_unit</v>
      </c>
      <c r="J24" s="32"/>
      <c r="K24" s="32"/>
      <c r="L24" s="32"/>
      <c r="M24" s="32"/>
      <c r="N24" s="32"/>
      <c r="O24" s="32"/>
      <c r="P24" s="32"/>
      <c r="Q24" s="32"/>
      <c r="R24" s="42" t="s">
        <v>195</v>
      </c>
      <c r="S24" s="41"/>
      <c r="T24" s="41"/>
      <c r="U24" s="41"/>
      <c r="V24" s="41"/>
      <c r="W24" s="41"/>
      <c r="X24" s="41"/>
      <c r="Y24" s="139" t="s">
        <v>111</v>
      </c>
      <c r="Z24" s="140"/>
      <c r="AA24" s="141" t="s">
        <v>107</v>
      </c>
      <c r="AB24" s="142"/>
      <c r="AC24" s="143"/>
      <c r="AD24" s="72">
        <v>4</v>
      </c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42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68"/>
    </row>
    <row r="25" spans="1:56" ht="15" customHeight="1" x14ac:dyDescent="0.3">
      <c r="A25" s="54">
        <f>IF(B25="","",COUNTA($B$8:B25))</f>
        <v>18</v>
      </c>
      <c r="B25" s="42" t="s">
        <v>196</v>
      </c>
      <c r="C25" s="41"/>
      <c r="D25" s="41"/>
      <c r="E25" s="41"/>
      <c r="F25" s="41"/>
      <c r="G25" s="41"/>
      <c r="H25" s="41"/>
      <c r="I25" s="31" t="str">
        <f>VLOOKUP(B25,Sheet1!A:B,2,FALSE)</f>
        <v>suryo</v>
      </c>
      <c r="J25" s="32"/>
      <c r="K25" s="32"/>
      <c r="L25" s="32"/>
      <c r="M25" s="32"/>
      <c r="N25" s="32"/>
      <c r="O25" s="32"/>
      <c r="P25" s="32"/>
      <c r="Q25" s="32"/>
      <c r="R25" s="42" t="s">
        <v>196</v>
      </c>
      <c r="S25" s="41"/>
      <c r="T25" s="41"/>
      <c r="U25" s="41"/>
      <c r="V25" s="41"/>
      <c r="W25" s="41"/>
      <c r="X25" s="41"/>
      <c r="Y25" s="139" t="s">
        <v>108</v>
      </c>
      <c r="Z25" s="140"/>
      <c r="AA25" s="141" t="s">
        <v>110</v>
      </c>
      <c r="AB25" s="142"/>
      <c r="AC25" s="143"/>
      <c r="AD25" s="72">
        <v>9</v>
      </c>
      <c r="AE25" s="27">
        <v>2</v>
      </c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42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68"/>
    </row>
    <row r="26" spans="1:56" ht="15" customHeight="1" x14ac:dyDescent="0.3">
      <c r="A26" s="54">
        <f>IF(B26="","",COUNTA($B$8:B26))</f>
        <v>19</v>
      </c>
      <c r="B26" s="42" t="s">
        <v>166</v>
      </c>
      <c r="C26" s="41"/>
      <c r="D26" s="41"/>
      <c r="E26" s="41"/>
      <c r="F26" s="41"/>
      <c r="G26" s="41"/>
      <c r="H26" s="41"/>
      <c r="I26" s="31" t="str">
        <f>VLOOKUP(B26,Sheet1!A:B,2,FALSE)</f>
        <v>unit_price</v>
      </c>
      <c r="J26" s="32"/>
      <c r="K26" s="32"/>
      <c r="L26" s="32"/>
      <c r="M26" s="32"/>
      <c r="N26" s="32"/>
      <c r="O26" s="32"/>
      <c r="P26" s="32"/>
      <c r="Q26" s="32"/>
      <c r="R26" s="28" t="s">
        <v>137</v>
      </c>
      <c r="S26" s="41"/>
      <c r="T26" s="41"/>
      <c r="U26" s="41"/>
      <c r="V26" s="41"/>
      <c r="W26" s="41"/>
      <c r="X26" s="41"/>
      <c r="Y26" s="139" t="s">
        <v>108</v>
      </c>
      <c r="Z26" s="140"/>
      <c r="AA26" s="141" t="s">
        <v>110</v>
      </c>
      <c r="AB26" s="142"/>
      <c r="AC26" s="143"/>
      <c r="AD26" s="72">
        <v>5</v>
      </c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42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68"/>
    </row>
    <row r="27" spans="1:56" ht="15" customHeight="1" x14ac:dyDescent="0.3">
      <c r="A27" s="54">
        <f>IF(B27="","",COUNTA($B$8:B27))</f>
        <v>20</v>
      </c>
      <c r="B27" s="42" t="s">
        <v>167</v>
      </c>
      <c r="C27" s="41"/>
      <c r="D27" s="41"/>
      <c r="E27" s="41"/>
      <c r="F27" s="41"/>
      <c r="G27" s="41"/>
      <c r="H27" s="41"/>
      <c r="I27" s="31" t="str">
        <f>VLOOKUP(B27,Sheet1!A:B,2,FALSE)</f>
        <v>unit_price_unit</v>
      </c>
      <c r="J27" s="32"/>
      <c r="K27" s="32"/>
      <c r="L27" s="32"/>
      <c r="M27" s="32"/>
      <c r="N27" s="32"/>
      <c r="O27" s="32"/>
      <c r="P27" s="32"/>
      <c r="Q27" s="32"/>
      <c r="R27" s="28" t="s">
        <v>138</v>
      </c>
      <c r="S27" s="41"/>
      <c r="T27" s="41"/>
      <c r="U27" s="41"/>
      <c r="V27" s="41"/>
      <c r="W27" s="41"/>
      <c r="X27" s="41"/>
      <c r="Y27" s="139" t="s">
        <v>111</v>
      </c>
      <c r="Z27" s="140"/>
      <c r="AA27" s="141" t="s">
        <v>107</v>
      </c>
      <c r="AB27" s="142"/>
      <c r="AC27" s="143"/>
      <c r="AD27" s="72">
        <v>4</v>
      </c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42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68"/>
    </row>
    <row r="28" spans="1:56" ht="15" customHeight="1" x14ac:dyDescent="0.3">
      <c r="A28" s="54">
        <f>IF(B28="","",COUNTA($B$8:B28))</f>
        <v>21</v>
      </c>
      <c r="B28" s="42" t="s">
        <v>165</v>
      </c>
      <c r="C28" s="41"/>
      <c r="D28" s="41"/>
      <c r="E28" s="41"/>
      <c r="F28" s="41"/>
      <c r="G28" s="41"/>
      <c r="H28" s="41"/>
      <c r="I28" s="31" t="str">
        <f>VLOOKUP(B28,Sheet1!A:B,2,FALSE)</f>
        <v>soryo</v>
      </c>
      <c r="J28" s="32"/>
      <c r="K28" s="32"/>
      <c r="L28" s="32"/>
      <c r="M28" s="32"/>
      <c r="N28" s="32"/>
      <c r="O28" s="32"/>
      <c r="P28" s="32"/>
      <c r="Q28" s="32"/>
      <c r="R28" s="42" t="s">
        <v>136</v>
      </c>
      <c r="S28" s="41"/>
      <c r="T28" s="41"/>
      <c r="U28" s="41"/>
      <c r="V28" s="41"/>
      <c r="W28" s="41"/>
      <c r="X28" s="41"/>
      <c r="Y28" s="139" t="s">
        <v>108</v>
      </c>
      <c r="Z28" s="140"/>
      <c r="AA28" s="141" t="s">
        <v>110</v>
      </c>
      <c r="AB28" s="142"/>
      <c r="AC28" s="143"/>
      <c r="AD28" s="72">
        <v>7</v>
      </c>
      <c r="AE28" s="27">
        <v>2</v>
      </c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42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68"/>
    </row>
    <row r="29" spans="1:56" ht="15" customHeight="1" x14ac:dyDescent="0.3">
      <c r="A29" s="54">
        <f>IF(B29="","",COUNTA($B$8:B29))</f>
        <v>22</v>
      </c>
      <c r="B29" s="42" t="s">
        <v>173</v>
      </c>
      <c r="C29" s="41"/>
      <c r="D29" s="41"/>
      <c r="E29" s="41"/>
      <c r="F29" s="41"/>
      <c r="G29" s="41"/>
      <c r="H29" s="41"/>
      <c r="I29" s="31" t="str">
        <f>VLOOKUP(B29,Sheet1!A:B,2,FALSE)</f>
        <v>case_irisu</v>
      </c>
      <c r="J29" s="32"/>
      <c r="K29" s="32"/>
      <c r="L29" s="32"/>
      <c r="M29" s="32"/>
      <c r="N29" s="32"/>
      <c r="O29" s="32"/>
      <c r="P29" s="32"/>
      <c r="Q29" s="32"/>
      <c r="R29" s="42" t="s">
        <v>173</v>
      </c>
      <c r="S29" s="41"/>
      <c r="T29" s="41"/>
      <c r="U29" s="41"/>
      <c r="V29" s="41"/>
      <c r="W29" s="41"/>
      <c r="X29" s="41"/>
      <c r="Y29" s="139" t="s">
        <v>108</v>
      </c>
      <c r="Z29" s="140"/>
      <c r="AA29" s="141" t="s">
        <v>110</v>
      </c>
      <c r="AB29" s="142"/>
      <c r="AC29" s="143"/>
      <c r="AD29" s="72">
        <v>5</v>
      </c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42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68"/>
    </row>
    <row r="30" spans="1:56" ht="15" customHeight="1" x14ac:dyDescent="0.3">
      <c r="A30" s="54">
        <f>IF(B30="","",COUNTA($B$8:B30))</f>
        <v>23</v>
      </c>
      <c r="B30" s="42" t="s">
        <v>185</v>
      </c>
      <c r="C30" s="41"/>
      <c r="D30" s="41"/>
      <c r="E30" s="41"/>
      <c r="F30" s="41"/>
      <c r="G30" s="41"/>
      <c r="H30" s="41"/>
      <c r="I30" s="31" t="str">
        <f>VLOOKUP(B30,Sheet1!A:B,2,FALSE)</f>
        <v>pakku_irisu</v>
      </c>
      <c r="J30" s="32"/>
      <c r="K30" s="32"/>
      <c r="L30" s="32"/>
      <c r="M30" s="32"/>
      <c r="N30" s="32"/>
      <c r="O30" s="32"/>
      <c r="P30" s="32"/>
      <c r="Q30" s="32"/>
      <c r="R30" s="42" t="s">
        <v>185</v>
      </c>
      <c r="S30" s="41"/>
      <c r="T30" s="41"/>
      <c r="U30" s="41"/>
      <c r="V30" s="41"/>
      <c r="W30" s="41"/>
      <c r="X30" s="41"/>
      <c r="Y30" s="139" t="s">
        <v>108</v>
      </c>
      <c r="Z30" s="140"/>
      <c r="AA30" s="141" t="s">
        <v>110</v>
      </c>
      <c r="AB30" s="142"/>
      <c r="AC30" s="143"/>
      <c r="AD30" s="72">
        <v>5</v>
      </c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42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68"/>
    </row>
    <row r="31" spans="1:56" ht="15" customHeight="1" x14ac:dyDescent="0.3">
      <c r="A31" s="54">
        <f>IF(B31="","",COUNTA($B$8:B31))</f>
        <v>24</v>
      </c>
      <c r="B31" s="42" t="s">
        <v>226</v>
      </c>
      <c r="C31" s="41"/>
      <c r="D31" s="41"/>
      <c r="E31" s="41"/>
      <c r="F31" s="41"/>
      <c r="G31" s="41"/>
      <c r="H31" s="41"/>
      <c r="I31" s="31" t="str">
        <f>VLOOKUP(B31,Sheet1!A:B,2,FALSE)</f>
        <v>chumonsho_no</v>
      </c>
      <c r="J31" s="32"/>
      <c r="K31" s="32"/>
      <c r="L31" s="32"/>
      <c r="M31" s="32"/>
      <c r="N31" s="32"/>
      <c r="O31" s="32"/>
      <c r="P31" s="32"/>
      <c r="Q31" s="32"/>
      <c r="R31" s="42" t="s">
        <v>226</v>
      </c>
      <c r="S31" s="41"/>
      <c r="T31" s="41"/>
      <c r="U31" s="41"/>
      <c r="V31" s="41"/>
      <c r="W31" s="41"/>
      <c r="X31" s="41"/>
      <c r="Y31" s="139" t="s">
        <v>111</v>
      </c>
      <c r="Z31" s="140"/>
      <c r="AA31" s="141" t="s">
        <v>107</v>
      </c>
      <c r="AB31" s="142"/>
      <c r="AC31" s="143"/>
      <c r="AD31" s="72">
        <v>20</v>
      </c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42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68"/>
    </row>
    <row r="32" spans="1:56" ht="15" customHeight="1" x14ac:dyDescent="0.3">
      <c r="A32" s="54">
        <f>IF(B32="","",COUNTA($B$8:B32))</f>
        <v>25</v>
      </c>
      <c r="B32" s="42" t="s">
        <v>139</v>
      </c>
      <c r="C32" s="41"/>
      <c r="D32" s="41"/>
      <c r="E32" s="41"/>
      <c r="F32" s="41"/>
      <c r="G32" s="41"/>
      <c r="H32" s="41"/>
      <c r="I32" s="31" t="str">
        <f>VLOOKUP(B32,Sheet1!A:B,2,FALSE)</f>
        <v>biko</v>
      </c>
      <c r="J32" s="32"/>
      <c r="K32" s="32"/>
      <c r="L32" s="32"/>
      <c r="M32" s="32"/>
      <c r="N32" s="32"/>
      <c r="O32" s="32"/>
      <c r="P32" s="32"/>
      <c r="Q32" s="32"/>
      <c r="R32" s="42" t="s">
        <v>139</v>
      </c>
      <c r="S32" s="41"/>
      <c r="T32" s="41"/>
      <c r="U32" s="41"/>
      <c r="V32" s="41"/>
      <c r="W32" s="41"/>
      <c r="X32" s="41"/>
      <c r="Y32" s="139" t="s">
        <v>111</v>
      </c>
      <c r="Z32" s="140"/>
      <c r="AA32" s="141" t="s">
        <v>107</v>
      </c>
      <c r="AB32" s="142"/>
      <c r="AC32" s="143"/>
      <c r="AD32" s="72">
        <v>1000</v>
      </c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42"/>
      <c r="AT32" s="43"/>
      <c r="AU32" s="43"/>
      <c r="AV32" s="43"/>
      <c r="AW32" s="43"/>
      <c r="AX32" s="43"/>
      <c r="AY32" s="43"/>
      <c r="AZ32" s="43"/>
      <c r="BA32" s="43"/>
      <c r="BB32" s="43"/>
      <c r="BC32" s="43"/>
      <c r="BD32" s="68"/>
    </row>
    <row r="33" spans="1:56" ht="15" customHeight="1" x14ac:dyDescent="0.3">
      <c r="A33" s="71">
        <f>IF(B33="","",COUNTA($B$8:B33))</f>
        <v>26</v>
      </c>
      <c r="B33" s="18" t="s">
        <v>182</v>
      </c>
      <c r="C33" s="19"/>
      <c r="D33" s="19"/>
      <c r="E33" s="19"/>
      <c r="F33" s="19"/>
      <c r="G33" s="19"/>
      <c r="H33" s="22"/>
      <c r="I33" s="31" t="str">
        <f>VLOOKUP(B33,Sheet1!A:B,2,FALSE)</f>
        <v>shukan_busho_cd</v>
      </c>
      <c r="J33" s="21"/>
      <c r="K33" s="21"/>
      <c r="L33" s="21"/>
      <c r="M33" s="21"/>
      <c r="N33" s="21"/>
      <c r="O33" s="21"/>
      <c r="P33" s="21"/>
      <c r="Q33" s="33"/>
      <c r="R33" s="18" t="s">
        <v>184</v>
      </c>
      <c r="S33" s="21"/>
      <c r="T33" s="21"/>
      <c r="U33" s="21"/>
      <c r="V33" s="21"/>
      <c r="W33" s="21"/>
      <c r="X33" s="22"/>
      <c r="Y33" s="139" t="s">
        <v>56</v>
      </c>
      <c r="Z33" s="184"/>
      <c r="AA33" s="141" t="s">
        <v>107</v>
      </c>
      <c r="AB33" s="142"/>
      <c r="AC33" s="143"/>
      <c r="AD33" s="25">
        <v>4</v>
      </c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7"/>
      <c r="AP33" s="27"/>
      <c r="AQ33" s="27"/>
      <c r="AR33" s="27"/>
      <c r="AS33" s="28"/>
      <c r="AT33" s="69"/>
      <c r="AU33" s="69"/>
      <c r="AV33" s="69"/>
      <c r="AW33" s="69"/>
      <c r="AX33" s="69"/>
      <c r="AY33" s="69"/>
      <c r="AZ33" s="69"/>
      <c r="BA33" s="69"/>
      <c r="BB33" s="69"/>
      <c r="BC33" s="69"/>
      <c r="BD33" s="70"/>
    </row>
    <row r="34" spans="1:56" ht="15" customHeight="1" x14ac:dyDescent="0.3">
      <c r="A34" s="71">
        <f>IF(B34="","",COUNTA($B$8:B34))</f>
        <v>27</v>
      </c>
      <c r="B34" s="18" t="s">
        <v>183</v>
      </c>
      <c r="C34" s="19"/>
      <c r="D34" s="19"/>
      <c r="E34" s="19"/>
      <c r="F34" s="19"/>
      <c r="G34" s="19"/>
      <c r="H34" s="22"/>
      <c r="I34" s="31" t="str">
        <f>VLOOKUP(B34,Sheet1!A:B,2,FALSE)</f>
        <v>shukan_kotei_cd</v>
      </c>
      <c r="J34" s="21"/>
      <c r="K34" s="21"/>
      <c r="L34" s="21"/>
      <c r="M34" s="21"/>
      <c r="N34" s="21"/>
      <c r="O34" s="21"/>
      <c r="P34" s="21"/>
      <c r="Q34" s="33"/>
      <c r="R34" s="18" t="s">
        <v>183</v>
      </c>
      <c r="S34" s="21"/>
      <c r="T34" s="21"/>
      <c r="U34" s="21"/>
      <c r="V34" s="21"/>
      <c r="W34" s="21"/>
      <c r="X34" s="22"/>
      <c r="Y34" s="139" t="s">
        <v>56</v>
      </c>
      <c r="Z34" s="184"/>
      <c r="AA34" s="141" t="s">
        <v>107</v>
      </c>
      <c r="AB34" s="142"/>
      <c r="AC34" s="143"/>
      <c r="AD34" s="25">
        <v>4</v>
      </c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7"/>
      <c r="AP34" s="27"/>
      <c r="AQ34" s="27"/>
      <c r="AR34" s="27"/>
      <c r="AS34" s="28"/>
      <c r="AT34" s="69"/>
      <c r="AU34" s="69"/>
      <c r="AV34" s="69"/>
      <c r="AW34" s="69"/>
      <c r="AX34" s="69"/>
      <c r="AY34" s="69"/>
      <c r="AZ34" s="69"/>
      <c r="BA34" s="69"/>
      <c r="BB34" s="69"/>
      <c r="BC34" s="69"/>
      <c r="BD34" s="70"/>
    </row>
    <row r="35" spans="1:56" ht="15" customHeight="1" x14ac:dyDescent="0.3">
      <c r="A35" s="54">
        <f>IF(B35="","",COUNTA($B$8:B35))</f>
        <v>28</v>
      </c>
      <c r="B35" s="18" t="s">
        <v>1095</v>
      </c>
      <c r="C35" s="41"/>
      <c r="D35" s="41"/>
      <c r="E35" s="41"/>
      <c r="F35" s="41"/>
      <c r="G35" s="41"/>
      <c r="H35" s="41"/>
      <c r="I35" s="31" t="str">
        <f>VLOOKUP(B35,Sheet1!A:B,2,FALSE)</f>
        <v>insert_func_cd</v>
      </c>
      <c r="J35" s="32"/>
      <c r="K35" s="32"/>
      <c r="L35" s="32"/>
      <c r="M35" s="32"/>
      <c r="N35" s="32"/>
      <c r="O35" s="32"/>
      <c r="P35" s="32"/>
      <c r="Q35" s="32"/>
      <c r="R35" s="18" t="s">
        <v>1095</v>
      </c>
      <c r="S35" s="41"/>
      <c r="T35" s="41"/>
      <c r="U35" s="41"/>
      <c r="V35" s="41"/>
      <c r="W35" s="41"/>
      <c r="X35" s="41"/>
      <c r="Y35" s="139" t="s">
        <v>111</v>
      </c>
      <c r="Z35" s="140"/>
      <c r="AA35" s="141" t="s">
        <v>107</v>
      </c>
      <c r="AB35" s="142"/>
      <c r="AC35" s="143"/>
      <c r="AD35" s="25">
        <v>10</v>
      </c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8"/>
      <c r="AT35" s="69"/>
      <c r="AU35" s="69"/>
      <c r="AV35" s="69"/>
      <c r="AW35" s="69"/>
      <c r="AX35" s="69"/>
      <c r="AY35" s="69"/>
      <c r="AZ35" s="69"/>
      <c r="BA35" s="69"/>
      <c r="BB35" s="69"/>
      <c r="BC35" s="69"/>
      <c r="BD35" s="70"/>
    </row>
    <row r="36" spans="1:56" ht="15" customHeight="1" x14ac:dyDescent="0.3">
      <c r="A36" s="54">
        <f>IF(B36="","",COUNTA($B$8:B36))</f>
        <v>29</v>
      </c>
      <c r="B36" s="18" t="s">
        <v>112</v>
      </c>
      <c r="C36" s="41"/>
      <c r="D36" s="41"/>
      <c r="E36" s="41"/>
      <c r="F36" s="41"/>
      <c r="G36" s="41"/>
      <c r="H36" s="41"/>
      <c r="I36" s="31" t="str">
        <f>VLOOKUP(B36,Sheet1!A:B,2,FALSE)</f>
        <v>insert_user_cd</v>
      </c>
      <c r="J36" s="32"/>
      <c r="K36" s="32"/>
      <c r="L36" s="32"/>
      <c r="M36" s="32"/>
      <c r="N36" s="32"/>
      <c r="O36" s="32"/>
      <c r="P36" s="32"/>
      <c r="Q36" s="32"/>
      <c r="R36" s="18" t="s">
        <v>112</v>
      </c>
      <c r="S36" s="41"/>
      <c r="T36" s="41"/>
      <c r="U36" s="41"/>
      <c r="V36" s="41"/>
      <c r="W36" s="41"/>
      <c r="X36" s="41"/>
      <c r="Y36" s="139" t="s">
        <v>111</v>
      </c>
      <c r="Z36" s="140"/>
      <c r="AA36" s="141" t="s">
        <v>107</v>
      </c>
      <c r="AB36" s="142"/>
      <c r="AC36" s="143"/>
      <c r="AD36" s="25">
        <v>10</v>
      </c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8"/>
      <c r="AT36" s="69"/>
      <c r="AU36" s="69"/>
      <c r="AV36" s="69"/>
      <c r="AW36" s="69"/>
      <c r="AX36" s="69"/>
      <c r="AY36" s="69"/>
      <c r="AZ36" s="69"/>
      <c r="BA36" s="69"/>
      <c r="BB36" s="69"/>
      <c r="BC36" s="69"/>
      <c r="BD36" s="70"/>
    </row>
    <row r="37" spans="1:56" ht="15" customHeight="1" x14ac:dyDescent="0.3">
      <c r="A37" s="54">
        <f>IF(B37="","",COUNTA($B$8:B37))</f>
        <v>30</v>
      </c>
      <c r="B37" s="18" t="s">
        <v>113</v>
      </c>
      <c r="C37" s="41"/>
      <c r="D37" s="41"/>
      <c r="E37" s="41"/>
      <c r="F37" s="41"/>
      <c r="G37" s="41"/>
      <c r="H37" s="41"/>
      <c r="I37" s="31" t="str">
        <f>VLOOKUP(B37,Sheet1!A:B,2,FALSE)</f>
        <v>insert_datetime</v>
      </c>
      <c r="J37" s="32"/>
      <c r="K37" s="32"/>
      <c r="L37" s="32"/>
      <c r="M37" s="32"/>
      <c r="N37" s="32"/>
      <c r="O37" s="32"/>
      <c r="P37" s="32"/>
      <c r="Q37" s="32"/>
      <c r="R37" s="18" t="s">
        <v>113</v>
      </c>
      <c r="S37" s="41"/>
      <c r="T37" s="41"/>
      <c r="U37" s="41"/>
      <c r="V37" s="41"/>
      <c r="W37" s="41"/>
      <c r="X37" s="41"/>
      <c r="Y37" s="139" t="s">
        <v>87</v>
      </c>
      <c r="Z37" s="140"/>
      <c r="AA37" s="141" t="s">
        <v>109</v>
      </c>
      <c r="AB37" s="142"/>
      <c r="AC37" s="143"/>
      <c r="AD37" s="55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8"/>
      <c r="AT37" s="69"/>
      <c r="AU37" s="69"/>
      <c r="AV37" s="69"/>
      <c r="AW37" s="69"/>
      <c r="AX37" s="69"/>
      <c r="AY37" s="69"/>
      <c r="AZ37" s="69"/>
      <c r="BA37" s="69"/>
      <c r="BB37" s="69"/>
      <c r="BC37" s="69"/>
      <c r="BD37" s="70"/>
    </row>
    <row r="38" spans="1:56" ht="15" customHeight="1" x14ac:dyDescent="0.3">
      <c r="A38" s="54">
        <f>IF(B38="","",COUNTA($B$8:B38))</f>
        <v>31</v>
      </c>
      <c r="B38" s="18" t="s">
        <v>1094</v>
      </c>
      <c r="C38" s="41"/>
      <c r="D38" s="41"/>
      <c r="E38" s="41"/>
      <c r="F38" s="41"/>
      <c r="G38" s="41"/>
      <c r="H38" s="41"/>
      <c r="I38" s="31" t="str">
        <f>VLOOKUP(B38,Sheet1!A:B,2,FALSE)</f>
        <v>update_func_cd</v>
      </c>
      <c r="J38" s="32"/>
      <c r="K38" s="32"/>
      <c r="L38" s="32"/>
      <c r="M38" s="32"/>
      <c r="N38" s="32"/>
      <c r="O38" s="32"/>
      <c r="P38" s="32"/>
      <c r="Q38" s="32"/>
      <c r="R38" s="18" t="s">
        <v>1094</v>
      </c>
      <c r="S38" s="41"/>
      <c r="T38" s="41"/>
      <c r="U38" s="41"/>
      <c r="V38" s="41"/>
      <c r="W38" s="41"/>
      <c r="X38" s="41"/>
      <c r="Y38" s="139" t="s">
        <v>111</v>
      </c>
      <c r="Z38" s="140"/>
      <c r="AA38" s="141" t="s">
        <v>107</v>
      </c>
      <c r="AB38" s="142"/>
      <c r="AC38" s="143"/>
      <c r="AD38" s="25">
        <v>10</v>
      </c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8"/>
      <c r="AT38" s="69"/>
      <c r="AU38" s="69"/>
      <c r="AV38" s="69"/>
      <c r="AW38" s="69"/>
      <c r="AX38" s="69"/>
      <c r="AY38" s="69"/>
      <c r="AZ38" s="69"/>
      <c r="BA38" s="69"/>
      <c r="BB38" s="69"/>
      <c r="BC38" s="69"/>
      <c r="BD38" s="70"/>
    </row>
    <row r="39" spans="1:56" ht="15" customHeight="1" x14ac:dyDescent="0.3">
      <c r="A39" s="54">
        <f>IF(B39="","",COUNTA($B$8:B39))</f>
        <v>32</v>
      </c>
      <c r="B39" s="18" t="s">
        <v>114</v>
      </c>
      <c r="C39" s="19"/>
      <c r="D39" s="19"/>
      <c r="E39" s="19"/>
      <c r="F39" s="19"/>
      <c r="G39" s="19"/>
      <c r="H39" s="19"/>
      <c r="I39" s="31" t="str">
        <f>VLOOKUP(B39,Sheet1!A:B,2,FALSE)</f>
        <v>update_user_cd</v>
      </c>
      <c r="J39" s="21"/>
      <c r="K39" s="21"/>
      <c r="L39" s="21"/>
      <c r="M39" s="21"/>
      <c r="N39" s="21"/>
      <c r="O39" s="21"/>
      <c r="P39" s="21"/>
      <c r="Q39" s="21"/>
      <c r="R39" s="18" t="s">
        <v>114</v>
      </c>
      <c r="S39" s="19"/>
      <c r="T39" s="19"/>
      <c r="U39" s="19"/>
      <c r="V39" s="19"/>
      <c r="W39" s="19"/>
      <c r="X39" s="19"/>
      <c r="Y39" s="139" t="s">
        <v>111</v>
      </c>
      <c r="Z39" s="140"/>
      <c r="AA39" s="141" t="s">
        <v>107</v>
      </c>
      <c r="AB39" s="142"/>
      <c r="AC39" s="143"/>
      <c r="AD39" s="55">
        <v>10</v>
      </c>
      <c r="AE39" s="37"/>
      <c r="AF39" s="37"/>
      <c r="AG39" s="37"/>
      <c r="AH39" s="37"/>
      <c r="AI39" s="37"/>
      <c r="AJ39" s="37"/>
      <c r="AK39" s="37"/>
      <c r="AL39" s="37"/>
      <c r="AM39" s="37"/>
      <c r="AN39" s="37"/>
      <c r="AO39" s="38"/>
      <c r="AP39" s="38"/>
      <c r="AQ39" s="38"/>
      <c r="AR39" s="38"/>
      <c r="AS39" s="39"/>
      <c r="AT39" s="40"/>
      <c r="AU39" s="69"/>
      <c r="AV39" s="69"/>
      <c r="AW39" s="69"/>
      <c r="AX39" s="69"/>
      <c r="AY39" s="69"/>
      <c r="AZ39" s="69"/>
      <c r="BA39" s="69"/>
      <c r="BB39" s="69"/>
      <c r="BC39" s="69"/>
      <c r="BD39" s="70"/>
    </row>
    <row r="40" spans="1:56" ht="15" customHeight="1" x14ac:dyDescent="0.3">
      <c r="A40" s="54">
        <f>IF(B40="","",COUNTA($B$8:B40))</f>
        <v>33</v>
      </c>
      <c r="B40" s="18" t="s">
        <v>115</v>
      </c>
      <c r="C40" s="19"/>
      <c r="D40" s="19"/>
      <c r="E40" s="19"/>
      <c r="F40" s="19"/>
      <c r="G40" s="19"/>
      <c r="H40" s="19"/>
      <c r="I40" s="31" t="str">
        <f>VLOOKUP(B40,Sheet1!A:B,2,FALSE)</f>
        <v>update_datetime</v>
      </c>
      <c r="J40" s="21"/>
      <c r="K40" s="21"/>
      <c r="L40" s="21"/>
      <c r="M40" s="21"/>
      <c r="N40" s="21"/>
      <c r="O40" s="21"/>
      <c r="P40" s="21"/>
      <c r="Q40" s="21"/>
      <c r="R40" s="18" t="s">
        <v>115</v>
      </c>
      <c r="S40" s="19"/>
      <c r="T40" s="19"/>
      <c r="U40" s="19"/>
      <c r="V40" s="19"/>
      <c r="W40" s="19"/>
      <c r="X40" s="19"/>
      <c r="Y40" s="139" t="s">
        <v>87</v>
      </c>
      <c r="Z40" s="140"/>
      <c r="AA40" s="141" t="s">
        <v>109</v>
      </c>
      <c r="AB40" s="142"/>
      <c r="AC40" s="143"/>
      <c r="AD40" s="55"/>
      <c r="AE40" s="37"/>
      <c r="AF40" s="37"/>
      <c r="AG40" s="37"/>
      <c r="AH40" s="37"/>
      <c r="AI40" s="37"/>
      <c r="AJ40" s="37"/>
      <c r="AK40" s="37"/>
      <c r="AL40" s="37"/>
      <c r="AM40" s="37"/>
      <c r="AN40" s="37"/>
      <c r="AO40" s="38"/>
      <c r="AP40" s="38"/>
      <c r="AQ40" s="38"/>
      <c r="AR40" s="38"/>
      <c r="AS40" s="39"/>
      <c r="AT40" s="40"/>
      <c r="AU40" s="69"/>
      <c r="AV40" s="69"/>
      <c r="AW40" s="69"/>
      <c r="AX40" s="69"/>
      <c r="AY40" s="69"/>
      <c r="AZ40" s="69"/>
      <c r="BA40" s="69"/>
      <c r="BB40" s="69"/>
      <c r="BC40" s="69"/>
      <c r="BD40" s="70"/>
    </row>
    <row r="41" spans="1:56" ht="15" customHeight="1" x14ac:dyDescent="0.3">
      <c r="A41" s="54" t="str">
        <f>IF(B41="","",COUNTA($B$8:B41))</f>
        <v/>
      </c>
      <c r="B41" s="42"/>
      <c r="C41" s="41"/>
      <c r="D41" s="41"/>
      <c r="E41" s="41"/>
      <c r="F41" s="41"/>
      <c r="G41" s="41"/>
      <c r="H41" s="41"/>
      <c r="I41" s="42"/>
      <c r="J41" s="32"/>
      <c r="K41" s="32"/>
      <c r="L41" s="32"/>
      <c r="M41" s="32"/>
      <c r="N41" s="32"/>
      <c r="O41" s="32"/>
      <c r="P41" s="32"/>
      <c r="Q41" s="32"/>
      <c r="R41" s="18"/>
      <c r="S41" s="41"/>
      <c r="T41" s="41"/>
      <c r="U41" s="41"/>
      <c r="V41" s="41"/>
      <c r="W41" s="41"/>
      <c r="X41" s="41"/>
      <c r="Y41" s="139"/>
      <c r="Z41" s="140"/>
      <c r="AA41" s="141"/>
      <c r="AB41" s="142"/>
      <c r="AC41" s="143"/>
      <c r="AD41" s="72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42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68"/>
    </row>
    <row r="42" spans="1:56" ht="15" customHeight="1" x14ac:dyDescent="0.3">
      <c r="A42" s="54" t="str">
        <f>IF(B42="","",COUNTA($B$8:B42))</f>
        <v/>
      </c>
      <c r="B42" s="42"/>
      <c r="C42" s="41"/>
      <c r="D42" s="41"/>
      <c r="E42" s="41"/>
      <c r="F42" s="41"/>
      <c r="G42" s="41"/>
      <c r="H42" s="41"/>
      <c r="I42" s="42"/>
      <c r="J42" s="32"/>
      <c r="K42" s="32"/>
      <c r="L42" s="32"/>
      <c r="M42" s="32"/>
      <c r="N42" s="32"/>
      <c r="O42" s="32"/>
      <c r="P42" s="32"/>
      <c r="Q42" s="32"/>
      <c r="R42" s="42"/>
      <c r="S42" s="41"/>
      <c r="T42" s="41"/>
      <c r="U42" s="41"/>
      <c r="V42" s="41"/>
      <c r="W42" s="41"/>
      <c r="X42" s="41"/>
      <c r="Y42" s="139"/>
      <c r="Z42" s="140"/>
      <c r="AA42" s="141"/>
      <c r="AB42" s="142"/>
      <c r="AC42" s="143"/>
      <c r="AD42" s="72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42"/>
      <c r="AT42" s="43"/>
      <c r="AU42" s="43"/>
      <c r="AV42" s="43"/>
      <c r="AW42" s="43"/>
      <c r="AX42" s="43"/>
      <c r="AY42" s="43"/>
      <c r="AZ42" s="43"/>
      <c r="BA42" s="43"/>
      <c r="BB42" s="43"/>
      <c r="BC42" s="43"/>
      <c r="BD42" s="68"/>
    </row>
    <row r="43" spans="1:56" ht="15" customHeight="1" x14ac:dyDescent="0.3">
      <c r="A43" s="54" t="str">
        <f>IF(B43="","",COUNTA($B$8:B43))</f>
        <v/>
      </c>
      <c r="B43" s="42"/>
      <c r="C43" s="41"/>
      <c r="D43" s="41"/>
      <c r="E43" s="41"/>
      <c r="F43" s="41"/>
      <c r="G43" s="41"/>
      <c r="H43" s="41"/>
      <c r="I43" s="42"/>
      <c r="J43" s="32"/>
      <c r="K43" s="32"/>
      <c r="L43" s="32"/>
      <c r="M43" s="32"/>
      <c r="N43" s="32"/>
      <c r="O43" s="32"/>
      <c r="P43" s="32"/>
      <c r="Q43" s="32"/>
      <c r="R43" s="42"/>
      <c r="S43" s="41"/>
      <c r="T43" s="41"/>
      <c r="U43" s="41"/>
      <c r="V43" s="41"/>
      <c r="W43" s="41"/>
      <c r="X43" s="41"/>
      <c r="Y43" s="139"/>
      <c r="Z43" s="140"/>
      <c r="AA43" s="141"/>
      <c r="AB43" s="142"/>
      <c r="AC43" s="143"/>
      <c r="AD43" s="72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42"/>
      <c r="AT43" s="43"/>
      <c r="AU43" s="43"/>
      <c r="AV43" s="43"/>
      <c r="AW43" s="43"/>
      <c r="AX43" s="43"/>
      <c r="AY43" s="43"/>
      <c r="AZ43" s="43"/>
      <c r="BA43" s="43"/>
      <c r="BB43" s="43"/>
      <c r="BC43" s="43"/>
      <c r="BD43" s="68"/>
    </row>
    <row r="44" spans="1:56" ht="15" customHeight="1" x14ac:dyDescent="0.3">
      <c r="A44" s="54" t="str">
        <f>IF(B44="","",COUNTA($B$8:B44))</f>
        <v/>
      </c>
      <c r="B44" s="42"/>
      <c r="C44" s="41"/>
      <c r="D44" s="41"/>
      <c r="E44" s="41"/>
      <c r="F44" s="41"/>
      <c r="G44" s="41"/>
      <c r="H44" s="41"/>
      <c r="I44" s="42"/>
      <c r="J44" s="32"/>
      <c r="K44" s="32"/>
      <c r="L44" s="32"/>
      <c r="M44" s="32"/>
      <c r="N44" s="32"/>
      <c r="O44" s="32"/>
      <c r="P44" s="32"/>
      <c r="Q44" s="32"/>
      <c r="R44" s="42"/>
      <c r="S44" s="41"/>
      <c r="T44" s="41"/>
      <c r="U44" s="41"/>
      <c r="V44" s="41"/>
      <c r="W44" s="41"/>
      <c r="X44" s="41"/>
      <c r="Y44" s="139"/>
      <c r="Z44" s="140"/>
      <c r="AA44" s="141"/>
      <c r="AB44" s="142"/>
      <c r="AC44" s="143"/>
      <c r="AD44" s="72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42"/>
      <c r="AT44" s="43"/>
      <c r="AU44" s="43"/>
      <c r="AV44" s="43"/>
      <c r="AW44" s="43"/>
      <c r="AX44" s="43"/>
      <c r="AY44" s="43"/>
      <c r="AZ44" s="43"/>
      <c r="BA44" s="43"/>
      <c r="BB44" s="43"/>
      <c r="BC44" s="43"/>
      <c r="BD44" s="68"/>
    </row>
    <row r="45" spans="1:56" ht="15" customHeight="1" x14ac:dyDescent="0.3">
      <c r="A45" s="54" t="str">
        <f>IF(B45="","",COUNTA($B$8:B45))</f>
        <v/>
      </c>
      <c r="B45" s="28"/>
      <c r="C45" s="41"/>
      <c r="D45" s="41"/>
      <c r="E45" s="41"/>
      <c r="F45" s="41"/>
      <c r="G45" s="41"/>
      <c r="H45" s="41"/>
      <c r="I45" s="20"/>
      <c r="J45" s="32"/>
      <c r="K45" s="32"/>
      <c r="L45" s="32"/>
      <c r="M45" s="32"/>
      <c r="N45" s="32"/>
      <c r="O45" s="32"/>
      <c r="P45" s="32"/>
      <c r="Q45" s="32"/>
      <c r="R45" s="28"/>
      <c r="S45" s="41"/>
      <c r="T45" s="41"/>
      <c r="U45" s="41"/>
      <c r="V45" s="41"/>
      <c r="W45" s="41"/>
      <c r="X45" s="41"/>
      <c r="Y45" s="139"/>
      <c r="Z45" s="140"/>
      <c r="AA45" s="141"/>
      <c r="AB45" s="142"/>
      <c r="AC45" s="143"/>
      <c r="AD45" s="55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8"/>
      <c r="AT45" s="69"/>
      <c r="AU45" s="69"/>
      <c r="AV45" s="69"/>
      <c r="AW45" s="69"/>
      <c r="AX45" s="69"/>
      <c r="AY45" s="69"/>
      <c r="AZ45" s="69"/>
      <c r="BA45" s="69"/>
      <c r="BB45" s="69"/>
      <c r="BC45" s="69"/>
      <c r="BD45" s="70"/>
    </row>
  </sheetData>
  <mergeCells count="106">
    <mergeCell ref="Y42:Z42"/>
    <mergeCell ref="AA42:AC42"/>
    <mergeCell ref="Y31:Z31"/>
    <mergeCell ref="AA31:AC31"/>
    <mergeCell ref="Y32:Z32"/>
    <mergeCell ref="AA32:AC32"/>
    <mergeCell ref="AZ4:BD4"/>
    <mergeCell ref="AZ2:BD2"/>
    <mergeCell ref="AP3:AT3"/>
    <mergeCell ref="AU3:AY3"/>
    <mergeCell ref="AZ3:BD3"/>
    <mergeCell ref="Y8:Z8"/>
    <mergeCell ref="AA8:AC8"/>
    <mergeCell ref="Y2:AO3"/>
    <mergeCell ref="AP2:AT2"/>
    <mergeCell ref="Y4:AO4"/>
    <mergeCell ref="Y30:Z30"/>
    <mergeCell ref="AA30:AC30"/>
    <mergeCell ref="Y21:Z21"/>
    <mergeCell ref="AA21:AC21"/>
    <mergeCell ref="Y22:Z22"/>
    <mergeCell ref="AA22:AC22"/>
    <mergeCell ref="Y23:Z23"/>
    <mergeCell ref="AA23:AC23"/>
    <mergeCell ref="I1:Q1"/>
    <mergeCell ref="R1:X1"/>
    <mergeCell ref="Y1:AO1"/>
    <mergeCell ref="AP1:AT1"/>
    <mergeCell ref="AU1:AY1"/>
    <mergeCell ref="A1:H4"/>
    <mergeCell ref="AP4:AT4"/>
    <mergeCell ref="AU4:AY4"/>
    <mergeCell ref="AG6:AG7"/>
    <mergeCell ref="AH6:AH7"/>
    <mergeCell ref="AI6:AR6"/>
    <mergeCell ref="AS6:BD7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Z1:BD1"/>
    <mergeCell ref="I2:Q4"/>
    <mergeCell ref="R2:X4"/>
    <mergeCell ref="Y24:Z24"/>
    <mergeCell ref="AA24:AC24"/>
    <mergeCell ref="Y27:Z27"/>
    <mergeCell ref="AA27:AC27"/>
    <mergeCell ref="Y10:Z10"/>
    <mergeCell ref="AA10:AC10"/>
    <mergeCell ref="Y15:Z15"/>
    <mergeCell ref="AA15:AC15"/>
    <mergeCell ref="Y16:Z16"/>
    <mergeCell ref="AA16:AC16"/>
    <mergeCell ref="Y29:Z29"/>
    <mergeCell ref="AA29:AC29"/>
    <mergeCell ref="Y18:Z18"/>
    <mergeCell ref="AA18:AC18"/>
    <mergeCell ref="Y19:Z19"/>
    <mergeCell ref="AA19:AC19"/>
    <mergeCell ref="Y45:Z45"/>
    <mergeCell ref="AA45:AC45"/>
    <mergeCell ref="Y11:Z11"/>
    <mergeCell ref="AA11:AC11"/>
    <mergeCell ref="Y12:Z12"/>
    <mergeCell ref="AA12:AC12"/>
    <mergeCell ref="Y13:Z13"/>
    <mergeCell ref="AA13:AC13"/>
    <mergeCell ref="Y40:Z40"/>
    <mergeCell ref="AA40:AC40"/>
    <mergeCell ref="Y37:Z37"/>
    <mergeCell ref="AA37:AC37"/>
    <mergeCell ref="Y38:Z38"/>
    <mergeCell ref="AA38:AC38"/>
    <mergeCell ref="Y39:Z39"/>
    <mergeCell ref="AA39:AC39"/>
    <mergeCell ref="Y17:Z17"/>
    <mergeCell ref="AA17:AC17"/>
    <mergeCell ref="Y44:Z44"/>
    <mergeCell ref="AA44:AC44"/>
    <mergeCell ref="Y28:Z28"/>
    <mergeCell ref="AA28:AC28"/>
    <mergeCell ref="Y41:Z41"/>
    <mergeCell ref="AA41:AC41"/>
    <mergeCell ref="Y9:Z9"/>
    <mergeCell ref="AA9:AC9"/>
    <mergeCell ref="Y43:Z43"/>
    <mergeCell ref="AA43:AC43"/>
    <mergeCell ref="Y33:Z33"/>
    <mergeCell ref="AA33:AC33"/>
    <mergeCell ref="Y34:Z34"/>
    <mergeCell ref="AA34:AC34"/>
    <mergeCell ref="Y20:Z20"/>
    <mergeCell ref="AA20:AC20"/>
    <mergeCell ref="Y35:Z35"/>
    <mergeCell ref="AA35:AC35"/>
    <mergeCell ref="Y36:Z36"/>
    <mergeCell ref="AA36:AC36"/>
    <mergeCell ref="Y25:Z25"/>
    <mergeCell ref="AA25:AC25"/>
    <mergeCell ref="Y26:Z26"/>
    <mergeCell ref="AA26:AC26"/>
  </mergeCells>
  <phoneticPr fontId="4"/>
  <dataValidations count="3">
    <dataValidation imeMode="hiragana" allowBlank="1" showInputMessage="1" showErrorMessage="1" sqref="JG65520:JR65522 TC65520:TN65522 ACY65520:ADJ65522 AMU65520:ANF65522 AWQ65520:AXB65522 BGM65520:BGX65522 BQI65520:BQT65522 CAE65520:CAP65522 CKA65520:CKL65522 CTW65520:CUH65522 DDS65520:DED65522 DNO65520:DNZ65522 DXK65520:DXV65522 EHG65520:EHR65522 ERC65520:ERN65522 FAY65520:FBJ65522 FKU65520:FLF65522 FUQ65520:FVB65522 GEM65520:GEX65522 GOI65520:GOT65522 GYE65520:GYP65522 HIA65520:HIL65522 HRW65520:HSH65522 IBS65520:ICD65522 ILO65520:ILZ65522 IVK65520:IVV65522 JFG65520:JFR65522 JPC65520:JPN65522 JYY65520:JZJ65522 KIU65520:KJF65522 KSQ65520:KTB65522 LCM65520:LCX65522 LMI65520:LMT65522 LWE65520:LWP65522 MGA65520:MGL65522 MPW65520:MQH65522 MZS65520:NAD65522 NJO65520:NJZ65522 NTK65520:NTV65522 ODG65520:ODR65522 ONC65520:ONN65522 OWY65520:OXJ65522 PGU65520:PHF65522 PQQ65520:PRB65522 QAM65520:QAX65522 QKI65520:QKT65522 QUE65520:QUP65522 REA65520:REL65522 RNW65520:ROH65522 RXS65520:RYD65522 SHO65520:SHZ65522 SRK65520:SRV65522 TBG65520:TBR65522 TLC65520:TLN65522 TUY65520:TVJ65522 UEU65520:UFF65522 UOQ65520:UPB65522 UYM65520:UYX65522 VII65520:VIT65522 VSE65520:VSP65522 WCA65520:WCL65522 WLW65520:WMH65522 WVS65520:WWD65522 JG131056:JR131058 TC131056:TN131058 ACY131056:ADJ131058 AMU131056:ANF131058 AWQ131056:AXB131058 BGM131056:BGX131058 BQI131056:BQT131058 CAE131056:CAP131058 CKA131056:CKL131058 CTW131056:CUH131058 DDS131056:DED131058 DNO131056:DNZ131058 DXK131056:DXV131058 EHG131056:EHR131058 ERC131056:ERN131058 FAY131056:FBJ131058 FKU131056:FLF131058 FUQ131056:FVB131058 GEM131056:GEX131058 GOI131056:GOT131058 GYE131056:GYP131058 HIA131056:HIL131058 HRW131056:HSH131058 IBS131056:ICD131058 ILO131056:ILZ131058 IVK131056:IVV131058 JFG131056:JFR131058 JPC131056:JPN131058 JYY131056:JZJ131058 KIU131056:KJF131058 KSQ131056:KTB131058 LCM131056:LCX131058 LMI131056:LMT131058 LWE131056:LWP131058 MGA131056:MGL131058 MPW131056:MQH131058 MZS131056:NAD131058 NJO131056:NJZ131058 NTK131056:NTV131058 ODG131056:ODR131058 ONC131056:ONN131058 OWY131056:OXJ131058 PGU131056:PHF131058 PQQ131056:PRB131058 QAM131056:QAX131058 QKI131056:QKT131058 QUE131056:QUP131058 REA131056:REL131058 RNW131056:ROH131058 RXS131056:RYD131058 SHO131056:SHZ131058 SRK131056:SRV131058 TBG131056:TBR131058 TLC131056:TLN131058 TUY131056:TVJ131058 UEU131056:UFF131058 UOQ131056:UPB131058 UYM131056:UYX131058 VII131056:VIT131058 VSE131056:VSP131058 WCA131056:WCL131058 WLW131056:WMH131058 WVS131056:WWD131058 JG196592:JR196594 TC196592:TN196594 ACY196592:ADJ196594 AMU196592:ANF196594 AWQ196592:AXB196594 BGM196592:BGX196594 BQI196592:BQT196594 CAE196592:CAP196594 CKA196592:CKL196594 CTW196592:CUH196594 DDS196592:DED196594 DNO196592:DNZ196594 DXK196592:DXV196594 EHG196592:EHR196594 ERC196592:ERN196594 FAY196592:FBJ196594 FKU196592:FLF196594 FUQ196592:FVB196594 GEM196592:GEX196594 GOI196592:GOT196594 GYE196592:GYP196594 HIA196592:HIL196594 HRW196592:HSH196594 IBS196592:ICD196594 ILO196592:ILZ196594 IVK196592:IVV196594 JFG196592:JFR196594 JPC196592:JPN196594 JYY196592:JZJ196594 KIU196592:KJF196594 KSQ196592:KTB196594 LCM196592:LCX196594 LMI196592:LMT196594 LWE196592:LWP196594 MGA196592:MGL196594 MPW196592:MQH196594 MZS196592:NAD196594 NJO196592:NJZ196594 NTK196592:NTV196594 ODG196592:ODR196594 ONC196592:ONN196594 OWY196592:OXJ196594 PGU196592:PHF196594 PQQ196592:PRB196594 QAM196592:QAX196594 QKI196592:QKT196594 QUE196592:QUP196594 REA196592:REL196594 RNW196592:ROH196594 RXS196592:RYD196594 SHO196592:SHZ196594 SRK196592:SRV196594 TBG196592:TBR196594 TLC196592:TLN196594 TUY196592:TVJ196594 UEU196592:UFF196594 UOQ196592:UPB196594 UYM196592:UYX196594 VII196592:VIT196594 VSE196592:VSP196594 WCA196592:WCL196594 WLW196592:WMH196594 WVS196592:WWD196594 JG262128:JR262130 TC262128:TN262130 ACY262128:ADJ262130 AMU262128:ANF262130 AWQ262128:AXB262130 BGM262128:BGX262130 BQI262128:BQT262130 CAE262128:CAP262130 CKA262128:CKL262130 CTW262128:CUH262130 DDS262128:DED262130 DNO262128:DNZ262130 DXK262128:DXV262130 EHG262128:EHR262130 ERC262128:ERN262130 FAY262128:FBJ262130 FKU262128:FLF262130 FUQ262128:FVB262130 GEM262128:GEX262130 GOI262128:GOT262130 GYE262128:GYP262130 HIA262128:HIL262130 HRW262128:HSH262130 IBS262128:ICD262130 ILO262128:ILZ262130 IVK262128:IVV262130 JFG262128:JFR262130 JPC262128:JPN262130 JYY262128:JZJ262130 KIU262128:KJF262130 KSQ262128:KTB262130 LCM262128:LCX262130 LMI262128:LMT262130 LWE262128:LWP262130 MGA262128:MGL262130 MPW262128:MQH262130 MZS262128:NAD262130 NJO262128:NJZ262130 NTK262128:NTV262130 ODG262128:ODR262130 ONC262128:ONN262130 OWY262128:OXJ262130 PGU262128:PHF262130 PQQ262128:PRB262130 QAM262128:QAX262130 QKI262128:QKT262130 QUE262128:QUP262130 REA262128:REL262130 RNW262128:ROH262130 RXS262128:RYD262130 SHO262128:SHZ262130 SRK262128:SRV262130 TBG262128:TBR262130 TLC262128:TLN262130 TUY262128:TVJ262130 UEU262128:UFF262130 UOQ262128:UPB262130 UYM262128:UYX262130 VII262128:VIT262130 VSE262128:VSP262130 WCA262128:WCL262130 WLW262128:WMH262130 WVS262128:WWD262130 JG327664:JR327666 TC327664:TN327666 ACY327664:ADJ327666 AMU327664:ANF327666 AWQ327664:AXB327666 BGM327664:BGX327666 BQI327664:BQT327666 CAE327664:CAP327666 CKA327664:CKL327666 CTW327664:CUH327666 DDS327664:DED327666 DNO327664:DNZ327666 DXK327664:DXV327666 EHG327664:EHR327666 ERC327664:ERN327666 FAY327664:FBJ327666 FKU327664:FLF327666 FUQ327664:FVB327666 GEM327664:GEX327666 GOI327664:GOT327666 GYE327664:GYP327666 HIA327664:HIL327666 HRW327664:HSH327666 IBS327664:ICD327666 ILO327664:ILZ327666 IVK327664:IVV327666 JFG327664:JFR327666 JPC327664:JPN327666 JYY327664:JZJ327666 KIU327664:KJF327666 KSQ327664:KTB327666 LCM327664:LCX327666 LMI327664:LMT327666 LWE327664:LWP327666 MGA327664:MGL327666 MPW327664:MQH327666 MZS327664:NAD327666 NJO327664:NJZ327666 NTK327664:NTV327666 ODG327664:ODR327666 ONC327664:ONN327666 OWY327664:OXJ327666 PGU327664:PHF327666 PQQ327664:PRB327666 QAM327664:QAX327666 QKI327664:QKT327666 QUE327664:QUP327666 REA327664:REL327666 RNW327664:ROH327666 RXS327664:RYD327666 SHO327664:SHZ327666 SRK327664:SRV327666 TBG327664:TBR327666 TLC327664:TLN327666 TUY327664:TVJ327666 UEU327664:UFF327666 UOQ327664:UPB327666 UYM327664:UYX327666 VII327664:VIT327666 VSE327664:VSP327666 WCA327664:WCL327666 WLW327664:WMH327666 WVS327664:WWD327666 JG393200:JR393202 TC393200:TN393202 ACY393200:ADJ393202 AMU393200:ANF393202 AWQ393200:AXB393202 BGM393200:BGX393202 BQI393200:BQT393202 CAE393200:CAP393202 CKA393200:CKL393202 CTW393200:CUH393202 DDS393200:DED393202 DNO393200:DNZ393202 DXK393200:DXV393202 EHG393200:EHR393202 ERC393200:ERN393202 FAY393200:FBJ393202 FKU393200:FLF393202 FUQ393200:FVB393202 GEM393200:GEX393202 GOI393200:GOT393202 GYE393200:GYP393202 HIA393200:HIL393202 HRW393200:HSH393202 IBS393200:ICD393202 ILO393200:ILZ393202 IVK393200:IVV393202 JFG393200:JFR393202 JPC393200:JPN393202 JYY393200:JZJ393202 KIU393200:KJF393202 KSQ393200:KTB393202 LCM393200:LCX393202 LMI393200:LMT393202 LWE393200:LWP393202 MGA393200:MGL393202 MPW393200:MQH393202 MZS393200:NAD393202 NJO393200:NJZ393202 NTK393200:NTV393202 ODG393200:ODR393202 ONC393200:ONN393202 OWY393200:OXJ393202 PGU393200:PHF393202 PQQ393200:PRB393202 QAM393200:QAX393202 QKI393200:QKT393202 QUE393200:QUP393202 REA393200:REL393202 RNW393200:ROH393202 RXS393200:RYD393202 SHO393200:SHZ393202 SRK393200:SRV393202 TBG393200:TBR393202 TLC393200:TLN393202 TUY393200:TVJ393202 UEU393200:UFF393202 UOQ393200:UPB393202 UYM393200:UYX393202 VII393200:VIT393202 VSE393200:VSP393202 WCA393200:WCL393202 WLW393200:WMH393202 WVS393200:WWD393202 JG458736:JR458738 TC458736:TN458738 ACY458736:ADJ458738 AMU458736:ANF458738 AWQ458736:AXB458738 BGM458736:BGX458738 BQI458736:BQT458738 CAE458736:CAP458738 CKA458736:CKL458738 CTW458736:CUH458738 DDS458736:DED458738 DNO458736:DNZ458738 DXK458736:DXV458738 EHG458736:EHR458738 ERC458736:ERN458738 FAY458736:FBJ458738 FKU458736:FLF458738 FUQ458736:FVB458738 GEM458736:GEX458738 GOI458736:GOT458738 GYE458736:GYP458738 HIA458736:HIL458738 HRW458736:HSH458738 IBS458736:ICD458738 ILO458736:ILZ458738 IVK458736:IVV458738 JFG458736:JFR458738 JPC458736:JPN458738 JYY458736:JZJ458738 KIU458736:KJF458738 KSQ458736:KTB458738 LCM458736:LCX458738 LMI458736:LMT458738 LWE458736:LWP458738 MGA458736:MGL458738 MPW458736:MQH458738 MZS458736:NAD458738 NJO458736:NJZ458738 NTK458736:NTV458738 ODG458736:ODR458738 ONC458736:ONN458738 OWY458736:OXJ458738 PGU458736:PHF458738 PQQ458736:PRB458738 QAM458736:QAX458738 QKI458736:QKT458738 QUE458736:QUP458738 REA458736:REL458738 RNW458736:ROH458738 RXS458736:RYD458738 SHO458736:SHZ458738 SRK458736:SRV458738 TBG458736:TBR458738 TLC458736:TLN458738 TUY458736:TVJ458738 UEU458736:UFF458738 UOQ458736:UPB458738 UYM458736:UYX458738 VII458736:VIT458738 VSE458736:VSP458738 WCA458736:WCL458738 WLW458736:WMH458738 WVS458736:WWD458738 JG524272:JR524274 TC524272:TN524274 ACY524272:ADJ524274 AMU524272:ANF524274 AWQ524272:AXB524274 BGM524272:BGX524274 BQI524272:BQT524274 CAE524272:CAP524274 CKA524272:CKL524274 CTW524272:CUH524274 DDS524272:DED524274 DNO524272:DNZ524274 DXK524272:DXV524274 EHG524272:EHR524274 ERC524272:ERN524274 FAY524272:FBJ524274 FKU524272:FLF524274 FUQ524272:FVB524274 GEM524272:GEX524274 GOI524272:GOT524274 GYE524272:GYP524274 HIA524272:HIL524274 HRW524272:HSH524274 IBS524272:ICD524274 ILO524272:ILZ524274 IVK524272:IVV524274 JFG524272:JFR524274 JPC524272:JPN524274 JYY524272:JZJ524274 KIU524272:KJF524274 KSQ524272:KTB524274 LCM524272:LCX524274 LMI524272:LMT524274 LWE524272:LWP524274 MGA524272:MGL524274 MPW524272:MQH524274 MZS524272:NAD524274 NJO524272:NJZ524274 NTK524272:NTV524274 ODG524272:ODR524274 ONC524272:ONN524274 OWY524272:OXJ524274 PGU524272:PHF524274 PQQ524272:PRB524274 QAM524272:QAX524274 QKI524272:QKT524274 QUE524272:QUP524274 REA524272:REL524274 RNW524272:ROH524274 RXS524272:RYD524274 SHO524272:SHZ524274 SRK524272:SRV524274 TBG524272:TBR524274 TLC524272:TLN524274 TUY524272:TVJ524274 UEU524272:UFF524274 UOQ524272:UPB524274 UYM524272:UYX524274 VII524272:VIT524274 VSE524272:VSP524274 WCA524272:WCL524274 WLW524272:WMH524274 WVS524272:WWD524274 JG589808:JR589810 TC589808:TN589810 ACY589808:ADJ589810 AMU589808:ANF589810 AWQ589808:AXB589810 BGM589808:BGX589810 BQI589808:BQT589810 CAE589808:CAP589810 CKA589808:CKL589810 CTW589808:CUH589810 DDS589808:DED589810 DNO589808:DNZ589810 DXK589808:DXV589810 EHG589808:EHR589810 ERC589808:ERN589810 FAY589808:FBJ589810 FKU589808:FLF589810 FUQ589808:FVB589810 GEM589808:GEX589810 GOI589808:GOT589810 GYE589808:GYP589810 HIA589808:HIL589810 HRW589808:HSH589810 IBS589808:ICD589810 ILO589808:ILZ589810 IVK589808:IVV589810 JFG589808:JFR589810 JPC589808:JPN589810 JYY589808:JZJ589810 KIU589808:KJF589810 KSQ589808:KTB589810 LCM589808:LCX589810 LMI589808:LMT589810 LWE589808:LWP589810 MGA589808:MGL589810 MPW589808:MQH589810 MZS589808:NAD589810 NJO589808:NJZ589810 NTK589808:NTV589810 ODG589808:ODR589810 ONC589808:ONN589810 OWY589808:OXJ589810 PGU589808:PHF589810 PQQ589808:PRB589810 QAM589808:QAX589810 QKI589808:QKT589810 QUE589808:QUP589810 REA589808:REL589810 RNW589808:ROH589810 RXS589808:RYD589810 SHO589808:SHZ589810 SRK589808:SRV589810 TBG589808:TBR589810 TLC589808:TLN589810 TUY589808:TVJ589810 UEU589808:UFF589810 UOQ589808:UPB589810 UYM589808:UYX589810 VII589808:VIT589810 VSE589808:VSP589810 WCA589808:WCL589810 WLW589808:WMH589810 WVS589808:WWD589810 JG655344:JR655346 TC655344:TN655346 ACY655344:ADJ655346 AMU655344:ANF655346 AWQ655344:AXB655346 BGM655344:BGX655346 BQI655344:BQT655346 CAE655344:CAP655346 CKA655344:CKL655346 CTW655344:CUH655346 DDS655344:DED655346 DNO655344:DNZ655346 DXK655344:DXV655346 EHG655344:EHR655346 ERC655344:ERN655346 FAY655344:FBJ655346 FKU655344:FLF655346 FUQ655344:FVB655346 GEM655344:GEX655346 GOI655344:GOT655346 GYE655344:GYP655346 HIA655344:HIL655346 HRW655344:HSH655346 IBS655344:ICD655346 ILO655344:ILZ655346 IVK655344:IVV655346 JFG655344:JFR655346 JPC655344:JPN655346 JYY655344:JZJ655346 KIU655344:KJF655346 KSQ655344:KTB655346 LCM655344:LCX655346 LMI655344:LMT655346 LWE655344:LWP655346 MGA655344:MGL655346 MPW655344:MQH655346 MZS655344:NAD655346 NJO655344:NJZ655346 NTK655344:NTV655346 ODG655344:ODR655346 ONC655344:ONN655346 OWY655344:OXJ655346 PGU655344:PHF655346 PQQ655344:PRB655346 QAM655344:QAX655346 QKI655344:QKT655346 QUE655344:QUP655346 REA655344:REL655346 RNW655344:ROH655346 RXS655344:RYD655346 SHO655344:SHZ655346 SRK655344:SRV655346 TBG655344:TBR655346 TLC655344:TLN655346 TUY655344:TVJ655346 UEU655344:UFF655346 UOQ655344:UPB655346 UYM655344:UYX655346 VII655344:VIT655346 VSE655344:VSP655346 WCA655344:WCL655346 WLW655344:WMH655346 WVS655344:WWD655346 JG720880:JR720882 TC720880:TN720882 ACY720880:ADJ720882 AMU720880:ANF720882 AWQ720880:AXB720882 BGM720880:BGX720882 BQI720880:BQT720882 CAE720880:CAP720882 CKA720880:CKL720882 CTW720880:CUH720882 DDS720880:DED720882 DNO720880:DNZ720882 DXK720880:DXV720882 EHG720880:EHR720882 ERC720880:ERN720882 FAY720880:FBJ720882 FKU720880:FLF720882 FUQ720880:FVB720882 GEM720880:GEX720882 GOI720880:GOT720882 GYE720880:GYP720882 HIA720880:HIL720882 HRW720880:HSH720882 IBS720880:ICD720882 ILO720880:ILZ720882 IVK720880:IVV720882 JFG720880:JFR720882 JPC720880:JPN720882 JYY720880:JZJ720882 KIU720880:KJF720882 KSQ720880:KTB720882 LCM720880:LCX720882 LMI720880:LMT720882 LWE720880:LWP720882 MGA720880:MGL720882 MPW720880:MQH720882 MZS720880:NAD720882 NJO720880:NJZ720882 NTK720880:NTV720882 ODG720880:ODR720882 ONC720880:ONN720882 OWY720880:OXJ720882 PGU720880:PHF720882 PQQ720880:PRB720882 QAM720880:QAX720882 QKI720880:QKT720882 QUE720880:QUP720882 REA720880:REL720882 RNW720880:ROH720882 RXS720880:RYD720882 SHO720880:SHZ720882 SRK720880:SRV720882 TBG720880:TBR720882 TLC720880:TLN720882 TUY720880:TVJ720882 UEU720880:UFF720882 UOQ720880:UPB720882 UYM720880:UYX720882 VII720880:VIT720882 VSE720880:VSP720882 WCA720880:WCL720882 WLW720880:WMH720882 WVS720880:WWD720882 JG786416:JR786418 TC786416:TN786418 ACY786416:ADJ786418 AMU786416:ANF786418 AWQ786416:AXB786418 BGM786416:BGX786418 BQI786416:BQT786418 CAE786416:CAP786418 CKA786416:CKL786418 CTW786416:CUH786418 DDS786416:DED786418 DNO786416:DNZ786418 DXK786416:DXV786418 EHG786416:EHR786418 ERC786416:ERN786418 FAY786416:FBJ786418 FKU786416:FLF786418 FUQ786416:FVB786418 GEM786416:GEX786418 GOI786416:GOT786418 GYE786416:GYP786418 HIA786416:HIL786418 HRW786416:HSH786418 IBS786416:ICD786418 ILO786416:ILZ786418 IVK786416:IVV786418 JFG786416:JFR786418 JPC786416:JPN786418 JYY786416:JZJ786418 KIU786416:KJF786418 KSQ786416:KTB786418 LCM786416:LCX786418 LMI786416:LMT786418 LWE786416:LWP786418 MGA786416:MGL786418 MPW786416:MQH786418 MZS786416:NAD786418 NJO786416:NJZ786418 NTK786416:NTV786418 ODG786416:ODR786418 ONC786416:ONN786418 OWY786416:OXJ786418 PGU786416:PHF786418 PQQ786416:PRB786418 QAM786416:QAX786418 QKI786416:QKT786418 QUE786416:QUP786418 REA786416:REL786418 RNW786416:ROH786418 RXS786416:RYD786418 SHO786416:SHZ786418 SRK786416:SRV786418 TBG786416:TBR786418 TLC786416:TLN786418 TUY786416:TVJ786418 UEU786416:UFF786418 UOQ786416:UPB786418 UYM786416:UYX786418 VII786416:VIT786418 VSE786416:VSP786418 WCA786416:WCL786418 WLW786416:WMH786418 WVS786416:WWD786418 JG851952:JR851954 TC851952:TN851954 ACY851952:ADJ851954 AMU851952:ANF851954 AWQ851952:AXB851954 BGM851952:BGX851954 BQI851952:BQT851954 CAE851952:CAP851954 CKA851952:CKL851954 CTW851952:CUH851954 DDS851952:DED851954 DNO851952:DNZ851954 DXK851952:DXV851954 EHG851952:EHR851954 ERC851952:ERN851954 FAY851952:FBJ851954 FKU851952:FLF851954 FUQ851952:FVB851954 GEM851952:GEX851954 GOI851952:GOT851954 GYE851952:GYP851954 HIA851952:HIL851954 HRW851952:HSH851954 IBS851952:ICD851954 ILO851952:ILZ851954 IVK851952:IVV851954 JFG851952:JFR851954 JPC851952:JPN851954 JYY851952:JZJ851954 KIU851952:KJF851954 KSQ851952:KTB851954 LCM851952:LCX851954 LMI851952:LMT851954 LWE851952:LWP851954 MGA851952:MGL851954 MPW851952:MQH851954 MZS851952:NAD851954 NJO851952:NJZ851954 NTK851952:NTV851954 ODG851952:ODR851954 ONC851952:ONN851954 OWY851952:OXJ851954 PGU851952:PHF851954 PQQ851952:PRB851954 QAM851952:QAX851954 QKI851952:QKT851954 QUE851952:QUP851954 REA851952:REL851954 RNW851952:ROH851954 RXS851952:RYD851954 SHO851952:SHZ851954 SRK851952:SRV851954 TBG851952:TBR851954 TLC851952:TLN851954 TUY851952:TVJ851954 UEU851952:UFF851954 UOQ851952:UPB851954 UYM851952:UYX851954 VII851952:VIT851954 VSE851952:VSP851954 WCA851952:WCL851954 WLW851952:WMH851954 WVS851952:WWD851954 JG917488:JR917490 TC917488:TN917490 ACY917488:ADJ917490 AMU917488:ANF917490 AWQ917488:AXB917490 BGM917488:BGX917490 BQI917488:BQT917490 CAE917488:CAP917490 CKA917488:CKL917490 CTW917488:CUH917490 DDS917488:DED917490 DNO917488:DNZ917490 DXK917488:DXV917490 EHG917488:EHR917490 ERC917488:ERN917490 FAY917488:FBJ917490 FKU917488:FLF917490 FUQ917488:FVB917490 GEM917488:GEX917490 GOI917488:GOT917490 GYE917488:GYP917490 HIA917488:HIL917490 HRW917488:HSH917490 IBS917488:ICD917490 ILO917488:ILZ917490 IVK917488:IVV917490 JFG917488:JFR917490 JPC917488:JPN917490 JYY917488:JZJ917490 KIU917488:KJF917490 KSQ917488:KTB917490 LCM917488:LCX917490 LMI917488:LMT917490 LWE917488:LWP917490 MGA917488:MGL917490 MPW917488:MQH917490 MZS917488:NAD917490 NJO917488:NJZ917490 NTK917488:NTV917490 ODG917488:ODR917490 ONC917488:ONN917490 OWY917488:OXJ917490 PGU917488:PHF917490 PQQ917488:PRB917490 QAM917488:QAX917490 QKI917488:QKT917490 QUE917488:QUP917490 REA917488:REL917490 RNW917488:ROH917490 RXS917488:RYD917490 SHO917488:SHZ917490 SRK917488:SRV917490 TBG917488:TBR917490 TLC917488:TLN917490 TUY917488:TVJ917490 UEU917488:UFF917490 UOQ917488:UPB917490 UYM917488:UYX917490 VII917488:VIT917490 VSE917488:VSP917490 WCA917488:WCL917490 WLW917488:WMH917490 WVS917488:WWD917490 JG983024:JR983026 TC983024:TN983026 ACY983024:ADJ983026 AMU983024:ANF983026 AWQ983024:AXB983026 BGM983024:BGX983026 BQI983024:BQT983026 CAE983024:CAP983026 CKA983024:CKL983026 CTW983024:CUH983026 DDS983024:DED983026 DNO983024:DNZ983026 DXK983024:DXV983026 EHG983024:EHR983026 ERC983024:ERN983026 FAY983024:FBJ983026 FKU983024:FLF983026 FUQ983024:FVB983026 GEM983024:GEX983026 GOI983024:GOT983026 GYE983024:GYP983026 HIA983024:HIL983026 HRW983024:HSH983026 IBS983024:ICD983026 ILO983024:ILZ983026 IVK983024:IVV983026 JFG983024:JFR983026 JPC983024:JPN983026 JYY983024:JZJ983026 KIU983024:KJF983026 KSQ983024:KTB983026 LCM983024:LCX983026 LMI983024:LMT983026 LWE983024:LWP983026 MGA983024:MGL983026 MPW983024:MQH983026 MZS983024:NAD983026 NJO983024:NJZ983026 NTK983024:NTV983026 ODG983024:ODR983026 ONC983024:ONN983026 OWY983024:OXJ983026 PGU983024:PHF983026 PQQ983024:PRB983026 QAM983024:QAX983026 QKI983024:QKT983026 QUE983024:QUP983026 REA983024:REL983026 RNW983024:ROH983026 RXS983024:RYD983026 SHO983024:SHZ983026 SRK983024:SRV983026 TBG983024:TBR983026 TLC983024:TLN983026 TUY983024:TVJ983026 UEU983024:UFF983026 UOQ983024:UPB983026 UYM983024:UYX983026 VII983024:VIT983026 VSE983024:VSP983026 WCA983024:WCL983026 WLW983024:WMH983026 WVS983024:WWD983026 WVS983029:WWD983031 JG65525:JR65527 TC65525:TN65527 ACY65525:ADJ65527 AMU65525:ANF65527 AWQ65525:AXB65527 BGM65525:BGX65527 BQI65525:BQT65527 CAE65525:CAP65527 CKA65525:CKL65527 CTW65525:CUH65527 DDS65525:DED65527 DNO65525:DNZ65527 DXK65525:DXV65527 EHG65525:EHR65527 ERC65525:ERN65527 FAY65525:FBJ65527 FKU65525:FLF65527 FUQ65525:FVB65527 GEM65525:GEX65527 GOI65525:GOT65527 GYE65525:GYP65527 HIA65525:HIL65527 HRW65525:HSH65527 IBS65525:ICD65527 ILO65525:ILZ65527 IVK65525:IVV65527 JFG65525:JFR65527 JPC65525:JPN65527 JYY65525:JZJ65527 KIU65525:KJF65527 KSQ65525:KTB65527 LCM65525:LCX65527 LMI65525:LMT65527 LWE65525:LWP65527 MGA65525:MGL65527 MPW65525:MQH65527 MZS65525:NAD65527 NJO65525:NJZ65527 NTK65525:NTV65527 ODG65525:ODR65527 ONC65525:ONN65527 OWY65525:OXJ65527 PGU65525:PHF65527 PQQ65525:PRB65527 QAM65525:QAX65527 QKI65525:QKT65527 QUE65525:QUP65527 REA65525:REL65527 RNW65525:ROH65527 RXS65525:RYD65527 SHO65525:SHZ65527 SRK65525:SRV65527 TBG65525:TBR65527 TLC65525:TLN65527 TUY65525:TVJ65527 UEU65525:UFF65527 UOQ65525:UPB65527 UYM65525:UYX65527 VII65525:VIT65527 VSE65525:VSP65527 WCA65525:WCL65527 WLW65525:WMH65527 WVS65525:WWD65527 JG131061:JR131063 TC131061:TN131063 ACY131061:ADJ131063 AMU131061:ANF131063 AWQ131061:AXB131063 BGM131061:BGX131063 BQI131061:BQT131063 CAE131061:CAP131063 CKA131061:CKL131063 CTW131061:CUH131063 DDS131061:DED131063 DNO131061:DNZ131063 DXK131061:DXV131063 EHG131061:EHR131063 ERC131061:ERN131063 FAY131061:FBJ131063 FKU131061:FLF131063 FUQ131061:FVB131063 GEM131061:GEX131063 GOI131061:GOT131063 GYE131061:GYP131063 HIA131061:HIL131063 HRW131061:HSH131063 IBS131061:ICD131063 ILO131061:ILZ131063 IVK131061:IVV131063 JFG131061:JFR131063 JPC131061:JPN131063 JYY131061:JZJ131063 KIU131061:KJF131063 KSQ131061:KTB131063 LCM131061:LCX131063 LMI131061:LMT131063 LWE131061:LWP131063 MGA131061:MGL131063 MPW131061:MQH131063 MZS131061:NAD131063 NJO131061:NJZ131063 NTK131061:NTV131063 ODG131061:ODR131063 ONC131061:ONN131063 OWY131061:OXJ131063 PGU131061:PHF131063 PQQ131061:PRB131063 QAM131061:QAX131063 QKI131061:QKT131063 QUE131061:QUP131063 REA131061:REL131063 RNW131061:ROH131063 RXS131061:RYD131063 SHO131061:SHZ131063 SRK131061:SRV131063 TBG131061:TBR131063 TLC131061:TLN131063 TUY131061:TVJ131063 UEU131061:UFF131063 UOQ131061:UPB131063 UYM131061:UYX131063 VII131061:VIT131063 VSE131061:VSP131063 WCA131061:WCL131063 WLW131061:WMH131063 WVS131061:WWD131063 JG196597:JR196599 TC196597:TN196599 ACY196597:ADJ196599 AMU196597:ANF196599 AWQ196597:AXB196599 BGM196597:BGX196599 BQI196597:BQT196599 CAE196597:CAP196599 CKA196597:CKL196599 CTW196597:CUH196599 DDS196597:DED196599 DNO196597:DNZ196599 DXK196597:DXV196599 EHG196597:EHR196599 ERC196597:ERN196599 FAY196597:FBJ196599 FKU196597:FLF196599 FUQ196597:FVB196599 GEM196597:GEX196599 GOI196597:GOT196599 GYE196597:GYP196599 HIA196597:HIL196599 HRW196597:HSH196599 IBS196597:ICD196599 ILO196597:ILZ196599 IVK196597:IVV196599 JFG196597:JFR196599 JPC196597:JPN196599 JYY196597:JZJ196599 KIU196597:KJF196599 KSQ196597:KTB196599 LCM196597:LCX196599 LMI196597:LMT196599 LWE196597:LWP196599 MGA196597:MGL196599 MPW196597:MQH196599 MZS196597:NAD196599 NJO196597:NJZ196599 NTK196597:NTV196599 ODG196597:ODR196599 ONC196597:ONN196599 OWY196597:OXJ196599 PGU196597:PHF196599 PQQ196597:PRB196599 QAM196597:QAX196599 QKI196597:QKT196599 QUE196597:QUP196599 REA196597:REL196599 RNW196597:ROH196599 RXS196597:RYD196599 SHO196597:SHZ196599 SRK196597:SRV196599 TBG196597:TBR196599 TLC196597:TLN196599 TUY196597:TVJ196599 UEU196597:UFF196599 UOQ196597:UPB196599 UYM196597:UYX196599 VII196597:VIT196599 VSE196597:VSP196599 WCA196597:WCL196599 WLW196597:WMH196599 WVS196597:WWD196599 JG262133:JR262135 TC262133:TN262135 ACY262133:ADJ262135 AMU262133:ANF262135 AWQ262133:AXB262135 BGM262133:BGX262135 BQI262133:BQT262135 CAE262133:CAP262135 CKA262133:CKL262135 CTW262133:CUH262135 DDS262133:DED262135 DNO262133:DNZ262135 DXK262133:DXV262135 EHG262133:EHR262135 ERC262133:ERN262135 FAY262133:FBJ262135 FKU262133:FLF262135 FUQ262133:FVB262135 GEM262133:GEX262135 GOI262133:GOT262135 GYE262133:GYP262135 HIA262133:HIL262135 HRW262133:HSH262135 IBS262133:ICD262135 ILO262133:ILZ262135 IVK262133:IVV262135 JFG262133:JFR262135 JPC262133:JPN262135 JYY262133:JZJ262135 KIU262133:KJF262135 KSQ262133:KTB262135 LCM262133:LCX262135 LMI262133:LMT262135 LWE262133:LWP262135 MGA262133:MGL262135 MPW262133:MQH262135 MZS262133:NAD262135 NJO262133:NJZ262135 NTK262133:NTV262135 ODG262133:ODR262135 ONC262133:ONN262135 OWY262133:OXJ262135 PGU262133:PHF262135 PQQ262133:PRB262135 QAM262133:QAX262135 QKI262133:QKT262135 QUE262133:QUP262135 REA262133:REL262135 RNW262133:ROH262135 RXS262133:RYD262135 SHO262133:SHZ262135 SRK262133:SRV262135 TBG262133:TBR262135 TLC262133:TLN262135 TUY262133:TVJ262135 UEU262133:UFF262135 UOQ262133:UPB262135 UYM262133:UYX262135 VII262133:VIT262135 VSE262133:VSP262135 WCA262133:WCL262135 WLW262133:WMH262135 WVS262133:WWD262135 JG327669:JR327671 TC327669:TN327671 ACY327669:ADJ327671 AMU327669:ANF327671 AWQ327669:AXB327671 BGM327669:BGX327671 BQI327669:BQT327671 CAE327669:CAP327671 CKA327669:CKL327671 CTW327669:CUH327671 DDS327669:DED327671 DNO327669:DNZ327671 DXK327669:DXV327671 EHG327669:EHR327671 ERC327669:ERN327671 FAY327669:FBJ327671 FKU327669:FLF327671 FUQ327669:FVB327671 GEM327669:GEX327671 GOI327669:GOT327671 GYE327669:GYP327671 HIA327669:HIL327671 HRW327669:HSH327671 IBS327669:ICD327671 ILO327669:ILZ327671 IVK327669:IVV327671 JFG327669:JFR327671 JPC327669:JPN327671 JYY327669:JZJ327671 KIU327669:KJF327671 KSQ327669:KTB327671 LCM327669:LCX327671 LMI327669:LMT327671 LWE327669:LWP327671 MGA327669:MGL327671 MPW327669:MQH327671 MZS327669:NAD327671 NJO327669:NJZ327671 NTK327669:NTV327671 ODG327669:ODR327671 ONC327669:ONN327671 OWY327669:OXJ327671 PGU327669:PHF327671 PQQ327669:PRB327671 QAM327669:QAX327671 QKI327669:QKT327671 QUE327669:QUP327671 REA327669:REL327671 RNW327669:ROH327671 RXS327669:RYD327671 SHO327669:SHZ327671 SRK327669:SRV327671 TBG327669:TBR327671 TLC327669:TLN327671 TUY327669:TVJ327671 UEU327669:UFF327671 UOQ327669:UPB327671 UYM327669:UYX327671 VII327669:VIT327671 VSE327669:VSP327671 WCA327669:WCL327671 WLW327669:WMH327671 WVS327669:WWD327671 JG393205:JR393207 TC393205:TN393207 ACY393205:ADJ393207 AMU393205:ANF393207 AWQ393205:AXB393207 BGM393205:BGX393207 BQI393205:BQT393207 CAE393205:CAP393207 CKA393205:CKL393207 CTW393205:CUH393207 DDS393205:DED393207 DNO393205:DNZ393207 DXK393205:DXV393207 EHG393205:EHR393207 ERC393205:ERN393207 FAY393205:FBJ393207 FKU393205:FLF393207 FUQ393205:FVB393207 GEM393205:GEX393207 GOI393205:GOT393207 GYE393205:GYP393207 HIA393205:HIL393207 HRW393205:HSH393207 IBS393205:ICD393207 ILO393205:ILZ393207 IVK393205:IVV393207 JFG393205:JFR393207 JPC393205:JPN393207 JYY393205:JZJ393207 KIU393205:KJF393207 KSQ393205:KTB393207 LCM393205:LCX393207 LMI393205:LMT393207 LWE393205:LWP393207 MGA393205:MGL393207 MPW393205:MQH393207 MZS393205:NAD393207 NJO393205:NJZ393207 NTK393205:NTV393207 ODG393205:ODR393207 ONC393205:ONN393207 OWY393205:OXJ393207 PGU393205:PHF393207 PQQ393205:PRB393207 QAM393205:QAX393207 QKI393205:QKT393207 QUE393205:QUP393207 REA393205:REL393207 RNW393205:ROH393207 RXS393205:RYD393207 SHO393205:SHZ393207 SRK393205:SRV393207 TBG393205:TBR393207 TLC393205:TLN393207 TUY393205:TVJ393207 UEU393205:UFF393207 UOQ393205:UPB393207 UYM393205:UYX393207 VII393205:VIT393207 VSE393205:VSP393207 WCA393205:WCL393207 WLW393205:WMH393207 WVS393205:WWD393207 JG458741:JR458743 TC458741:TN458743 ACY458741:ADJ458743 AMU458741:ANF458743 AWQ458741:AXB458743 BGM458741:BGX458743 BQI458741:BQT458743 CAE458741:CAP458743 CKA458741:CKL458743 CTW458741:CUH458743 DDS458741:DED458743 DNO458741:DNZ458743 DXK458741:DXV458743 EHG458741:EHR458743 ERC458741:ERN458743 FAY458741:FBJ458743 FKU458741:FLF458743 FUQ458741:FVB458743 GEM458741:GEX458743 GOI458741:GOT458743 GYE458741:GYP458743 HIA458741:HIL458743 HRW458741:HSH458743 IBS458741:ICD458743 ILO458741:ILZ458743 IVK458741:IVV458743 JFG458741:JFR458743 JPC458741:JPN458743 JYY458741:JZJ458743 KIU458741:KJF458743 KSQ458741:KTB458743 LCM458741:LCX458743 LMI458741:LMT458743 LWE458741:LWP458743 MGA458741:MGL458743 MPW458741:MQH458743 MZS458741:NAD458743 NJO458741:NJZ458743 NTK458741:NTV458743 ODG458741:ODR458743 ONC458741:ONN458743 OWY458741:OXJ458743 PGU458741:PHF458743 PQQ458741:PRB458743 QAM458741:QAX458743 QKI458741:QKT458743 QUE458741:QUP458743 REA458741:REL458743 RNW458741:ROH458743 RXS458741:RYD458743 SHO458741:SHZ458743 SRK458741:SRV458743 TBG458741:TBR458743 TLC458741:TLN458743 TUY458741:TVJ458743 UEU458741:UFF458743 UOQ458741:UPB458743 UYM458741:UYX458743 VII458741:VIT458743 VSE458741:VSP458743 WCA458741:WCL458743 WLW458741:WMH458743 WVS458741:WWD458743 JG524277:JR524279 TC524277:TN524279 ACY524277:ADJ524279 AMU524277:ANF524279 AWQ524277:AXB524279 BGM524277:BGX524279 BQI524277:BQT524279 CAE524277:CAP524279 CKA524277:CKL524279 CTW524277:CUH524279 DDS524277:DED524279 DNO524277:DNZ524279 DXK524277:DXV524279 EHG524277:EHR524279 ERC524277:ERN524279 FAY524277:FBJ524279 FKU524277:FLF524279 FUQ524277:FVB524279 GEM524277:GEX524279 GOI524277:GOT524279 GYE524277:GYP524279 HIA524277:HIL524279 HRW524277:HSH524279 IBS524277:ICD524279 ILO524277:ILZ524279 IVK524277:IVV524279 JFG524277:JFR524279 JPC524277:JPN524279 JYY524277:JZJ524279 KIU524277:KJF524279 KSQ524277:KTB524279 LCM524277:LCX524279 LMI524277:LMT524279 LWE524277:LWP524279 MGA524277:MGL524279 MPW524277:MQH524279 MZS524277:NAD524279 NJO524277:NJZ524279 NTK524277:NTV524279 ODG524277:ODR524279 ONC524277:ONN524279 OWY524277:OXJ524279 PGU524277:PHF524279 PQQ524277:PRB524279 QAM524277:QAX524279 QKI524277:QKT524279 QUE524277:QUP524279 REA524277:REL524279 RNW524277:ROH524279 RXS524277:RYD524279 SHO524277:SHZ524279 SRK524277:SRV524279 TBG524277:TBR524279 TLC524277:TLN524279 TUY524277:TVJ524279 UEU524277:UFF524279 UOQ524277:UPB524279 UYM524277:UYX524279 VII524277:VIT524279 VSE524277:VSP524279 WCA524277:WCL524279 WLW524277:WMH524279 WVS524277:WWD524279 JG589813:JR589815 TC589813:TN589815 ACY589813:ADJ589815 AMU589813:ANF589815 AWQ589813:AXB589815 BGM589813:BGX589815 BQI589813:BQT589815 CAE589813:CAP589815 CKA589813:CKL589815 CTW589813:CUH589815 DDS589813:DED589815 DNO589813:DNZ589815 DXK589813:DXV589815 EHG589813:EHR589815 ERC589813:ERN589815 FAY589813:FBJ589815 FKU589813:FLF589815 FUQ589813:FVB589815 GEM589813:GEX589815 GOI589813:GOT589815 GYE589813:GYP589815 HIA589813:HIL589815 HRW589813:HSH589815 IBS589813:ICD589815 ILO589813:ILZ589815 IVK589813:IVV589815 JFG589813:JFR589815 JPC589813:JPN589815 JYY589813:JZJ589815 KIU589813:KJF589815 KSQ589813:KTB589815 LCM589813:LCX589815 LMI589813:LMT589815 LWE589813:LWP589815 MGA589813:MGL589815 MPW589813:MQH589815 MZS589813:NAD589815 NJO589813:NJZ589815 NTK589813:NTV589815 ODG589813:ODR589815 ONC589813:ONN589815 OWY589813:OXJ589815 PGU589813:PHF589815 PQQ589813:PRB589815 QAM589813:QAX589815 QKI589813:QKT589815 QUE589813:QUP589815 REA589813:REL589815 RNW589813:ROH589815 RXS589813:RYD589815 SHO589813:SHZ589815 SRK589813:SRV589815 TBG589813:TBR589815 TLC589813:TLN589815 TUY589813:TVJ589815 UEU589813:UFF589815 UOQ589813:UPB589815 UYM589813:UYX589815 VII589813:VIT589815 VSE589813:VSP589815 WCA589813:WCL589815 WLW589813:WMH589815 WVS589813:WWD589815 JG655349:JR655351 TC655349:TN655351 ACY655349:ADJ655351 AMU655349:ANF655351 AWQ655349:AXB655351 BGM655349:BGX655351 BQI655349:BQT655351 CAE655349:CAP655351 CKA655349:CKL655351 CTW655349:CUH655351 DDS655349:DED655351 DNO655349:DNZ655351 DXK655349:DXV655351 EHG655349:EHR655351 ERC655349:ERN655351 FAY655349:FBJ655351 FKU655349:FLF655351 FUQ655349:FVB655351 GEM655349:GEX655351 GOI655349:GOT655351 GYE655349:GYP655351 HIA655349:HIL655351 HRW655349:HSH655351 IBS655349:ICD655351 ILO655349:ILZ655351 IVK655349:IVV655351 JFG655349:JFR655351 JPC655349:JPN655351 JYY655349:JZJ655351 KIU655349:KJF655351 KSQ655349:KTB655351 LCM655349:LCX655351 LMI655349:LMT655351 LWE655349:LWP655351 MGA655349:MGL655351 MPW655349:MQH655351 MZS655349:NAD655351 NJO655349:NJZ655351 NTK655349:NTV655351 ODG655349:ODR655351 ONC655349:ONN655351 OWY655349:OXJ655351 PGU655349:PHF655351 PQQ655349:PRB655351 QAM655349:QAX655351 QKI655349:QKT655351 QUE655349:QUP655351 REA655349:REL655351 RNW655349:ROH655351 RXS655349:RYD655351 SHO655349:SHZ655351 SRK655349:SRV655351 TBG655349:TBR655351 TLC655349:TLN655351 TUY655349:TVJ655351 UEU655349:UFF655351 UOQ655349:UPB655351 UYM655349:UYX655351 VII655349:VIT655351 VSE655349:VSP655351 WCA655349:WCL655351 WLW655349:WMH655351 WVS655349:WWD655351 JG720885:JR720887 TC720885:TN720887 ACY720885:ADJ720887 AMU720885:ANF720887 AWQ720885:AXB720887 BGM720885:BGX720887 BQI720885:BQT720887 CAE720885:CAP720887 CKA720885:CKL720887 CTW720885:CUH720887 DDS720885:DED720887 DNO720885:DNZ720887 DXK720885:DXV720887 EHG720885:EHR720887 ERC720885:ERN720887 FAY720885:FBJ720887 FKU720885:FLF720887 FUQ720885:FVB720887 GEM720885:GEX720887 GOI720885:GOT720887 GYE720885:GYP720887 HIA720885:HIL720887 HRW720885:HSH720887 IBS720885:ICD720887 ILO720885:ILZ720887 IVK720885:IVV720887 JFG720885:JFR720887 JPC720885:JPN720887 JYY720885:JZJ720887 KIU720885:KJF720887 KSQ720885:KTB720887 LCM720885:LCX720887 LMI720885:LMT720887 LWE720885:LWP720887 MGA720885:MGL720887 MPW720885:MQH720887 MZS720885:NAD720887 NJO720885:NJZ720887 NTK720885:NTV720887 ODG720885:ODR720887 ONC720885:ONN720887 OWY720885:OXJ720887 PGU720885:PHF720887 PQQ720885:PRB720887 QAM720885:QAX720887 QKI720885:QKT720887 QUE720885:QUP720887 REA720885:REL720887 RNW720885:ROH720887 RXS720885:RYD720887 SHO720885:SHZ720887 SRK720885:SRV720887 TBG720885:TBR720887 TLC720885:TLN720887 TUY720885:TVJ720887 UEU720885:UFF720887 UOQ720885:UPB720887 UYM720885:UYX720887 VII720885:VIT720887 VSE720885:VSP720887 WCA720885:WCL720887 WLW720885:WMH720887 WVS720885:WWD720887 JG786421:JR786423 TC786421:TN786423 ACY786421:ADJ786423 AMU786421:ANF786423 AWQ786421:AXB786423 BGM786421:BGX786423 BQI786421:BQT786423 CAE786421:CAP786423 CKA786421:CKL786423 CTW786421:CUH786423 DDS786421:DED786423 DNO786421:DNZ786423 DXK786421:DXV786423 EHG786421:EHR786423 ERC786421:ERN786423 FAY786421:FBJ786423 FKU786421:FLF786423 FUQ786421:FVB786423 GEM786421:GEX786423 GOI786421:GOT786423 GYE786421:GYP786423 HIA786421:HIL786423 HRW786421:HSH786423 IBS786421:ICD786423 ILO786421:ILZ786423 IVK786421:IVV786423 JFG786421:JFR786423 JPC786421:JPN786423 JYY786421:JZJ786423 KIU786421:KJF786423 KSQ786421:KTB786423 LCM786421:LCX786423 LMI786421:LMT786423 LWE786421:LWP786423 MGA786421:MGL786423 MPW786421:MQH786423 MZS786421:NAD786423 NJO786421:NJZ786423 NTK786421:NTV786423 ODG786421:ODR786423 ONC786421:ONN786423 OWY786421:OXJ786423 PGU786421:PHF786423 PQQ786421:PRB786423 QAM786421:QAX786423 QKI786421:QKT786423 QUE786421:QUP786423 REA786421:REL786423 RNW786421:ROH786423 RXS786421:RYD786423 SHO786421:SHZ786423 SRK786421:SRV786423 TBG786421:TBR786423 TLC786421:TLN786423 TUY786421:TVJ786423 UEU786421:UFF786423 UOQ786421:UPB786423 UYM786421:UYX786423 VII786421:VIT786423 VSE786421:VSP786423 WCA786421:WCL786423 WLW786421:WMH786423 WVS786421:WWD786423 JG851957:JR851959 TC851957:TN851959 ACY851957:ADJ851959 AMU851957:ANF851959 AWQ851957:AXB851959 BGM851957:BGX851959 BQI851957:BQT851959 CAE851957:CAP851959 CKA851957:CKL851959 CTW851957:CUH851959 DDS851957:DED851959 DNO851957:DNZ851959 DXK851957:DXV851959 EHG851957:EHR851959 ERC851957:ERN851959 FAY851957:FBJ851959 FKU851957:FLF851959 FUQ851957:FVB851959 GEM851957:GEX851959 GOI851957:GOT851959 GYE851957:GYP851959 HIA851957:HIL851959 HRW851957:HSH851959 IBS851957:ICD851959 ILO851957:ILZ851959 IVK851957:IVV851959 JFG851957:JFR851959 JPC851957:JPN851959 JYY851957:JZJ851959 KIU851957:KJF851959 KSQ851957:KTB851959 LCM851957:LCX851959 LMI851957:LMT851959 LWE851957:LWP851959 MGA851957:MGL851959 MPW851957:MQH851959 MZS851957:NAD851959 NJO851957:NJZ851959 NTK851957:NTV851959 ODG851957:ODR851959 ONC851957:ONN851959 OWY851957:OXJ851959 PGU851957:PHF851959 PQQ851957:PRB851959 QAM851957:QAX851959 QKI851957:QKT851959 QUE851957:QUP851959 REA851957:REL851959 RNW851957:ROH851959 RXS851957:RYD851959 SHO851957:SHZ851959 SRK851957:SRV851959 TBG851957:TBR851959 TLC851957:TLN851959 TUY851957:TVJ851959 UEU851957:UFF851959 UOQ851957:UPB851959 UYM851957:UYX851959 VII851957:VIT851959 VSE851957:VSP851959 WCA851957:WCL851959 WLW851957:WMH851959 WVS851957:WWD851959 JG917493:JR917495 TC917493:TN917495 ACY917493:ADJ917495 AMU917493:ANF917495 AWQ917493:AXB917495 BGM917493:BGX917495 BQI917493:BQT917495 CAE917493:CAP917495 CKA917493:CKL917495 CTW917493:CUH917495 DDS917493:DED917495 DNO917493:DNZ917495 DXK917493:DXV917495 EHG917493:EHR917495 ERC917493:ERN917495 FAY917493:FBJ917495 FKU917493:FLF917495 FUQ917493:FVB917495 GEM917493:GEX917495 GOI917493:GOT917495 GYE917493:GYP917495 HIA917493:HIL917495 HRW917493:HSH917495 IBS917493:ICD917495 ILO917493:ILZ917495 IVK917493:IVV917495 JFG917493:JFR917495 JPC917493:JPN917495 JYY917493:JZJ917495 KIU917493:KJF917495 KSQ917493:KTB917495 LCM917493:LCX917495 LMI917493:LMT917495 LWE917493:LWP917495 MGA917493:MGL917495 MPW917493:MQH917495 MZS917493:NAD917495 NJO917493:NJZ917495 NTK917493:NTV917495 ODG917493:ODR917495 ONC917493:ONN917495 OWY917493:OXJ917495 PGU917493:PHF917495 PQQ917493:PRB917495 QAM917493:QAX917495 QKI917493:QKT917495 QUE917493:QUP917495 REA917493:REL917495 RNW917493:ROH917495 RXS917493:RYD917495 SHO917493:SHZ917495 SRK917493:SRV917495 TBG917493:TBR917495 TLC917493:TLN917495 TUY917493:TVJ917495 UEU917493:UFF917495 UOQ917493:UPB917495 UYM917493:UYX917495 VII917493:VIT917495 VSE917493:VSP917495 WCA917493:WCL917495 WLW917493:WMH917495 WVS917493:WWD917495 JG983029:JR983031 TC983029:TN983031 ACY983029:ADJ983031 AMU983029:ANF983031 AWQ983029:AXB983031 BGM983029:BGX983031 BQI983029:BQT983031 CAE983029:CAP983031 CKA983029:CKL983031 CTW983029:CUH983031 DDS983029:DED983031 DNO983029:DNZ983031 DXK983029:DXV983031 EHG983029:EHR983031 ERC983029:ERN983031 FAY983029:FBJ983031 FKU983029:FLF983031 FUQ983029:FVB983031 GEM983029:GEX983031 GOI983029:GOT983031 GYE983029:GYP983031 HIA983029:HIL983031 HRW983029:HSH983031 IBS983029:ICD983031 ILO983029:ILZ983031 IVK983029:IVV983031 JFG983029:JFR983031 JPC983029:JPN983031 JYY983029:JZJ983031 KIU983029:KJF983031 KSQ983029:KTB983031 LCM983029:LCX983031 LMI983029:LMT983031 LWE983029:LWP983031 MGA983029:MGL983031 MPW983029:MQH983031 MZS983029:NAD983031 NJO983029:NJZ983031 NTK983029:NTV983031 ODG983029:ODR983031 ONC983029:ONN983031 OWY983029:OXJ983031 PGU983029:PHF983031 PQQ983029:PRB983031 QAM983029:QAX983031 QKI983029:QKT983031 QUE983029:QUP983031 REA983029:REL983031 RNW983029:ROH983031 RXS983029:RYD983031 SHO983029:SHZ983031 SRK983029:SRV983031 TBG983029:TBR983031 TLC983029:TLN983031 TUY983029:TVJ983031 UEU983029:UFF983031 UOQ983029:UPB983031 UYM983029:UYX983031 VII983029:VIT983031 VSE983029:VSP983031 WCA983029:WCL983031 WLW983029:WMH983031 Z262128:AJ262130 Z196592:AJ196594 Z131056:AJ131058 Z65520:AJ65522 Z983029:AJ983031 Z917493:AJ917495 Z851957:AJ851959 Z786421:AJ786423 Z720885:AJ720887 Z655349:AJ655351 Z589813:AJ589815 Z524277:AJ524279 Z458741:AJ458743 Z393205:AJ393207 Z327669:AJ327671 Z262133:AJ262135 Z196597:AJ196599 Z131061:AJ131063 Z65525:AJ65527 Z983024:AJ983026 Z917488:AJ917490 Z851952:AJ851954 Z786416:AJ786418 Z720880:AJ720882 Z655344:AJ655346 Z589808:AJ589810 Z524272:AJ524274 Z458736:AJ458738 Z393200:AJ393202 Z327664:AJ327666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0300-000000000000}"/>
    <dataValidation type="list" allowBlank="1" showInputMessage="1" showErrorMessage="1" sqref="AA33:AC34 AA8:AA32 AA35:AA45" xr:uid="{00000000-0002-0000-0300-000001000000}">
      <formula1>"datetime,int,numeric,varchar,nvarchar"</formula1>
    </dataValidation>
    <dataValidation type="list" allowBlank="1" showInputMessage="1" showErrorMessage="1" sqref="Y8:Z45" xr:uid="{00000000-0002-0000-03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8"/>
  <dimension ref="A1:BD44"/>
  <sheetViews>
    <sheetView showGridLines="0" zoomScaleNormal="10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17" customWidth="1"/>
    <col min="2" max="26" width="2.6328125" style="17"/>
    <col min="27" max="27" width="2.6328125" style="17" customWidth="1"/>
    <col min="28" max="29" width="2.6328125" style="17"/>
    <col min="30" max="30" width="4.6328125" style="17" customWidth="1"/>
    <col min="31" max="31" width="2.6328125" style="17" customWidth="1"/>
    <col min="32" max="33" width="2.6328125" style="17"/>
    <col min="34" max="34" width="6.6328125" style="17" customWidth="1"/>
    <col min="35" max="16384" width="2.6328125" style="17"/>
  </cols>
  <sheetData>
    <row r="1" spans="1:56" s="16" customFormat="1" ht="15" customHeight="1" x14ac:dyDescent="0.3">
      <c r="A1" s="144" t="s">
        <v>100</v>
      </c>
      <c r="B1" s="145"/>
      <c r="C1" s="145"/>
      <c r="D1" s="145"/>
      <c r="E1" s="145"/>
      <c r="F1" s="145"/>
      <c r="G1" s="145"/>
      <c r="H1" s="146"/>
      <c r="I1" s="103" t="s">
        <v>98</v>
      </c>
      <c r="J1" s="104"/>
      <c r="K1" s="104"/>
      <c r="L1" s="104"/>
      <c r="M1" s="104"/>
      <c r="N1" s="104"/>
      <c r="O1" s="104"/>
      <c r="P1" s="104"/>
      <c r="Q1" s="105"/>
      <c r="R1" s="103" t="s">
        <v>99</v>
      </c>
      <c r="S1" s="104"/>
      <c r="T1" s="104"/>
      <c r="U1" s="104"/>
      <c r="V1" s="104"/>
      <c r="W1" s="104"/>
      <c r="X1" s="105"/>
      <c r="Y1" s="103" t="s">
        <v>0</v>
      </c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5"/>
      <c r="AP1" s="153" t="s">
        <v>1</v>
      </c>
      <c r="AQ1" s="154"/>
      <c r="AR1" s="154"/>
      <c r="AS1" s="154"/>
      <c r="AT1" s="155"/>
      <c r="AU1" s="153" t="s">
        <v>2</v>
      </c>
      <c r="AV1" s="154"/>
      <c r="AW1" s="154"/>
      <c r="AX1" s="154"/>
      <c r="AY1" s="155"/>
      <c r="AZ1" s="153" t="s">
        <v>3</v>
      </c>
      <c r="BA1" s="154"/>
      <c r="BB1" s="154"/>
      <c r="BC1" s="154"/>
      <c r="BD1" s="155"/>
    </row>
    <row r="2" spans="1:56" s="16" customFormat="1" ht="15" customHeight="1" x14ac:dyDescent="0.3">
      <c r="A2" s="147"/>
      <c r="B2" s="148"/>
      <c r="C2" s="148"/>
      <c r="D2" s="148"/>
      <c r="E2" s="148"/>
      <c r="F2" s="148"/>
      <c r="G2" s="148"/>
      <c r="H2" s="149"/>
      <c r="I2" s="127" t="s">
        <v>97</v>
      </c>
      <c r="J2" s="128"/>
      <c r="K2" s="128"/>
      <c r="L2" s="128"/>
      <c r="M2" s="128"/>
      <c r="N2" s="128"/>
      <c r="O2" s="128"/>
      <c r="P2" s="128"/>
      <c r="Q2" s="129"/>
      <c r="R2" s="127" t="str">
        <f ca="1">VLOOKUP(RIGHT(CELL("filename",A2),LEN(CELL("filename",A2))-FIND("]",CELL("filename",A2))),テーブル一覧!B:AD,22,FALSE)</f>
        <v>D.出荷</v>
      </c>
      <c r="S2" s="128"/>
      <c r="T2" s="128"/>
      <c r="U2" s="128"/>
      <c r="V2" s="128"/>
      <c r="W2" s="128"/>
      <c r="X2" s="129"/>
      <c r="Y2" s="127" t="str">
        <f ca="1">VLOOKUP(RIGHT(CELL("filename",A2),LEN(CELL("filename",A2))-FIND("]",CELL("filename",A2))),テーブル一覧!B:AD,1,FALSE)</f>
        <v>出荷指示明細情報（在庫）</v>
      </c>
      <c r="Z2" s="128"/>
      <c r="AA2" s="128"/>
      <c r="AB2" s="128"/>
      <c r="AC2" s="128"/>
      <c r="AD2" s="128"/>
      <c r="AE2" s="128"/>
      <c r="AF2" s="128"/>
      <c r="AG2" s="128"/>
      <c r="AH2" s="128"/>
      <c r="AI2" s="128"/>
      <c r="AJ2" s="128"/>
      <c r="AK2" s="128"/>
      <c r="AL2" s="128"/>
      <c r="AM2" s="128"/>
      <c r="AN2" s="128"/>
      <c r="AO2" s="129"/>
      <c r="AP2" s="97"/>
      <c r="AQ2" s="98"/>
      <c r="AR2" s="98"/>
      <c r="AS2" s="98"/>
      <c r="AT2" s="99"/>
      <c r="AU2" s="60" t="s">
        <v>188</v>
      </c>
      <c r="AV2" s="61"/>
      <c r="AW2" s="61"/>
      <c r="AX2" s="61"/>
      <c r="AY2" s="62"/>
      <c r="AZ2" s="181" t="s">
        <v>15</v>
      </c>
      <c r="BA2" s="182"/>
      <c r="BB2" s="182"/>
      <c r="BC2" s="182"/>
      <c r="BD2" s="183"/>
    </row>
    <row r="3" spans="1:56" s="16" customFormat="1" ht="15" customHeight="1" x14ac:dyDescent="0.3">
      <c r="A3" s="147"/>
      <c r="B3" s="148"/>
      <c r="C3" s="148"/>
      <c r="D3" s="148"/>
      <c r="E3" s="148"/>
      <c r="F3" s="148"/>
      <c r="G3" s="148"/>
      <c r="H3" s="149"/>
      <c r="I3" s="130"/>
      <c r="J3" s="131"/>
      <c r="K3" s="131"/>
      <c r="L3" s="131"/>
      <c r="M3" s="131"/>
      <c r="N3" s="131"/>
      <c r="O3" s="131"/>
      <c r="P3" s="131"/>
      <c r="Q3" s="132"/>
      <c r="R3" s="130"/>
      <c r="S3" s="131"/>
      <c r="T3" s="131"/>
      <c r="U3" s="131"/>
      <c r="V3" s="131"/>
      <c r="W3" s="131"/>
      <c r="X3" s="132"/>
      <c r="Y3" s="133"/>
      <c r="Z3" s="134"/>
      <c r="AA3" s="134"/>
      <c r="AB3" s="134"/>
      <c r="AC3" s="134"/>
      <c r="AD3" s="134"/>
      <c r="AE3" s="134"/>
      <c r="AF3" s="134"/>
      <c r="AG3" s="134"/>
      <c r="AH3" s="134"/>
      <c r="AI3" s="134"/>
      <c r="AJ3" s="134"/>
      <c r="AK3" s="134"/>
      <c r="AL3" s="134"/>
      <c r="AM3" s="134"/>
      <c r="AN3" s="134"/>
      <c r="AO3" s="135"/>
      <c r="AP3" s="100"/>
      <c r="AQ3" s="101"/>
      <c r="AR3" s="101"/>
      <c r="AS3" s="101"/>
      <c r="AT3" s="102"/>
      <c r="AU3" s="178"/>
      <c r="AV3" s="179"/>
      <c r="AW3" s="179"/>
      <c r="AX3" s="179"/>
      <c r="AY3" s="180"/>
      <c r="AZ3" s="181"/>
      <c r="BA3" s="182"/>
      <c r="BB3" s="182"/>
      <c r="BC3" s="182"/>
      <c r="BD3" s="183"/>
    </row>
    <row r="4" spans="1:56" s="16" customFormat="1" ht="15" customHeight="1" x14ac:dyDescent="0.3">
      <c r="A4" s="150"/>
      <c r="B4" s="151"/>
      <c r="C4" s="151"/>
      <c r="D4" s="151"/>
      <c r="E4" s="151"/>
      <c r="F4" s="151"/>
      <c r="G4" s="151"/>
      <c r="H4" s="152"/>
      <c r="I4" s="133"/>
      <c r="J4" s="134"/>
      <c r="K4" s="134"/>
      <c r="L4" s="134"/>
      <c r="M4" s="134"/>
      <c r="N4" s="134"/>
      <c r="O4" s="134"/>
      <c r="P4" s="134"/>
      <c r="Q4" s="135"/>
      <c r="R4" s="133"/>
      <c r="S4" s="134"/>
      <c r="T4" s="134"/>
      <c r="U4" s="134"/>
      <c r="V4" s="134"/>
      <c r="W4" s="134"/>
      <c r="X4" s="135"/>
      <c r="Y4" s="175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t_shukkashiji_zaiko_m</v>
      </c>
      <c r="Z4" s="176"/>
      <c r="AA4" s="176"/>
      <c r="AB4" s="176"/>
      <c r="AC4" s="176"/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  <c r="AO4" s="177"/>
      <c r="AP4" s="100"/>
      <c r="AQ4" s="101"/>
      <c r="AR4" s="101"/>
      <c r="AS4" s="101"/>
      <c r="AT4" s="102"/>
      <c r="AU4" s="178"/>
      <c r="AV4" s="179"/>
      <c r="AW4" s="179"/>
      <c r="AX4" s="179"/>
      <c r="AY4" s="180"/>
      <c r="AZ4" s="181"/>
      <c r="BA4" s="182"/>
      <c r="BB4" s="182"/>
      <c r="BC4" s="182"/>
      <c r="BD4" s="183"/>
    </row>
    <row r="6" spans="1:56" ht="15" customHeight="1" x14ac:dyDescent="0.3">
      <c r="A6" s="156" t="s">
        <v>101</v>
      </c>
      <c r="B6" s="158" t="s">
        <v>4</v>
      </c>
      <c r="C6" s="159"/>
      <c r="D6" s="159"/>
      <c r="E6" s="159"/>
      <c r="F6" s="159"/>
      <c r="G6" s="159"/>
      <c r="H6" s="160"/>
      <c r="I6" s="158" t="s">
        <v>5</v>
      </c>
      <c r="J6" s="159"/>
      <c r="K6" s="159"/>
      <c r="L6" s="159"/>
      <c r="M6" s="159"/>
      <c r="N6" s="159"/>
      <c r="O6" s="159"/>
      <c r="P6" s="159"/>
      <c r="Q6" s="160"/>
      <c r="R6" s="158" t="s">
        <v>145</v>
      </c>
      <c r="S6" s="159"/>
      <c r="T6" s="159"/>
      <c r="U6" s="159"/>
      <c r="V6" s="159"/>
      <c r="W6" s="159"/>
      <c r="X6" s="160"/>
      <c r="Y6" s="158" t="s">
        <v>6</v>
      </c>
      <c r="Z6" s="160"/>
      <c r="AA6" s="158" t="s">
        <v>7</v>
      </c>
      <c r="AB6" s="159"/>
      <c r="AC6" s="160"/>
      <c r="AD6" s="164" t="s">
        <v>8</v>
      </c>
      <c r="AE6" s="185" t="s">
        <v>9</v>
      </c>
      <c r="AF6" s="164" t="s">
        <v>10</v>
      </c>
      <c r="AG6" s="164" t="s">
        <v>11</v>
      </c>
      <c r="AH6" s="164" t="s">
        <v>12</v>
      </c>
      <c r="AI6" s="166" t="s">
        <v>13</v>
      </c>
      <c r="AJ6" s="167"/>
      <c r="AK6" s="167"/>
      <c r="AL6" s="167"/>
      <c r="AM6" s="167"/>
      <c r="AN6" s="167"/>
      <c r="AO6" s="167"/>
      <c r="AP6" s="167"/>
      <c r="AQ6" s="167"/>
      <c r="AR6" s="168"/>
      <c r="AS6" s="169" t="s">
        <v>14</v>
      </c>
      <c r="AT6" s="170"/>
      <c r="AU6" s="170"/>
      <c r="AV6" s="170"/>
      <c r="AW6" s="170"/>
      <c r="AX6" s="170"/>
      <c r="AY6" s="170"/>
      <c r="AZ6" s="170"/>
      <c r="BA6" s="170"/>
      <c r="BB6" s="170"/>
      <c r="BC6" s="170"/>
      <c r="BD6" s="171"/>
    </row>
    <row r="7" spans="1:56" ht="15" customHeight="1" x14ac:dyDescent="0.3">
      <c r="A7" s="157"/>
      <c r="B7" s="161"/>
      <c r="C7" s="162"/>
      <c r="D7" s="162"/>
      <c r="E7" s="162"/>
      <c r="F7" s="162"/>
      <c r="G7" s="162"/>
      <c r="H7" s="163"/>
      <c r="I7" s="161"/>
      <c r="J7" s="162"/>
      <c r="K7" s="162"/>
      <c r="L7" s="162"/>
      <c r="M7" s="162"/>
      <c r="N7" s="162"/>
      <c r="O7" s="162"/>
      <c r="P7" s="162"/>
      <c r="Q7" s="163"/>
      <c r="R7" s="161"/>
      <c r="S7" s="162"/>
      <c r="T7" s="162"/>
      <c r="U7" s="162"/>
      <c r="V7" s="162"/>
      <c r="W7" s="162"/>
      <c r="X7" s="163"/>
      <c r="Y7" s="161"/>
      <c r="Z7" s="163"/>
      <c r="AA7" s="161"/>
      <c r="AB7" s="162"/>
      <c r="AC7" s="163"/>
      <c r="AD7" s="165"/>
      <c r="AE7" s="186"/>
      <c r="AF7" s="165"/>
      <c r="AG7" s="165"/>
      <c r="AH7" s="165"/>
      <c r="AI7" s="56">
        <v>1</v>
      </c>
      <c r="AJ7" s="56">
        <v>2</v>
      </c>
      <c r="AK7" s="56">
        <v>3</v>
      </c>
      <c r="AL7" s="56">
        <v>4</v>
      </c>
      <c r="AM7" s="56">
        <v>5</v>
      </c>
      <c r="AN7" s="56">
        <v>6</v>
      </c>
      <c r="AO7" s="56">
        <v>7</v>
      </c>
      <c r="AP7" s="56">
        <v>8</v>
      </c>
      <c r="AQ7" s="56">
        <v>9</v>
      </c>
      <c r="AR7" s="56">
        <v>10</v>
      </c>
      <c r="AS7" s="172"/>
      <c r="AT7" s="173"/>
      <c r="AU7" s="173"/>
      <c r="AV7" s="173"/>
      <c r="AW7" s="173"/>
      <c r="AX7" s="173"/>
      <c r="AY7" s="173"/>
      <c r="AZ7" s="173"/>
      <c r="BA7" s="173"/>
      <c r="BB7" s="173"/>
      <c r="BC7" s="173"/>
      <c r="BD7" s="174"/>
    </row>
    <row r="8" spans="1:56" ht="15" customHeight="1" x14ac:dyDescent="0.3">
      <c r="A8" s="54">
        <f>IF(B8="","",COUNTA($B$8:B8))</f>
        <v>1</v>
      </c>
      <c r="B8" s="18" t="s">
        <v>150</v>
      </c>
      <c r="C8" s="19"/>
      <c r="D8" s="19"/>
      <c r="E8" s="19"/>
      <c r="F8" s="19"/>
      <c r="G8" s="19"/>
      <c r="H8" s="19"/>
      <c r="I8" s="31" t="str">
        <f>VLOOKUP(B8,Sheet1!A:B,2,FALSE)</f>
        <v>shukka_shiji_no</v>
      </c>
      <c r="J8" s="21"/>
      <c r="K8" s="21"/>
      <c r="L8" s="21"/>
      <c r="M8" s="21"/>
      <c r="N8" s="21"/>
      <c r="O8" s="21"/>
      <c r="P8" s="21"/>
      <c r="Q8" s="21"/>
      <c r="R8" s="18" t="s">
        <v>150</v>
      </c>
      <c r="S8" s="19"/>
      <c r="T8" s="19"/>
      <c r="U8" s="19"/>
      <c r="V8" s="19"/>
      <c r="W8" s="19"/>
      <c r="X8" s="19"/>
      <c r="Y8" s="139" t="s">
        <v>111</v>
      </c>
      <c r="Z8" s="140"/>
      <c r="AA8" s="141" t="s">
        <v>107</v>
      </c>
      <c r="AB8" s="142"/>
      <c r="AC8" s="143"/>
      <c r="AD8" s="25">
        <v>10</v>
      </c>
      <c r="AE8" s="26"/>
      <c r="AF8" s="26" t="s">
        <v>119</v>
      </c>
      <c r="AG8" s="26" t="s">
        <v>85</v>
      </c>
      <c r="AH8" s="26"/>
      <c r="AI8" s="26"/>
      <c r="AJ8" s="26"/>
      <c r="AK8" s="26"/>
      <c r="AL8" s="26"/>
      <c r="AM8" s="26"/>
      <c r="AN8" s="26"/>
      <c r="AO8" s="27"/>
      <c r="AP8" s="27"/>
      <c r="AQ8" s="27"/>
      <c r="AR8" s="27"/>
      <c r="AS8" s="42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68"/>
    </row>
    <row r="9" spans="1:56" ht="15" customHeight="1" x14ac:dyDescent="0.3">
      <c r="A9" s="54">
        <f>IF(B9="","",COUNTA($B$8:B9))</f>
        <v>2</v>
      </c>
      <c r="B9" s="42" t="s">
        <v>217</v>
      </c>
      <c r="C9" s="41"/>
      <c r="D9" s="41"/>
      <c r="E9" s="41"/>
      <c r="F9" s="41"/>
      <c r="G9" s="41"/>
      <c r="H9" s="41"/>
      <c r="I9" s="31" t="str">
        <f>VLOOKUP(B9,Sheet1!A:B,2,FALSE)</f>
        <v>shukka_shiji_edaban</v>
      </c>
      <c r="J9" s="32"/>
      <c r="K9" s="32"/>
      <c r="L9" s="32"/>
      <c r="M9" s="32"/>
      <c r="N9" s="32"/>
      <c r="O9" s="32"/>
      <c r="P9" s="32"/>
      <c r="Q9" s="32"/>
      <c r="R9" s="42" t="s">
        <v>217</v>
      </c>
      <c r="S9" s="41"/>
      <c r="T9" s="41"/>
      <c r="U9" s="41"/>
      <c r="V9" s="41"/>
      <c r="W9" s="41"/>
      <c r="X9" s="41"/>
      <c r="Y9" s="139" t="s">
        <v>108</v>
      </c>
      <c r="Z9" s="140"/>
      <c r="AA9" s="141" t="s">
        <v>110</v>
      </c>
      <c r="AB9" s="142"/>
      <c r="AC9" s="143"/>
      <c r="AD9" s="72">
        <v>3</v>
      </c>
      <c r="AE9" s="27"/>
      <c r="AF9" s="27">
        <v>2</v>
      </c>
      <c r="AG9" s="27" t="s">
        <v>85</v>
      </c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42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68"/>
    </row>
    <row r="10" spans="1:56" ht="15" customHeight="1" x14ac:dyDescent="0.3">
      <c r="A10" s="54">
        <f>IF(B10="","",COUNTA($B$8:B10))</f>
        <v>3</v>
      </c>
      <c r="B10" s="42" t="s">
        <v>191</v>
      </c>
      <c r="C10" s="41"/>
      <c r="D10" s="41"/>
      <c r="E10" s="41"/>
      <c r="F10" s="41"/>
      <c r="G10" s="41"/>
      <c r="H10" s="41"/>
      <c r="I10" s="31" t="str">
        <f>VLOOKUP(B10,Sheet1!A:B,2,FALSE)</f>
        <v>juchu_meisai_seq</v>
      </c>
      <c r="J10" s="32"/>
      <c r="K10" s="32"/>
      <c r="L10" s="32"/>
      <c r="M10" s="32"/>
      <c r="N10" s="32"/>
      <c r="O10" s="32"/>
      <c r="P10" s="32"/>
      <c r="Q10" s="32"/>
      <c r="R10" s="42" t="s">
        <v>191</v>
      </c>
      <c r="S10" s="41"/>
      <c r="T10" s="41"/>
      <c r="U10" s="41"/>
      <c r="V10" s="41"/>
      <c r="W10" s="41"/>
      <c r="X10" s="41"/>
      <c r="Y10" s="139" t="s">
        <v>108</v>
      </c>
      <c r="Z10" s="140"/>
      <c r="AA10" s="141" t="s">
        <v>110</v>
      </c>
      <c r="AB10" s="142"/>
      <c r="AC10" s="143"/>
      <c r="AD10" s="72">
        <v>3</v>
      </c>
      <c r="AE10" s="27"/>
      <c r="AF10" s="27">
        <v>3</v>
      </c>
      <c r="AG10" s="27" t="s">
        <v>85</v>
      </c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42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68"/>
    </row>
    <row r="11" spans="1:56" ht="15" customHeight="1" x14ac:dyDescent="0.3">
      <c r="A11" s="54">
        <f>IF(B11="","",COUNTA($B$8:B11))</f>
        <v>4</v>
      </c>
      <c r="B11" s="42" t="s">
        <v>192</v>
      </c>
      <c r="C11" s="41"/>
      <c r="D11" s="41"/>
      <c r="E11" s="41"/>
      <c r="F11" s="41"/>
      <c r="G11" s="41"/>
      <c r="H11" s="41"/>
      <c r="I11" s="31" t="str">
        <f>VLOOKUP(B11,Sheet1!A:B,2,FALSE)</f>
        <v>zaiko_meisai_seq</v>
      </c>
      <c r="J11" s="32"/>
      <c r="K11" s="32"/>
      <c r="L11" s="32"/>
      <c r="M11" s="32"/>
      <c r="N11" s="32"/>
      <c r="O11" s="32"/>
      <c r="P11" s="32"/>
      <c r="Q11" s="32"/>
      <c r="R11" s="42" t="s">
        <v>192</v>
      </c>
      <c r="S11" s="19"/>
      <c r="T11" s="19"/>
      <c r="U11" s="19"/>
      <c r="V11" s="19"/>
      <c r="W11" s="19"/>
      <c r="X11" s="19"/>
      <c r="Y11" s="139" t="s">
        <v>108</v>
      </c>
      <c r="Z11" s="140"/>
      <c r="AA11" s="141" t="s">
        <v>110</v>
      </c>
      <c r="AB11" s="142"/>
      <c r="AC11" s="143"/>
      <c r="AD11" s="25">
        <v>3</v>
      </c>
      <c r="AE11" s="27"/>
      <c r="AF11" s="27">
        <v>4</v>
      </c>
      <c r="AG11" s="27" t="s">
        <v>85</v>
      </c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42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68"/>
    </row>
    <row r="12" spans="1:56" ht="15" customHeight="1" x14ac:dyDescent="0.3">
      <c r="A12" s="54">
        <f>IF(B12="","",COUNTA($B$8:B12))</f>
        <v>5</v>
      </c>
      <c r="B12" s="42" t="s">
        <v>168</v>
      </c>
      <c r="C12" s="41"/>
      <c r="D12" s="41"/>
      <c r="E12" s="41"/>
      <c r="F12" s="41"/>
      <c r="G12" s="41"/>
      <c r="H12" s="41"/>
      <c r="I12" s="31" t="str">
        <f>VLOOKUP(B12,Sheet1!A:B,2,FALSE)</f>
        <v>hokan_basho_cd</v>
      </c>
      <c r="J12" s="32"/>
      <c r="K12" s="32"/>
      <c r="L12" s="32"/>
      <c r="M12" s="32"/>
      <c r="N12" s="32"/>
      <c r="O12" s="32"/>
      <c r="P12" s="32"/>
      <c r="Q12" s="32"/>
      <c r="R12" s="42" t="s">
        <v>147</v>
      </c>
      <c r="S12" s="41"/>
      <c r="T12" s="41"/>
      <c r="U12" s="41"/>
      <c r="V12" s="41"/>
      <c r="W12" s="41"/>
      <c r="X12" s="41"/>
      <c r="Y12" s="139" t="s">
        <v>111</v>
      </c>
      <c r="Z12" s="140"/>
      <c r="AA12" s="141" t="s">
        <v>107</v>
      </c>
      <c r="AB12" s="142"/>
      <c r="AC12" s="143"/>
      <c r="AD12" s="72">
        <v>10</v>
      </c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42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68"/>
    </row>
    <row r="13" spans="1:56" ht="15" customHeight="1" x14ac:dyDescent="0.3">
      <c r="A13" s="54">
        <f>IF(B13="","",COUNTA($B$8:B13))</f>
        <v>6</v>
      </c>
      <c r="B13" s="42" t="s">
        <v>1263</v>
      </c>
      <c r="C13" s="41"/>
      <c r="D13" s="41"/>
      <c r="E13" s="41"/>
      <c r="F13" s="41"/>
      <c r="G13" s="41"/>
      <c r="H13" s="41"/>
      <c r="I13" s="31" t="str">
        <f>VLOOKUP(B13,Sheet1!A:B,2,FALSE)</f>
        <v>hokan_basho_nm</v>
      </c>
      <c r="J13" s="32"/>
      <c r="K13" s="32"/>
      <c r="L13" s="32"/>
      <c r="M13" s="32"/>
      <c r="N13" s="32"/>
      <c r="O13" s="32"/>
      <c r="P13" s="32"/>
      <c r="Q13" s="32"/>
      <c r="R13" s="18" t="s">
        <v>140</v>
      </c>
      <c r="S13" s="19"/>
      <c r="T13" s="19"/>
      <c r="U13" s="19"/>
      <c r="V13" s="19"/>
      <c r="W13" s="19"/>
      <c r="X13" s="19"/>
      <c r="Y13" s="139" t="s">
        <v>111</v>
      </c>
      <c r="Z13" s="140"/>
      <c r="AA13" s="141" t="s">
        <v>107</v>
      </c>
      <c r="AB13" s="142"/>
      <c r="AC13" s="143"/>
      <c r="AD13" s="25">
        <v>10</v>
      </c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42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68"/>
    </row>
    <row r="14" spans="1:56" ht="15" customHeight="1" x14ac:dyDescent="0.3">
      <c r="A14" s="54">
        <f>IF(B14="","",COUNTA($B$8:B14))</f>
        <v>7</v>
      </c>
      <c r="B14" s="42" t="s">
        <v>169</v>
      </c>
      <c r="C14" s="41"/>
      <c r="D14" s="41"/>
      <c r="E14" s="41"/>
      <c r="F14" s="41"/>
      <c r="G14" s="41"/>
      <c r="H14" s="41"/>
      <c r="I14" s="31" t="str">
        <f>VLOOKUP(B14,Sheet1!A:B,2,FALSE)</f>
        <v>seihin_lot_no</v>
      </c>
      <c r="J14" s="32"/>
      <c r="K14" s="32"/>
      <c r="L14" s="32"/>
      <c r="M14" s="32"/>
      <c r="N14" s="32"/>
      <c r="O14" s="32"/>
      <c r="P14" s="32"/>
      <c r="Q14" s="32"/>
      <c r="R14" s="42" t="s">
        <v>141</v>
      </c>
      <c r="S14" s="41"/>
      <c r="T14" s="41"/>
      <c r="U14" s="41"/>
      <c r="V14" s="41"/>
      <c r="W14" s="41"/>
      <c r="X14" s="41"/>
      <c r="Y14" s="18" t="s">
        <v>111</v>
      </c>
      <c r="Z14" s="34"/>
      <c r="AA14" s="141" t="s">
        <v>107</v>
      </c>
      <c r="AB14" s="142"/>
      <c r="AC14" s="143"/>
      <c r="AD14" s="72">
        <v>10</v>
      </c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42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68"/>
    </row>
    <row r="15" spans="1:56" ht="15" customHeight="1" x14ac:dyDescent="0.3">
      <c r="A15" s="54">
        <f>IF(B15="","",COUNTA($B$8:B15))</f>
        <v>8</v>
      </c>
      <c r="B15" s="42" t="s">
        <v>142</v>
      </c>
      <c r="C15" s="41"/>
      <c r="D15" s="41"/>
      <c r="E15" s="41"/>
      <c r="F15" s="41"/>
      <c r="G15" s="41"/>
      <c r="H15" s="41"/>
      <c r="I15" s="31" t="str">
        <f>VLOOKUP(B15,Sheet1!A:B,2,FALSE)</f>
        <v>seihin_full_lot_no</v>
      </c>
      <c r="J15" s="32"/>
      <c r="K15" s="32"/>
      <c r="L15" s="32"/>
      <c r="M15" s="32"/>
      <c r="N15" s="32"/>
      <c r="O15" s="32"/>
      <c r="P15" s="32"/>
      <c r="Q15" s="32"/>
      <c r="R15" s="42" t="s">
        <v>142</v>
      </c>
      <c r="S15" s="41"/>
      <c r="T15" s="41"/>
      <c r="U15" s="41"/>
      <c r="V15" s="41"/>
      <c r="W15" s="41"/>
      <c r="X15" s="41"/>
      <c r="Y15" s="18" t="s">
        <v>111</v>
      </c>
      <c r="Z15" s="34"/>
      <c r="AA15" s="141" t="s">
        <v>107</v>
      </c>
      <c r="AB15" s="142"/>
      <c r="AC15" s="143"/>
      <c r="AD15" s="72">
        <v>10</v>
      </c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42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68"/>
    </row>
    <row r="16" spans="1:56" ht="15" customHeight="1" x14ac:dyDescent="0.3">
      <c r="A16" s="54">
        <f>IF(B16="","",COUNTA($B$8:B16))</f>
        <v>9</v>
      </c>
      <c r="B16" s="42" t="s">
        <v>170</v>
      </c>
      <c r="C16" s="41"/>
      <c r="D16" s="41"/>
      <c r="E16" s="41"/>
      <c r="F16" s="41"/>
      <c r="G16" s="41"/>
      <c r="H16" s="41"/>
      <c r="I16" s="31" t="str">
        <f>VLOOKUP(B16,Sheet1!A:B,2,FALSE)</f>
        <v>lot_no_biko</v>
      </c>
      <c r="J16" s="32"/>
      <c r="K16" s="32"/>
      <c r="L16" s="32"/>
      <c r="M16" s="32"/>
      <c r="N16" s="32"/>
      <c r="O16" s="32"/>
      <c r="P16" s="32"/>
      <c r="Q16" s="32"/>
      <c r="R16" s="42" t="s">
        <v>170</v>
      </c>
      <c r="S16" s="41"/>
      <c r="T16" s="41"/>
      <c r="U16" s="41"/>
      <c r="V16" s="41"/>
      <c r="W16" s="41"/>
      <c r="X16" s="41"/>
      <c r="Y16" s="139" t="s">
        <v>111</v>
      </c>
      <c r="Z16" s="140"/>
      <c r="AA16" s="141" t="s">
        <v>107</v>
      </c>
      <c r="AB16" s="142"/>
      <c r="AC16" s="143"/>
      <c r="AD16" s="72">
        <v>30</v>
      </c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42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68"/>
    </row>
    <row r="17" spans="1:56" ht="15" customHeight="1" x14ac:dyDescent="0.3">
      <c r="A17" s="54">
        <f>IF(B17="","",COUNTA($B$8:B17))</f>
        <v>10</v>
      </c>
      <c r="B17" s="42" t="s">
        <v>143</v>
      </c>
      <c r="C17" s="41"/>
      <c r="D17" s="41"/>
      <c r="E17" s="41"/>
      <c r="F17" s="41"/>
      <c r="G17" s="41"/>
      <c r="H17" s="41"/>
      <c r="I17" s="31" t="str">
        <f>VLOOKUP(B17,Sheet1!A:B,2,FALSE)</f>
        <v>pallet_no</v>
      </c>
      <c r="J17" s="32"/>
      <c r="K17" s="32"/>
      <c r="L17" s="32"/>
      <c r="M17" s="32"/>
      <c r="N17" s="32"/>
      <c r="O17" s="32"/>
      <c r="P17" s="32"/>
      <c r="Q17" s="32"/>
      <c r="R17" s="42" t="s">
        <v>143</v>
      </c>
      <c r="S17" s="41"/>
      <c r="T17" s="41"/>
      <c r="U17" s="41"/>
      <c r="V17" s="41"/>
      <c r="W17" s="41"/>
      <c r="X17" s="41"/>
      <c r="Y17" s="18" t="s">
        <v>111</v>
      </c>
      <c r="Z17" s="34"/>
      <c r="AA17" s="141" t="s">
        <v>107</v>
      </c>
      <c r="AB17" s="142"/>
      <c r="AC17" s="143"/>
      <c r="AD17" s="72">
        <v>10</v>
      </c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42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68"/>
    </row>
    <row r="18" spans="1:56" ht="15" customHeight="1" x14ac:dyDescent="0.3">
      <c r="A18" s="54">
        <f>IF(B18="","",COUNTA($B$8:B18))</f>
        <v>11</v>
      </c>
      <c r="B18" s="42" t="s">
        <v>144</v>
      </c>
      <c r="C18" s="41"/>
      <c r="D18" s="41"/>
      <c r="E18" s="41"/>
      <c r="F18" s="41"/>
      <c r="G18" s="41"/>
      <c r="H18" s="41"/>
      <c r="I18" s="31" t="str">
        <f>VLOOKUP(B18,Sheet1!A:B,2,FALSE)</f>
        <v>full_pallet_no</v>
      </c>
      <c r="J18" s="32"/>
      <c r="K18" s="32"/>
      <c r="L18" s="32"/>
      <c r="M18" s="32"/>
      <c r="N18" s="32"/>
      <c r="O18" s="32"/>
      <c r="P18" s="32"/>
      <c r="Q18" s="32"/>
      <c r="R18" s="42" t="s">
        <v>144</v>
      </c>
      <c r="S18" s="41"/>
      <c r="T18" s="41"/>
      <c r="U18" s="41"/>
      <c r="V18" s="41"/>
      <c r="W18" s="41"/>
      <c r="X18" s="41"/>
      <c r="Y18" s="18" t="s">
        <v>111</v>
      </c>
      <c r="Z18" s="34"/>
      <c r="AA18" s="141" t="s">
        <v>107</v>
      </c>
      <c r="AB18" s="142"/>
      <c r="AC18" s="143"/>
      <c r="AD18" s="72">
        <v>10</v>
      </c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42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68"/>
    </row>
    <row r="19" spans="1:56" ht="15" customHeight="1" x14ac:dyDescent="0.3">
      <c r="A19" s="54">
        <f>IF(B19="","",COUNTA($B$8:B19))</f>
        <v>12</v>
      </c>
      <c r="B19" s="42" t="s">
        <v>193</v>
      </c>
      <c r="C19" s="41"/>
      <c r="D19" s="41"/>
      <c r="E19" s="41"/>
      <c r="F19" s="41"/>
      <c r="G19" s="41"/>
      <c r="H19" s="41"/>
      <c r="I19" s="31" t="str">
        <f>VLOOKUP(B19,Sheet1!A:B,2,FALSE)</f>
        <v>zaiko_su</v>
      </c>
      <c r="J19" s="32"/>
      <c r="K19" s="32"/>
      <c r="L19" s="32"/>
      <c r="M19" s="32"/>
      <c r="N19" s="32"/>
      <c r="O19" s="32"/>
      <c r="P19" s="32"/>
      <c r="Q19" s="32"/>
      <c r="R19" s="42" t="s">
        <v>171</v>
      </c>
      <c r="S19" s="41"/>
      <c r="T19" s="41"/>
      <c r="U19" s="41"/>
      <c r="V19" s="41"/>
      <c r="W19" s="41"/>
      <c r="X19" s="41"/>
      <c r="Y19" s="18" t="s">
        <v>108</v>
      </c>
      <c r="Z19" s="34"/>
      <c r="AA19" s="141" t="s">
        <v>110</v>
      </c>
      <c r="AB19" s="142"/>
      <c r="AC19" s="143"/>
      <c r="AD19" s="72">
        <v>3</v>
      </c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42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68"/>
    </row>
    <row r="20" spans="1:56" ht="15" customHeight="1" x14ac:dyDescent="0.3">
      <c r="A20" s="54">
        <f>IF(B20="","",COUNTA($B$8:B20))</f>
        <v>13</v>
      </c>
      <c r="B20" s="42" t="s">
        <v>227</v>
      </c>
      <c r="C20" s="41"/>
      <c r="D20" s="41"/>
      <c r="E20" s="41"/>
      <c r="F20" s="41"/>
      <c r="G20" s="41"/>
      <c r="H20" s="41"/>
      <c r="I20" s="31" t="str">
        <f>VLOOKUP(B20,Sheet1!A:B,2,FALSE)</f>
        <v>shiji_su</v>
      </c>
      <c r="J20" s="32"/>
      <c r="K20" s="32"/>
      <c r="L20" s="32"/>
      <c r="M20" s="32"/>
      <c r="N20" s="32"/>
      <c r="O20" s="32"/>
      <c r="P20" s="32"/>
      <c r="Q20" s="32"/>
      <c r="R20" s="42" t="s">
        <v>228</v>
      </c>
      <c r="S20" s="41"/>
      <c r="T20" s="41"/>
      <c r="U20" s="41"/>
      <c r="V20" s="41"/>
      <c r="W20" s="41"/>
      <c r="X20" s="41"/>
      <c r="Y20" s="18" t="s">
        <v>108</v>
      </c>
      <c r="Z20" s="34"/>
      <c r="AA20" s="141" t="s">
        <v>110</v>
      </c>
      <c r="AB20" s="142"/>
      <c r="AC20" s="143"/>
      <c r="AD20" s="72">
        <v>3</v>
      </c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42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68"/>
    </row>
    <row r="21" spans="1:56" ht="15" customHeight="1" x14ac:dyDescent="0.3">
      <c r="A21" s="71">
        <f>IF(B21="","",COUNTA($B$8:B21))</f>
        <v>14</v>
      </c>
      <c r="B21" s="18" t="s">
        <v>182</v>
      </c>
      <c r="C21" s="19"/>
      <c r="D21" s="19"/>
      <c r="E21" s="19"/>
      <c r="F21" s="19"/>
      <c r="G21" s="19"/>
      <c r="H21" s="22"/>
      <c r="I21" s="31" t="str">
        <f>VLOOKUP(B21,Sheet1!A:B,2,FALSE)</f>
        <v>shukan_busho_cd</v>
      </c>
      <c r="J21" s="21"/>
      <c r="K21" s="21"/>
      <c r="L21" s="21"/>
      <c r="M21" s="21"/>
      <c r="N21" s="21"/>
      <c r="O21" s="21"/>
      <c r="P21" s="21"/>
      <c r="Q21" s="33"/>
      <c r="R21" s="18" t="s">
        <v>184</v>
      </c>
      <c r="S21" s="21"/>
      <c r="T21" s="21"/>
      <c r="U21" s="21"/>
      <c r="V21" s="21"/>
      <c r="W21" s="21"/>
      <c r="X21" s="22"/>
      <c r="Y21" s="139" t="s">
        <v>56</v>
      </c>
      <c r="Z21" s="184"/>
      <c r="AA21" s="141" t="s">
        <v>107</v>
      </c>
      <c r="AB21" s="142"/>
      <c r="AC21" s="143"/>
      <c r="AD21" s="25">
        <v>4</v>
      </c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7"/>
      <c r="AP21" s="27"/>
      <c r="AQ21" s="27"/>
      <c r="AR21" s="27"/>
      <c r="AS21" s="28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70"/>
    </row>
    <row r="22" spans="1:56" ht="15" customHeight="1" x14ac:dyDescent="0.3">
      <c r="A22" s="71">
        <f>IF(B22="","",COUNTA($B$8:B22))</f>
        <v>15</v>
      </c>
      <c r="B22" s="18" t="s">
        <v>183</v>
      </c>
      <c r="C22" s="19"/>
      <c r="D22" s="19"/>
      <c r="E22" s="19"/>
      <c r="F22" s="19"/>
      <c r="G22" s="19"/>
      <c r="H22" s="22"/>
      <c r="I22" s="31" t="str">
        <f>VLOOKUP(B22,Sheet1!A:B,2,FALSE)</f>
        <v>shukan_kotei_cd</v>
      </c>
      <c r="J22" s="21"/>
      <c r="K22" s="21"/>
      <c r="L22" s="21"/>
      <c r="M22" s="21"/>
      <c r="N22" s="21"/>
      <c r="O22" s="21"/>
      <c r="P22" s="21"/>
      <c r="Q22" s="33"/>
      <c r="R22" s="18" t="s">
        <v>183</v>
      </c>
      <c r="S22" s="21"/>
      <c r="T22" s="21"/>
      <c r="U22" s="21"/>
      <c r="V22" s="21"/>
      <c r="W22" s="21"/>
      <c r="X22" s="22"/>
      <c r="Y22" s="139" t="s">
        <v>56</v>
      </c>
      <c r="Z22" s="184"/>
      <c r="AA22" s="141" t="s">
        <v>107</v>
      </c>
      <c r="AB22" s="142"/>
      <c r="AC22" s="143"/>
      <c r="AD22" s="25">
        <v>4</v>
      </c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7"/>
      <c r="AP22" s="27"/>
      <c r="AQ22" s="27"/>
      <c r="AR22" s="27"/>
      <c r="AS22" s="28"/>
      <c r="AT22" s="69"/>
      <c r="AU22" s="69"/>
      <c r="AV22" s="69"/>
      <c r="AW22" s="69"/>
      <c r="AX22" s="69"/>
      <c r="AY22" s="69"/>
      <c r="AZ22" s="69"/>
      <c r="BA22" s="69"/>
      <c r="BB22" s="69"/>
      <c r="BC22" s="69"/>
      <c r="BD22" s="70"/>
    </row>
    <row r="23" spans="1:56" ht="15" customHeight="1" x14ac:dyDescent="0.3">
      <c r="A23" s="54">
        <f>IF(B23="","",COUNTA($B$8:B23))</f>
        <v>16</v>
      </c>
      <c r="B23" s="18" t="s">
        <v>1095</v>
      </c>
      <c r="C23" s="41"/>
      <c r="D23" s="41"/>
      <c r="E23" s="41"/>
      <c r="F23" s="41"/>
      <c r="G23" s="41"/>
      <c r="H23" s="41"/>
      <c r="I23" s="31" t="str">
        <f>VLOOKUP(B23,Sheet1!A:B,2,FALSE)</f>
        <v>insert_func_cd</v>
      </c>
      <c r="J23" s="32"/>
      <c r="K23" s="32"/>
      <c r="L23" s="32"/>
      <c r="M23" s="32"/>
      <c r="N23" s="32"/>
      <c r="O23" s="32"/>
      <c r="P23" s="32"/>
      <c r="Q23" s="32"/>
      <c r="R23" s="18" t="s">
        <v>1095</v>
      </c>
      <c r="S23" s="41"/>
      <c r="T23" s="41"/>
      <c r="U23" s="41"/>
      <c r="V23" s="41"/>
      <c r="W23" s="41"/>
      <c r="X23" s="41"/>
      <c r="Y23" s="139" t="s">
        <v>111</v>
      </c>
      <c r="Z23" s="140"/>
      <c r="AA23" s="141" t="s">
        <v>107</v>
      </c>
      <c r="AB23" s="142"/>
      <c r="AC23" s="143"/>
      <c r="AD23" s="25">
        <v>10</v>
      </c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8"/>
      <c r="AT23" s="69"/>
      <c r="AU23" s="69"/>
      <c r="AV23" s="69"/>
      <c r="AW23" s="69"/>
      <c r="AX23" s="69"/>
      <c r="AY23" s="69"/>
      <c r="AZ23" s="69"/>
      <c r="BA23" s="69"/>
      <c r="BB23" s="69"/>
      <c r="BC23" s="69"/>
      <c r="BD23" s="70"/>
    </row>
    <row r="24" spans="1:56" ht="15" customHeight="1" x14ac:dyDescent="0.3">
      <c r="A24" s="54">
        <f>IF(B24="","",COUNTA($B$8:B24))</f>
        <v>17</v>
      </c>
      <c r="B24" s="18" t="s">
        <v>112</v>
      </c>
      <c r="C24" s="41"/>
      <c r="D24" s="41"/>
      <c r="E24" s="41"/>
      <c r="F24" s="41"/>
      <c r="G24" s="41"/>
      <c r="H24" s="41"/>
      <c r="I24" s="31" t="str">
        <f>VLOOKUP(B24,Sheet1!A:B,2,FALSE)</f>
        <v>insert_user_cd</v>
      </c>
      <c r="J24" s="32"/>
      <c r="K24" s="32"/>
      <c r="L24" s="32"/>
      <c r="M24" s="32"/>
      <c r="N24" s="32"/>
      <c r="O24" s="32"/>
      <c r="P24" s="32"/>
      <c r="Q24" s="32"/>
      <c r="R24" s="18" t="s">
        <v>112</v>
      </c>
      <c r="S24" s="41"/>
      <c r="T24" s="41"/>
      <c r="U24" s="41"/>
      <c r="V24" s="41"/>
      <c r="W24" s="41"/>
      <c r="X24" s="41"/>
      <c r="Y24" s="139" t="s">
        <v>111</v>
      </c>
      <c r="Z24" s="140"/>
      <c r="AA24" s="141" t="s">
        <v>107</v>
      </c>
      <c r="AB24" s="142"/>
      <c r="AC24" s="143"/>
      <c r="AD24" s="25">
        <v>10</v>
      </c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8"/>
      <c r="AT24" s="69"/>
      <c r="AU24" s="69"/>
      <c r="AV24" s="69"/>
      <c r="AW24" s="69"/>
      <c r="AX24" s="69"/>
      <c r="AY24" s="69"/>
      <c r="AZ24" s="69"/>
      <c r="BA24" s="69"/>
      <c r="BB24" s="69"/>
      <c r="BC24" s="69"/>
      <c r="BD24" s="70"/>
    </row>
    <row r="25" spans="1:56" ht="15" customHeight="1" x14ac:dyDescent="0.3">
      <c r="A25" s="54">
        <f>IF(B25="","",COUNTA($B$8:B25))</f>
        <v>18</v>
      </c>
      <c r="B25" s="18" t="s">
        <v>113</v>
      </c>
      <c r="C25" s="41"/>
      <c r="D25" s="41"/>
      <c r="E25" s="41"/>
      <c r="F25" s="41"/>
      <c r="G25" s="41"/>
      <c r="H25" s="41"/>
      <c r="I25" s="31" t="str">
        <f>VLOOKUP(B25,Sheet1!A:B,2,FALSE)</f>
        <v>insert_datetime</v>
      </c>
      <c r="J25" s="32"/>
      <c r="K25" s="32"/>
      <c r="L25" s="32"/>
      <c r="M25" s="32"/>
      <c r="N25" s="32"/>
      <c r="O25" s="32"/>
      <c r="P25" s="32"/>
      <c r="Q25" s="32"/>
      <c r="R25" s="18" t="s">
        <v>113</v>
      </c>
      <c r="S25" s="41"/>
      <c r="T25" s="41"/>
      <c r="U25" s="41"/>
      <c r="V25" s="41"/>
      <c r="W25" s="41"/>
      <c r="X25" s="41"/>
      <c r="Y25" s="139" t="s">
        <v>87</v>
      </c>
      <c r="Z25" s="140"/>
      <c r="AA25" s="141" t="s">
        <v>109</v>
      </c>
      <c r="AB25" s="142"/>
      <c r="AC25" s="143"/>
      <c r="AD25" s="55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8"/>
      <c r="AT25" s="69"/>
      <c r="AU25" s="69"/>
      <c r="AV25" s="69"/>
      <c r="AW25" s="69"/>
      <c r="AX25" s="69"/>
      <c r="AY25" s="69"/>
      <c r="AZ25" s="69"/>
      <c r="BA25" s="69"/>
      <c r="BB25" s="69"/>
      <c r="BC25" s="69"/>
      <c r="BD25" s="70"/>
    </row>
    <row r="26" spans="1:56" ht="15" customHeight="1" x14ac:dyDescent="0.3">
      <c r="A26" s="54">
        <f>IF(B26="","",COUNTA($B$8:B26))</f>
        <v>19</v>
      </c>
      <c r="B26" s="18" t="s">
        <v>1094</v>
      </c>
      <c r="C26" s="41"/>
      <c r="D26" s="41"/>
      <c r="E26" s="41"/>
      <c r="F26" s="41"/>
      <c r="G26" s="41"/>
      <c r="H26" s="41"/>
      <c r="I26" s="31" t="str">
        <f>VLOOKUP(B26,Sheet1!A:B,2,FALSE)</f>
        <v>update_func_cd</v>
      </c>
      <c r="J26" s="32"/>
      <c r="K26" s="32"/>
      <c r="L26" s="32"/>
      <c r="M26" s="32"/>
      <c r="N26" s="32"/>
      <c r="O26" s="32"/>
      <c r="P26" s="32"/>
      <c r="Q26" s="32"/>
      <c r="R26" s="18" t="s">
        <v>1094</v>
      </c>
      <c r="S26" s="41"/>
      <c r="T26" s="41"/>
      <c r="U26" s="41"/>
      <c r="V26" s="41"/>
      <c r="W26" s="41"/>
      <c r="X26" s="41"/>
      <c r="Y26" s="139" t="s">
        <v>111</v>
      </c>
      <c r="Z26" s="140"/>
      <c r="AA26" s="141" t="s">
        <v>107</v>
      </c>
      <c r="AB26" s="142"/>
      <c r="AC26" s="143"/>
      <c r="AD26" s="25">
        <v>10</v>
      </c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8"/>
      <c r="AT26" s="69"/>
      <c r="AU26" s="69"/>
      <c r="AV26" s="69"/>
      <c r="AW26" s="69"/>
      <c r="AX26" s="69"/>
      <c r="AY26" s="69"/>
      <c r="AZ26" s="69"/>
      <c r="BA26" s="69"/>
      <c r="BB26" s="69"/>
      <c r="BC26" s="69"/>
      <c r="BD26" s="70"/>
    </row>
    <row r="27" spans="1:56" ht="15" customHeight="1" x14ac:dyDescent="0.3">
      <c r="A27" s="54">
        <f>IF(B27="","",COUNTA($B$8:B27))</f>
        <v>20</v>
      </c>
      <c r="B27" s="18" t="s">
        <v>114</v>
      </c>
      <c r="C27" s="19"/>
      <c r="D27" s="19"/>
      <c r="E27" s="19"/>
      <c r="F27" s="19"/>
      <c r="G27" s="19"/>
      <c r="H27" s="19"/>
      <c r="I27" s="31" t="str">
        <f>VLOOKUP(B27,Sheet1!A:B,2,FALSE)</f>
        <v>update_user_cd</v>
      </c>
      <c r="J27" s="21"/>
      <c r="K27" s="21"/>
      <c r="L27" s="21"/>
      <c r="M27" s="21"/>
      <c r="N27" s="21"/>
      <c r="O27" s="21"/>
      <c r="P27" s="21"/>
      <c r="Q27" s="21"/>
      <c r="R27" s="18" t="s">
        <v>114</v>
      </c>
      <c r="S27" s="19"/>
      <c r="T27" s="19"/>
      <c r="U27" s="19"/>
      <c r="V27" s="19"/>
      <c r="W27" s="19"/>
      <c r="X27" s="19"/>
      <c r="Y27" s="139" t="s">
        <v>111</v>
      </c>
      <c r="Z27" s="140"/>
      <c r="AA27" s="141" t="s">
        <v>107</v>
      </c>
      <c r="AB27" s="142"/>
      <c r="AC27" s="143"/>
      <c r="AD27" s="55">
        <v>10</v>
      </c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8"/>
      <c r="AP27" s="38"/>
      <c r="AQ27" s="38"/>
      <c r="AR27" s="38"/>
      <c r="AS27" s="39"/>
      <c r="AT27" s="40"/>
      <c r="AU27" s="69"/>
      <c r="AV27" s="69"/>
      <c r="AW27" s="69"/>
      <c r="AX27" s="69"/>
      <c r="AY27" s="69"/>
      <c r="AZ27" s="69"/>
      <c r="BA27" s="69"/>
      <c r="BB27" s="69"/>
      <c r="BC27" s="69"/>
      <c r="BD27" s="70"/>
    </row>
    <row r="28" spans="1:56" ht="15" customHeight="1" x14ac:dyDescent="0.3">
      <c r="A28" s="54">
        <f>IF(B28="","",COUNTA($B$8:B28))</f>
        <v>21</v>
      </c>
      <c r="B28" s="18" t="s">
        <v>115</v>
      </c>
      <c r="C28" s="19"/>
      <c r="D28" s="19"/>
      <c r="E28" s="19"/>
      <c r="F28" s="19"/>
      <c r="G28" s="19"/>
      <c r="H28" s="19"/>
      <c r="I28" s="31" t="str">
        <f>VLOOKUP(B28,Sheet1!A:B,2,FALSE)</f>
        <v>update_datetime</v>
      </c>
      <c r="J28" s="21"/>
      <c r="K28" s="21"/>
      <c r="L28" s="21"/>
      <c r="M28" s="21"/>
      <c r="N28" s="21"/>
      <c r="O28" s="21"/>
      <c r="P28" s="21"/>
      <c r="Q28" s="21"/>
      <c r="R28" s="18" t="s">
        <v>115</v>
      </c>
      <c r="S28" s="19"/>
      <c r="T28" s="19"/>
      <c r="U28" s="19"/>
      <c r="V28" s="19"/>
      <c r="W28" s="19"/>
      <c r="X28" s="19"/>
      <c r="Y28" s="139" t="s">
        <v>87</v>
      </c>
      <c r="Z28" s="140"/>
      <c r="AA28" s="141" t="s">
        <v>109</v>
      </c>
      <c r="AB28" s="142"/>
      <c r="AC28" s="143"/>
      <c r="AD28" s="55"/>
      <c r="AE28" s="37"/>
      <c r="AF28" s="37"/>
      <c r="AG28" s="37"/>
      <c r="AH28" s="37"/>
      <c r="AI28" s="37"/>
      <c r="AJ28" s="37"/>
      <c r="AK28" s="37"/>
      <c r="AL28" s="37"/>
      <c r="AM28" s="37"/>
      <c r="AN28" s="37"/>
      <c r="AO28" s="38"/>
      <c r="AP28" s="38"/>
      <c r="AQ28" s="38"/>
      <c r="AR28" s="38"/>
      <c r="AS28" s="39"/>
      <c r="AT28" s="40"/>
      <c r="AU28" s="69"/>
      <c r="AV28" s="69"/>
      <c r="AW28" s="69"/>
      <c r="AX28" s="69"/>
      <c r="AY28" s="69"/>
      <c r="AZ28" s="69"/>
      <c r="BA28" s="69"/>
      <c r="BB28" s="69"/>
      <c r="BC28" s="69"/>
      <c r="BD28" s="70"/>
    </row>
    <row r="29" spans="1:56" ht="15" customHeight="1" x14ac:dyDescent="0.3">
      <c r="A29" s="54" t="str">
        <f>IF(B29="","",COUNTA($B$8:B29))</f>
        <v/>
      </c>
      <c r="B29" s="42"/>
      <c r="C29" s="41"/>
      <c r="D29" s="41"/>
      <c r="E29" s="41"/>
      <c r="F29" s="41"/>
      <c r="G29" s="41"/>
      <c r="H29" s="41"/>
      <c r="I29" s="42"/>
      <c r="J29" s="32"/>
      <c r="K29" s="32"/>
      <c r="L29" s="32"/>
      <c r="M29" s="32"/>
      <c r="N29" s="32"/>
      <c r="O29" s="32"/>
      <c r="P29" s="32"/>
      <c r="Q29" s="32"/>
      <c r="R29" s="42"/>
      <c r="S29" s="41"/>
      <c r="T29" s="41"/>
      <c r="U29" s="41"/>
      <c r="V29" s="41"/>
      <c r="W29" s="41"/>
      <c r="X29" s="41"/>
      <c r="Y29" s="139"/>
      <c r="Z29" s="140"/>
      <c r="AA29" s="141"/>
      <c r="AB29" s="142"/>
      <c r="AC29" s="143"/>
      <c r="AD29" s="72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42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68"/>
    </row>
    <row r="30" spans="1:56" ht="15" customHeight="1" x14ac:dyDescent="0.3">
      <c r="A30" s="54" t="str">
        <f>IF(B30="","",COUNTA($B$8:B30))</f>
        <v/>
      </c>
      <c r="B30" s="42"/>
      <c r="C30" s="41"/>
      <c r="D30" s="41"/>
      <c r="E30" s="41"/>
      <c r="F30" s="41"/>
      <c r="G30" s="41"/>
      <c r="H30" s="41"/>
      <c r="I30" s="42"/>
      <c r="J30" s="32"/>
      <c r="K30" s="32"/>
      <c r="L30" s="32"/>
      <c r="M30" s="32"/>
      <c r="N30" s="32"/>
      <c r="O30" s="32"/>
      <c r="P30" s="32"/>
      <c r="Q30" s="32"/>
      <c r="R30" s="42"/>
      <c r="S30" s="41"/>
      <c r="T30" s="41"/>
      <c r="U30" s="41"/>
      <c r="V30" s="41"/>
      <c r="W30" s="41"/>
      <c r="X30" s="41"/>
      <c r="Y30" s="139"/>
      <c r="Z30" s="140"/>
      <c r="AA30" s="141"/>
      <c r="AB30" s="142"/>
      <c r="AC30" s="143"/>
      <c r="AD30" s="72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42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68"/>
    </row>
    <row r="31" spans="1:56" ht="15" customHeight="1" x14ac:dyDescent="0.3">
      <c r="A31" s="54" t="str">
        <f>IF(B31="","",COUNTA($B$8:B31))</f>
        <v/>
      </c>
      <c r="B31" s="42"/>
      <c r="C31" s="41"/>
      <c r="D31" s="41"/>
      <c r="E31" s="41"/>
      <c r="F31" s="41"/>
      <c r="G31" s="41"/>
      <c r="H31" s="41"/>
      <c r="I31" s="42"/>
      <c r="J31" s="32"/>
      <c r="K31" s="32"/>
      <c r="L31" s="32"/>
      <c r="M31" s="32"/>
      <c r="N31" s="32"/>
      <c r="O31" s="32"/>
      <c r="P31" s="32"/>
      <c r="Q31" s="32"/>
      <c r="R31" s="42"/>
      <c r="S31" s="41"/>
      <c r="T31" s="41"/>
      <c r="U31" s="41"/>
      <c r="V31" s="41"/>
      <c r="W31" s="41"/>
      <c r="X31" s="41"/>
      <c r="Y31" s="139"/>
      <c r="Z31" s="140"/>
      <c r="AA31" s="141"/>
      <c r="AB31" s="142"/>
      <c r="AC31" s="143"/>
      <c r="AD31" s="72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42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68"/>
    </row>
    <row r="32" spans="1:56" ht="15" customHeight="1" x14ac:dyDescent="0.3">
      <c r="A32" s="54" t="str">
        <f>IF(B32="","",COUNTA($B$8:B32))</f>
        <v/>
      </c>
      <c r="B32" s="42"/>
      <c r="C32" s="41"/>
      <c r="D32" s="41"/>
      <c r="E32" s="41"/>
      <c r="F32" s="41"/>
      <c r="G32" s="41"/>
      <c r="H32" s="41"/>
      <c r="I32" s="42"/>
      <c r="J32" s="32"/>
      <c r="K32" s="32"/>
      <c r="L32" s="32"/>
      <c r="M32" s="32"/>
      <c r="N32" s="32"/>
      <c r="O32" s="32"/>
      <c r="P32" s="32"/>
      <c r="Q32" s="32"/>
      <c r="R32" s="42"/>
      <c r="S32" s="41"/>
      <c r="T32" s="41"/>
      <c r="U32" s="41"/>
      <c r="V32" s="41"/>
      <c r="W32" s="41"/>
      <c r="X32" s="41"/>
      <c r="Y32" s="139"/>
      <c r="Z32" s="140"/>
      <c r="AA32" s="141"/>
      <c r="AB32" s="142"/>
      <c r="AC32" s="143"/>
      <c r="AD32" s="72"/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42"/>
      <c r="AT32" s="43"/>
      <c r="AU32" s="43"/>
      <c r="AV32" s="43"/>
      <c r="AW32" s="43"/>
      <c r="AX32" s="43"/>
      <c r="AY32" s="43"/>
      <c r="AZ32" s="43"/>
      <c r="BA32" s="43"/>
      <c r="BB32" s="43"/>
      <c r="BC32" s="43"/>
      <c r="BD32" s="68"/>
    </row>
    <row r="33" spans="1:56" ht="15" customHeight="1" x14ac:dyDescent="0.3">
      <c r="A33" s="54" t="str">
        <f>IF(B33="","",COUNTA($B$8:B33))</f>
        <v/>
      </c>
      <c r="B33" s="42"/>
      <c r="C33" s="41"/>
      <c r="D33" s="41"/>
      <c r="E33" s="41"/>
      <c r="F33" s="41"/>
      <c r="G33" s="41"/>
      <c r="H33" s="41"/>
      <c r="I33" s="42"/>
      <c r="J33" s="32"/>
      <c r="K33" s="32"/>
      <c r="L33" s="32"/>
      <c r="M33" s="32"/>
      <c r="N33" s="32"/>
      <c r="O33" s="32"/>
      <c r="P33" s="32"/>
      <c r="Q33" s="32"/>
      <c r="R33" s="42"/>
      <c r="S33" s="41"/>
      <c r="T33" s="41"/>
      <c r="U33" s="41"/>
      <c r="V33" s="41"/>
      <c r="W33" s="41"/>
      <c r="X33" s="41"/>
      <c r="Y33" s="139"/>
      <c r="Z33" s="140"/>
      <c r="AA33" s="141"/>
      <c r="AB33" s="142"/>
      <c r="AC33" s="143"/>
      <c r="AD33" s="72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42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68"/>
    </row>
    <row r="34" spans="1:56" ht="15" customHeight="1" x14ac:dyDescent="0.3">
      <c r="A34" s="54" t="str">
        <f>IF(B34="","",COUNTA($B$8:B34))</f>
        <v/>
      </c>
      <c r="B34" s="42"/>
      <c r="C34" s="41"/>
      <c r="D34" s="41"/>
      <c r="E34" s="41"/>
      <c r="F34" s="41"/>
      <c r="G34" s="41"/>
      <c r="H34" s="41"/>
      <c r="I34" s="42"/>
      <c r="J34" s="32"/>
      <c r="K34" s="32"/>
      <c r="L34" s="32"/>
      <c r="M34" s="32"/>
      <c r="N34" s="32"/>
      <c r="O34" s="32"/>
      <c r="P34" s="32"/>
      <c r="Q34" s="32"/>
      <c r="R34" s="42"/>
      <c r="S34" s="41"/>
      <c r="T34" s="41"/>
      <c r="U34" s="41"/>
      <c r="V34" s="41"/>
      <c r="W34" s="41"/>
      <c r="X34" s="41"/>
      <c r="Y34" s="139"/>
      <c r="Z34" s="140"/>
      <c r="AA34" s="141"/>
      <c r="AB34" s="142"/>
      <c r="AC34" s="143"/>
      <c r="AD34" s="72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42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68"/>
    </row>
    <row r="35" spans="1:56" ht="15" customHeight="1" x14ac:dyDescent="0.3">
      <c r="A35" s="54" t="str">
        <f>IF(B35="","",COUNTA($B$8:B35))</f>
        <v/>
      </c>
      <c r="B35" s="42"/>
      <c r="C35" s="41"/>
      <c r="D35" s="41"/>
      <c r="E35" s="41"/>
      <c r="F35" s="41"/>
      <c r="G35" s="41"/>
      <c r="H35" s="41"/>
      <c r="I35" s="42"/>
      <c r="J35" s="32"/>
      <c r="K35" s="32"/>
      <c r="L35" s="32"/>
      <c r="M35" s="32"/>
      <c r="N35" s="32"/>
      <c r="O35" s="32"/>
      <c r="P35" s="32"/>
      <c r="Q35" s="32"/>
      <c r="R35" s="42"/>
      <c r="S35" s="41"/>
      <c r="T35" s="41"/>
      <c r="U35" s="41"/>
      <c r="V35" s="41"/>
      <c r="W35" s="41"/>
      <c r="X35" s="41"/>
      <c r="Y35" s="139"/>
      <c r="Z35" s="140"/>
      <c r="AA35" s="141"/>
      <c r="AB35" s="142"/>
      <c r="AC35" s="143"/>
      <c r="AD35" s="72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42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68"/>
    </row>
    <row r="36" spans="1:56" ht="15" customHeight="1" x14ac:dyDescent="0.3">
      <c r="A36" s="54" t="str">
        <f>IF(B36="","",COUNTA($B$8:B36))</f>
        <v/>
      </c>
      <c r="B36" s="42"/>
      <c r="C36" s="41"/>
      <c r="D36" s="41"/>
      <c r="E36" s="41"/>
      <c r="F36" s="41"/>
      <c r="G36" s="41"/>
      <c r="H36" s="41"/>
      <c r="I36" s="42"/>
      <c r="J36" s="32"/>
      <c r="K36" s="32"/>
      <c r="L36" s="32"/>
      <c r="M36" s="32"/>
      <c r="N36" s="32"/>
      <c r="O36" s="32"/>
      <c r="P36" s="32"/>
      <c r="Q36" s="32"/>
      <c r="R36" s="42"/>
      <c r="S36" s="41"/>
      <c r="T36" s="41"/>
      <c r="U36" s="41"/>
      <c r="V36" s="41"/>
      <c r="W36" s="41"/>
      <c r="X36" s="41"/>
      <c r="Y36" s="139"/>
      <c r="Z36" s="140"/>
      <c r="AA36" s="141"/>
      <c r="AB36" s="142"/>
      <c r="AC36" s="143"/>
      <c r="AD36" s="72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42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68"/>
    </row>
    <row r="37" spans="1:56" ht="15" customHeight="1" x14ac:dyDescent="0.3">
      <c r="A37" s="54" t="str">
        <f>IF(B37="","",COUNTA($B$8:B37))</f>
        <v/>
      </c>
      <c r="B37" s="42"/>
      <c r="C37" s="41"/>
      <c r="D37" s="41"/>
      <c r="E37" s="41"/>
      <c r="F37" s="41"/>
      <c r="G37" s="41"/>
      <c r="H37" s="41"/>
      <c r="I37" s="42"/>
      <c r="J37" s="32"/>
      <c r="K37" s="32"/>
      <c r="L37" s="32"/>
      <c r="M37" s="32"/>
      <c r="N37" s="32"/>
      <c r="O37" s="32"/>
      <c r="P37" s="32"/>
      <c r="Q37" s="32"/>
      <c r="R37" s="42"/>
      <c r="S37" s="41"/>
      <c r="T37" s="41"/>
      <c r="U37" s="41"/>
      <c r="V37" s="41"/>
      <c r="W37" s="41"/>
      <c r="X37" s="41"/>
      <c r="Y37" s="139"/>
      <c r="Z37" s="140"/>
      <c r="AA37" s="141"/>
      <c r="AB37" s="142"/>
      <c r="AC37" s="143"/>
      <c r="AD37" s="72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42"/>
      <c r="AT37" s="43"/>
      <c r="AU37" s="43"/>
      <c r="AV37" s="43"/>
      <c r="AW37" s="43"/>
      <c r="AX37" s="43"/>
      <c r="AY37" s="43"/>
      <c r="AZ37" s="43"/>
      <c r="BA37" s="43"/>
      <c r="BB37" s="43"/>
      <c r="BC37" s="43"/>
      <c r="BD37" s="68"/>
    </row>
    <row r="38" spans="1:56" ht="15" customHeight="1" x14ac:dyDescent="0.3">
      <c r="A38" s="54" t="str">
        <f>IF(B38="","",COUNTA($B$8:B38))</f>
        <v/>
      </c>
      <c r="B38" s="42"/>
      <c r="C38" s="41"/>
      <c r="D38" s="41"/>
      <c r="E38" s="41"/>
      <c r="F38" s="41"/>
      <c r="G38" s="41"/>
      <c r="H38" s="41"/>
      <c r="I38" s="42"/>
      <c r="J38" s="32"/>
      <c r="K38" s="32"/>
      <c r="L38" s="32"/>
      <c r="M38" s="32"/>
      <c r="N38" s="32"/>
      <c r="O38" s="32"/>
      <c r="P38" s="32"/>
      <c r="Q38" s="32"/>
      <c r="R38" s="42"/>
      <c r="S38" s="41"/>
      <c r="T38" s="41"/>
      <c r="U38" s="41"/>
      <c r="V38" s="41"/>
      <c r="W38" s="41"/>
      <c r="X38" s="41"/>
      <c r="Y38" s="139"/>
      <c r="Z38" s="140"/>
      <c r="AA38" s="141"/>
      <c r="AB38" s="142"/>
      <c r="AC38" s="143"/>
      <c r="AD38" s="72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42"/>
      <c r="AT38" s="43"/>
      <c r="AU38" s="43"/>
      <c r="AV38" s="43"/>
      <c r="AW38" s="43"/>
      <c r="AX38" s="43"/>
      <c r="AY38" s="43"/>
      <c r="AZ38" s="43"/>
      <c r="BA38" s="43"/>
      <c r="BB38" s="43"/>
      <c r="BC38" s="43"/>
      <c r="BD38" s="68"/>
    </row>
    <row r="39" spans="1:56" ht="15" customHeight="1" x14ac:dyDescent="0.3">
      <c r="A39" s="54" t="str">
        <f>IF(B39="","",COUNTA($B$8:B39))</f>
        <v/>
      </c>
      <c r="B39" s="42"/>
      <c r="C39" s="41"/>
      <c r="D39" s="41"/>
      <c r="E39" s="41"/>
      <c r="F39" s="41"/>
      <c r="G39" s="41"/>
      <c r="H39" s="41"/>
      <c r="I39" s="42"/>
      <c r="J39" s="32"/>
      <c r="K39" s="32"/>
      <c r="L39" s="32"/>
      <c r="M39" s="32"/>
      <c r="N39" s="32"/>
      <c r="O39" s="32"/>
      <c r="P39" s="32"/>
      <c r="Q39" s="32"/>
      <c r="R39" s="42"/>
      <c r="S39" s="41"/>
      <c r="T39" s="41"/>
      <c r="U39" s="41"/>
      <c r="V39" s="41"/>
      <c r="W39" s="41"/>
      <c r="X39" s="41"/>
      <c r="Y39" s="139"/>
      <c r="Z39" s="140"/>
      <c r="AA39" s="141"/>
      <c r="AB39" s="142"/>
      <c r="AC39" s="143"/>
      <c r="AD39" s="72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42"/>
      <c r="AT39" s="43"/>
      <c r="AU39" s="43"/>
      <c r="AV39" s="43"/>
      <c r="AW39" s="43"/>
      <c r="AX39" s="43"/>
      <c r="AY39" s="43"/>
      <c r="AZ39" s="43"/>
      <c r="BA39" s="43"/>
      <c r="BB39" s="43"/>
      <c r="BC39" s="43"/>
      <c r="BD39" s="68"/>
    </row>
    <row r="40" spans="1:56" ht="15" customHeight="1" x14ac:dyDescent="0.3">
      <c r="A40" s="54" t="str">
        <f>IF(B40="","",COUNTA($B$8:B40))</f>
        <v/>
      </c>
      <c r="B40" s="42"/>
      <c r="C40" s="41"/>
      <c r="D40" s="41"/>
      <c r="E40" s="41"/>
      <c r="F40" s="41"/>
      <c r="G40" s="41"/>
      <c r="H40" s="41"/>
      <c r="I40" s="42"/>
      <c r="J40" s="32"/>
      <c r="K40" s="32"/>
      <c r="L40" s="32"/>
      <c r="M40" s="32"/>
      <c r="N40" s="32"/>
      <c r="O40" s="32"/>
      <c r="P40" s="32"/>
      <c r="Q40" s="32"/>
      <c r="R40" s="42"/>
      <c r="S40" s="41"/>
      <c r="T40" s="41"/>
      <c r="U40" s="41"/>
      <c r="V40" s="41"/>
      <c r="W40" s="41"/>
      <c r="X40" s="41"/>
      <c r="Y40" s="139"/>
      <c r="Z40" s="140"/>
      <c r="AA40" s="141"/>
      <c r="AB40" s="142"/>
      <c r="AC40" s="143"/>
      <c r="AD40" s="72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42"/>
      <c r="AT40" s="43"/>
      <c r="AU40" s="43"/>
      <c r="AV40" s="43"/>
      <c r="AW40" s="43"/>
      <c r="AX40" s="43"/>
      <c r="AY40" s="43"/>
      <c r="AZ40" s="43"/>
      <c r="BA40" s="43"/>
      <c r="BB40" s="43"/>
      <c r="BC40" s="43"/>
      <c r="BD40" s="68"/>
    </row>
    <row r="41" spans="1:56" ht="15" customHeight="1" x14ac:dyDescent="0.3">
      <c r="A41" s="54" t="str">
        <f>IF(B41="","",COUNTA($B$8:B41))</f>
        <v/>
      </c>
      <c r="B41" s="42"/>
      <c r="C41" s="41"/>
      <c r="D41" s="41"/>
      <c r="E41" s="41"/>
      <c r="F41" s="41"/>
      <c r="G41" s="41"/>
      <c r="H41" s="41"/>
      <c r="I41" s="42"/>
      <c r="J41" s="32"/>
      <c r="K41" s="32"/>
      <c r="L41" s="32"/>
      <c r="M41" s="32"/>
      <c r="N41" s="32"/>
      <c r="O41" s="32"/>
      <c r="P41" s="32"/>
      <c r="Q41" s="32"/>
      <c r="R41" s="42"/>
      <c r="S41" s="41"/>
      <c r="T41" s="41"/>
      <c r="U41" s="41"/>
      <c r="V41" s="41"/>
      <c r="W41" s="41"/>
      <c r="X41" s="41"/>
      <c r="Y41" s="139"/>
      <c r="Z41" s="140"/>
      <c r="AA41" s="141"/>
      <c r="AB41" s="142"/>
      <c r="AC41" s="143"/>
      <c r="AD41" s="72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42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68"/>
    </row>
    <row r="42" spans="1:56" ht="15" customHeight="1" x14ac:dyDescent="0.3">
      <c r="A42" s="54" t="str">
        <f>IF(B42="","",COUNTA($B$8:B42))</f>
        <v/>
      </c>
      <c r="B42" s="42"/>
      <c r="C42" s="41"/>
      <c r="D42" s="41"/>
      <c r="E42" s="41"/>
      <c r="F42" s="41"/>
      <c r="G42" s="41"/>
      <c r="H42" s="41"/>
      <c r="I42" s="42"/>
      <c r="J42" s="32"/>
      <c r="K42" s="32"/>
      <c r="L42" s="32"/>
      <c r="M42" s="32"/>
      <c r="N42" s="32"/>
      <c r="O42" s="32"/>
      <c r="P42" s="32"/>
      <c r="Q42" s="32"/>
      <c r="R42" s="42"/>
      <c r="S42" s="41"/>
      <c r="T42" s="41"/>
      <c r="U42" s="41"/>
      <c r="V42" s="41"/>
      <c r="W42" s="41"/>
      <c r="X42" s="41"/>
      <c r="Y42" s="139"/>
      <c r="Z42" s="140"/>
      <c r="AA42" s="141"/>
      <c r="AB42" s="142"/>
      <c r="AC42" s="143"/>
      <c r="AD42" s="72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42"/>
      <c r="AT42" s="43"/>
      <c r="AU42" s="43"/>
      <c r="AV42" s="43"/>
      <c r="AW42" s="43"/>
      <c r="AX42" s="43"/>
      <c r="AY42" s="43"/>
      <c r="AZ42" s="43"/>
      <c r="BA42" s="43"/>
      <c r="BB42" s="43"/>
      <c r="BC42" s="43"/>
      <c r="BD42" s="68"/>
    </row>
    <row r="43" spans="1:56" ht="15" customHeight="1" x14ac:dyDescent="0.3">
      <c r="A43" s="54" t="str">
        <f>IF(B43="","",COUNTA($B$8:B43))</f>
        <v/>
      </c>
      <c r="B43" s="42"/>
      <c r="C43" s="41"/>
      <c r="D43" s="41"/>
      <c r="E43" s="41"/>
      <c r="F43" s="41"/>
      <c r="G43" s="41"/>
      <c r="H43" s="41"/>
      <c r="I43" s="42"/>
      <c r="J43" s="32"/>
      <c r="K43" s="32"/>
      <c r="L43" s="32"/>
      <c r="M43" s="32"/>
      <c r="N43" s="32"/>
      <c r="O43" s="32"/>
      <c r="P43" s="32"/>
      <c r="Q43" s="32"/>
      <c r="R43" s="42"/>
      <c r="S43" s="41"/>
      <c r="T43" s="41"/>
      <c r="U43" s="41"/>
      <c r="V43" s="41"/>
      <c r="W43" s="41"/>
      <c r="X43" s="41"/>
      <c r="Y43" s="139"/>
      <c r="Z43" s="140"/>
      <c r="AA43" s="141"/>
      <c r="AB43" s="142"/>
      <c r="AC43" s="143"/>
      <c r="AD43" s="72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42"/>
      <c r="AT43" s="43"/>
      <c r="AU43" s="43"/>
      <c r="AV43" s="43"/>
      <c r="AW43" s="43"/>
      <c r="AX43" s="43"/>
      <c r="AY43" s="43"/>
      <c r="AZ43" s="43"/>
      <c r="BA43" s="43"/>
      <c r="BB43" s="43"/>
      <c r="BC43" s="43"/>
      <c r="BD43" s="68"/>
    </row>
    <row r="44" spans="1:56" ht="15" customHeight="1" x14ac:dyDescent="0.3">
      <c r="A44" s="54" t="str">
        <f>IF(B44="","",COUNTA($B$8:B44))</f>
        <v/>
      </c>
      <c r="B44" s="28"/>
      <c r="C44" s="41"/>
      <c r="D44" s="41"/>
      <c r="E44" s="41"/>
      <c r="F44" s="41"/>
      <c r="G44" s="41"/>
      <c r="H44" s="41"/>
      <c r="I44" s="20"/>
      <c r="J44" s="32"/>
      <c r="K44" s="32"/>
      <c r="L44" s="32"/>
      <c r="M44" s="32"/>
      <c r="N44" s="32"/>
      <c r="O44" s="32"/>
      <c r="P44" s="32"/>
      <c r="Q44" s="32"/>
      <c r="R44" s="28"/>
      <c r="S44" s="41"/>
      <c r="T44" s="41"/>
      <c r="U44" s="41"/>
      <c r="V44" s="41"/>
      <c r="W44" s="41"/>
      <c r="X44" s="41"/>
      <c r="Y44" s="139"/>
      <c r="Z44" s="140"/>
      <c r="AA44" s="141"/>
      <c r="AB44" s="142"/>
      <c r="AC44" s="143"/>
      <c r="AD44" s="55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8"/>
      <c r="AT44" s="69"/>
      <c r="AU44" s="69"/>
      <c r="AV44" s="69"/>
      <c r="AW44" s="69"/>
      <c r="AX44" s="69"/>
      <c r="AY44" s="69"/>
      <c r="AZ44" s="69"/>
      <c r="BA44" s="69"/>
      <c r="BB44" s="69"/>
      <c r="BC44" s="69"/>
      <c r="BD44" s="70"/>
    </row>
  </sheetData>
  <mergeCells count="100">
    <mergeCell ref="AS6:BD7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U4:AY4"/>
    <mergeCell ref="AG6:AG7"/>
    <mergeCell ref="AH6:AH7"/>
    <mergeCell ref="AI6:AR6"/>
    <mergeCell ref="Y8:Z8"/>
    <mergeCell ref="AA8:AC8"/>
    <mergeCell ref="Y12:Z12"/>
    <mergeCell ref="AA12:AC12"/>
    <mergeCell ref="Y10:Z10"/>
    <mergeCell ref="AA10:AC10"/>
    <mergeCell ref="Y11:Z11"/>
    <mergeCell ref="AA11:AC11"/>
    <mergeCell ref="Y9:Z9"/>
    <mergeCell ref="AA9:AC9"/>
    <mergeCell ref="AA17:AC17"/>
    <mergeCell ref="AA18:AC18"/>
    <mergeCell ref="AA19:AC19"/>
    <mergeCell ref="AA20:AC20"/>
    <mergeCell ref="Y13:Z13"/>
    <mergeCell ref="AA13:AC13"/>
    <mergeCell ref="AA14:AC14"/>
    <mergeCell ref="AA15:AC15"/>
    <mergeCell ref="Y16:Z16"/>
    <mergeCell ref="AA16:AC16"/>
    <mergeCell ref="Y24:Z24"/>
    <mergeCell ref="AA24:AC24"/>
    <mergeCell ref="Y25:Z25"/>
    <mergeCell ref="AA25:AC25"/>
    <mergeCell ref="Y26:Z26"/>
    <mergeCell ref="AA26:AC26"/>
    <mergeCell ref="Y21:Z21"/>
    <mergeCell ref="AA21:AC21"/>
    <mergeCell ref="Y22:Z22"/>
    <mergeCell ref="AA22:AC22"/>
    <mergeCell ref="Y23:Z23"/>
    <mergeCell ref="AA23:AC23"/>
    <mergeCell ref="Y44:Z44"/>
    <mergeCell ref="AA44:AC44"/>
    <mergeCell ref="Y29:Z29"/>
    <mergeCell ref="AA29:AC29"/>
    <mergeCell ref="Y30:Z30"/>
    <mergeCell ref="AA30:AC30"/>
    <mergeCell ref="Y35:Z35"/>
    <mergeCell ref="AA35:AC35"/>
    <mergeCell ref="Y43:Z43"/>
    <mergeCell ref="AA43:AC43"/>
    <mergeCell ref="Y42:Z42"/>
    <mergeCell ref="AA42:AC42"/>
    <mergeCell ref="Y36:Z36"/>
    <mergeCell ref="AA36:AC36"/>
    <mergeCell ref="Y37:Z37"/>
    <mergeCell ref="AA37:AC37"/>
    <mergeCell ref="Y39:Z39"/>
    <mergeCell ref="AA39:AC39"/>
    <mergeCell ref="Y40:Z40"/>
    <mergeCell ref="AA40:AC40"/>
    <mergeCell ref="Y41:Z41"/>
    <mergeCell ref="AA41:AC41"/>
    <mergeCell ref="Y27:Z27"/>
    <mergeCell ref="AA27:AC27"/>
    <mergeCell ref="Y28:Z28"/>
    <mergeCell ref="AA28:AC28"/>
    <mergeCell ref="Y31:Z31"/>
    <mergeCell ref="AA31:AC31"/>
    <mergeCell ref="Y32:Z32"/>
    <mergeCell ref="AA32:AC32"/>
    <mergeCell ref="Y38:Z38"/>
    <mergeCell ref="AA38:AC38"/>
    <mergeCell ref="Y33:Z33"/>
    <mergeCell ref="AA33:AC33"/>
    <mergeCell ref="Y34:Z34"/>
    <mergeCell ref="AA34:AC34"/>
  </mergeCells>
  <phoneticPr fontId="4"/>
  <dataValidations count="3">
    <dataValidation type="list" allowBlank="1" showInputMessage="1" showErrorMessage="1" sqref="AA21:AC22 AA8:AA20 AA23:AA44" xr:uid="{00000000-0002-0000-0400-000000000000}">
      <formula1>"datetime,int,numeric,varchar,nvarchar"</formula1>
    </dataValidation>
    <dataValidation imeMode="hiragana" allowBlank="1" showInputMessage="1" showErrorMessage="1" sqref="JG65519:JR65521 TC65519:TN65521 ACY65519:ADJ65521 AMU65519:ANF65521 AWQ65519:AXB65521 BGM65519:BGX65521 BQI65519:BQT65521 CAE65519:CAP65521 CKA65519:CKL65521 CTW65519:CUH65521 DDS65519:DED65521 DNO65519:DNZ65521 DXK65519:DXV65521 EHG65519:EHR65521 ERC65519:ERN65521 FAY65519:FBJ65521 FKU65519:FLF65521 FUQ65519:FVB65521 GEM65519:GEX65521 GOI65519:GOT65521 GYE65519:GYP65521 HIA65519:HIL65521 HRW65519:HSH65521 IBS65519:ICD65521 ILO65519:ILZ65521 IVK65519:IVV65521 JFG65519:JFR65521 JPC65519:JPN65521 JYY65519:JZJ65521 KIU65519:KJF65521 KSQ65519:KTB65521 LCM65519:LCX65521 LMI65519:LMT65521 LWE65519:LWP65521 MGA65519:MGL65521 MPW65519:MQH65521 MZS65519:NAD65521 NJO65519:NJZ65521 NTK65519:NTV65521 ODG65519:ODR65521 ONC65519:ONN65521 OWY65519:OXJ65521 PGU65519:PHF65521 PQQ65519:PRB65521 QAM65519:QAX65521 QKI65519:QKT65521 QUE65519:QUP65521 REA65519:REL65521 RNW65519:ROH65521 RXS65519:RYD65521 SHO65519:SHZ65521 SRK65519:SRV65521 TBG65519:TBR65521 TLC65519:TLN65521 TUY65519:TVJ65521 UEU65519:UFF65521 UOQ65519:UPB65521 UYM65519:UYX65521 VII65519:VIT65521 VSE65519:VSP65521 WCA65519:WCL65521 WLW65519:WMH65521 WVS65519:WWD65521 JG131055:JR131057 TC131055:TN131057 ACY131055:ADJ131057 AMU131055:ANF131057 AWQ131055:AXB131057 BGM131055:BGX131057 BQI131055:BQT131057 CAE131055:CAP131057 CKA131055:CKL131057 CTW131055:CUH131057 DDS131055:DED131057 DNO131055:DNZ131057 DXK131055:DXV131057 EHG131055:EHR131057 ERC131055:ERN131057 FAY131055:FBJ131057 FKU131055:FLF131057 FUQ131055:FVB131057 GEM131055:GEX131057 GOI131055:GOT131057 GYE131055:GYP131057 HIA131055:HIL131057 HRW131055:HSH131057 IBS131055:ICD131057 ILO131055:ILZ131057 IVK131055:IVV131057 JFG131055:JFR131057 JPC131055:JPN131057 JYY131055:JZJ131057 KIU131055:KJF131057 KSQ131055:KTB131057 LCM131055:LCX131057 LMI131055:LMT131057 LWE131055:LWP131057 MGA131055:MGL131057 MPW131055:MQH131057 MZS131055:NAD131057 NJO131055:NJZ131057 NTK131055:NTV131057 ODG131055:ODR131057 ONC131055:ONN131057 OWY131055:OXJ131057 PGU131055:PHF131057 PQQ131055:PRB131057 QAM131055:QAX131057 QKI131055:QKT131057 QUE131055:QUP131057 REA131055:REL131057 RNW131055:ROH131057 RXS131055:RYD131057 SHO131055:SHZ131057 SRK131055:SRV131057 TBG131055:TBR131057 TLC131055:TLN131057 TUY131055:TVJ131057 UEU131055:UFF131057 UOQ131055:UPB131057 UYM131055:UYX131057 VII131055:VIT131057 VSE131055:VSP131057 WCA131055:WCL131057 WLW131055:WMH131057 WVS131055:WWD131057 JG196591:JR196593 TC196591:TN196593 ACY196591:ADJ196593 AMU196591:ANF196593 AWQ196591:AXB196593 BGM196591:BGX196593 BQI196591:BQT196593 CAE196591:CAP196593 CKA196591:CKL196593 CTW196591:CUH196593 DDS196591:DED196593 DNO196591:DNZ196593 DXK196591:DXV196593 EHG196591:EHR196593 ERC196591:ERN196593 FAY196591:FBJ196593 FKU196591:FLF196593 FUQ196591:FVB196593 GEM196591:GEX196593 GOI196591:GOT196593 GYE196591:GYP196593 HIA196591:HIL196593 HRW196591:HSH196593 IBS196591:ICD196593 ILO196591:ILZ196593 IVK196591:IVV196593 JFG196591:JFR196593 JPC196591:JPN196593 JYY196591:JZJ196593 KIU196591:KJF196593 KSQ196591:KTB196593 LCM196591:LCX196593 LMI196591:LMT196593 LWE196591:LWP196593 MGA196591:MGL196593 MPW196591:MQH196593 MZS196591:NAD196593 NJO196591:NJZ196593 NTK196591:NTV196593 ODG196591:ODR196593 ONC196591:ONN196593 OWY196591:OXJ196593 PGU196591:PHF196593 PQQ196591:PRB196593 QAM196591:QAX196593 QKI196591:QKT196593 QUE196591:QUP196593 REA196591:REL196593 RNW196591:ROH196593 RXS196591:RYD196593 SHO196591:SHZ196593 SRK196591:SRV196593 TBG196591:TBR196593 TLC196591:TLN196593 TUY196591:TVJ196593 UEU196591:UFF196593 UOQ196591:UPB196593 UYM196591:UYX196593 VII196591:VIT196593 VSE196591:VSP196593 WCA196591:WCL196593 WLW196591:WMH196593 WVS196591:WWD196593 JG262127:JR262129 TC262127:TN262129 ACY262127:ADJ262129 AMU262127:ANF262129 AWQ262127:AXB262129 BGM262127:BGX262129 BQI262127:BQT262129 CAE262127:CAP262129 CKA262127:CKL262129 CTW262127:CUH262129 DDS262127:DED262129 DNO262127:DNZ262129 DXK262127:DXV262129 EHG262127:EHR262129 ERC262127:ERN262129 FAY262127:FBJ262129 FKU262127:FLF262129 FUQ262127:FVB262129 GEM262127:GEX262129 GOI262127:GOT262129 GYE262127:GYP262129 HIA262127:HIL262129 HRW262127:HSH262129 IBS262127:ICD262129 ILO262127:ILZ262129 IVK262127:IVV262129 JFG262127:JFR262129 JPC262127:JPN262129 JYY262127:JZJ262129 KIU262127:KJF262129 KSQ262127:KTB262129 LCM262127:LCX262129 LMI262127:LMT262129 LWE262127:LWP262129 MGA262127:MGL262129 MPW262127:MQH262129 MZS262127:NAD262129 NJO262127:NJZ262129 NTK262127:NTV262129 ODG262127:ODR262129 ONC262127:ONN262129 OWY262127:OXJ262129 PGU262127:PHF262129 PQQ262127:PRB262129 QAM262127:QAX262129 QKI262127:QKT262129 QUE262127:QUP262129 REA262127:REL262129 RNW262127:ROH262129 RXS262127:RYD262129 SHO262127:SHZ262129 SRK262127:SRV262129 TBG262127:TBR262129 TLC262127:TLN262129 TUY262127:TVJ262129 UEU262127:UFF262129 UOQ262127:UPB262129 UYM262127:UYX262129 VII262127:VIT262129 VSE262127:VSP262129 WCA262127:WCL262129 WLW262127:WMH262129 WVS262127:WWD262129 JG327663:JR327665 TC327663:TN327665 ACY327663:ADJ327665 AMU327663:ANF327665 AWQ327663:AXB327665 BGM327663:BGX327665 BQI327663:BQT327665 CAE327663:CAP327665 CKA327663:CKL327665 CTW327663:CUH327665 DDS327663:DED327665 DNO327663:DNZ327665 DXK327663:DXV327665 EHG327663:EHR327665 ERC327663:ERN327665 FAY327663:FBJ327665 FKU327663:FLF327665 FUQ327663:FVB327665 GEM327663:GEX327665 GOI327663:GOT327665 GYE327663:GYP327665 HIA327663:HIL327665 HRW327663:HSH327665 IBS327663:ICD327665 ILO327663:ILZ327665 IVK327663:IVV327665 JFG327663:JFR327665 JPC327663:JPN327665 JYY327663:JZJ327665 KIU327663:KJF327665 KSQ327663:KTB327665 LCM327663:LCX327665 LMI327663:LMT327665 LWE327663:LWP327665 MGA327663:MGL327665 MPW327663:MQH327665 MZS327663:NAD327665 NJO327663:NJZ327665 NTK327663:NTV327665 ODG327663:ODR327665 ONC327663:ONN327665 OWY327663:OXJ327665 PGU327663:PHF327665 PQQ327663:PRB327665 QAM327663:QAX327665 QKI327663:QKT327665 QUE327663:QUP327665 REA327663:REL327665 RNW327663:ROH327665 RXS327663:RYD327665 SHO327663:SHZ327665 SRK327663:SRV327665 TBG327663:TBR327665 TLC327663:TLN327665 TUY327663:TVJ327665 UEU327663:UFF327665 UOQ327663:UPB327665 UYM327663:UYX327665 VII327663:VIT327665 VSE327663:VSP327665 WCA327663:WCL327665 WLW327663:WMH327665 WVS327663:WWD327665 JG393199:JR393201 TC393199:TN393201 ACY393199:ADJ393201 AMU393199:ANF393201 AWQ393199:AXB393201 BGM393199:BGX393201 BQI393199:BQT393201 CAE393199:CAP393201 CKA393199:CKL393201 CTW393199:CUH393201 DDS393199:DED393201 DNO393199:DNZ393201 DXK393199:DXV393201 EHG393199:EHR393201 ERC393199:ERN393201 FAY393199:FBJ393201 FKU393199:FLF393201 FUQ393199:FVB393201 GEM393199:GEX393201 GOI393199:GOT393201 GYE393199:GYP393201 HIA393199:HIL393201 HRW393199:HSH393201 IBS393199:ICD393201 ILO393199:ILZ393201 IVK393199:IVV393201 JFG393199:JFR393201 JPC393199:JPN393201 JYY393199:JZJ393201 KIU393199:KJF393201 KSQ393199:KTB393201 LCM393199:LCX393201 LMI393199:LMT393201 LWE393199:LWP393201 MGA393199:MGL393201 MPW393199:MQH393201 MZS393199:NAD393201 NJO393199:NJZ393201 NTK393199:NTV393201 ODG393199:ODR393201 ONC393199:ONN393201 OWY393199:OXJ393201 PGU393199:PHF393201 PQQ393199:PRB393201 QAM393199:QAX393201 QKI393199:QKT393201 QUE393199:QUP393201 REA393199:REL393201 RNW393199:ROH393201 RXS393199:RYD393201 SHO393199:SHZ393201 SRK393199:SRV393201 TBG393199:TBR393201 TLC393199:TLN393201 TUY393199:TVJ393201 UEU393199:UFF393201 UOQ393199:UPB393201 UYM393199:UYX393201 VII393199:VIT393201 VSE393199:VSP393201 WCA393199:WCL393201 WLW393199:WMH393201 WVS393199:WWD393201 JG458735:JR458737 TC458735:TN458737 ACY458735:ADJ458737 AMU458735:ANF458737 AWQ458735:AXB458737 BGM458735:BGX458737 BQI458735:BQT458737 CAE458735:CAP458737 CKA458735:CKL458737 CTW458735:CUH458737 DDS458735:DED458737 DNO458735:DNZ458737 DXK458735:DXV458737 EHG458735:EHR458737 ERC458735:ERN458737 FAY458735:FBJ458737 FKU458735:FLF458737 FUQ458735:FVB458737 GEM458735:GEX458737 GOI458735:GOT458737 GYE458735:GYP458737 HIA458735:HIL458737 HRW458735:HSH458737 IBS458735:ICD458737 ILO458735:ILZ458737 IVK458735:IVV458737 JFG458735:JFR458737 JPC458735:JPN458737 JYY458735:JZJ458737 KIU458735:KJF458737 KSQ458735:KTB458737 LCM458735:LCX458737 LMI458735:LMT458737 LWE458735:LWP458737 MGA458735:MGL458737 MPW458735:MQH458737 MZS458735:NAD458737 NJO458735:NJZ458737 NTK458735:NTV458737 ODG458735:ODR458737 ONC458735:ONN458737 OWY458735:OXJ458737 PGU458735:PHF458737 PQQ458735:PRB458737 QAM458735:QAX458737 QKI458735:QKT458737 QUE458735:QUP458737 REA458735:REL458737 RNW458735:ROH458737 RXS458735:RYD458737 SHO458735:SHZ458737 SRK458735:SRV458737 TBG458735:TBR458737 TLC458735:TLN458737 TUY458735:TVJ458737 UEU458735:UFF458737 UOQ458735:UPB458737 UYM458735:UYX458737 VII458735:VIT458737 VSE458735:VSP458737 WCA458735:WCL458737 WLW458735:WMH458737 WVS458735:WWD458737 JG524271:JR524273 TC524271:TN524273 ACY524271:ADJ524273 AMU524271:ANF524273 AWQ524271:AXB524273 BGM524271:BGX524273 BQI524271:BQT524273 CAE524271:CAP524273 CKA524271:CKL524273 CTW524271:CUH524273 DDS524271:DED524273 DNO524271:DNZ524273 DXK524271:DXV524273 EHG524271:EHR524273 ERC524271:ERN524273 FAY524271:FBJ524273 FKU524271:FLF524273 FUQ524271:FVB524273 GEM524271:GEX524273 GOI524271:GOT524273 GYE524271:GYP524273 HIA524271:HIL524273 HRW524271:HSH524273 IBS524271:ICD524273 ILO524271:ILZ524273 IVK524271:IVV524273 JFG524271:JFR524273 JPC524271:JPN524273 JYY524271:JZJ524273 KIU524271:KJF524273 KSQ524271:KTB524273 LCM524271:LCX524273 LMI524271:LMT524273 LWE524271:LWP524273 MGA524271:MGL524273 MPW524271:MQH524273 MZS524271:NAD524273 NJO524271:NJZ524273 NTK524271:NTV524273 ODG524271:ODR524273 ONC524271:ONN524273 OWY524271:OXJ524273 PGU524271:PHF524273 PQQ524271:PRB524273 QAM524271:QAX524273 QKI524271:QKT524273 QUE524271:QUP524273 REA524271:REL524273 RNW524271:ROH524273 RXS524271:RYD524273 SHO524271:SHZ524273 SRK524271:SRV524273 TBG524271:TBR524273 TLC524271:TLN524273 TUY524271:TVJ524273 UEU524271:UFF524273 UOQ524271:UPB524273 UYM524271:UYX524273 VII524271:VIT524273 VSE524271:VSP524273 WCA524271:WCL524273 WLW524271:WMH524273 WVS524271:WWD524273 JG589807:JR589809 TC589807:TN589809 ACY589807:ADJ589809 AMU589807:ANF589809 AWQ589807:AXB589809 BGM589807:BGX589809 BQI589807:BQT589809 CAE589807:CAP589809 CKA589807:CKL589809 CTW589807:CUH589809 DDS589807:DED589809 DNO589807:DNZ589809 DXK589807:DXV589809 EHG589807:EHR589809 ERC589807:ERN589809 FAY589807:FBJ589809 FKU589807:FLF589809 FUQ589807:FVB589809 GEM589807:GEX589809 GOI589807:GOT589809 GYE589807:GYP589809 HIA589807:HIL589809 HRW589807:HSH589809 IBS589807:ICD589809 ILO589807:ILZ589809 IVK589807:IVV589809 JFG589807:JFR589809 JPC589807:JPN589809 JYY589807:JZJ589809 KIU589807:KJF589809 KSQ589807:KTB589809 LCM589807:LCX589809 LMI589807:LMT589809 LWE589807:LWP589809 MGA589807:MGL589809 MPW589807:MQH589809 MZS589807:NAD589809 NJO589807:NJZ589809 NTK589807:NTV589809 ODG589807:ODR589809 ONC589807:ONN589809 OWY589807:OXJ589809 PGU589807:PHF589809 PQQ589807:PRB589809 QAM589807:QAX589809 QKI589807:QKT589809 QUE589807:QUP589809 REA589807:REL589809 RNW589807:ROH589809 RXS589807:RYD589809 SHO589807:SHZ589809 SRK589807:SRV589809 TBG589807:TBR589809 TLC589807:TLN589809 TUY589807:TVJ589809 UEU589807:UFF589809 UOQ589807:UPB589809 UYM589807:UYX589809 VII589807:VIT589809 VSE589807:VSP589809 WCA589807:WCL589809 WLW589807:WMH589809 WVS589807:WWD589809 JG655343:JR655345 TC655343:TN655345 ACY655343:ADJ655345 AMU655343:ANF655345 AWQ655343:AXB655345 BGM655343:BGX655345 BQI655343:BQT655345 CAE655343:CAP655345 CKA655343:CKL655345 CTW655343:CUH655345 DDS655343:DED655345 DNO655343:DNZ655345 DXK655343:DXV655345 EHG655343:EHR655345 ERC655343:ERN655345 FAY655343:FBJ655345 FKU655343:FLF655345 FUQ655343:FVB655345 GEM655343:GEX655345 GOI655343:GOT655345 GYE655343:GYP655345 HIA655343:HIL655345 HRW655343:HSH655345 IBS655343:ICD655345 ILO655343:ILZ655345 IVK655343:IVV655345 JFG655343:JFR655345 JPC655343:JPN655345 JYY655343:JZJ655345 KIU655343:KJF655345 KSQ655343:KTB655345 LCM655343:LCX655345 LMI655343:LMT655345 LWE655343:LWP655345 MGA655343:MGL655345 MPW655343:MQH655345 MZS655343:NAD655345 NJO655343:NJZ655345 NTK655343:NTV655345 ODG655343:ODR655345 ONC655343:ONN655345 OWY655343:OXJ655345 PGU655343:PHF655345 PQQ655343:PRB655345 QAM655343:QAX655345 QKI655343:QKT655345 QUE655343:QUP655345 REA655343:REL655345 RNW655343:ROH655345 RXS655343:RYD655345 SHO655343:SHZ655345 SRK655343:SRV655345 TBG655343:TBR655345 TLC655343:TLN655345 TUY655343:TVJ655345 UEU655343:UFF655345 UOQ655343:UPB655345 UYM655343:UYX655345 VII655343:VIT655345 VSE655343:VSP655345 WCA655343:WCL655345 WLW655343:WMH655345 WVS655343:WWD655345 JG720879:JR720881 TC720879:TN720881 ACY720879:ADJ720881 AMU720879:ANF720881 AWQ720879:AXB720881 BGM720879:BGX720881 BQI720879:BQT720881 CAE720879:CAP720881 CKA720879:CKL720881 CTW720879:CUH720881 DDS720879:DED720881 DNO720879:DNZ720881 DXK720879:DXV720881 EHG720879:EHR720881 ERC720879:ERN720881 FAY720879:FBJ720881 FKU720879:FLF720881 FUQ720879:FVB720881 GEM720879:GEX720881 GOI720879:GOT720881 GYE720879:GYP720881 HIA720879:HIL720881 HRW720879:HSH720881 IBS720879:ICD720881 ILO720879:ILZ720881 IVK720879:IVV720881 JFG720879:JFR720881 JPC720879:JPN720881 JYY720879:JZJ720881 KIU720879:KJF720881 KSQ720879:KTB720881 LCM720879:LCX720881 LMI720879:LMT720881 LWE720879:LWP720881 MGA720879:MGL720881 MPW720879:MQH720881 MZS720879:NAD720881 NJO720879:NJZ720881 NTK720879:NTV720881 ODG720879:ODR720881 ONC720879:ONN720881 OWY720879:OXJ720881 PGU720879:PHF720881 PQQ720879:PRB720881 QAM720879:QAX720881 QKI720879:QKT720881 QUE720879:QUP720881 REA720879:REL720881 RNW720879:ROH720881 RXS720879:RYD720881 SHO720879:SHZ720881 SRK720879:SRV720881 TBG720879:TBR720881 TLC720879:TLN720881 TUY720879:TVJ720881 UEU720879:UFF720881 UOQ720879:UPB720881 UYM720879:UYX720881 VII720879:VIT720881 VSE720879:VSP720881 WCA720879:WCL720881 WLW720879:WMH720881 WVS720879:WWD720881 JG786415:JR786417 TC786415:TN786417 ACY786415:ADJ786417 AMU786415:ANF786417 AWQ786415:AXB786417 BGM786415:BGX786417 BQI786415:BQT786417 CAE786415:CAP786417 CKA786415:CKL786417 CTW786415:CUH786417 DDS786415:DED786417 DNO786415:DNZ786417 DXK786415:DXV786417 EHG786415:EHR786417 ERC786415:ERN786417 FAY786415:FBJ786417 FKU786415:FLF786417 FUQ786415:FVB786417 GEM786415:GEX786417 GOI786415:GOT786417 GYE786415:GYP786417 HIA786415:HIL786417 HRW786415:HSH786417 IBS786415:ICD786417 ILO786415:ILZ786417 IVK786415:IVV786417 JFG786415:JFR786417 JPC786415:JPN786417 JYY786415:JZJ786417 KIU786415:KJF786417 KSQ786415:KTB786417 LCM786415:LCX786417 LMI786415:LMT786417 LWE786415:LWP786417 MGA786415:MGL786417 MPW786415:MQH786417 MZS786415:NAD786417 NJO786415:NJZ786417 NTK786415:NTV786417 ODG786415:ODR786417 ONC786415:ONN786417 OWY786415:OXJ786417 PGU786415:PHF786417 PQQ786415:PRB786417 QAM786415:QAX786417 QKI786415:QKT786417 QUE786415:QUP786417 REA786415:REL786417 RNW786415:ROH786417 RXS786415:RYD786417 SHO786415:SHZ786417 SRK786415:SRV786417 TBG786415:TBR786417 TLC786415:TLN786417 TUY786415:TVJ786417 UEU786415:UFF786417 UOQ786415:UPB786417 UYM786415:UYX786417 VII786415:VIT786417 VSE786415:VSP786417 WCA786415:WCL786417 WLW786415:WMH786417 WVS786415:WWD786417 JG851951:JR851953 TC851951:TN851953 ACY851951:ADJ851953 AMU851951:ANF851953 AWQ851951:AXB851953 BGM851951:BGX851953 BQI851951:BQT851953 CAE851951:CAP851953 CKA851951:CKL851953 CTW851951:CUH851953 DDS851951:DED851953 DNO851951:DNZ851953 DXK851951:DXV851953 EHG851951:EHR851953 ERC851951:ERN851953 FAY851951:FBJ851953 FKU851951:FLF851953 FUQ851951:FVB851953 GEM851951:GEX851953 GOI851951:GOT851953 GYE851951:GYP851953 HIA851951:HIL851953 HRW851951:HSH851953 IBS851951:ICD851953 ILO851951:ILZ851953 IVK851951:IVV851953 JFG851951:JFR851953 JPC851951:JPN851953 JYY851951:JZJ851953 KIU851951:KJF851953 KSQ851951:KTB851953 LCM851951:LCX851953 LMI851951:LMT851953 LWE851951:LWP851953 MGA851951:MGL851953 MPW851951:MQH851953 MZS851951:NAD851953 NJO851951:NJZ851953 NTK851951:NTV851953 ODG851951:ODR851953 ONC851951:ONN851953 OWY851951:OXJ851953 PGU851951:PHF851953 PQQ851951:PRB851953 QAM851951:QAX851953 QKI851951:QKT851953 QUE851951:QUP851953 REA851951:REL851953 RNW851951:ROH851953 RXS851951:RYD851953 SHO851951:SHZ851953 SRK851951:SRV851953 TBG851951:TBR851953 TLC851951:TLN851953 TUY851951:TVJ851953 UEU851951:UFF851953 UOQ851951:UPB851953 UYM851951:UYX851953 VII851951:VIT851953 VSE851951:VSP851953 WCA851951:WCL851953 WLW851951:WMH851953 WVS851951:WWD851953 JG917487:JR917489 TC917487:TN917489 ACY917487:ADJ917489 AMU917487:ANF917489 AWQ917487:AXB917489 BGM917487:BGX917489 BQI917487:BQT917489 CAE917487:CAP917489 CKA917487:CKL917489 CTW917487:CUH917489 DDS917487:DED917489 DNO917487:DNZ917489 DXK917487:DXV917489 EHG917487:EHR917489 ERC917487:ERN917489 FAY917487:FBJ917489 FKU917487:FLF917489 FUQ917487:FVB917489 GEM917487:GEX917489 GOI917487:GOT917489 GYE917487:GYP917489 HIA917487:HIL917489 HRW917487:HSH917489 IBS917487:ICD917489 ILO917487:ILZ917489 IVK917487:IVV917489 JFG917487:JFR917489 JPC917487:JPN917489 JYY917487:JZJ917489 KIU917487:KJF917489 KSQ917487:KTB917489 LCM917487:LCX917489 LMI917487:LMT917489 LWE917487:LWP917489 MGA917487:MGL917489 MPW917487:MQH917489 MZS917487:NAD917489 NJO917487:NJZ917489 NTK917487:NTV917489 ODG917487:ODR917489 ONC917487:ONN917489 OWY917487:OXJ917489 PGU917487:PHF917489 PQQ917487:PRB917489 QAM917487:QAX917489 QKI917487:QKT917489 QUE917487:QUP917489 REA917487:REL917489 RNW917487:ROH917489 RXS917487:RYD917489 SHO917487:SHZ917489 SRK917487:SRV917489 TBG917487:TBR917489 TLC917487:TLN917489 TUY917487:TVJ917489 UEU917487:UFF917489 UOQ917487:UPB917489 UYM917487:UYX917489 VII917487:VIT917489 VSE917487:VSP917489 WCA917487:WCL917489 WLW917487:WMH917489 WVS917487:WWD917489 JG983023:JR983025 TC983023:TN983025 ACY983023:ADJ983025 AMU983023:ANF983025 AWQ983023:AXB983025 BGM983023:BGX983025 BQI983023:BQT983025 CAE983023:CAP983025 CKA983023:CKL983025 CTW983023:CUH983025 DDS983023:DED983025 DNO983023:DNZ983025 DXK983023:DXV983025 EHG983023:EHR983025 ERC983023:ERN983025 FAY983023:FBJ983025 FKU983023:FLF983025 FUQ983023:FVB983025 GEM983023:GEX983025 GOI983023:GOT983025 GYE983023:GYP983025 HIA983023:HIL983025 HRW983023:HSH983025 IBS983023:ICD983025 ILO983023:ILZ983025 IVK983023:IVV983025 JFG983023:JFR983025 JPC983023:JPN983025 JYY983023:JZJ983025 KIU983023:KJF983025 KSQ983023:KTB983025 LCM983023:LCX983025 LMI983023:LMT983025 LWE983023:LWP983025 MGA983023:MGL983025 MPW983023:MQH983025 MZS983023:NAD983025 NJO983023:NJZ983025 NTK983023:NTV983025 ODG983023:ODR983025 ONC983023:ONN983025 OWY983023:OXJ983025 PGU983023:PHF983025 PQQ983023:PRB983025 QAM983023:QAX983025 QKI983023:QKT983025 QUE983023:QUP983025 REA983023:REL983025 RNW983023:ROH983025 RXS983023:RYD983025 SHO983023:SHZ983025 SRK983023:SRV983025 TBG983023:TBR983025 TLC983023:TLN983025 TUY983023:TVJ983025 UEU983023:UFF983025 UOQ983023:UPB983025 UYM983023:UYX983025 VII983023:VIT983025 VSE983023:VSP983025 WCA983023:WCL983025 WLW983023:WMH983025 WVS983023:WWD983025 WVS983028:WWD983030 JG65524:JR65526 TC65524:TN65526 ACY65524:ADJ65526 AMU65524:ANF65526 AWQ65524:AXB65526 BGM65524:BGX65526 BQI65524:BQT65526 CAE65524:CAP65526 CKA65524:CKL65526 CTW65524:CUH65526 DDS65524:DED65526 DNO65524:DNZ65526 DXK65524:DXV65526 EHG65524:EHR65526 ERC65524:ERN65526 FAY65524:FBJ65526 FKU65524:FLF65526 FUQ65524:FVB65526 GEM65524:GEX65526 GOI65524:GOT65526 GYE65524:GYP65526 HIA65524:HIL65526 HRW65524:HSH65526 IBS65524:ICD65526 ILO65524:ILZ65526 IVK65524:IVV65526 JFG65524:JFR65526 JPC65524:JPN65526 JYY65524:JZJ65526 KIU65524:KJF65526 KSQ65524:KTB65526 LCM65524:LCX65526 LMI65524:LMT65526 LWE65524:LWP65526 MGA65524:MGL65526 MPW65524:MQH65526 MZS65524:NAD65526 NJO65524:NJZ65526 NTK65524:NTV65526 ODG65524:ODR65526 ONC65524:ONN65526 OWY65524:OXJ65526 PGU65524:PHF65526 PQQ65524:PRB65526 QAM65524:QAX65526 QKI65524:QKT65526 QUE65524:QUP65526 REA65524:REL65526 RNW65524:ROH65526 RXS65524:RYD65526 SHO65524:SHZ65526 SRK65524:SRV65526 TBG65524:TBR65526 TLC65524:TLN65526 TUY65524:TVJ65526 UEU65524:UFF65526 UOQ65524:UPB65526 UYM65524:UYX65526 VII65524:VIT65526 VSE65524:VSP65526 WCA65524:WCL65526 WLW65524:WMH65526 WVS65524:WWD65526 JG131060:JR131062 TC131060:TN131062 ACY131060:ADJ131062 AMU131060:ANF131062 AWQ131060:AXB131062 BGM131060:BGX131062 BQI131060:BQT131062 CAE131060:CAP131062 CKA131060:CKL131062 CTW131060:CUH131062 DDS131060:DED131062 DNO131060:DNZ131062 DXK131060:DXV131062 EHG131060:EHR131062 ERC131060:ERN131062 FAY131060:FBJ131062 FKU131060:FLF131062 FUQ131060:FVB131062 GEM131060:GEX131062 GOI131060:GOT131062 GYE131060:GYP131062 HIA131060:HIL131062 HRW131060:HSH131062 IBS131060:ICD131062 ILO131060:ILZ131062 IVK131060:IVV131062 JFG131060:JFR131062 JPC131060:JPN131062 JYY131060:JZJ131062 KIU131060:KJF131062 KSQ131060:KTB131062 LCM131060:LCX131062 LMI131060:LMT131062 LWE131060:LWP131062 MGA131060:MGL131062 MPW131060:MQH131062 MZS131060:NAD131062 NJO131060:NJZ131062 NTK131060:NTV131062 ODG131060:ODR131062 ONC131060:ONN131062 OWY131060:OXJ131062 PGU131060:PHF131062 PQQ131060:PRB131062 QAM131060:QAX131062 QKI131060:QKT131062 QUE131060:QUP131062 REA131060:REL131062 RNW131060:ROH131062 RXS131060:RYD131062 SHO131060:SHZ131062 SRK131060:SRV131062 TBG131060:TBR131062 TLC131060:TLN131062 TUY131060:TVJ131062 UEU131060:UFF131062 UOQ131060:UPB131062 UYM131060:UYX131062 VII131060:VIT131062 VSE131060:VSP131062 WCA131060:WCL131062 WLW131060:WMH131062 WVS131060:WWD131062 JG196596:JR196598 TC196596:TN196598 ACY196596:ADJ196598 AMU196596:ANF196598 AWQ196596:AXB196598 BGM196596:BGX196598 BQI196596:BQT196598 CAE196596:CAP196598 CKA196596:CKL196598 CTW196596:CUH196598 DDS196596:DED196598 DNO196596:DNZ196598 DXK196596:DXV196598 EHG196596:EHR196598 ERC196596:ERN196598 FAY196596:FBJ196598 FKU196596:FLF196598 FUQ196596:FVB196598 GEM196596:GEX196598 GOI196596:GOT196598 GYE196596:GYP196598 HIA196596:HIL196598 HRW196596:HSH196598 IBS196596:ICD196598 ILO196596:ILZ196598 IVK196596:IVV196598 JFG196596:JFR196598 JPC196596:JPN196598 JYY196596:JZJ196598 KIU196596:KJF196598 KSQ196596:KTB196598 LCM196596:LCX196598 LMI196596:LMT196598 LWE196596:LWP196598 MGA196596:MGL196598 MPW196596:MQH196598 MZS196596:NAD196598 NJO196596:NJZ196598 NTK196596:NTV196598 ODG196596:ODR196598 ONC196596:ONN196598 OWY196596:OXJ196598 PGU196596:PHF196598 PQQ196596:PRB196598 QAM196596:QAX196598 QKI196596:QKT196598 QUE196596:QUP196598 REA196596:REL196598 RNW196596:ROH196598 RXS196596:RYD196598 SHO196596:SHZ196598 SRK196596:SRV196598 TBG196596:TBR196598 TLC196596:TLN196598 TUY196596:TVJ196598 UEU196596:UFF196598 UOQ196596:UPB196598 UYM196596:UYX196598 VII196596:VIT196598 VSE196596:VSP196598 WCA196596:WCL196598 WLW196596:WMH196598 WVS196596:WWD196598 JG262132:JR262134 TC262132:TN262134 ACY262132:ADJ262134 AMU262132:ANF262134 AWQ262132:AXB262134 BGM262132:BGX262134 BQI262132:BQT262134 CAE262132:CAP262134 CKA262132:CKL262134 CTW262132:CUH262134 DDS262132:DED262134 DNO262132:DNZ262134 DXK262132:DXV262134 EHG262132:EHR262134 ERC262132:ERN262134 FAY262132:FBJ262134 FKU262132:FLF262134 FUQ262132:FVB262134 GEM262132:GEX262134 GOI262132:GOT262134 GYE262132:GYP262134 HIA262132:HIL262134 HRW262132:HSH262134 IBS262132:ICD262134 ILO262132:ILZ262134 IVK262132:IVV262134 JFG262132:JFR262134 JPC262132:JPN262134 JYY262132:JZJ262134 KIU262132:KJF262134 KSQ262132:KTB262134 LCM262132:LCX262134 LMI262132:LMT262134 LWE262132:LWP262134 MGA262132:MGL262134 MPW262132:MQH262134 MZS262132:NAD262134 NJO262132:NJZ262134 NTK262132:NTV262134 ODG262132:ODR262134 ONC262132:ONN262134 OWY262132:OXJ262134 PGU262132:PHF262134 PQQ262132:PRB262134 QAM262132:QAX262134 QKI262132:QKT262134 QUE262132:QUP262134 REA262132:REL262134 RNW262132:ROH262134 RXS262132:RYD262134 SHO262132:SHZ262134 SRK262132:SRV262134 TBG262132:TBR262134 TLC262132:TLN262134 TUY262132:TVJ262134 UEU262132:UFF262134 UOQ262132:UPB262134 UYM262132:UYX262134 VII262132:VIT262134 VSE262132:VSP262134 WCA262132:WCL262134 WLW262132:WMH262134 WVS262132:WWD262134 JG327668:JR327670 TC327668:TN327670 ACY327668:ADJ327670 AMU327668:ANF327670 AWQ327668:AXB327670 BGM327668:BGX327670 BQI327668:BQT327670 CAE327668:CAP327670 CKA327668:CKL327670 CTW327668:CUH327670 DDS327668:DED327670 DNO327668:DNZ327670 DXK327668:DXV327670 EHG327668:EHR327670 ERC327668:ERN327670 FAY327668:FBJ327670 FKU327668:FLF327670 FUQ327668:FVB327670 GEM327668:GEX327670 GOI327668:GOT327670 GYE327668:GYP327670 HIA327668:HIL327670 HRW327668:HSH327670 IBS327668:ICD327670 ILO327668:ILZ327670 IVK327668:IVV327670 JFG327668:JFR327670 JPC327668:JPN327670 JYY327668:JZJ327670 KIU327668:KJF327670 KSQ327668:KTB327670 LCM327668:LCX327670 LMI327668:LMT327670 LWE327668:LWP327670 MGA327668:MGL327670 MPW327668:MQH327670 MZS327668:NAD327670 NJO327668:NJZ327670 NTK327668:NTV327670 ODG327668:ODR327670 ONC327668:ONN327670 OWY327668:OXJ327670 PGU327668:PHF327670 PQQ327668:PRB327670 QAM327668:QAX327670 QKI327668:QKT327670 QUE327668:QUP327670 REA327668:REL327670 RNW327668:ROH327670 RXS327668:RYD327670 SHO327668:SHZ327670 SRK327668:SRV327670 TBG327668:TBR327670 TLC327668:TLN327670 TUY327668:TVJ327670 UEU327668:UFF327670 UOQ327668:UPB327670 UYM327668:UYX327670 VII327668:VIT327670 VSE327668:VSP327670 WCA327668:WCL327670 WLW327668:WMH327670 WVS327668:WWD327670 JG393204:JR393206 TC393204:TN393206 ACY393204:ADJ393206 AMU393204:ANF393206 AWQ393204:AXB393206 BGM393204:BGX393206 BQI393204:BQT393206 CAE393204:CAP393206 CKA393204:CKL393206 CTW393204:CUH393206 DDS393204:DED393206 DNO393204:DNZ393206 DXK393204:DXV393206 EHG393204:EHR393206 ERC393204:ERN393206 FAY393204:FBJ393206 FKU393204:FLF393206 FUQ393204:FVB393206 GEM393204:GEX393206 GOI393204:GOT393206 GYE393204:GYP393206 HIA393204:HIL393206 HRW393204:HSH393206 IBS393204:ICD393206 ILO393204:ILZ393206 IVK393204:IVV393206 JFG393204:JFR393206 JPC393204:JPN393206 JYY393204:JZJ393206 KIU393204:KJF393206 KSQ393204:KTB393206 LCM393204:LCX393206 LMI393204:LMT393206 LWE393204:LWP393206 MGA393204:MGL393206 MPW393204:MQH393206 MZS393204:NAD393206 NJO393204:NJZ393206 NTK393204:NTV393206 ODG393204:ODR393206 ONC393204:ONN393206 OWY393204:OXJ393206 PGU393204:PHF393206 PQQ393204:PRB393206 QAM393204:QAX393206 QKI393204:QKT393206 QUE393204:QUP393206 REA393204:REL393206 RNW393204:ROH393206 RXS393204:RYD393206 SHO393204:SHZ393206 SRK393204:SRV393206 TBG393204:TBR393206 TLC393204:TLN393206 TUY393204:TVJ393206 UEU393204:UFF393206 UOQ393204:UPB393206 UYM393204:UYX393206 VII393204:VIT393206 VSE393204:VSP393206 WCA393204:WCL393206 WLW393204:WMH393206 WVS393204:WWD393206 JG458740:JR458742 TC458740:TN458742 ACY458740:ADJ458742 AMU458740:ANF458742 AWQ458740:AXB458742 BGM458740:BGX458742 BQI458740:BQT458742 CAE458740:CAP458742 CKA458740:CKL458742 CTW458740:CUH458742 DDS458740:DED458742 DNO458740:DNZ458742 DXK458740:DXV458742 EHG458740:EHR458742 ERC458740:ERN458742 FAY458740:FBJ458742 FKU458740:FLF458742 FUQ458740:FVB458742 GEM458740:GEX458742 GOI458740:GOT458742 GYE458740:GYP458742 HIA458740:HIL458742 HRW458740:HSH458742 IBS458740:ICD458742 ILO458740:ILZ458742 IVK458740:IVV458742 JFG458740:JFR458742 JPC458740:JPN458742 JYY458740:JZJ458742 KIU458740:KJF458742 KSQ458740:KTB458742 LCM458740:LCX458742 LMI458740:LMT458742 LWE458740:LWP458742 MGA458740:MGL458742 MPW458740:MQH458742 MZS458740:NAD458742 NJO458740:NJZ458742 NTK458740:NTV458742 ODG458740:ODR458742 ONC458740:ONN458742 OWY458740:OXJ458742 PGU458740:PHF458742 PQQ458740:PRB458742 QAM458740:QAX458742 QKI458740:QKT458742 QUE458740:QUP458742 REA458740:REL458742 RNW458740:ROH458742 RXS458740:RYD458742 SHO458740:SHZ458742 SRK458740:SRV458742 TBG458740:TBR458742 TLC458740:TLN458742 TUY458740:TVJ458742 UEU458740:UFF458742 UOQ458740:UPB458742 UYM458740:UYX458742 VII458740:VIT458742 VSE458740:VSP458742 WCA458740:WCL458742 WLW458740:WMH458742 WVS458740:WWD458742 JG524276:JR524278 TC524276:TN524278 ACY524276:ADJ524278 AMU524276:ANF524278 AWQ524276:AXB524278 BGM524276:BGX524278 BQI524276:BQT524278 CAE524276:CAP524278 CKA524276:CKL524278 CTW524276:CUH524278 DDS524276:DED524278 DNO524276:DNZ524278 DXK524276:DXV524278 EHG524276:EHR524278 ERC524276:ERN524278 FAY524276:FBJ524278 FKU524276:FLF524278 FUQ524276:FVB524278 GEM524276:GEX524278 GOI524276:GOT524278 GYE524276:GYP524278 HIA524276:HIL524278 HRW524276:HSH524278 IBS524276:ICD524278 ILO524276:ILZ524278 IVK524276:IVV524278 JFG524276:JFR524278 JPC524276:JPN524278 JYY524276:JZJ524278 KIU524276:KJF524278 KSQ524276:KTB524278 LCM524276:LCX524278 LMI524276:LMT524278 LWE524276:LWP524278 MGA524276:MGL524278 MPW524276:MQH524278 MZS524276:NAD524278 NJO524276:NJZ524278 NTK524276:NTV524278 ODG524276:ODR524278 ONC524276:ONN524278 OWY524276:OXJ524278 PGU524276:PHF524278 PQQ524276:PRB524278 QAM524276:QAX524278 QKI524276:QKT524278 QUE524276:QUP524278 REA524276:REL524278 RNW524276:ROH524278 RXS524276:RYD524278 SHO524276:SHZ524278 SRK524276:SRV524278 TBG524276:TBR524278 TLC524276:TLN524278 TUY524276:TVJ524278 UEU524276:UFF524278 UOQ524276:UPB524278 UYM524276:UYX524278 VII524276:VIT524278 VSE524276:VSP524278 WCA524276:WCL524278 WLW524276:WMH524278 WVS524276:WWD524278 JG589812:JR589814 TC589812:TN589814 ACY589812:ADJ589814 AMU589812:ANF589814 AWQ589812:AXB589814 BGM589812:BGX589814 BQI589812:BQT589814 CAE589812:CAP589814 CKA589812:CKL589814 CTW589812:CUH589814 DDS589812:DED589814 DNO589812:DNZ589814 DXK589812:DXV589814 EHG589812:EHR589814 ERC589812:ERN589814 FAY589812:FBJ589814 FKU589812:FLF589814 FUQ589812:FVB589814 GEM589812:GEX589814 GOI589812:GOT589814 GYE589812:GYP589814 HIA589812:HIL589814 HRW589812:HSH589814 IBS589812:ICD589814 ILO589812:ILZ589814 IVK589812:IVV589814 JFG589812:JFR589814 JPC589812:JPN589814 JYY589812:JZJ589814 KIU589812:KJF589814 KSQ589812:KTB589814 LCM589812:LCX589814 LMI589812:LMT589814 LWE589812:LWP589814 MGA589812:MGL589814 MPW589812:MQH589814 MZS589812:NAD589814 NJO589812:NJZ589814 NTK589812:NTV589814 ODG589812:ODR589814 ONC589812:ONN589814 OWY589812:OXJ589814 PGU589812:PHF589814 PQQ589812:PRB589814 QAM589812:QAX589814 QKI589812:QKT589814 QUE589812:QUP589814 REA589812:REL589814 RNW589812:ROH589814 RXS589812:RYD589814 SHO589812:SHZ589814 SRK589812:SRV589814 TBG589812:TBR589814 TLC589812:TLN589814 TUY589812:TVJ589814 UEU589812:UFF589814 UOQ589812:UPB589814 UYM589812:UYX589814 VII589812:VIT589814 VSE589812:VSP589814 WCA589812:WCL589814 WLW589812:WMH589814 WVS589812:WWD589814 JG655348:JR655350 TC655348:TN655350 ACY655348:ADJ655350 AMU655348:ANF655350 AWQ655348:AXB655350 BGM655348:BGX655350 BQI655348:BQT655350 CAE655348:CAP655350 CKA655348:CKL655350 CTW655348:CUH655350 DDS655348:DED655350 DNO655348:DNZ655350 DXK655348:DXV655350 EHG655348:EHR655350 ERC655348:ERN655350 FAY655348:FBJ655350 FKU655348:FLF655350 FUQ655348:FVB655350 GEM655348:GEX655350 GOI655348:GOT655350 GYE655348:GYP655350 HIA655348:HIL655350 HRW655348:HSH655350 IBS655348:ICD655350 ILO655348:ILZ655350 IVK655348:IVV655350 JFG655348:JFR655350 JPC655348:JPN655350 JYY655348:JZJ655350 KIU655348:KJF655350 KSQ655348:KTB655350 LCM655348:LCX655350 LMI655348:LMT655350 LWE655348:LWP655350 MGA655348:MGL655350 MPW655348:MQH655350 MZS655348:NAD655350 NJO655348:NJZ655350 NTK655348:NTV655350 ODG655348:ODR655350 ONC655348:ONN655350 OWY655348:OXJ655350 PGU655348:PHF655350 PQQ655348:PRB655350 QAM655348:QAX655350 QKI655348:QKT655350 QUE655348:QUP655350 REA655348:REL655350 RNW655348:ROH655350 RXS655348:RYD655350 SHO655348:SHZ655350 SRK655348:SRV655350 TBG655348:TBR655350 TLC655348:TLN655350 TUY655348:TVJ655350 UEU655348:UFF655350 UOQ655348:UPB655350 UYM655348:UYX655350 VII655348:VIT655350 VSE655348:VSP655350 WCA655348:WCL655350 WLW655348:WMH655350 WVS655348:WWD655350 JG720884:JR720886 TC720884:TN720886 ACY720884:ADJ720886 AMU720884:ANF720886 AWQ720884:AXB720886 BGM720884:BGX720886 BQI720884:BQT720886 CAE720884:CAP720886 CKA720884:CKL720886 CTW720884:CUH720886 DDS720884:DED720886 DNO720884:DNZ720886 DXK720884:DXV720886 EHG720884:EHR720886 ERC720884:ERN720886 FAY720884:FBJ720886 FKU720884:FLF720886 FUQ720884:FVB720886 GEM720884:GEX720886 GOI720884:GOT720886 GYE720884:GYP720886 HIA720884:HIL720886 HRW720884:HSH720886 IBS720884:ICD720886 ILO720884:ILZ720886 IVK720884:IVV720886 JFG720884:JFR720886 JPC720884:JPN720886 JYY720884:JZJ720886 KIU720884:KJF720886 KSQ720884:KTB720886 LCM720884:LCX720886 LMI720884:LMT720886 LWE720884:LWP720886 MGA720884:MGL720886 MPW720884:MQH720886 MZS720884:NAD720886 NJO720884:NJZ720886 NTK720884:NTV720886 ODG720884:ODR720886 ONC720884:ONN720886 OWY720884:OXJ720886 PGU720884:PHF720886 PQQ720884:PRB720886 QAM720884:QAX720886 QKI720884:QKT720886 QUE720884:QUP720886 REA720884:REL720886 RNW720884:ROH720886 RXS720884:RYD720886 SHO720884:SHZ720886 SRK720884:SRV720886 TBG720884:TBR720886 TLC720884:TLN720886 TUY720884:TVJ720886 UEU720884:UFF720886 UOQ720884:UPB720886 UYM720884:UYX720886 VII720884:VIT720886 VSE720884:VSP720886 WCA720884:WCL720886 WLW720884:WMH720886 WVS720884:WWD720886 JG786420:JR786422 TC786420:TN786422 ACY786420:ADJ786422 AMU786420:ANF786422 AWQ786420:AXB786422 BGM786420:BGX786422 BQI786420:BQT786422 CAE786420:CAP786422 CKA786420:CKL786422 CTW786420:CUH786422 DDS786420:DED786422 DNO786420:DNZ786422 DXK786420:DXV786422 EHG786420:EHR786422 ERC786420:ERN786422 FAY786420:FBJ786422 FKU786420:FLF786422 FUQ786420:FVB786422 GEM786420:GEX786422 GOI786420:GOT786422 GYE786420:GYP786422 HIA786420:HIL786422 HRW786420:HSH786422 IBS786420:ICD786422 ILO786420:ILZ786422 IVK786420:IVV786422 JFG786420:JFR786422 JPC786420:JPN786422 JYY786420:JZJ786422 KIU786420:KJF786422 KSQ786420:KTB786422 LCM786420:LCX786422 LMI786420:LMT786422 LWE786420:LWP786422 MGA786420:MGL786422 MPW786420:MQH786422 MZS786420:NAD786422 NJO786420:NJZ786422 NTK786420:NTV786422 ODG786420:ODR786422 ONC786420:ONN786422 OWY786420:OXJ786422 PGU786420:PHF786422 PQQ786420:PRB786422 QAM786420:QAX786422 QKI786420:QKT786422 QUE786420:QUP786422 REA786420:REL786422 RNW786420:ROH786422 RXS786420:RYD786422 SHO786420:SHZ786422 SRK786420:SRV786422 TBG786420:TBR786422 TLC786420:TLN786422 TUY786420:TVJ786422 UEU786420:UFF786422 UOQ786420:UPB786422 UYM786420:UYX786422 VII786420:VIT786422 VSE786420:VSP786422 WCA786420:WCL786422 WLW786420:WMH786422 WVS786420:WWD786422 JG851956:JR851958 TC851956:TN851958 ACY851956:ADJ851958 AMU851956:ANF851958 AWQ851956:AXB851958 BGM851956:BGX851958 BQI851956:BQT851958 CAE851956:CAP851958 CKA851956:CKL851958 CTW851956:CUH851958 DDS851956:DED851958 DNO851956:DNZ851958 DXK851956:DXV851958 EHG851956:EHR851958 ERC851956:ERN851958 FAY851956:FBJ851958 FKU851956:FLF851958 FUQ851956:FVB851958 GEM851956:GEX851958 GOI851956:GOT851958 GYE851956:GYP851958 HIA851956:HIL851958 HRW851956:HSH851958 IBS851956:ICD851958 ILO851956:ILZ851958 IVK851956:IVV851958 JFG851956:JFR851958 JPC851956:JPN851958 JYY851956:JZJ851958 KIU851956:KJF851958 KSQ851956:KTB851958 LCM851956:LCX851958 LMI851956:LMT851958 LWE851956:LWP851958 MGA851956:MGL851958 MPW851956:MQH851958 MZS851956:NAD851958 NJO851956:NJZ851958 NTK851956:NTV851958 ODG851956:ODR851958 ONC851956:ONN851958 OWY851956:OXJ851958 PGU851956:PHF851958 PQQ851956:PRB851958 QAM851956:QAX851958 QKI851956:QKT851958 QUE851956:QUP851958 REA851956:REL851958 RNW851956:ROH851958 RXS851956:RYD851958 SHO851956:SHZ851958 SRK851956:SRV851958 TBG851956:TBR851958 TLC851956:TLN851958 TUY851956:TVJ851958 UEU851956:UFF851958 UOQ851956:UPB851958 UYM851956:UYX851958 VII851956:VIT851958 VSE851956:VSP851958 WCA851956:WCL851958 WLW851956:WMH851958 WVS851956:WWD851958 JG917492:JR917494 TC917492:TN917494 ACY917492:ADJ917494 AMU917492:ANF917494 AWQ917492:AXB917494 BGM917492:BGX917494 BQI917492:BQT917494 CAE917492:CAP917494 CKA917492:CKL917494 CTW917492:CUH917494 DDS917492:DED917494 DNO917492:DNZ917494 DXK917492:DXV917494 EHG917492:EHR917494 ERC917492:ERN917494 FAY917492:FBJ917494 FKU917492:FLF917494 FUQ917492:FVB917494 GEM917492:GEX917494 GOI917492:GOT917494 GYE917492:GYP917494 HIA917492:HIL917494 HRW917492:HSH917494 IBS917492:ICD917494 ILO917492:ILZ917494 IVK917492:IVV917494 JFG917492:JFR917494 JPC917492:JPN917494 JYY917492:JZJ917494 KIU917492:KJF917494 KSQ917492:KTB917494 LCM917492:LCX917494 LMI917492:LMT917494 LWE917492:LWP917494 MGA917492:MGL917494 MPW917492:MQH917494 MZS917492:NAD917494 NJO917492:NJZ917494 NTK917492:NTV917494 ODG917492:ODR917494 ONC917492:ONN917494 OWY917492:OXJ917494 PGU917492:PHF917494 PQQ917492:PRB917494 QAM917492:QAX917494 QKI917492:QKT917494 QUE917492:QUP917494 REA917492:REL917494 RNW917492:ROH917494 RXS917492:RYD917494 SHO917492:SHZ917494 SRK917492:SRV917494 TBG917492:TBR917494 TLC917492:TLN917494 TUY917492:TVJ917494 UEU917492:UFF917494 UOQ917492:UPB917494 UYM917492:UYX917494 VII917492:VIT917494 VSE917492:VSP917494 WCA917492:WCL917494 WLW917492:WMH917494 WVS917492:WWD917494 JG983028:JR983030 TC983028:TN983030 ACY983028:ADJ983030 AMU983028:ANF983030 AWQ983028:AXB983030 BGM983028:BGX983030 BQI983028:BQT983030 CAE983028:CAP983030 CKA983028:CKL983030 CTW983028:CUH983030 DDS983028:DED983030 DNO983028:DNZ983030 DXK983028:DXV983030 EHG983028:EHR983030 ERC983028:ERN983030 FAY983028:FBJ983030 FKU983028:FLF983030 FUQ983028:FVB983030 GEM983028:GEX983030 GOI983028:GOT983030 GYE983028:GYP983030 HIA983028:HIL983030 HRW983028:HSH983030 IBS983028:ICD983030 ILO983028:ILZ983030 IVK983028:IVV983030 JFG983028:JFR983030 JPC983028:JPN983030 JYY983028:JZJ983030 KIU983028:KJF983030 KSQ983028:KTB983030 LCM983028:LCX983030 LMI983028:LMT983030 LWE983028:LWP983030 MGA983028:MGL983030 MPW983028:MQH983030 MZS983028:NAD983030 NJO983028:NJZ983030 NTK983028:NTV983030 ODG983028:ODR983030 ONC983028:ONN983030 OWY983028:OXJ983030 PGU983028:PHF983030 PQQ983028:PRB983030 QAM983028:QAX983030 QKI983028:QKT983030 QUE983028:QUP983030 REA983028:REL983030 RNW983028:ROH983030 RXS983028:RYD983030 SHO983028:SHZ983030 SRK983028:SRV983030 TBG983028:TBR983030 TLC983028:TLN983030 TUY983028:TVJ983030 UEU983028:UFF983030 UOQ983028:UPB983030 UYM983028:UYX983030 VII983028:VIT983030 VSE983028:VSP983030 WCA983028:WCL983030 WLW983028:WMH983030 Z262127:AJ262129 Z196591:AJ196593 Z131055:AJ131057 Z65519:AJ65521 Z983028:AJ983030 Z917492:AJ917494 Z851956:AJ851958 Z786420:AJ786422 Z720884:AJ720886 Z655348:AJ655350 Z589812:AJ589814 Z524276:AJ524278 Z458740:AJ458742 Z393204:AJ393206 Z327668:AJ327670 Z262132:AJ262134 Z196596:AJ196598 Z131060:AJ131062 Z65524:AJ65526 Z983023:AJ983025 Z917487:AJ917489 Z851951:AJ851953 Z786415:AJ786417 Z720879:AJ720881 Z655343:AJ655345 Z589807:AJ589809 Z524271:AJ524273 Z458735:AJ458737 Z393199:AJ393201 Z327663:AJ327665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0400-000001000000}"/>
    <dataValidation type="list" allowBlank="1" showInputMessage="1" showErrorMessage="1" sqref="Y8:Z44" xr:uid="{00000000-0002-0000-04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9"/>
  <dimension ref="A1:BE44"/>
  <sheetViews>
    <sheetView showGridLines="0" zoomScaleNormal="10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17" customWidth="1"/>
    <col min="2" max="26" width="2.6328125" style="17"/>
    <col min="27" max="27" width="2.6328125" style="17" customWidth="1"/>
    <col min="28" max="29" width="2.6328125" style="17"/>
    <col min="30" max="30" width="4.6328125" style="17" customWidth="1"/>
    <col min="31" max="31" width="2.6328125" style="17" customWidth="1"/>
    <col min="32" max="33" width="2.6328125" style="17"/>
    <col min="34" max="34" width="6.6328125" style="17" customWidth="1"/>
    <col min="35" max="16384" width="2.6328125" style="17"/>
  </cols>
  <sheetData>
    <row r="1" spans="1:56" s="16" customFormat="1" ht="15" customHeight="1" x14ac:dyDescent="0.3">
      <c r="A1" s="144" t="s">
        <v>100</v>
      </c>
      <c r="B1" s="145"/>
      <c r="C1" s="145"/>
      <c r="D1" s="145"/>
      <c r="E1" s="145"/>
      <c r="F1" s="145"/>
      <c r="G1" s="145"/>
      <c r="H1" s="146"/>
      <c r="I1" s="103" t="s">
        <v>98</v>
      </c>
      <c r="J1" s="104"/>
      <c r="K1" s="104"/>
      <c r="L1" s="104"/>
      <c r="M1" s="104"/>
      <c r="N1" s="104"/>
      <c r="O1" s="104"/>
      <c r="P1" s="104"/>
      <c r="Q1" s="105"/>
      <c r="R1" s="103" t="s">
        <v>99</v>
      </c>
      <c r="S1" s="104"/>
      <c r="T1" s="104"/>
      <c r="U1" s="104"/>
      <c r="V1" s="104"/>
      <c r="W1" s="104"/>
      <c r="X1" s="105"/>
      <c r="Y1" s="103" t="s">
        <v>0</v>
      </c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5"/>
      <c r="AP1" s="153" t="s">
        <v>1</v>
      </c>
      <c r="AQ1" s="154"/>
      <c r="AR1" s="154"/>
      <c r="AS1" s="154"/>
      <c r="AT1" s="155"/>
      <c r="AU1" s="153" t="s">
        <v>2</v>
      </c>
      <c r="AV1" s="154"/>
      <c r="AW1" s="154"/>
      <c r="AX1" s="154"/>
      <c r="AY1" s="155"/>
      <c r="AZ1" s="153" t="s">
        <v>3</v>
      </c>
      <c r="BA1" s="154"/>
      <c r="BB1" s="154"/>
      <c r="BC1" s="154"/>
      <c r="BD1" s="155"/>
    </row>
    <row r="2" spans="1:56" s="16" customFormat="1" ht="15" customHeight="1" x14ac:dyDescent="0.3">
      <c r="A2" s="147"/>
      <c r="B2" s="148"/>
      <c r="C2" s="148"/>
      <c r="D2" s="148"/>
      <c r="E2" s="148"/>
      <c r="F2" s="148"/>
      <c r="G2" s="148"/>
      <c r="H2" s="149"/>
      <c r="I2" s="127" t="s">
        <v>97</v>
      </c>
      <c r="J2" s="128"/>
      <c r="K2" s="128"/>
      <c r="L2" s="128"/>
      <c r="M2" s="128"/>
      <c r="N2" s="128"/>
      <c r="O2" s="128"/>
      <c r="P2" s="128"/>
      <c r="Q2" s="129"/>
      <c r="R2" s="127" t="str">
        <f ca="1">VLOOKUP(RIGHT(CELL("filename",A2),LEN(CELL("filename",A2))-FIND("]",CELL("filename",A2))),テーブル一覧!B:AD,22,FALSE)</f>
        <v>D.出荷</v>
      </c>
      <c r="S2" s="128"/>
      <c r="T2" s="128"/>
      <c r="U2" s="128"/>
      <c r="V2" s="128"/>
      <c r="W2" s="128"/>
      <c r="X2" s="129"/>
      <c r="Y2" s="127" t="str">
        <f ca="1">VLOOKUP(RIGHT(CELL("filename",A2),LEN(CELL("filename",A2))-FIND("]",CELL("filename",A2))),テーブル一覧!B:AD,1,FALSE)</f>
        <v>出荷指示明細情報（荷札）</v>
      </c>
      <c r="Z2" s="128"/>
      <c r="AA2" s="128"/>
      <c r="AB2" s="128"/>
      <c r="AC2" s="128"/>
      <c r="AD2" s="128"/>
      <c r="AE2" s="128"/>
      <c r="AF2" s="128"/>
      <c r="AG2" s="128"/>
      <c r="AH2" s="128"/>
      <c r="AI2" s="128"/>
      <c r="AJ2" s="128"/>
      <c r="AK2" s="128"/>
      <c r="AL2" s="128"/>
      <c r="AM2" s="128"/>
      <c r="AN2" s="128"/>
      <c r="AO2" s="129"/>
      <c r="AP2" s="97"/>
      <c r="AQ2" s="98"/>
      <c r="AR2" s="98"/>
      <c r="AS2" s="98"/>
      <c r="AT2" s="99"/>
      <c r="AU2" s="60" t="s">
        <v>188</v>
      </c>
      <c r="AV2" s="61"/>
      <c r="AW2" s="61"/>
      <c r="AX2" s="61"/>
      <c r="AY2" s="62"/>
      <c r="AZ2" s="181" t="s">
        <v>15</v>
      </c>
      <c r="BA2" s="182"/>
      <c r="BB2" s="182"/>
      <c r="BC2" s="182"/>
      <c r="BD2" s="183"/>
    </row>
    <row r="3" spans="1:56" s="16" customFormat="1" ht="15" customHeight="1" x14ac:dyDescent="0.3">
      <c r="A3" s="147"/>
      <c r="B3" s="148"/>
      <c r="C3" s="148"/>
      <c r="D3" s="148"/>
      <c r="E3" s="148"/>
      <c r="F3" s="148"/>
      <c r="G3" s="148"/>
      <c r="H3" s="149"/>
      <c r="I3" s="130"/>
      <c r="J3" s="131"/>
      <c r="K3" s="131"/>
      <c r="L3" s="131"/>
      <c r="M3" s="131"/>
      <c r="N3" s="131"/>
      <c r="O3" s="131"/>
      <c r="P3" s="131"/>
      <c r="Q3" s="132"/>
      <c r="R3" s="130"/>
      <c r="S3" s="131"/>
      <c r="T3" s="131"/>
      <c r="U3" s="131"/>
      <c r="V3" s="131"/>
      <c r="W3" s="131"/>
      <c r="X3" s="132"/>
      <c r="Y3" s="133"/>
      <c r="Z3" s="134"/>
      <c r="AA3" s="134"/>
      <c r="AB3" s="134"/>
      <c r="AC3" s="134"/>
      <c r="AD3" s="134"/>
      <c r="AE3" s="134"/>
      <c r="AF3" s="134"/>
      <c r="AG3" s="134"/>
      <c r="AH3" s="134"/>
      <c r="AI3" s="134"/>
      <c r="AJ3" s="134"/>
      <c r="AK3" s="134"/>
      <c r="AL3" s="134"/>
      <c r="AM3" s="134"/>
      <c r="AN3" s="134"/>
      <c r="AO3" s="135"/>
      <c r="AP3" s="100"/>
      <c r="AQ3" s="101"/>
      <c r="AR3" s="101"/>
      <c r="AS3" s="101"/>
      <c r="AT3" s="102"/>
      <c r="AU3" s="178"/>
      <c r="AV3" s="179"/>
      <c r="AW3" s="179"/>
      <c r="AX3" s="179"/>
      <c r="AY3" s="180"/>
      <c r="AZ3" s="181"/>
      <c r="BA3" s="182"/>
      <c r="BB3" s="182"/>
      <c r="BC3" s="182"/>
      <c r="BD3" s="183"/>
    </row>
    <row r="4" spans="1:56" s="16" customFormat="1" ht="15" customHeight="1" x14ac:dyDescent="0.3">
      <c r="A4" s="150"/>
      <c r="B4" s="151"/>
      <c r="C4" s="151"/>
      <c r="D4" s="151"/>
      <c r="E4" s="151"/>
      <c r="F4" s="151"/>
      <c r="G4" s="151"/>
      <c r="H4" s="152"/>
      <c r="I4" s="133"/>
      <c r="J4" s="134"/>
      <c r="K4" s="134"/>
      <c r="L4" s="134"/>
      <c r="M4" s="134"/>
      <c r="N4" s="134"/>
      <c r="O4" s="134"/>
      <c r="P4" s="134"/>
      <c r="Q4" s="135"/>
      <c r="R4" s="133"/>
      <c r="S4" s="134"/>
      <c r="T4" s="134"/>
      <c r="U4" s="134"/>
      <c r="V4" s="134"/>
      <c r="W4" s="134"/>
      <c r="X4" s="135"/>
      <c r="Y4" s="175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t_shukkashiji_nifuda_m</v>
      </c>
      <c r="Z4" s="176"/>
      <c r="AA4" s="176"/>
      <c r="AB4" s="176"/>
      <c r="AC4" s="176"/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  <c r="AO4" s="177"/>
      <c r="AP4" s="100"/>
      <c r="AQ4" s="101"/>
      <c r="AR4" s="101"/>
      <c r="AS4" s="101"/>
      <c r="AT4" s="102"/>
      <c r="AU4" s="178"/>
      <c r="AV4" s="179"/>
      <c r="AW4" s="179"/>
      <c r="AX4" s="179"/>
      <c r="AY4" s="180"/>
      <c r="AZ4" s="181"/>
      <c r="BA4" s="182"/>
      <c r="BB4" s="182"/>
      <c r="BC4" s="182"/>
      <c r="BD4" s="183"/>
    </row>
    <row r="6" spans="1:56" ht="15" customHeight="1" x14ac:dyDescent="0.3">
      <c r="A6" s="156" t="s">
        <v>101</v>
      </c>
      <c r="B6" s="158" t="s">
        <v>4</v>
      </c>
      <c r="C6" s="159"/>
      <c r="D6" s="159"/>
      <c r="E6" s="159"/>
      <c r="F6" s="159"/>
      <c r="G6" s="159"/>
      <c r="H6" s="160"/>
      <c r="I6" s="158" t="s">
        <v>5</v>
      </c>
      <c r="J6" s="159"/>
      <c r="K6" s="159"/>
      <c r="L6" s="159"/>
      <c r="M6" s="159"/>
      <c r="N6" s="159"/>
      <c r="O6" s="159"/>
      <c r="P6" s="159"/>
      <c r="Q6" s="160"/>
      <c r="R6" s="158" t="s">
        <v>145</v>
      </c>
      <c r="S6" s="159"/>
      <c r="T6" s="159"/>
      <c r="U6" s="159"/>
      <c r="V6" s="159"/>
      <c r="W6" s="159"/>
      <c r="X6" s="160"/>
      <c r="Y6" s="158" t="s">
        <v>6</v>
      </c>
      <c r="Z6" s="160"/>
      <c r="AA6" s="158" t="s">
        <v>7</v>
      </c>
      <c r="AB6" s="159"/>
      <c r="AC6" s="160"/>
      <c r="AD6" s="164" t="s">
        <v>8</v>
      </c>
      <c r="AE6" s="185" t="s">
        <v>9</v>
      </c>
      <c r="AF6" s="164" t="s">
        <v>10</v>
      </c>
      <c r="AG6" s="164" t="s">
        <v>11</v>
      </c>
      <c r="AH6" s="164" t="s">
        <v>12</v>
      </c>
      <c r="AI6" s="166" t="s">
        <v>13</v>
      </c>
      <c r="AJ6" s="167"/>
      <c r="AK6" s="167"/>
      <c r="AL6" s="167"/>
      <c r="AM6" s="167"/>
      <c r="AN6" s="167"/>
      <c r="AO6" s="167"/>
      <c r="AP6" s="167"/>
      <c r="AQ6" s="167"/>
      <c r="AR6" s="168"/>
      <c r="AS6" s="169" t="s">
        <v>14</v>
      </c>
      <c r="AT6" s="170"/>
      <c r="AU6" s="170"/>
      <c r="AV6" s="170"/>
      <c r="AW6" s="170"/>
      <c r="AX6" s="170"/>
      <c r="AY6" s="170"/>
      <c r="AZ6" s="170"/>
      <c r="BA6" s="170"/>
      <c r="BB6" s="170"/>
      <c r="BC6" s="170"/>
      <c r="BD6" s="171"/>
    </row>
    <row r="7" spans="1:56" ht="15" customHeight="1" x14ac:dyDescent="0.3">
      <c r="A7" s="157"/>
      <c r="B7" s="161"/>
      <c r="C7" s="162"/>
      <c r="D7" s="162"/>
      <c r="E7" s="162"/>
      <c r="F7" s="162"/>
      <c r="G7" s="162"/>
      <c r="H7" s="163"/>
      <c r="I7" s="161"/>
      <c r="J7" s="162"/>
      <c r="K7" s="162"/>
      <c r="L7" s="162"/>
      <c r="M7" s="162"/>
      <c r="N7" s="162"/>
      <c r="O7" s="162"/>
      <c r="P7" s="162"/>
      <c r="Q7" s="163"/>
      <c r="R7" s="161"/>
      <c r="S7" s="162"/>
      <c r="T7" s="162"/>
      <c r="U7" s="162"/>
      <c r="V7" s="162"/>
      <c r="W7" s="162"/>
      <c r="X7" s="163"/>
      <c r="Y7" s="161"/>
      <c r="Z7" s="163"/>
      <c r="AA7" s="161"/>
      <c r="AB7" s="162"/>
      <c r="AC7" s="163"/>
      <c r="AD7" s="165"/>
      <c r="AE7" s="186"/>
      <c r="AF7" s="165"/>
      <c r="AG7" s="165"/>
      <c r="AH7" s="165"/>
      <c r="AI7" s="56">
        <v>1</v>
      </c>
      <c r="AJ7" s="56">
        <v>2</v>
      </c>
      <c r="AK7" s="56">
        <v>3</v>
      </c>
      <c r="AL7" s="56">
        <v>4</v>
      </c>
      <c r="AM7" s="56">
        <v>5</v>
      </c>
      <c r="AN7" s="56">
        <v>6</v>
      </c>
      <c r="AO7" s="56">
        <v>7</v>
      </c>
      <c r="AP7" s="56">
        <v>8</v>
      </c>
      <c r="AQ7" s="56">
        <v>9</v>
      </c>
      <c r="AR7" s="56">
        <v>10</v>
      </c>
      <c r="AS7" s="172"/>
      <c r="AT7" s="173"/>
      <c r="AU7" s="173"/>
      <c r="AV7" s="173"/>
      <c r="AW7" s="173"/>
      <c r="AX7" s="173"/>
      <c r="AY7" s="173"/>
      <c r="AZ7" s="173"/>
      <c r="BA7" s="173"/>
      <c r="BB7" s="173"/>
      <c r="BC7" s="173"/>
      <c r="BD7" s="174"/>
    </row>
    <row r="8" spans="1:56" ht="15" customHeight="1" x14ac:dyDescent="0.3">
      <c r="A8" s="54">
        <f>IF(B8="","",COUNTA($B$8:B8))</f>
        <v>1</v>
      </c>
      <c r="B8" s="18" t="s">
        <v>150</v>
      </c>
      <c r="C8" s="19"/>
      <c r="D8" s="19"/>
      <c r="E8" s="19"/>
      <c r="F8" s="19"/>
      <c r="G8" s="19"/>
      <c r="H8" s="19"/>
      <c r="I8" s="31" t="str">
        <f>VLOOKUP(B8,Sheet1!A:B,2,FALSE)</f>
        <v>shukka_shiji_no</v>
      </c>
      <c r="J8" s="21"/>
      <c r="K8" s="21"/>
      <c r="L8" s="21"/>
      <c r="M8" s="21"/>
      <c r="N8" s="21"/>
      <c r="O8" s="21"/>
      <c r="P8" s="21"/>
      <c r="Q8" s="21"/>
      <c r="R8" s="18" t="s">
        <v>198</v>
      </c>
      <c r="S8" s="19"/>
      <c r="T8" s="19"/>
      <c r="U8" s="19"/>
      <c r="V8" s="19"/>
      <c r="W8" s="19"/>
      <c r="X8" s="19"/>
      <c r="Y8" s="139" t="s">
        <v>111</v>
      </c>
      <c r="Z8" s="140"/>
      <c r="AA8" s="141" t="s">
        <v>107</v>
      </c>
      <c r="AB8" s="142"/>
      <c r="AC8" s="143"/>
      <c r="AD8" s="25">
        <v>10</v>
      </c>
      <c r="AE8" s="26"/>
      <c r="AF8" s="26" t="s">
        <v>119</v>
      </c>
      <c r="AG8" s="26" t="s">
        <v>85</v>
      </c>
      <c r="AH8" s="27"/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42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68"/>
    </row>
    <row r="9" spans="1:56" ht="15" customHeight="1" x14ac:dyDescent="0.3">
      <c r="A9" s="54">
        <f>IF(B9="","",COUNTA($B$8:B9))</f>
        <v>2</v>
      </c>
      <c r="B9" s="42" t="s">
        <v>217</v>
      </c>
      <c r="C9" s="41"/>
      <c r="D9" s="41"/>
      <c r="E9" s="41"/>
      <c r="F9" s="41"/>
      <c r="G9" s="41"/>
      <c r="H9" s="41"/>
      <c r="I9" s="31" t="str">
        <f>VLOOKUP(B9,Sheet1!A:B,2,FALSE)</f>
        <v>shukka_shiji_edaban</v>
      </c>
      <c r="J9" s="32"/>
      <c r="K9" s="32"/>
      <c r="L9" s="32"/>
      <c r="M9" s="32"/>
      <c r="N9" s="32"/>
      <c r="O9" s="32"/>
      <c r="P9" s="32"/>
      <c r="Q9" s="32"/>
      <c r="R9" s="42" t="s">
        <v>218</v>
      </c>
      <c r="S9" s="41"/>
      <c r="T9" s="41"/>
      <c r="U9" s="41"/>
      <c r="V9" s="41"/>
      <c r="W9" s="41"/>
      <c r="X9" s="41"/>
      <c r="Y9" s="139" t="s">
        <v>108</v>
      </c>
      <c r="Z9" s="140"/>
      <c r="AA9" s="141" t="s">
        <v>110</v>
      </c>
      <c r="AB9" s="142"/>
      <c r="AC9" s="143"/>
      <c r="AD9" s="72">
        <v>3</v>
      </c>
      <c r="AE9" s="27"/>
      <c r="AF9" s="26" t="s">
        <v>205</v>
      </c>
      <c r="AG9" s="27" t="s">
        <v>85</v>
      </c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42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68"/>
    </row>
    <row r="10" spans="1:56" ht="15" customHeight="1" x14ac:dyDescent="0.3">
      <c r="A10" s="54">
        <f>IF(B10="","",COUNTA($B$8:B10))</f>
        <v>3</v>
      </c>
      <c r="B10" s="42" t="s">
        <v>1536</v>
      </c>
      <c r="C10" s="44"/>
      <c r="D10" s="44"/>
      <c r="E10" s="44"/>
      <c r="F10" s="44"/>
      <c r="G10" s="44"/>
      <c r="H10" s="44"/>
      <c r="I10" s="31" t="str">
        <f>VLOOKUP(B10,Sheet1!A:B,2,FALSE)</f>
        <v>renban</v>
      </c>
      <c r="J10" s="32"/>
      <c r="K10" s="32"/>
      <c r="L10" s="32"/>
      <c r="M10" s="32"/>
      <c r="N10" s="32"/>
      <c r="O10" s="32"/>
      <c r="P10" s="32"/>
      <c r="Q10" s="32"/>
      <c r="R10" s="42" t="s">
        <v>1536</v>
      </c>
      <c r="S10" s="44"/>
      <c r="T10" s="44"/>
      <c r="U10" s="44"/>
      <c r="V10" s="44"/>
      <c r="W10" s="44"/>
      <c r="X10" s="44"/>
      <c r="Y10" s="139" t="s">
        <v>108</v>
      </c>
      <c r="Z10" s="140"/>
      <c r="AA10" s="141" t="s">
        <v>110</v>
      </c>
      <c r="AB10" s="142"/>
      <c r="AC10" s="143"/>
      <c r="AD10" s="45">
        <v>3</v>
      </c>
      <c r="AE10" s="27"/>
      <c r="AF10" s="26" t="s">
        <v>1539</v>
      </c>
      <c r="AG10" s="26" t="s">
        <v>85</v>
      </c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42" t="s">
        <v>1543</v>
      </c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68"/>
    </row>
    <row r="11" spans="1:56" ht="15" customHeight="1" x14ac:dyDescent="0.3">
      <c r="A11" s="54">
        <f>IF(B11="","",COUNTA($B$8:B11))</f>
        <v>4</v>
      </c>
      <c r="B11" s="42" t="s">
        <v>130</v>
      </c>
      <c r="C11" s="41"/>
      <c r="D11" s="41"/>
      <c r="E11" s="41"/>
      <c r="F11" s="41"/>
      <c r="G11" s="41"/>
      <c r="H11" s="41"/>
      <c r="I11" s="31" t="str">
        <f>VLOOKUP(B11,Sheet1!A:B,2,FALSE)</f>
        <v>hinmei</v>
      </c>
      <c r="J11" s="32"/>
      <c r="K11" s="32"/>
      <c r="L11" s="32"/>
      <c r="M11" s="32"/>
      <c r="N11" s="32"/>
      <c r="O11" s="32"/>
      <c r="P11" s="32"/>
      <c r="Q11" s="32"/>
      <c r="R11" s="42" t="s">
        <v>130</v>
      </c>
      <c r="S11" s="41"/>
      <c r="T11" s="41"/>
      <c r="U11" s="41"/>
      <c r="V11" s="41"/>
      <c r="W11" s="41"/>
      <c r="X11" s="41"/>
      <c r="Y11" s="139" t="s">
        <v>111</v>
      </c>
      <c r="Z11" s="140"/>
      <c r="AA11" s="141" t="s">
        <v>107</v>
      </c>
      <c r="AB11" s="142"/>
      <c r="AC11" s="143"/>
      <c r="AD11" s="72">
        <v>30</v>
      </c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42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68"/>
    </row>
    <row r="12" spans="1:56" ht="15" customHeight="1" x14ac:dyDescent="0.3">
      <c r="A12" s="54">
        <f>IF(B12="","",COUNTA($B$8:B12))</f>
        <v>5</v>
      </c>
      <c r="B12" s="42" t="s">
        <v>1535</v>
      </c>
      <c r="C12" s="41"/>
      <c r="D12" s="41"/>
      <c r="E12" s="41"/>
      <c r="F12" s="41"/>
      <c r="G12" s="41"/>
      <c r="H12" s="41"/>
      <c r="I12" s="31" t="str">
        <f>VLOOKUP(B12,Sheet1!A:B,2,FALSE)</f>
        <v>koguchi_su</v>
      </c>
      <c r="J12" s="32"/>
      <c r="K12" s="32"/>
      <c r="L12" s="32"/>
      <c r="M12" s="32"/>
      <c r="N12" s="32"/>
      <c r="O12" s="32"/>
      <c r="P12" s="32"/>
      <c r="Q12" s="32"/>
      <c r="R12" s="42" t="s">
        <v>1535</v>
      </c>
      <c r="S12" s="41"/>
      <c r="T12" s="41"/>
      <c r="U12" s="41"/>
      <c r="V12" s="41"/>
      <c r="W12" s="41"/>
      <c r="X12" s="41"/>
      <c r="Y12" s="139" t="s">
        <v>108</v>
      </c>
      <c r="Z12" s="140"/>
      <c r="AA12" s="141" t="s">
        <v>110</v>
      </c>
      <c r="AB12" s="142"/>
      <c r="AC12" s="143"/>
      <c r="AD12" s="72">
        <v>3</v>
      </c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42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68"/>
    </row>
    <row r="13" spans="1:56" ht="15" customHeight="1" x14ac:dyDescent="0.3">
      <c r="A13" s="54">
        <f>IF(B13="","",COUNTA($B$8:B13))</f>
        <v>6</v>
      </c>
      <c r="B13" s="18" t="s">
        <v>182</v>
      </c>
      <c r="C13" s="19"/>
      <c r="D13" s="19"/>
      <c r="E13" s="19"/>
      <c r="F13" s="19"/>
      <c r="G13" s="19"/>
      <c r="H13" s="22"/>
      <c r="I13" s="31" t="str">
        <f>VLOOKUP(B13,Sheet1!A:B,2,FALSE)</f>
        <v>shukan_busho_cd</v>
      </c>
      <c r="J13" s="21"/>
      <c r="K13" s="21"/>
      <c r="L13" s="21"/>
      <c r="M13" s="21"/>
      <c r="N13" s="21"/>
      <c r="O13" s="21"/>
      <c r="P13" s="21"/>
      <c r="Q13" s="33"/>
      <c r="R13" s="18" t="s">
        <v>184</v>
      </c>
      <c r="S13" s="21"/>
      <c r="T13" s="21"/>
      <c r="U13" s="21"/>
      <c r="V13" s="21"/>
      <c r="W13" s="21"/>
      <c r="X13" s="22"/>
      <c r="Y13" s="139" t="s">
        <v>56</v>
      </c>
      <c r="Z13" s="184"/>
      <c r="AA13" s="141" t="s">
        <v>107</v>
      </c>
      <c r="AB13" s="142"/>
      <c r="AC13" s="143"/>
      <c r="AD13" s="25">
        <v>4</v>
      </c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7"/>
      <c r="AP13" s="27"/>
      <c r="AQ13" s="27"/>
      <c r="AR13" s="27"/>
      <c r="AS13" s="28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70"/>
    </row>
    <row r="14" spans="1:56" ht="15" customHeight="1" x14ac:dyDescent="0.3">
      <c r="A14" s="54">
        <f>IF(B14="","",COUNTA($B$8:B14))</f>
        <v>7</v>
      </c>
      <c r="B14" s="18" t="s">
        <v>183</v>
      </c>
      <c r="C14" s="19"/>
      <c r="D14" s="19"/>
      <c r="E14" s="19"/>
      <c r="F14" s="19"/>
      <c r="G14" s="19"/>
      <c r="H14" s="22"/>
      <c r="I14" s="31" t="str">
        <f>VLOOKUP(B14,Sheet1!A:B,2,FALSE)</f>
        <v>shukan_kotei_cd</v>
      </c>
      <c r="J14" s="21"/>
      <c r="K14" s="21"/>
      <c r="L14" s="21"/>
      <c r="M14" s="21"/>
      <c r="N14" s="21"/>
      <c r="O14" s="21"/>
      <c r="P14" s="21"/>
      <c r="Q14" s="33"/>
      <c r="R14" s="18" t="s">
        <v>183</v>
      </c>
      <c r="S14" s="21"/>
      <c r="T14" s="21"/>
      <c r="U14" s="21"/>
      <c r="V14" s="21"/>
      <c r="W14" s="21"/>
      <c r="X14" s="22"/>
      <c r="Y14" s="18" t="s">
        <v>56</v>
      </c>
      <c r="Z14" s="35"/>
      <c r="AA14" s="23" t="s">
        <v>107</v>
      </c>
      <c r="AB14" s="24"/>
      <c r="AC14" s="36"/>
      <c r="AD14" s="25">
        <v>4</v>
      </c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7"/>
      <c r="AP14" s="27"/>
      <c r="AQ14" s="27"/>
      <c r="AR14" s="27"/>
      <c r="AS14" s="28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70"/>
    </row>
    <row r="15" spans="1:56" ht="15" customHeight="1" x14ac:dyDescent="0.3">
      <c r="A15" s="54">
        <f>IF(B15="","",COUNTA($B$8:B15))</f>
        <v>8</v>
      </c>
      <c r="B15" s="18" t="s">
        <v>1095</v>
      </c>
      <c r="C15" s="41"/>
      <c r="D15" s="41"/>
      <c r="E15" s="41"/>
      <c r="F15" s="41"/>
      <c r="G15" s="41"/>
      <c r="H15" s="41"/>
      <c r="I15" s="31" t="str">
        <f>VLOOKUP(B15,Sheet1!A:B,2,FALSE)</f>
        <v>insert_func_cd</v>
      </c>
      <c r="J15" s="32"/>
      <c r="K15" s="32"/>
      <c r="L15" s="32"/>
      <c r="M15" s="32"/>
      <c r="N15" s="32"/>
      <c r="O15" s="32"/>
      <c r="P15" s="32"/>
      <c r="Q15" s="32"/>
      <c r="R15" s="18" t="s">
        <v>1095</v>
      </c>
      <c r="S15" s="41"/>
      <c r="T15" s="41"/>
      <c r="U15" s="41"/>
      <c r="V15" s="41"/>
      <c r="W15" s="41"/>
      <c r="X15" s="41"/>
      <c r="Y15" s="18" t="s">
        <v>111</v>
      </c>
      <c r="Z15" s="34"/>
      <c r="AA15" s="23" t="s">
        <v>107</v>
      </c>
      <c r="AB15" s="24"/>
      <c r="AC15" s="36"/>
      <c r="AD15" s="25">
        <v>10</v>
      </c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8"/>
      <c r="AP15" s="38"/>
      <c r="AQ15" s="38"/>
      <c r="AR15" s="38"/>
      <c r="AS15" s="39"/>
      <c r="AT15" s="40"/>
      <c r="AU15" s="69"/>
      <c r="AV15" s="69"/>
      <c r="AW15" s="43"/>
      <c r="AX15" s="43"/>
      <c r="AY15" s="43"/>
      <c r="AZ15" s="43"/>
      <c r="BA15" s="43"/>
      <c r="BB15" s="43"/>
      <c r="BC15" s="43"/>
      <c r="BD15" s="68"/>
    </row>
    <row r="16" spans="1:56" ht="15" customHeight="1" x14ac:dyDescent="0.3">
      <c r="A16" s="54">
        <f>IF(B16="","",COUNTA($B$8:B16))</f>
        <v>9</v>
      </c>
      <c r="B16" s="18" t="s">
        <v>112</v>
      </c>
      <c r="C16" s="41"/>
      <c r="D16" s="41"/>
      <c r="E16" s="41"/>
      <c r="F16" s="41"/>
      <c r="G16" s="41"/>
      <c r="H16" s="41"/>
      <c r="I16" s="31" t="str">
        <f>VLOOKUP(B16,Sheet1!A:B,2,FALSE)</f>
        <v>insert_user_cd</v>
      </c>
      <c r="J16" s="32"/>
      <c r="K16" s="32"/>
      <c r="L16" s="32"/>
      <c r="M16" s="32"/>
      <c r="N16" s="32"/>
      <c r="O16" s="32"/>
      <c r="P16" s="32"/>
      <c r="Q16" s="32"/>
      <c r="R16" s="18" t="s">
        <v>112</v>
      </c>
      <c r="S16" s="41"/>
      <c r="T16" s="41"/>
      <c r="U16" s="41"/>
      <c r="V16" s="41"/>
      <c r="W16" s="41"/>
      <c r="X16" s="41"/>
      <c r="Y16" s="18" t="s">
        <v>111</v>
      </c>
      <c r="Z16" s="34"/>
      <c r="AA16" s="23" t="s">
        <v>107</v>
      </c>
      <c r="AB16" s="24"/>
      <c r="AC16" s="36"/>
      <c r="AD16" s="25">
        <v>10</v>
      </c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7"/>
      <c r="AP16" s="27"/>
      <c r="AQ16" s="27"/>
      <c r="AR16" s="27"/>
      <c r="AS16" s="39"/>
      <c r="AT16" s="46"/>
      <c r="AU16" s="43"/>
      <c r="AV16" s="43"/>
      <c r="AW16" s="43"/>
      <c r="AX16" s="43"/>
      <c r="AY16" s="43"/>
      <c r="AZ16" s="43"/>
      <c r="BA16" s="43"/>
      <c r="BB16" s="43"/>
      <c r="BC16" s="43"/>
      <c r="BD16" s="68"/>
    </row>
    <row r="17" spans="1:57" ht="15" customHeight="1" x14ac:dyDescent="0.3">
      <c r="A17" s="54">
        <f>IF(B17="","",COUNTA($B$8:B17))</f>
        <v>10</v>
      </c>
      <c r="B17" s="18" t="s">
        <v>113</v>
      </c>
      <c r="C17" s="41"/>
      <c r="D17" s="41"/>
      <c r="E17" s="41"/>
      <c r="F17" s="41"/>
      <c r="G17" s="41"/>
      <c r="H17" s="41"/>
      <c r="I17" s="31" t="str">
        <f>VLOOKUP(B17,Sheet1!A:B,2,FALSE)</f>
        <v>insert_datetime</v>
      </c>
      <c r="J17" s="32"/>
      <c r="K17" s="32"/>
      <c r="L17" s="32"/>
      <c r="M17" s="32"/>
      <c r="N17" s="32"/>
      <c r="O17" s="32"/>
      <c r="P17" s="32"/>
      <c r="Q17" s="32"/>
      <c r="R17" s="18" t="s">
        <v>113</v>
      </c>
      <c r="S17" s="41"/>
      <c r="T17" s="41"/>
      <c r="U17" s="41"/>
      <c r="V17" s="41"/>
      <c r="W17" s="41"/>
      <c r="X17" s="41"/>
      <c r="Y17" s="18" t="s">
        <v>87</v>
      </c>
      <c r="Z17" s="34"/>
      <c r="AA17" s="23" t="s">
        <v>109</v>
      </c>
      <c r="AB17" s="24"/>
      <c r="AC17" s="36"/>
      <c r="AD17" s="55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7"/>
      <c r="AP17" s="27"/>
      <c r="AQ17" s="27"/>
      <c r="AR17" s="27"/>
      <c r="AS17" s="39"/>
      <c r="AT17" s="46"/>
      <c r="AU17" s="43"/>
      <c r="AV17" s="43"/>
      <c r="AW17" s="43"/>
      <c r="AX17" s="43"/>
      <c r="AY17" s="43"/>
      <c r="AZ17" s="43"/>
      <c r="BA17" s="43"/>
      <c r="BB17" s="43"/>
      <c r="BC17" s="43"/>
      <c r="BD17" s="68"/>
    </row>
    <row r="18" spans="1:57" ht="15" customHeight="1" x14ac:dyDescent="0.3">
      <c r="A18" s="54">
        <f>IF(B18="","",COUNTA($B$8:B18))</f>
        <v>11</v>
      </c>
      <c r="B18" s="18" t="s">
        <v>1094</v>
      </c>
      <c r="C18" s="41"/>
      <c r="D18" s="41"/>
      <c r="E18" s="41"/>
      <c r="F18" s="41"/>
      <c r="G18" s="41"/>
      <c r="H18" s="41"/>
      <c r="I18" s="31" t="str">
        <f>VLOOKUP(B18,Sheet1!A:B,2,FALSE)</f>
        <v>update_func_cd</v>
      </c>
      <c r="J18" s="32"/>
      <c r="K18" s="32"/>
      <c r="L18" s="32"/>
      <c r="M18" s="32"/>
      <c r="N18" s="32"/>
      <c r="O18" s="32"/>
      <c r="P18" s="32"/>
      <c r="Q18" s="32"/>
      <c r="R18" s="18" t="s">
        <v>1094</v>
      </c>
      <c r="S18" s="41"/>
      <c r="T18" s="41"/>
      <c r="U18" s="41"/>
      <c r="V18" s="41"/>
      <c r="W18" s="41"/>
      <c r="X18" s="41"/>
      <c r="Y18" s="18" t="s">
        <v>111</v>
      </c>
      <c r="Z18" s="34"/>
      <c r="AA18" s="23" t="s">
        <v>107</v>
      </c>
      <c r="AB18" s="24"/>
      <c r="AC18" s="36"/>
      <c r="AD18" s="25">
        <v>10</v>
      </c>
      <c r="AE18" s="37"/>
      <c r="AF18" s="37"/>
      <c r="AG18" s="37"/>
      <c r="AH18" s="37"/>
      <c r="AI18" s="37"/>
      <c r="AJ18" s="37"/>
      <c r="AK18" s="37"/>
      <c r="AL18" s="37"/>
      <c r="AM18" s="37"/>
      <c r="AN18" s="37"/>
      <c r="AO18" s="38"/>
      <c r="AP18" s="38"/>
      <c r="AQ18" s="38"/>
      <c r="AR18" s="38"/>
      <c r="AS18" s="39"/>
      <c r="AT18" s="40"/>
      <c r="AU18" s="43"/>
      <c r="AV18" s="43"/>
      <c r="AW18" s="43"/>
      <c r="AX18" s="43"/>
      <c r="AY18" s="43"/>
      <c r="AZ18" s="43"/>
      <c r="BA18" s="43"/>
      <c r="BB18" s="43"/>
      <c r="BC18" s="43"/>
      <c r="BD18" s="68"/>
    </row>
    <row r="19" spans="1:57" ht="15" customHeight="1" x14ac:dyDescent="0.3">
      <c r="A19" s="54">
        <f>IF(B19="","",COUNTA($B$8:B19))</f>
        <v>12</v>
      </c>
      <c r="B19" s="18" t="s">
        <v>114</v>
      </c>
      <c r="C19" s="19"/>
      <c r="D19" s="19"/>
      <c r="E19" s="19"/>
      <c r="F19" s="19"/>
      <c r="G19" s="19"/>
      <c r="H19" s="19"/>
      <c r="I19" s="31" t="str">
        <f>VLOOKUP(B19,Sheet1!A:B,2,FALSE)</f>
        <v>update_user_cd</v>
      </c>
      <c r="J19" s="21"/>
      <c r="K19" s="21"/>
      <c r="L19" s="21"/>
      <c r="M19" s="21"/>
      <c r="N19" s="21"/>
      <c r="O19" s="21"/>
      <c r="P19" s="21"/>
      <c r="Q19" s="21"/>
      <c r="R19" s="18" t="s">
        <v>114</v>
      </c>
      <c r="S19" s="19"/>
      <c r="T19" s="19"/>
      <c r="U19" s="19"/>
      <c r="V19" s="19"/>
      <c r="W19" s="19"/>
      <c r="X19" s="19"/>
      <c r="Y19" s="18" t="s">
        <v>111</v>
      </c>
      <c r="Z19" s="34"/>
      <c r="AA19" s="23" t="s">
        <v>107</v>
      </c>
      <c r="AB19" s="24"/>
      <c r="AC19" s="36"/>
      <c r="AD19" s="55">
        <v>10</v>
      </c>
      <c r="AE19" s="37"/>
      <c r="AF19" s="37"/>
      <c r="AG19" s="37"/>
      <c r="AH19" s="37"/>
      <c r="AI19" s="37"/>
      <c r="AJ19" s="37"/>
      <c r="AK19" s="37"/>
      <c r="AL19" s="37"/>
      <c r="AM19" s="37"/>
      <c r="AN19" s="37"/>
      <c r="AO19" s="38"/>
      <c r="AP19" s="38"/>
      <c r="AQ19" s="38"/>
      <c r="AR19" s="38"/>
      <c r="AS19" s="39"/>
      <c r="AT19" s="40"/>
      <c r="AU19" s="43"/>
      <c r="AV19" s="43"/>
      <c r="AW19" s="43"/>
      <c r="AX19" s="43"/>
      <c r="AY19" s="43"/>
      <c r="AZ19" s="43"/>
      <c r="BA19" s="43"/>
      <c r="BB19" s="43"/>
      <c r="BC19" s="43"/>
      <c r="BD19" s="68"/>
    </row>
    <row r="20" spans="1:57" ht="15" customHeight="1" x14ac:dyDescent="0.3">
      <c r="A20" s="54">
        <f>IF(B20="","",COUNTA($B$8:B20))</f>
        <v>13</v>
      </c>
      <c r="B20" s="18" t="s">
        <v>115</v>
      </c>
      <c r="C20" s="19"/>
      <c r="D20" s="19"/>
      <c r="E20" s="19"/>
      <c r="F20" s="19"/>
      <c r="G20" s="19"/>
      <c r="H20" s="19"/>
      <c r="I20" s="31" t="str">
        <f>VLOOKUP(B20,Sheet1!A:B,2,FALSE)</f>
        <v>update_datetime</v>
      </c>
      <c r="J20" s="21"/>
      <c r="K20" s="21"/>
      <c r="L20" s="21"/>
      <c r="M20" s="21"/>
      <c r="N20" s="21"/>
      <c r="O20" s="21"/>
      <c r="P20" s="21"/>
      <c r="Q20" s="21"/>
      <c r="R20" s="18" t="s">
        <v>115</v>
      </c>
      <c r="S20" s="19"/>
      <c r="T20" s="19"/>
      <c r="U20" s="19"/>
      <c r="V20" s="19"/>
      <c r="W20" s="19"/>
      <c r="X20" s="19"/>
      <c r="Y20" s="18" t="s">
        <v>87</v>
      </c>
      <c r="Z20" s="34"/>
      <c r="AA20" s="23" t="s">
        <v>109</v>
      </c>
      <c r="AB20" s="24"/>
      <c r="AC20" s="36"/>
      <c r="AD20" s="55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42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68"/>
    </row>
    <row r="21" spans="1:57" s="49" customFormat="1" ht="15" customHeight="1" x14ac:dyDescent="0.3">
      <c r="A21" s="54" t="str">
        <f>IF(B21="","",COUNTA($B$8:B21))</f>
        <v/>
      </c>
      <c r="B21" s="18"/>
      <c r="C21" s="19"/>
      <c r="D21" s="19"/>
      <c r="E21" s="19"/>
      <c r="F21" s="19"/>
      <c r="G21" s="19"/>
      <c r="H21" s="19"/>
      <c r="I21" s="20"/>
      <c r="J21" s="21"/>
      <c r="K21" s="21"/>
      <c r="L21" s="21"/>
      <c r="M21" s="21"/>
      <c r="N21" s="21"/>
      <c r="O21" s="21"/>
      <c r="P21" s="21"/>
      <c r="Q21" s="21"/>
      <c r="R21" s="18"/>
      <c r="S21" s="19"/>
      <c r="T21" s="19"/>
      <c r="U21" s="19"/>
      <c r="V21" s="19"/>
      <c r="W21" s="19"/>
      <c r="X21" s="19"/>
      <c r="Y21" s="139"/>
      <c r="Z21" s="140"/>
      <c r="AA21" s="141"/>
      <c r="AB21" s="142"/>
      <c r="AC21" s="143"/>
      <c r="AD21" s="55"/>
      <c r="AE21" s="26"/>
      <c r="AF21" s="47"/>
      <c r="AG21" s="47"/>
      <c r="AH21" s="47"/>
      <c r="AI21" s="47"/>
      <c r="AJ21" s="47"/>
      <c r="AK21" s="47"/>
      <c r="AL21" s="47"/>
      <c r="AM21" s="47"/>
      <c r="AN21" s="47"/>
      <c r="AO21" s="48"/>
      <c r="AP21" s="48"/>
      <c r="AQ21" s="48"/>
      <c r="AR21" s="48"/>
      <c r="AS21" s="28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30"/>
    </row>
    <row r="22" spans="1:57" ht="15" customHeight="1" x14ac:dyDescent="0.3">
      <c r="A22" s="54" t="str">
        <f>IF(B22="","",COUNTA($B$8:B22))</f>
        <v/>
      </c>
      <c r="B22" s="42"/>
      <c r="C22" s="41"/>
      <c r="D22" s="41"/>
      <c r="E22" s="41"/>
      <c r="F22" s="41"/>
      <c r="G22" s="41"/>
      <c r="H22" s="41"/>
      <c r="I22" s="31"/>
      <c r="J22" s="32"/>
      <c r="K22" s="32"/>
      <c r="L22" s="32"/>
      <c r="M22" s="32"/>
      <c r="N22" s="32"/>
      <c r="O22" s="32"/>
      <c r="P22" s="32"/>
      <c r="Q22" s="32"/>
      <c r="R22" s="42"/>
      <c r="S22" s="41"/>
      <c r="T22" s="41"/>
      <c r="U22" s="41"/>
      <c r="V22" s="41"/>
      <c r="W22" s="41"/>
      <c r="X22" s="41"/>
      <c r="Y22" s="139"/>
      <c r="Z22" s="140"/>
      <c r="AA22" s="141"/>
      <c r="AB22" s="142"/>
      <c r="AC22" s="143"/>
      <c r="AD22" s="72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42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68"/>
    </row>
    <row r="23" spans="1:57" ht="15" customHeight="1" x14ac:dyDescent="0.3">
      <c r="A23" s="54" t="str">
        <f>IF(B23="","",COUNTA($B$8:B23))</f>
        <v/>
      </c>
      <c r="B23" s="42"/>
      <c r="C23" s="41"/>
      <c r="D23" s="41"/>
      <c r="E23" s="41"/>
      <c r="F23" s="41"/>
      <c r="G23" s="41"/>
      <c r="H23" s="41"/>
      <c r="I23" s="31"/>
      <c r="J23" s="32"/>
      <c r="K23" s="32"/>
      <c r="L23" s="32"/>
      <c r="M23" s="32"/>
      <c r="N23" s="32"/>
      <c r="O23" s="32"/>
      <c r="P23" s="32"/>
      <c r="Q23" s="32"/>
      <c r="R23" s="42"/>
      <c r="S23" s="41"/>
      <c r="T23" s="41"/>
      <c r="U23" s="41"/>
      <c r="V23" s="41"/>
      <c r="W23" s="41"/>
      <c r="X23" s="41"/>
      <c r="Y23" s="139"/>
      <c r="Z23" s="140"/>
      <c r="AA23" s="141"/>
      <c r="AB23" s="142"/>
      <c r="AC23" s="143"/>
      <c r="AD23" s="72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50"/>
      <c r="AT23" s="51"/>
      <c r="AU23" s="51"/>
      <c r="AV23" s="51"/>
      <c r="AW23" s="51"/>
      <c r="AX23" s="51"/>
      <c r="AY23" s="51"/>
      <c r="AZ23" s="51"/>
      <c r="BA23" s="51"/>
      <c r="BB23" s="51"/>
      <c r="BC23" s="51"/>
      <c r="BD23" s="52"/>
      <c r="BE23" s="53"/>
    </row>
    <row r="24" spans="1:57" ht="15" customHeight="1" x14ac:dyDescent="0.3">
      <c r="A24" s="54" t="str">
        <f>IF(B24="","",COUNTA($B$8:B24))</f>
        <v/>
      </c>
      <c r="B24" s="42"/>
      <c r="C24" s="41"/>
      <c r="D24" s="41"/>
      <c r="E24" s="41"/>
      <c r="F24" s="41"/>
      <c r="G24" s="41"/>
      <c r="H24" s="41"/>
      <c r="I24" s="31"/>
      <c r="J24" s="32"/>
      <c r="K24" s="32"/>
      <c r="L24" s="32"/>
      <c r="M24" s="32"/>
      <c r="N24" s="32"/>
      <c r="O24" s="32"/>
      <c r="P24" s="32"/>
      <c r="Q24" s="32"/>
      <c r="R24" s="42"/>
      <c r="S24" s="41"/>
      <c r="T24" s="41"/>
      <c r="U24" s="41"/>
      <c r="V24" s="41"/>
      <c r="W24" s="41"/>
      <c r="X24" s="41"/>
      <c r="Y24" s="139"/>
      <c r="Z24" s="140"/>
      <c r="AA24" s="141"/>
      <c r="AB24" s="142"/>
      <c r="AC24" s="143"/>
      <c r="AD24" s="72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50"/>
      <c r="AT24" s="51"/>
      <c r="AU24" s="51"/>
      <c r="AV24" s="51"/>
      <c r="AW24" s="51"/>
      <c r="AX24" s="51"/>
      <c r="AY24" s="51"/>
      <c r="AZ24" s="51"/>
      <c r="BA24" s="51"/>
      <c r="BB24" s="51"/>
      <c r="BC24" s="51"/>
      <c r="BD24" s="52"/>
      <c r="BE24" s="53"/>
    </row>
    <row r="25" spans="1:57" ht="15" customHeight="1" x14ac:dyDescent="0.3">
      <c r="A25" s="54" t="str">
        <f>IF(B25="","",COUNTA($B$8:B25))</f>
        <v/>
      </c>
      <c r="B25" s="42"/>
      <c r="C25" s="41"/>
      <c r="D25" s="41"/>
      <c r="E25" s="41"/>
      <c r="F25" s="41"/>
      <c r="G25" s="41"/>
      <c r="H25" s="41"/>
      <c r="I25" s="31"/>
      <c r="J25" s="32"/>
      <c r="K25" s="32"/>
      <c r="L25" s="32"/>
      <c r="M25" s="32"/>
      <c r="N25" s="32"/>
      <c r="O25" s="32"/>
      <c r="P25" s="32"/>
      <c r="Q25" s="32"/>
      <c r="R25" s="42"/>
      <c r="S25" s="41"/>
      <c r="T25" s="41"/>
      <c r="U25" s="41"/>
      <c r="V25" s="41"/>
      <c r="W25" s="41"/>
      <c r="X25" s="41"/>
      <c r="Y25" s="139"/>
      <c r="Z25" s="140"/>
      <c r="AA25" s="141"/>
      <c r="AB25" s="142"/>
      <c r="AC25" s="143"/>
      <c r="AD25" s="72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50"/>
      <c r="AT25" s="51"/>
      <c r="AU25" s="51"/>
      <c r="AV25" s="51"/>
      <c r="AW25" s="51"/>
      <c r="AX25" s="51"/>
      <c r="AY25" s="51"/>
      <c r="AZ25" s="51"/>
      <c r="BA25" s="51"/>
      <c r="BB25" s="51"/>
      <c r="BC25" s="51"/>
      <c r="BD25" s="52"/>
      <c r="BE25" s="53"/>
    </row>
    <row r="26" spans="1:57" ht="15" customHeight="1" x14ac:dyDescent="0.3">
      <c r="A26" s="54" t="str">
        <f>IF(B26="","",COUNTA($B$8:B26))</f>
        <v/>
      </c>
      <c r="B26" s="42"/>
      <c r="C26" s="41"/>
      <c r="D26" s="41"/>
      <c r="E26" s="41"/>
      <c r="F26" s="41"/>
      <c r="G26" s="41"/>
      <c r="H26" s="41"/>
      <c r="I26" s="31"/>
      <c r="J26" s="32"/>
      <c r="K26" s="32"/>
      <c r="L26" s="32"/>
      <c r="M26" s="32"/>
      <c r="N26" s="32"/>
      <c r="O26" s="32"/>
      <c r="P26" s="32"/>
      <c r="Q26" s="32"/>
      <c r="R26" s="42"/>
      <c r="S26" s="41"/>
      <c r="T26" s="41"/>
      <c r="U26" s="41"/>
      <c r="V26" s="41"/>
      <c r="W26" s="41"/>
      <c r="X26" s="41"/>
      <c r="Y26" s="139"/>
      <c r="Z26" s="140"/>
      <c r="AA26" s="141"/>
      <c r="AB26" s="142"/>
      <c r="AC26" s="143"/>
      <c r="AD26" s="72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50"/>
      <c r="AT26" s="51"/>
      <c r="AU26" s="51"/>
      <c r="AV26" s="51"/>
      <c r="AW26" s="51"/>
      <c r="AX26" s="51"/>
      <c r="AY26" s="51"/>
      <c r="AZ26" s="51"/>
      <c r="BA26" s="51"/>
      <c r="BB26" s="51"/>
      <c r="BC26" s="51"/>
      <c r="BD26" s="52"/>
      <c r="BE26" s="53"/>
    </row>
    <row r="27" spans="1:57" ht="15" customHeight="1" x14ac:dyDescent="0.3">
      <c r="A27" s="54" t="str">
        <f>IF(B27="","",COUNTA($B$8:B27))</f>
        <v/>
      </c>
      <c r="B27" s="42"/>
      <c r="C27" s="41"/>
      <c r="D27" s="41"/>
      <c r="E27" s="41"/>
      <c r="F27" s="41"/>
      <c r="G27" s="41"/>
      <c r="H27" s="41"/>
      <c r="I27" s="31"/>
      <c r="J27" s="32"/>
      <c r="K27" s="32"/>
      <c r="L27" s="32"/>
      <c r="M27" s="32"/>
      <c r="N27" s="32"/>
      <c r="O27" s="32"/>
      <c r="P27" s="32"/>
      <c r="Q27" s="32"/>
      <c r="R27" s="42"/>
      <c r="S27" s="41"/>
      <c r="T27" s="41"/>
      <c r="U27" s="41"/>
      <c r="V27" s="41"/>
      <c r="W27" s="41"/>
      <c r="X27" s="41"/>
      <c r="Y27" s="139"/>
      <c r="Z27" s="140"/>
      <c r="AA27" s="141"/>
      <c r="AB27" s="142"/>
      <c r="AC27" s="143"/>
      <c r="AD27" s="72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50"/>
      <c r="AT27" s="51"/>
      <c r="AU27" s="51"/>
      <c r="AV27" s="51"/>
      <c r="AW27" s="51"/>
      <c r="AX27" s="51"/>
      <c r="AY27" s="51"/>
      <c r="AZ27" s="51"/>
      <c r="BA27" s="51"/>
      <c r="BB27" s="51"/>
      <c r="BC27" s="51"/>
      <c r="BD27" s="52"/>
      <c r="BE27" s="53"/>
    </row>
    <row r="28" spans="1:57" ht="15" customHeight="1" x14ac:dyDescent="0.3">
      <c r="A28" s="54" t="str">
        <f>IF(B28="","",COUNTA($B$8:B28))</f>
        <v/>
      </c>
      <c r="B28" s="42"/>
      <c r="C28" s="41"/>
      <c r="D28" s="41"/>
      <c r="E28" s="41"/>
      <c r="F28" s="41"/>
      <c r="G28" s="41"/>
      <c r="H28" s="41"/>
      <c r="I28" s="31"/>
      <c r="J28" s="32"/>
      <c r="K28" s="32"/>
      <c r="L28" s="32"/>
      <c r="M28" s="32"/>
      <c r="N28" s="32"/>
      <c r="O28" s="32"/>
      <c r="P28" s="32"/>
      <c r="Q28" s="32"/>
      <c r="R28" s="42"/>
      <c r="S28" s="41"/>
      <c r="T28" s="41"/>
      <c r="U28" s="41"/>
      <c r="V28" s="41"/>
      <c r="W28" s="41"/>
      <c r="X28" s="41"/>
      <c r="Y28" s="139"/>
      <c r="Z28" s="140"/>
      <c r="AA28" s="141"/>
      <c r="AB28" s="142"/>
      <c r="AC28" s="143"/>
      <c r="AD28" s="72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50"/>
      <c r="AT28" s="51"/>
      <c r="AU28" s="51"/>
      <c r="AV28" s="51"/>
      <c r="AW28" s="51"/>
      <c r="AX28" s="51"/>
      <c r="AY28" s="51"/>
      <c r="AZ28" s="51"/>
      <c r="BA28" s="51"/>
      <c r="BB28" s="51"/>
      <c r="BC28" s="51"/>
      <c r="BD28" s="52"/>
      <c r="BE28" s="53"/>
    </row>
    <row r="29" spans="1:57" ht="15" customHeight="1" x14ac:dyDescent="0.3">
      <c r="A29" s="54" t="str">
        <f>IF(B29="","",COUNTA($B$8:B29))</f>
        <v/>
      </c>
      <c r="B29" s="42"/>
      <c r="C29" s="41"/>
      <c r="D29" s="41"/>
      <c r="E29" s="41"/>
      <c r="F29" s="41"/>
      <c r="G29" s="41"/>
      <c r="H29" s="41"/>
      <c r="I29" s="31"/>
      <c r="J29" s="32"/>
      <c r="K29" s="32"/>
      <c r="L29" s="32"/>
      <c r="M29" s="32"/>
      <c r="N29" s="32"/>
      <c r="O29" s="32"/>
      <c r="P29" s="32"/>
      <c r="Q29" s="32"/>
      <c r="R29" s="42"/>
      <c r="S29" s="41"/>
      <c r="T29" s="41"/>
      <c r="U29" s="41"/>
      <c r="V29" s="41"/>
      <c r="W29" s="41"/>
      <c r="X29" s="41"/>
      <c r="Y29" s="139"/>
      <c r="Z29" s="140"/>
      <c r="AA29" s="141"/>
      <c r="AB29" s="142"/>
      <c r="AC29" s="143"/>
      <c r="AD29" s="72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50"/>
      <c r="AT29" s="51"/>
      <c r="AU29" s="51"/>
      <c r="AV29" s="51"/>
      <c r="AW29" s="51"/>
      <c r="AX29" s="51"/>
      <c r="AY29" s="51"/>
      <c r="AZ29" s="51"/>
      <c r="BA29" s="51"/>
      <c r="BB29" s="51"/>
      <c r="BC29" s="51"/>
      <c r="BD29" s="52"/>
      <c r="BE29" s="53"/>
    </row>
    <row r="30" spans="1:57" ht="15" customHeight="1" x14ac:dyDescent="0.3">
      <c r="A30" s="54" t="str">
        <f>IF(B30="","",COUNTA($B$8:B30))</f>
        <v/>
      </c>
      <c r="B30" s="42"/>
      <c r="C30" s="41"/>
      <c r="D30" s="41"/>
      <c r="E30" s="41"/>
      <c r="F30" s="41"/>
      <c r="G30" s="41"/>
      <c r="H30" s="41"/>
      <c r="I30" s="31"/>
      <c r="J30" s="32"/>
      <c r="K30" s="32"/>
      <c r="L30" s="32"/>
      <c r="M30" s="32"/>
      <c r="N30" s="32"/>
      <c r="O30" s="32"/>
      <c r="P30" s="32"/>
      <c r="Q30" s="32"/>
      <c r="R30" s="42"/>
      <c r="S30" s="41"/>
      <c r="T30" s="41"/>
      <c r="U30" s="41"/>
      <c r="V30" s="41"/>
      <c r="W30" s="41"/>
      <c r="X30" s="41"/>
      <c r="Y30" s="139"/>
      <c r="Z30" s="140"/>
      <c r="AA30" s="141"/>
      <c r="AB30" s="142"/>
      <c r="AC30" s="143"/>
      <c r="AD30" s="72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50"/>
      <c r="AT30" s="51"/>
      <c r="AU30" s="51"/>
      <c r="AV30" s="51"/>
      <c r="AW30" s="51"/>
      <c r="AX30" s="51"/>
      <c r="AY30" s="51"/>
      <c r="AZ30" s="51"/>
      <c r="BA30" s="51"/>
      <c r="BB30" s="51"/>
      <c r="BC30" s="51"/>
      <c r="BD30" s="52"/>
      <c r="BE30" s="53"/>
    </row>
    <row r="31" spans="1:57" ht="15" customHeight="1" x14ac:dyDescent="0.3">
      <c r="A31" s="54" t="str">
        <f>IF(B31="","",COUNTA($B$8:B31))</f>
        <v/>
      </c>
      <c r="B31" s="42"/>
      <c r="C31" s="41"/>
      <c r="D31" s="41"/>
      <c r="E31" s="41"/>
      <c r="F31" s="41"/>
      <c r="G31" s="41"/>
      <c r="H31" s="41"/>
      <c r="I31" s="31"/>
      <c r="J31" s="32"/>
      <c r="K31" s="32"/>
      <c r="L31" s="32"/>
      <c r="M31" s="32"/>
      <c r="N31" s="32"/>
      <c r="O31" s="32"/>
      <c r="P31" s="32"/>
      <c r="Q31" s="32"/>
      <c r="R31" s="42"/>
      <c r="S31" s="41"/>
      <c r="T31" s="41"/>
      <c r="U31" s="41"/>
      <c r="V31" s="41"/>
      <c r="W31" s="41"/>
      <c r="X31" s="41"/>
      <c r="Y31" s="139"/>
      <c r="Z31" s="140"/>
      <c r="AA31" s="141"/>
      <c r="AB31" s="142"/>
      <c r="AC31" s="143"/>
      <c r="AD31" s="72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50"/>
      <c r="AT31" s="51"/>
      <c r="AU31" s="51"/>
      <c r="AV31" s="51"/>
      <c r="AW31" s="51"/>
      <c r="AX31" s="51"/>
      <c r="AY31" s="51"/>
      <c r="AZ31" s="51"/>
      <c r="BA31" s="51"/>
      <c r="BB31" s="51"/>
      <c r="BC31" s="51"/>
      <c r="BD31" s="52"/>
      <c r="BE31" s="53"/>
    </row>
    <row r="32" spans="1:57" ht="15" customHeight="1" x14ac:dyDescent="0.3">
      <c r="A32" s="54" t="str">
        <f>IF(B32="","",COUNTA($B$8:B32))</f>
        <v/>
      </c>
      <c r="B32" s="42"/>
      <c r="C32" s="41"/>
      <c r="D32" s="41"/>
      <c r="E32" s="41"/>
      <c r="F32" s="41"/>
      <c r="G32" s="41"/>
      <c r="H32" s="41"/>
      <c r="I32" s="31"/>
      <c r="J32" s="32"/>
      <c r="K32" s="32"/>
      <c r="L32" s="32"/>
      <c r="M32" s="32"/>
      <c r="N32" s="32"/>
      <c r="O32" s="32"/>
      <c r="P32" s="32"/>
      <c r="Q32" s="32"/>
      <c r="R32" s="42"/>
      <c r="S32" s="41"/>
      <c r="T32" s="41"/>
      <c r="U32" s="41"/>
      <c r="V32" s="41"/>
      <c r="W32" s="41"/>
      <c r="X32" s="41"/>
      <c r="Y32" s="139"/>
      <c r="Z32" s="140"/>
      <c r="AA32" s="141"/>
      <c r="AB32" s="142"/>
      <c r="AC32" s="143"/>
      <c r="AD32" s="72"/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50"/>
      <c r="AT32" s="51"/>
      <c r="AU32" s="51"/>
      <c r="AV32" s="51"/>
      <c r="AW32" s="51"/>
      <c r="AX32" s="51"/>
      <c r="AY32" s="51"/>
      <c r="AZ32" s="51"/>
      <c r="BA32" s="51"/>
      <c r="BB32" s="51"/>
      <c r="BC32" s="51"/>
      <c r="BD32" s="52"/>
      <c r="BE32" s="53"/>
    </row>
    <row r="33" spans="1:57" ht="15" customHeight="1" x14ac:dyDescent="0.3">
      <c r="A33" s="54" t="str">
        <f>IF(B33="","",COUNTA($B$8:B33))</f>
        <v/>
      </c>
      <c r="B33" s="42"/>
      <c r="C33" s="41"/>
      <c r="D33" s="41"/>
      <c r="E33" s="41"/>
      <c r="F33" s="41"/>
      <c r="G33" s="41"/>
      <c r="H33" s="41"/>
      <c r="I33" s="31"/>
      <c r="J33" s="32"/>
      <c r="K33" s="32"/>
      <c r="L33" s="32"/>
      <c r="M33" s="32"/>
      <c r="N33" s="32"/>
      <c r="O33" s="32"/>
      <c r="P33" s="32"/>
      <c r="Q33" s="32"/>
      <c r="R33" s="42"/>
      <c r="S33" s="41"/>
      <c r="T33" s="41"/>
      <c r="U33" s="41"/>
      <c r="V33" s="41"/>
      <c r="W33" s="41"/>
      <c r="X33" s="41"/>
      <c r="Y33" s="139"/>
      <c r="Z33" s="140"/>
      <c r="AA33" s="141"/>
      <c r="AB33" s="142"/>
      <c r="AC33" s="143"/>
      <c r="AD33" s="72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50"/>
      <c r="AT33" s="51"/>
      <c r="AU33" s="51"/>
      <c r="AV33" s="51"/>
      <c r="AW33" s="51"/>
      <c r="AX33" s="51"/>
      <c r="AY33" s="51"/>
      <c r="AZ33" s="51"/>
      <c r="BA33" s="51"/>
      <c r="BB33" s="51"/>
      <c r="BC33" s="51"/>
      <c r="BD33" s="52"/>
      <c r="BE33" s="53"/>
    </row>
    <row r="34" spans="1:57" ht="15" customHeight="1" x14ac:dyDescent="0.3">
      <c r="A34" s="54" t="str">
        <f>IF(B34="","",COUNTA($B$8:B34))</f>
        <v/>
      </c>
      <c r="B34" s="42"/>
      <c r="C34" s="41"/>
      <c r="D34" s="41"/>
      <c r="E34" s="41"/>
      <c r="F34" s="41"/>
      <c r="G34" s="41"/>
      <c r="H34" s="41"/>
      <c r="I34" s="31"/>
      <c r="J34" s="32"/>
      <c r="K34" s="32"/>
      <c r="L34" s="32"/>
      <c r="M34" s="32"/>
      <c r="N34" s="32"/>
      <c r="O34" s="32"/>
      <c r="P34" s="32"/>
      <c r="Q34" s="32"/>
      <c r="R34" s="42"/>
      <c r="S34" s="41"/>
      <c r="T34" s="41"/>
      <c r="U34" s="41"/>
      <c r="V34" s="41"/>
      <c r="W34" s="41"/>
      <c r="X34" s="41"/>
      <c r="Y34" s="139"/>
      <c r="Z34" s="140"/>
      <c r="AA34" s="141"/>
      <c r="AB34" s="142"/>
      <c r="AC34" s="143"/>
      <c r="AD34" s="72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50"/>
      <c r="AT34" s="51"/>
      <c r="AU34" s="51"/>
      <c r="AV34" s="51"/>
      <c r="AW34" s="51"/>
      <c r="AX34" s="51"/>
      <c r="AY34" s="51"/>
      <c r="AZ34" s="51"/>
      <c r="BA34" s="51"/>
      <c r="BB34" s="51"/>
      <c r="BC34" s="51"/>
      <c r="BD34" s="52"/>
      <c r="BE34" s="53"/>
    </row>
    <row r="35" spans="1:57" ht="15" customHeight="1" x14ac:dyDescent="0.3">
      <c r="A35" s="54" t="str">
        <f>IF(B35="","",COUNTA($B$8:B35))</f>
        <v/>
      </c>
      <c r="B35" s="42"/>
      <c r="C35" s="41"/>
      <c r="D35" s="41"/>
      <c r="E35" s="41"/>
      <c r="F35" s="41"/>
      <c r="G35" s="41"/>
      <c r="H35" s="41"/>
      <c r="I35" s="31"/>
      <c r="J35" s="32"/>
      <c r="K35" s="32"/>
      <c r="L35" s="32"/>
      <c r="M35" s="32"/>
      <c r="N35" s="32"/>
      <c r="O35" s="32"/>
      <c r="P35" s="32"/>
      <c r="Q35" s="32"/>
      <c r="R35" s="42"/>
      <c r="S35" s="41"/>
      <c r="T35" s="41"/>
      <c r="U35" s="41"/>
      <c r="V35" s="41"/>
      <c r="W35" s="41"/>
      <c r="X35" s="41"/>
      <c r="Y35" s="139"/>
      <c r="Z35" s="140"/>
      <c r="AA35" s="141"/>
      <c r="AB35" s="142"/>
      <c r="AC35" s="143"/>
      <c r="AD35" s="72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50"/>
      <c r="AT35" s="51"/>
      <c r="AU35" s="51"/>
      <c r="AV35" s="51"/>
      <c r="AW35" s="51"/>
      <c r="AX35" s="51"/>
      <c r="AY35" s="51"/>
      <c r="AZ35" s="51"/>
      <c r="BA35" s="51"/>
      <c r="BB35" s="51"/>
      <c r="BC35" s="51"/>
      <c r="BD35" s="52"/>
      <c r="BE35" s="53"/>
    </row>
    <row r="36" spans="1:57" ht="15" customHeight="1" x14ac:dyDescent="0.3">
      <c r="A36" s="54" t="str">
        <f>IF(B36="","",COUNTA($B$8:B36))</f>
        <v/>
      </c>
      <c r="B36" s="42"/>
      <c r="C36" s="41"/>
      <c r="D36" s="41"/>
      <c r="E36" s="41"/>
      <c r="F36" s="41"/>
      <c r="G36" s="41"/>
      <c r="H36" s="41"/>
      <c r="I36" s="31"/>
      <c r="J36" s="32"/>
      <c r="K36" s="32"/>
      <c r="L36" s="32"/>
      <c r="M36" s="32"/>
      <c r="N36" s="32"/>
      <c r="O36" s="32"/>
      <c r="P36" s="32"/>
      <c r="Q36" s="32"/>
      <c r="R36" s="42"/>
      <c r="S36" s="41"/>
      <c r="T36" s="41"/>
      <c r="U36" s="41"/>
      <c r="V36" s="41"/>
      <c r="W36" s="41"/>
      <c r="X36" s="41"/>
      <c r="Y36" s="139"/>
      <c r="Z36" s="140"/>
      <c r="AA36" s="141"/>
      <c r="AB36" s="142"/>
      <c r="AC36" s="143"/>
      <c r="AD36" s="72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50"/>
      <c r="AT36" s="51"/>
      <c r="AU36" s="51"/>
      <c r="AV36" s="51"/>
      <c r="AW36" s="51"/>
      <c r="AX36" s="51"/>
      <c r="AY36" s="51"/>
      <c r="AZ36" s="51"/>
      <c r="BA36" s="51"/>
      <c r="BB36" s="51"/>
      <c r="BC36" s="51"/>
      <c r="BD36" s="52"/>
      <c r="BE36" s="53"/>
    </row>
    <row r="37" spans="1:57" ht="15" customHeight="1" x14ac:dyDescent="0.3">
      <c r="A37" s="54" t="str">
        <f>IF(B37="","",COUNTA($B$8:B37))</f>
        <v/>
      </c>
      <c r="B37" s="42"/>
      <c r="C37" s="41"/>
      <c r="D37" s="41"/>
      <c r="E37" s="41"/>
      <c r="F37" s="41"/>
      <c r="G37" s="41"/>
      <c r="H37" s="41"/>
      <c r="I37" s="31"/>
      <c r="J37" s="32"/>
      <c r="K37" s="32"/>
      <c r="L37" s="32"/>
      <c r="M37" s="32"/>
      <c r="N37" s="32"/>
      <c r="O37" s="32"/>
      <c r="P37" s="32"/>
      <c r="Q37" s="32"/>
      <c r="R37" s="42"/>
      <c r="S37" s="41"/>
      <c r="T37" s="41"/>
      <c r="U37" s="41"/>
      <c r="V37" s="41"/>
      <c r="W37" s="41"/>
      <c r="X37" s="41"/>
      <c r="Y37" s="139"/>
      <c r="Z37" s="140"/>
      <c r="AA37" s="141"/>
      <c r="AB37" s="142"/>
      <c r="AC37" s="143"/>
      <c r="AD37" s="72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50"/>
      <c r="AT37" s="51"/>
      <c r="AU37" s="51"/>
      <c r="AV37" s="51"/>
      <c r="AW37" s="51"/>
      <c r="AX37" s="51"/>
      <c r="AY37" s="51"/>
      <c r="AZ37" s="51"/>
      <c r="BA37" s="51"/>
      <c r="BB37" s="51"/>
      <c r="BC37" s="51"/>
      <c r="BD37" s="52"/>
      <c r="BE37" s="53"/>
    </row>
    <row r="38" spans="1:57" ht="15" customHeight="1" x14ac:dyDescent="0.3">
      <c r="A38" s="54" t="str">
        <f>IF(B38="","",COUNTA($B$8:B38))</f>
        <v/>
      </c>
      <c r="B38" s="42"/>
      <c r="C38" s="41"/>
      <c r="D38" s="41"/>
      <c r="E38" s="41"/>
      <c r="F38" s="41"/>
      <c r="G38" s="41"/>
      <c r="H38" s="41"/>
      <c r="I38" s="31"/>
      <c r="J38" s="32"/>
      <c r="K38" s="32"/>
      <c r="L38" s="32"/>
      <c r="M38" s="32"/>
      <c r="N38" s="32"/>
      <c r="O38" s="32"/>
      <c r="P38" s="32"/>
      <c r="Q38" s="32"/>
      <c r="R38" s="42"/>
      <c r="S38" s="41"/>
      <c r="T38" s="41"/>
      <c r="U38" s="41"/>
      <c r="V38" s="41"/>
      <c r="W38" s="41"/>
      <c r="X38" s="41"/>
      <c r="Y38" s="139"/>
      <c r="Z38" s="140"/>
      <c r="AA38" s="141"/>
      <c r="AB38" s="142"/>
      <c r="AC38" s="143"/>
      <c r="AD38" s="72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50"/>
      <c r="AT38" s="51"/>
      <c r="AU38" s="51"/>
      <c r="AV38" s="51"/>
      <c r="AW38" s="51"/>
      <c r="AX38" s="51"/>
      <c r="AY38" s="51"/>
      <c r="AZ38" s="51"/>
      <c r="BA38" s="51"/>
      <c r="BB38" s="51"/>
      <c r="BC38" s="51"/>
      <c r="BD38" s="52"/>
      <c r="BE38" s="53"/>
    </row>
    <row r="39" spans="1:57" ht="15" customHeight="1" x14ac:dyDescent="0.3">
      <c r="A39" s="54" t="str">
        <f>IF(B39="","",COUNTA($B$8:B39))</f>
        <v/>
      </c>
      <c r="B39" s="42"/>
      <c r="C39" s="41"/>
      <c r="D39" s="41"/>
      <c r="E39" s="41"/>
      <c r="F39" s="41"/>
      <c r="G39" s="41"/>
      <c r="H39" s="41"/>
      <c r="I39" s="31"/>
      <c r="J39" s="32"/>
      <c r="K39" s="32"/>
      <c r="L39" s="32"/>
      <c r="M39" s="32"/>
      <c r="N39" s="32"/>
      <c r="O39" s="32"/>
      <c r="P39" s="32"/>
      <c r="Q39" s="32"/>
      <c r="R39" s="42"/>
      <c r="S39" s="41"/>
      <c r="T39" s="41"/>
      <c r="U39" s="41"/>
      <c r="V39" s="41"/>
      <c r="W39" s="41"/>
      <c r="X39" s="41"/>
      <c r="Y39" s="139"/>
      <c r="Z39" s="140"/>
      <c r="AA39" s="141"/>
      <c r="AB39" s="142"/>
      <c r="AC39" s="143"/>
      <c r="AD39" s="72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50"/>
      <c r="AT39" s="51"/>
      <c r="AU39" s="51"/>
      <c r="AV39" s="51"/>
      <c r="AW39" s="51"/>
      <c r="AX39" s="51"/>
      <c r="AY39" s="51"/>
      <c r="AZ39" s="51"/>
      <c r="BA39" s="51"/>
      <c r="BB39" s="51"/>
      <c r="BC39" s="51"/>
      <c r="BD39" s="52"/>
      <c r="BE39" s="53"/>
    </row>
    <row r="40" spans="1:57" ht="15" customHeight="1" x14ac:dyDescent="0.3">
      <c r="A40" s="54" t="str">
        <f>IF(B40="","",COUNTA($B$8:B40))</f>
        <v/>
      </c>
      <c r="B40" s="42"/>
      <c r="C40" s="41"/>
      <c r="D40" s="41"/>
      <c r="E40" s="41"/>
      <c r="F40" s="41"/>
      <c r="G40" s="41"/>
      <c r="H40" s="41"/>
      <c r="I40" s="31"/>
      <c r="J40" s="32"/>
      <c r="K40" s="32"/>
      <c r="L40" s="32"/>
      <c r="M40" s="32"/>
      <c r="N40" s="32"/>
      <c r="O40" s="32"/>
      <c r="P40" s="32"/>
      <c r="Q40" s="32"/>
      <c r="R40" s="42"/>
      <c r="S40" s="41"/>
      <c r="T40" s="41"/>
      <c r="U40" s="41"/>
      <c r="V40" s="41"/>
      <c r="W40" s="41"/>
      <c r="X40" s="41"/>
      <c r="Y40" s="139"/>
      <c r="Z40" s="140"/>
      <c r="AA40" s="141"/>
      <c r="AB40" s="142"/>
      <c r="AC40" s="143"/>
      <c r="AD40" s="72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50"/>
      <c r="AT40" s="51"/>
      <c r="AU40" s="51"/>
      <c r="AV40" s="51"/>
      <c r="AW40" s="51"/>
      <c r="AX40" s="51"/>
      <c r="AY40" s="51"/>
      <c r="AZ40" s="51"/>
      <c r="BA40" s="51"/>
      <c r="BB40" s="51"/>
      <c r="BC40" s="51"/>
      <c r="BD40" s="52"/>
      <c r="BE40" s="53"/>
    </row>
    <row r="41" spans="1:57" ht="15" customHeight="1" x14ac:dyDescent="0.3">
      <c r="A41" s="54" t="str">
        <f>IF(B41="","",COUNTA($B$8:B41))</f>
        <v/>
      </c>
      <c r="B41" s="42"/>
      <c r="C41" s="41"/>
      <c r="D41" s="41"/>
      <c r="E41" s="41"/>
      <c r="F41" s="41"/>
      <c r="G41" s="41"/>
      <c r="H41" s="41"/>
      <c r="I41" s="31"/>
      <c r="J41" s="32"/>
      <c r="K41" s="32"/>
      <c r="L41" s="32"/>
      <c r="M41" s="32"/>
      <c r="N41" s="32"/>
      <c r="O41" s="32"/>
      <c r="P41" s="32"/>
      <c r="Q41" s="32"/>
      <c r="R41" s="42"/>
      <c r="S41" s="41"/>
      <c r="T41" s="41"/>
      <c r="U41" s="41"/>
      <c r="V41" s="41"/>
      <c r="W41" s="41"/>
      <c r="X41" s="41"/>
      <c r="Y41" s="139"/>
      <c r="Z41" s="140"/>
      <c r="AA41" s="141"/>
      <c r="AB41" s="142"/>
      <c r="AC41" s="143"/>
      <c r="AD41" s="72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50"/>
      <c r="AT41" s="51"/>
      <c r="AU41" s="51"/>
      <c r="AV41" s="51"/>
      <c r="AW41" s="51"/>
      <c r="AX41" s="51"/>
      <c r="AY41" s="51"/>
      <c r="AZ41" s="51"/>
      <c r="BA41" s="51"/>
      <c r="BB41" s="51"/>
      <c r="BC41" s="51"/>
      <c r="BD41" s="52"/>
      <c r="BE41" s="53"/>
    </row>
    <row r="42" spans="1:57" ht="15" customHeight="1" x14ac:dyDescent="0.3">
      <c r="A42" s="54" t="str">
        <f>IF(B42="","",COUNTA($B$8:B42))</f>
        <v/>
      </c>
      <c r="B42" s="42"/>
      <c r="C42" s="41"/>
      <c r="D42" s="41"/>
      <c r="E42" s="41"/>
      <c r="F42" s="41"/>
      <c r="G42" s="41"/>
      <c r="H42" s="41"/>
      <c r="I42" s="31"/>
      <c r="J42" s="32"/>
      <c r="K42" s="32"/>
      <c r="L42" s="32"/>
      <c r="M42" s="32"/>
      <c r="N42" s="32"/>
      <c r="O42" s="32"/>
      <c r="P42" s="32"/>
      <c r="Q42" s="32"/>
      <c r="R42" s="42"/>
      <c r="S42" s="41"/>
      <c r="T42" s="41"/>
      <c r="U42" s="41"/>
      <c r="V42" s="41"/>
      <c r="W42" s="41"/>
      <c r="X42" s="41"/>
      <c r="Y42" s="139"/>
      <c r="Z42" s="140"/>
      <c r="AA42" s="141"/>
      <c r="AB42" s="142"/>
      <c r="AC42" s="143"/>
      <c r="AD42" s="72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50"/>
      <c r="AT42" s="51"/>
      <c r="AU42" s="51"/>
      <c r="AV42" s="51"/>
      <c r="AW42" s="51"/>
      <c r="AX42" s="51"/>
      <c r="AY42" s="51"/>
      <c r="AZ42" s="51"/>
      <c r="BA42" s="51"/>
      <c r="BB42" s="51"/>
      <c r="BC42" s="51"/>
      <c r="BD42" s="52"/>
      <c r="BE42" s="53"/>
    </row>
    <row r="43" spans="1:57" ht="15" customHeight="1" x14ac:dyDescent="0.3">
      <c r="A43" s="54" t="str">
        <f>IF(B43="","",COUNTA($B$8:B43))</f>
        <v/>
      </c>
      <c r="B43" s="42"/>
      <c r="C43" s="41"/>
      <c r="D43" s="41"/>
      <c r="E43" s="41"/>
      <c r="F43" s="41"/>
      <c r="G43" s="41"/>
      <c r="H43" s="41"/>
      <c r="I43" s="31"/>
      <c r="J43" s="32"/>
      <c r="K43" s="32"/>
      <c r="L43" s="32"/>
      <c r="M43" s="32"/>
      <c r="N43" s="32"/>
      <c r="O43" s="32"/>
      <c r="P43" s="32"/>
      <c r="Q43" s="32"/>
      <c r="R43" s="42"/>
      <c r="S43" s="41"/>
      <c r="T43" s="41"/>
      <c r="U43" s="41"/>
      <c r="V43" s="41"/>
      <c r="W43" s="41"/>
      <c r="X43" s="41"/>
      <c r="Y43" s="139"/>
      <c r="Z43" s="140"/>
      <c r="AA43" s="141"/>
      <c r="AB43" s="142"/>
      <c r="AC43" s="143"/>
      <c r="AD43" s="72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50"/>
      <c r="AT43" s="51"/>
      <c r="AU43" s="51"/>
      <c r="AV43" s="51"/>
      <c r="AW43" s="51"/>
      <c r="AX43" s="51"/>
      <c r="AY43" s="51"/>
      <c r="AZ43" s="51"/>
      <c r="BA43" s="51"/>
      <c r="BB43" s="51"/>
      <c r="BC43" s="51"/>
      <c r="BD43" s="52"/>
      <c r="BE43" s="53"/>
    </row>
    <row r="44" spans="1:57" ht="15" customHeight="1" x14ac:dyDescent="0.3">
      <c r="A44" s="54" t="str">
        <f>IF(B44="","",COUNTA($B$8:B44))</f>
        <v/>
      </c>
      <c r="B44" s="28"/>
      <c r="C44" s="41"/>
      <c r="D44" s="41"/>
      <c r="E44" s="41"/>
      <c r="F44" s="41"/>
      <c r="G44" s="41"/>
      <c r="H44" s="41"/>
      <c r="I44" s="20"/>
      <c r="J44" s="32"/>
      <c r="K44" s="32"/>
      <c r="L44" s="32"/>
      <c r="M44" s="32"/>
      <c r="N44" s="32"/>
      <c r="O44" s="32"/>
      <c r="P44" s="32"/>
      <c r="Q44" s="32"/>
      <c r="R44" s="28"/>
      <c r="S44" s="41"/>
      <c r="T44" s="41"/>
      <c r="U44" s="41"/>
      <c r="V44" s="41"/>
      <c r="W44" s="41"/>
      <c r="X44" s="41"/>
      <c r="Y44" s="139"/>
      <c r="Z44" s="140"/>
      <c r="AA44" s="141"/>
      <c r="AB44" s="142"/>
      <c r="AC44" s="143"/>
      <c r="AD44" s="55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8"/>
      <c r="AT44" s="69"/>
      <c r="AU44" s="69"/>
      <c r="AV44" s="69"/>
      <c r="AW44" s="69"/>
      <c r="AX44" s="69"/>
      <c r="AY44" s="69"/>
      <c r="AZ44" s="69"/>
      <c r="BA44" s="69"/>
      <c r="BB44" s="69"/>
      <c r="BC44" s="69"/>
      <c r="BD44" s="70"/>
    </row>
  </sheetData>
  <mergeCells count="92"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U4:AY4"/>
    <mergeCell ref="AG6:AG7"/>
    <mergeCell ref="AH6:AH7"/>
    <mergeCell ref="AI6:AR6"/>
    <mergeCell ref="AS6:BD7"/>
    <mergeCell ref="Y8:Z8"/>
    <mergeCell ref="AA8:AC8"/>
    <mergeCell ref="Y9:Z9"/>
    <mergeCell ref="AA9:AC9"/>
    <mergeCell ref="Y10:Z10"/>
    <mergeCell ref="AA10:AC10"/>
    <mergeCell ref="Y11:Z11"/>
    <mergeCell ref="AA11:AC11"/>
    <mergeCell ref="Y12:Z12"/>
    <mergeCell ref="AA12:AC12"/>
    <mergeCell ref="Y13:Z13"/>
    <mergeCell ref="AA13:AC13"/>
    <mergeCell ref="Y21:Z21"/>
    <mergeCell ref="AA21:AC21"/>
    <mergeCell ref="Y22:Z22"/>
    <mergeCell ref="AA22:AC22"/>
    <mergeCell ref="Y23:Z23"/>
    <mergeCell ref="AA23:AC23"/>
    <mergeCell ref="Y24:Z24"/>
    <mergeCell ref="AA24:AC24"/>
    <mergeCell ref="Y25:Z25"/>
    <mergeCell ref="AA25:AC25"/>
    <mergeCell ref="Y26:Z26"/>
    <mergeCell ref="AA26:AC26"/>
    <mergeCell ref="Y27:Z27"/>
    <mergeCell ref="AA27:AC27"/>
    <mergeCell ref="Y28:Z28"/>
    <mergeCell ref="AA28:AC28"/>
    <mergeCell ref="Y29:Z29"/>
    <mergeCell ref="AA29:AC29"/>
    <mergeCell ref="Y30:Z30"/>
    <mergeCell ref="AA30:AC30"/>
    <mergeCell ref="Y31:Z31"/>
    <mergeCell ref="AA31:AC31"/>
    <mergeCell ref="Y32:Z32"/>
    <mergeCell ref="AA32:AC32"/>
    <mergeCell ref="Y33:Z33"/>
    <mergeCell ref="AA33:AC33"/>
    <mergeCell ref="Y34:Z34"/>
    <mergeCell ref="AA34:AC34"/>
    <mergeCell ref="Y35:Z35"/>
    <mergeCell ref="AA35:AC35"/>
    <mergeCell ref="Y36:Z36"/>
    <mergeCell ref="AA36:AC36"/>
    <mergeCell ref="Y37:Z37"/>
    <mergeCell ref="AA37:AC37"/>
    <mergeCell ref="Y38:Z38"/>
    <mergeCell ref="AA38:AC38"/>
    <mergeCell ref="Y39:Z39"/>
    <mergeCell ref="AA39:AC39"/>
    <mergeCell ref="Y43:Z43"/>
    <mergeCell ref="AA43:AC43"/>
    <mergeCell ref="Y44:Z44"/>
    <mergeCell ref="AA44:AC44"/>
    <mergeCell ref="Y40:Z40"/>
    <mergeCell ref="AA40:AC40"/>
    <mergeCell ref="Y41:Z41"/>
    <mergeCell ref="AA41:AC41"/>
    <mergeCell ref="Y42:Z42"/>
    <mergeCell ref="AA42:AC42"/>
  </mergeCells>
  <phoneticPr fontId="4"/>
  <dataValidations count="3">
    <dataValidation type="list" allowBlank="1" showInputMessage="1" showErrorMessage="1" sqref="Y8:Z44" xr:uid="{00000000-0002-0000-0500-000000000000}">
      <formula1>"文字,数値,日付,時間"</formula1>
    </dataValidation>
    <dataValidation type="list" allowBlank="1" showInputMessage="1" showErrorMessage="1" sqref="AA15:AA44 AA13:AC14 AA8:AA12" xr:uid="{00000000-0002-0000-0500-000001000000}">
      <formula1>"datetime,int,numeric,varchar,nvarchar"</formula1>
    </dataValidation>
    <dataValidation imeMode="hiragana" allowBlank="1" showInputMessage="1" showErrorMessage="1" sqref="JG65519:JR65521 TC65519:TN65521 ACY65519:ADJ65521 AMU65519:ANF65521 AWQ65519:AXB65521 BGM65519:BGX65521 BQI65519:BQT65521 CAE65519:CAP65521 CKA65519:CKL65521 CTW65519:CUH65521 DDS65519:DED65521 DNO65519:DNZ65521 DXK65519:DXV65521 EHG65519:EHR65521 ERC65519:ERN65521 FAY65519:FBJ65521 FKU65519:FLF65521 FUQ65519:FVB65521 GEM65519:GEX65521 GOI65519:GOT65521 GYE65519:GYP65521 HIA65519:HIL65521 HRW65519:HSH65521 IBS65519:ICD65521 ILO65519:ILZ65521 IVK65519:IVV65521 JFG65519:JFR65521 JPC65519:JPN65521 JYY65519:JZJ65521 KIU65519:KJF65521 KSQ65519:KTB65521 LCM65519:LCX65521 LMI65519:LMT65521 LWE65519:LWP65521 MGA65519:MGL65521 MPW65519:MQH65521 MZS65519:NAD65521 NJO65519:NJZ65521 NTK65519:NTV65521 ODG65519:ODR65521 ONC65519:ONN65521 OWY65519:OXJ65521 PGU65519:PHF65521 PQQ65519:PRB65521 QAM65519:QAX65521 QKI65519:QKT65521 QUE65519:QUP65521 REA65519:REL65521 RNW65519:ROH65521 RXS65519:RYD65521 SHO65519:SHZ65521 SRK65519:SRV65521 TBG65519:TBR65521 TLC65519:TLN65521 TUY65519:TVJ65521 UEU65519:UFF65521 UOQ65519:UPB65521 UYM65519:UYX65521 VII65519:VIT65521 VSE65519:VSP65521 WCA65519:WCL65521 WLW65519:WMH65521 WVS65519:WWD65521 JG131055:JR131057 TC131055:TN131057 ACY131055:ADJ131057 AMU131055:ANF131057 AWQ131055:AXB131057 BGM131055:BGX131057 BQI131055:BQT131057 CAE131055:CAP131057 CKA131055:CKL131057 CTW131055:CUH131057 DDS131055:DED131057 DNO131055:DNZ131057 DXK131055:DXV131057 EHG131055:EHR131057 ERC131055:ERN131057 FAY131055:FBJ131057 FKU131055:FLF131057 FUQ131055:FVB131057 GEM131055:GEX131057 GOI131055:GOT131057 GYE131055:GYP131057 HIA131055:HIL131057 HRW131055:HSH131057 IBS131055:ICD131057 ILO131055:ILZ131057 IVK131055:IVV131057 JFG131055:JFR131057 JPC131055:JPN131057 JYY131055:JZJ131057 KIU131055:KJF131057 KSQ131055:KTB131057 LCM131055:LCX131057 LMI131055:LMT131057 LWE131055:LWP131057 MGA131055:MGL131057 MPW131055:MQH131057 MZS131055:NAD131057 NJO131055:NJZ131057 NTK131055:NTV131057 ODG131055:ODR131057 ONC131055:ONN131057 OWY131055:OXJ131057 PGU131055:PHF131057 PQQ131055:PRB131057 QAM131055:QAX131057 QKI131055:QKT131057 QUE131055:QUP131057 REA131055:REL131057 RNW131055:ROH131057 RXS131055:RYD131057 SHO131055:SHZ131057 SRK131055:SRV131057 TBG131055:TBR131057 TLC131055:TLN131057 TUY131055:TVJ131057 UEU131055:UFF131057 UOQ131055:UPB131057 UYM131055:UYX131057 VII131055:VIT131057 VSE131055:VSP131057 WCA131055:WCL131057 WLW131055:WMH131057 WVS131055:WWD131057 JG196591:JR196593 TC196591:TN196593 ACY196591:ADJ196593 AMU196591:ANF196593 AWQ196591:AXB196593 BGM196591:BGX196593 BQI196591:BQT196593 CAE196591:CAP196593 CKA196591:CKL196593 CTW196591:CUH196593 DDS196591:DED196593 DNO196591:DNZ196593 DXK196591:DXV196593 EHG196591:EHR196593 ERC196591:ERN196593 FAY196591:FBJ196593 FKU196591:FLF196593 FUQ196591:FVB196593 GEM196591:GEX196593 GOI196591:GOT196593 GYE196591:GYP196593 HIA196591:HIL196593 HRW196591:HSH196593 IBS196591:ICD196593 ILO196591:ILZ196593 IVK196591:IVV196593 JFG196591:JFR196593 JPC196591:JPN196593 JYY196591:JZJ196593 KIU196591:KJF196593 KSQ196591:KTB196593 LCM196591:LCX196593 LMI196591:LMT196593 LWE196591:LWP196593 MGA196591:MGL196593 MPW196591:MQH196593 MZS196591:NAD196593 NJO196591:NJZ196593 NTK196591:NTV196593 ODG196591:ODR196593 ONC196591:ONN196593 OWY196591:OXJ196593 PGU196591:PHF196593 PQQ196591:PRB196593 QAM196591:QAX196593 QKI196591:QKT196593 QUE196591:QUP196593 REA196591:REL196593 RNW196591:ROH196593 RXS196591:RYD196593 SHO196591:SHZ196593 SRK196591:SRV196593 TBG196591:TBR196593 TLC196591:TLN196593 TUY196591:TVJ196593 UEU196591:UFF196593 UOQ196591:UPB196593 UYM196591:UYX196593 VII196591:VIT196593 VSE196591:VSP196593 WCA196591:WCL196593 WLW196591:WMH196593 WVS196591:WWD196593 JG262127:JR262129 TC262127:TN262129 ACY262127:ADJ262129 AMU262127:ANF262129 AWQ262127:AXB262129 BGM262127:BGX262129 BQI262127:BQT262129 CAE262127:CAP262129 CKA262127:CKL262129 CTW262127:CUH262129 DDS262127:DED262129 DNO262127:DNZ262129 DXK262127:DXV262129 EHG262127:EHR262129 ERC262127:ERN262129 FAY262127:FBJ262129 FKU262127:FLF262129 FUQ262127:FVB262129 GEM262127:GEX262129 GOI262127:GOT262129 GYE262127:GYP262129 HIA262127:HIL262129 HRW262127:HSH262129 IBS262127:ICD262129 ILO262127:ILZ262129 IVK262127:IVV262129 JFG262127:JFR262129 JPC262127:JPN262129 JYY262127:JZJ262129 KIU262127:KJF262129 KSQ262127:KTB262129 LCM262127:LCX262129 LMI262127:LMT262129 LWE262127:LWP262129 MGA262127:MGL262129 MPW262127:MQH262129 MZS262127:NAD262129 NJO262127:NJZ262129 NTK262127:NTV262129 ODG262127:ODR262129 ONC262127:ONN262129 OWY262127:OXJ262129 PGU262127:PHF262129 PQQ262127:PRB262129 QAM262127:QAX262129 QKI262127:QKT262129 QUE262127:QUP262129 REA262127:REL262129 RNW262127:ROH262129 RXS262127:RYD262129 SHO262127:SHZ262129 SRK262127:SRV262129 TBG262127:TBR262129 TLC262127:TLN262129 TUY262127:TVJ262129 UEU262127:UFF262129 UOQ262127:UPB262129 UYM262127:UYX262129 VII262127:VIT262129 VSE262127:VSP262129 WCA262127:WCL262129 WLW262127:WMH262129 WVS262127:WWD262129 JG327663:JR327665 TC327663:TN327665 ACY327663:ADJ327665 AMU327663:ANF327665 AWQ327663:AXB327665 BGM327663:BGX327665 BQI327663:BQT327665 CAE327663:CAP327665 CKA327663:CKL327665 CTW327663:CUH327665 DDS327663:DED327665 DNO327663:DNZ327665 DXK327663:DXV327665 EHG327663:EHR327665 ERC327663:ERN327665 FAY327663:FBJ327665 FKU327663:FLF327665 FUQ327663:FVB327665 GEM327663:GEX327665 GOI327663:GOT327665 GYE327663:GYP327665 HIA327663:HIL327665 HRW327663:HSH327665 IBS327663:ICD327665 ILO327663:ILZ327665 IVK327663:IVV327665 JFG327663:JFR327665 JPC327663:JPN327665 JYY327663:JZJ327665 KIU327663:KJF327665 KSQ327663:KTB327665 LCM327663:LCX327665 LMI327663:LMT327665 LWE327663:LWP327665 MGA327663:MGL327665 MPW327663:MQH327665 MZS327663:NAD327665 NJO327663:NJZ327665 NTK327663:NTV327665 ODG327663:ODR327665 ONC327663:ONN327665 OWY327663:OXJ327665 PGU327663:PHF327665 PQQ327663:PRB327665 QAM327663:QAX327665 QKI327663:QKT327665 QUE327663:QUP327665 REA327663:REL327665 RNW327663:ROH327665 RXS327663:RYD327665 SHO327663:SHZ327665 SRK327663:SRV327665 TBG327663:TBR327665 TLC327663:TLN327665 TUY327663:TVJ327665 UEU327663:UFF327665 UOQ327663:UPB327665 UYM327663:UYX327665 VII327663:VIT327665 VSE327663:VSP327665 WCA327663:WCL327665 WLW327663:WMH327665 WVS327663:WWD327665 JG393199:JR393201 TC393199:TN393201 ACY393199:ADJ393201 AMU393199:ANF393201 AWQ393199:AXB393201 BGM393199:BGX393201 BQI393199:BQT393201 CAE393199:CAP393201 CKA393199:CKL393201 CTW393199:CUH393201 DDS393199:DED393201 DNO393199:DNZ393201 DXK393199:DXV393201 EHG393199:EHR393201 ERC393199:ERN393201 FAY393199:FBJ393201 FKU393199:FLF393201 FUQ393199:FVB393201 GEM393199:GEX393201 GOI393199:GOT393201 GYE393199:GYP393201 HIA393199:HIL393201 HRW393199:HSH393201 IBS393199:ICD393201 ILO393199:ILZ393201 IVK393199:IVV393201 JFG393199:JFR393201 JPC393199:JPN393201 JYY393199:JZJ393201 KIU393199:KJF393201 KSQ393199:KTB393201 LCM393199:LCX393201 LMI393199:LMT393201 LWE393199:LWP393201 MGA393199:MGL393201 MPW393199:MQH393201 MZS393199:NAD393201 NJO393199:NJZ393201 NTK393199:NTV393201 ODG393199:ODR393201 ONC393199:ONN393201 OWY393199:OXJ393201 PGU393199:PHF393201 PQQ393199:PRB393201 QAM393199:QAX393201 QKI393199:QKT393201 QUE393199:QUP393201 REA393199:REL393201 RNW393199:ROH393201 RXS393199:RYD393201 SHO393199:SHZ393201 SRK393199:SRV393201 TBG393199:TBR393201 TLC393199:TLN393201 TUY393199:TVJ393201 UEU393199:UFF393201 UOQ393199:UPB393201 UYM393199:UYX393201 VII393199:VIT393201 VSE393199:VSP393201 WCA393199:WCL393201 WLW393199:WMH393201 WVS393199:WWD393201 JG458735:JR458737 TC458735:TN458737 ACY458735:ADJ458737 AMU458735:ANF458737 AWQ458735:AXB458737 BGM458735:BGX458737 BQI458735:BQT458737 CAE458735:CAP458737 CKA458735:CKL458737 CTW458735:CUH458737 DDS458735:DED458737 DNO458735:DNZ458737 DXK458735:DXV458737 EHG458735:EHR458737 ERC458735:ERN458737 FAY458735:FBJ458737 FKU458735:FLF458737 FUQ458735:FVB458737 GEM458735:GEX458737 GOI458735:GOT458737 GYE458735:GYP458737 HIA458735:HIL458737 HRW458735:HSH458737 IBS458735:ICD458737 ILO458735:ILZ458737 IVK458735:IVV458737 JFG458735:JFR458737 JPC458735:JPN458737 JYY458735:JZJ458737 KIU458735:KJF458737 KSQ458735:KTB458737 LCM458735:LCX458737 LMI458735:LMT458737 LWE458735:LWP458737 MGA458735:MGL458737 MPW458735:MQH458737 MZS458735:NAD458737 NJO458735:NJZ458737 NTK458735:NTV458737 ODG458735:ODR458737 ONC458735:ONN458737 OWY458735:OXJ458737 PGU458735:PHF458737 PQQ458735:PRB458737 QAM458735:QAX458737 QKI458735:QKT458737 QUE458735:QUP458737 REA458735:REL458737 RNW458735:ROH458737 RXS458735:RYD458737 SHO458735:SHZ458737 SRK458735:SRV458737 TBG458735:TBR458737 TLC458735:TLN458737 TUY458735:TVJ458737 UEU458735:UFF458737 UOQ458735:UPB458737 UYM458735:UYX458737 VII458735:VIT458737 VSE458735:VSP458737 WCA458735:WCL458737 WLW458735:WMH458737 WVS458735:WWD458737 JG524271:JR524273 TC524271:TN524273 ACY524271:ADJ524273 AMU524271:ANF524273 AWQ524271:AXB524273 BGM524271:BGX524273 BQI524271:BQT524273 CAE524271:CAP524273 CKA524271:CKL524273 CTW524271:CUH524273 DDS524271:DED524273 DNO524271:DNZ524273 DXK524271:DXV524273 EHG524271:EHR524273 ERC524271:ERN524273 FAY524271:FBJ524273 FKU524271:FLF524273 FUQ524271:FVB524273 GEM524271:GEX524273 GOI524271:GOT524273 GYE524271:GYP524273 HIA524271:HIL524273 HRW524271:HSH524273 IBS524271:ICD524273 ILO524271:ILZ524273 IVK524271:IVV524273 JFG524271:JFR524273 JPC524271:JPN524273 JYY524271:JZJ524273 KIU524271:KJF524273 KSQ524271:KTB524273 LCM524271:LCX524273 LMI524271:LMT524273 LWE524271:LWP524273 MGA524271:MGL524273 MPW524271:MQH524273 MZS524271:NAD524273 NJO524271:NJZ524273 NTK524271:NTV524273 ODG524271:ODR524273 ONC524271:ONN524273 OWY524271:OXJ524273 PGU524271:PHF524273 PQQ524271:PRB524273 QAM524271:QAX524273 QKI524271:QKT524273 QUE524271:QUP524273 REA524271:REL524273 RNW524271:ROH524273 RXS524271:RYD524273 SHO524271:SHZ524273 SRK524271:SRV524273 TBG524271:TBR524273 TLC524271:TLN524273 TUY524271:TVJ524273 UEU524271:UFF524273 UOQ524271:UPB524273 UYM524271:UYX524273 VII524271:VIT524273 VSE524271:VSP524273 WCA524271:WCL524273 WLW524271:WMH524273 WVS524271:WWD524273 JG589807:JR589809 TC589807:TN589809 ACY589807:ADJ589809 AMU589807:ANF589809 AWQ589807:AXB589809 BGM589807:BGX589809 BQI589807:BQT589809 CAE589807:CAP589809 CKA589807:CKL589809 CTW589807:CUH589809 DDS589807:DED589809 DNO589807:DNZ589809 DXK589807:DXV589809 EHG589807:EHR589809 ERC589807:ERN589809 FAY589807:FBJ589809 FKU589807:FLF589809 FUQ589807:FVB589809 GEM589807:GEX589809 GOI589807:GOT589809 GYE589807:GYP589809 HIA589807:HIL589809 HRW589807:HSH589809 IBS589807:ICD589809 ILO589807:ILZ589809 IVK589807:IVV589809 JFG589807:JFR589809 JPC589807:JPN589809 JYY589807:JZJ589809 KIU589807:KJF589809 KSQ589807:KTB589809 LCM589807:LCX589809 LMI589807:LMT589809 LWE589807:LWP589809 MGA589807:MGL589809 MPW589807:MQH589809 MZS589807:NAD589809 NJO589807:NJZ589809 NTK589807:NTV589809 ODG589807:ODR589809 ONC589807:ONN589809 OWY589807:OXJ589809 PGU589807:PHF589809 PQQ589807:PRB589809 QAM589807:QAX589809 QKI589807:QKT589809 QUE589807:QUP589809 REA589807:REL589809 RNW589807:ROH589809 RXS589807:RYD589809 SHO589807:SHZ589809 SRK589807:SRV589809 TBG589807:TBR589809 TLC589807:TLN589809 TUY589807:TVJ589809 UEU589807:UFF589809 UOQ589807:UPB589809 UYM589807:UYX589809 VII589807:VIT589809 VSE589807:VSP589809 WCA589807:WCL589809 WLW589807:WMH589809 WVS589807:WWD589809 JG655343:JR655345 TC655343:TN655345 ACY655343:ADJ655345 AMU655343:ANF655345 AWQ655343:AXB655345 BGM655343:BGX655345 BQI655343:BQT655345 CAE655343:CAP655345 CKA655343:CKL655345 CTW655343:CUH655345 DDS655343:DED655345 DNO655343:DNZ655345 DXK655343:DXV655345 EHG655343:EHR655345 ERC655343:ERN655345 FAY655343:FBJ655345 FKU655343:FLF655345 FUQ655343:FVB655345 GEM655343:GEX655345 GOI655343:GOT655345 GYE655343:GYP655345 HIA655343:HIL655345 HRW655343:HSH655345 IBS655343:ICD655345 ILO655343:ILZ655345 IVK655343:IVV655345 JFG655343:JFR655345 JPC655343:JPN655345 JYY655343:JZJ655345 KIU655343:KJF655345 KSQ655343:KTB655345 LCM655343:LCX655345 LMI655343:LMT655345 LWE655343:LWP655345 MGA655343:MGL655345 MPW655343:MQH655345 MZS655343:NAD655345 NJO655343:NJZ655345 NTK655343:NTV655345 ODG655343:ODR655345 ONC655343:ONN655345 OWY655343:OXJ655345 PGU655343:PHF655345 PQQ655343:PRB655345 QAM655343:QAX655345 QKI655343:QKT655345 QUE655343:QUP655345 REA655343:REL655345 RNW655343:ROH655345 RXS655343:RYD655345 SHO655343:SHZ655345 SRK655343:SRV655345 TBG655343:TBR655345 TLC655343:TLN655345 TUY655343:TVJ655345 UEU655343:UFF655345 UOQ655343:UPB655345 UYM655343:UYX655345 VII655343:VIT655345 VSE655343:VSP655345 WCA655343:WCL655345 WLW655343:WMH655345 WVS655343:WWD655345 JG720879:JR720881 TC720879:TN720881 ACY720879:ADJ720881 AMU720879:ANF720881 AWQ720879:AXB720881 BGM720879:BGX720881 BQI720879:BQT720881 CAE720879:CAP720881 CKA720879:CKL720881 CTW720879:CUH720881 DDS720879:DED720881 DNO720879:DNZ720881 DXK720879:DXV720881 EHG720879:EHR720881 ERC720879:ERN720881 FAY720879:FBJ720881 FKU720879:FLF720881 FUQ720879:FVB720881 GEM720879:GEX720881 GOI720879:GOT720881 GYE720879:GYP720881 HIA720879:HIL720881 HRW720879:HSH720881 IBS720879:ICD720881 ILO720879:ILZ720881 IVK720879:IVV720881 JFG720879:JFR720881 JPC720879:JPN720881 JYY720879:JZJ720881 KIU720879:KJF720881 KSQ720879:KTB720881 LCM720879:LCX720881 LMI720879:LMT720881 LWE720879:LWP720881 MGA720879:MGL720881 MPW720879:MQH720881 MZS720879:NAD720881 NJO720879:NJZ720881 NTK720879:NTV720881 ODG720879:ODR720881 ONC720879:ONN720881 OWY720879:OXJ720881 PGU720879:PHF720881 PQQ720879:PRB720881 QAM720879:QAX720881 QKI720879:QKT720881 QUE720879:QUP720881 REA720879:REL720881 RNW720879:ROH720881 RXS720879:RYD720881 SHO720879:SHZ720881 SRK720879:SRV720881 TBG720879:TBR720881 TLC720879:TLN720881 TUY720879:TVJ720881 UEU720879:UFF720881 UOQ720879:UPB720881 UYM720879:UYX720881 VII720879:VIT720881 VSE720879:VSP720881 WCA720879:WCL720881 WLW720879:WMH720881 WVS720879:WWD720881 JG786415:JR786417 TC786415:TN786417 ACY786415:ADJ786417 AMU786415:ANF786417 AWQ786415:AXB786417 BGM786415:BGX786417 BQI786415:BQT786417 CAE786415:CAP786417 CKA786415:CKL786417 CTW786415:CUH786417 DDS786415:DED786417 DNO786415:DNZ786417 DXK786415:DXV786417 EHG786415:EHR786417 ERC786415:ERN786417 FAY786415:FBJ786417 FKU786415:FLF786417 FUQ786415:FVB786417 GEM786415:GEX786417 GOI786415:GOT786417 GYE786415:GYP786417 HIA786415:HIL786417 HRW786415:HSH786417 IBS786415:ICD786417 ILO786415:ILZ786417 IVK786415:IVV786417 JFG786415:JFR786417 JPC786415:JPN786417 JYY786415:JZJ786417 KIU786415:KJF786417 KSQ786415:KTB786417 LCM786415:LCX786417 LMI786415:LMT786417 LWE786415:LWP786417 MGA786415:MGL786417 MPW786415:MQH786417 MZS786415:NAD786417 NJO786415:NJZ786417 NTK786415:NTV786417 ODG786415:ODR786417 ONC786415:ONN786417 OWY786415:OXJ786417 PGU786415:PHF786417 PQQ786415:PRB786417 QAM786415:QAX786417 QKI786415:QKT786417 QUE786415:QUP786417 REA786415:REL786417 RNW786415:ROH786417 RXS786415:RYD786417 SHO786415:SHZ786417 SRK786415:SRV786417 TBG786415:TBR786417 TLC786415:TLN786417 TUY786415:TVJ786417 UEU786415:UFF786417 UOQ786415:UPB786417 UYM786415:UYX786417 VII786415:VIT786417 VSE786415:VSP786417 WCA786415:WCL786417 WLW786415:WMH786417 WVS786415:WWD786417 JG851951:JR851953 TC851951:TN851953 ACY851951:ADJ851953 AMU851951:ANF851953 AWQ851951:AXB851953 BGM851951:BGX851953 BQI851951:BQT851953 CAE851951:CAP851953 CKA851951:CKL851953 CTW851951:CUH851953 DDS851951:DED851953 DNO851951:DNZ851953 DXK851951:DXV851953 EHG851951:EHR851953 ERC851951:ERN851953 FAY851951:FBJ851953 FKU851951:FLF851953 FUQ851951:FVB851953 GEM851951:GEX851953 GOI851951:GOT851953 GYE851951:GYP851953 HIA851951:HIL851953 HRW851951:HSH851953 IBS851951:ICD851953 ILO851951:ILZ851953 IVK851951:IVV851953 JFG851951:JFR851953 JPC851951:JPN851953 JYY851951:JZJ851953 KIU851951:KJF851953 KSQ851951:KTB851953 LCM851951:LCX851953 LMI851951:LMT851953 LWE851951:LWP851953 MGA851951:MGL851953 MPW851951:MQH851953 MZS851951:NAD851953 NJO851951:NJZ851953 NTK851951:NTV851953 ODG851951:ODR851953 ONC851951:ONN851953 OWY851951:OXJ851953 PGU851951:PHF851953 PQQ851951:PRB851953 QAM851951:QAX851953 QKI851951:QKT851953 QUE851951:QUP851953 REA851951:REL851953 RNW851951:ROH851953 RXS851951:RYD851953 SHO851951:SHZ851953 SRK851951:SRV851953 TBG851951:TBR851953 TLC851951:TLN851953 TUY851951:TVJ851953 UEU851951:UFF851953 UOQ851951:UPB851953 UYM851951:UYX851953 VII851951:VIT851953 VSE851951:VSP851953 WCA851951:WCL851953 WLW851951:WMH851953 WVS851951:WWD851953 JG917487:JR917489 TC917487:TN917489 ACY917487:ADJ917489 AMU917487:ANF917489 AWQ917487:AXB917489 BGM917487:BGX917489 BQI917487:BQT917489 CAE917487:CAP917489 CKA917487:CKL917489 CTW917487:CUH917489 DDS917487:DED917489 DNO917487:DNZ917489 DXK917487:DXV917489 EHG917487:EHR917489 ERC917487:ERN917489 FAY917487:FBJ917489 FKU917487:FLF917489 FUQ917487:FVB917489 GEM917487:GEX917489 GOI917487:GOT917489 GYE917487:GYP917489 HIA917487:HIL917489 HRW917487:HSH917489 IBS917487:ICD917489 ILO917487:ILZ917489 IVK917487:IVV917489 JFG917487:JFR917489 JPC917487:JPN917489 JYY917487:JZJ917489 KIU917487:KJF917489 KSQ917487:KTB917489 LCM917487:LCX917489 LMI917487:LMT917489 LWE917487:LWP917489 MGA917487:MGL917489 MPW917487:MQH917489 MZS917487:NAD917489 NJO917487:NJZ917489 NTK917487:NTV917489 ODG917487:ODR917489 ONC917487:ONN917489 OWY917487:OXJ917489 PGU917487:PHF917489 PQQ917487:PRB917489 QAM917487:QAX917489 QKI917487:QKT917489 QUE917487:QUP917489 REA917487:REL917489 RNW917487:ROH917489 RXS917487:RYD917489 SHO917487:SHZ917489 SRK917487:SRV917489 TBG917487:TBR917489 TLC917487:TLN917489 TUY917487:TVJ917489 UEU917487:UFF917489 UOQ917487:UPB917489 UYM917487:UYX917489 VII917487:VIT917489 VSE917487:VSP917489 WCA917487:WCL917489 WLW917487:WMH917489 WVS917487:WWD917489 JG983023:JR983025 TC983023:TN983025 ACY983023:ADJ983025 AMU983023:ANF983025 AWQ983023:AXB983025 BGM983023:BGX983025 BQI983023:BQT983025 CAE983023:CAP983025 CKA983023:CKL983025 CTW983023:CUH983025 DDS983023:DED983025 DNO983023:DNZ983025 DXK983023:DXV983025 EHG983023:EHR983025 ERC983023:ERN983025 FAY983023:FBJ983025 FKU983023:FLF983025 FUQ983023:FVB983025 GEM983023:GEX983025 GOI983023:GOT983025 GYE983023:GYP983025 HIA983023:HIL983025 HRW983023:HSH983025 IBS983023:ICD983025 ILO983023:ILZ983025 IVK983023:IVV983025 JFG983023:JFR983025 JPC983023:JPN983025 JYY983023:JZJ983025 KIU983023:KJF983025 KSQ983023:KTB983025 LCM983023:LCX983025 LMI983023:LMT983025 LWE983023:LWP983025 MGA983023:MGL983025 MPW983023:MQH983025 MZS983023:NAD983025 NJO983023:NJZ983025 NTK983023:NTV983025 ODG983023:ODR983025 ONC983023:ONN983025 OWY983023:OXJ983025 PGU983023:PHF983025 PQQ983023:PRB983025 QAM983023:QAX983025 QKI983023:QKT983025 QUE983023:QUP983025 REA983023:REL983025 RNW983023:ROH983025 RXS983023:RYD983025 SHO983023:SHZ983025 SRK983023:SRV983025 TBG983023:TBR983025 TLC983023:TLN983025 TUY983023:TVJ983025 UEU983023:UFF983025 UOQ983023:UPB983025 UYM983023:UYX983025 VII983023:VIT983025 VSE983023:VSP983025 WCA983023:WCL983025 WLW983023:WMH983025 WVS983023:WWD983025 WVS983028:WWD983030 JG65524:JR65526 TC65524:TN65526 ACY65524:ADJ65526 AMU65524:ANF65526 AWQ65524:AXB65526 BGM65524:BGX65526 BQI65524:BQT65526 CAE65524:CAP65526 CKA65524:CKL65526 CTW65524:CUH65526 DDS65524:DED65526 DNO65524:DNZ65526 DXK65524:DXV65526 EHG65524:EHR65526 ERC65524:ERN65526 FAY65524:FBJ65526 FKU65524:FLF65526 FUQ65524:FVB65526 GEM65524:GEX65526 GOI65524:GOT65526 GYE65524:GYP65526 HIA65524:HIL65526 HRW65524:HSH65526 IBS65524:ICD65526 ILO65524:ILZ65526 IVK65524:IVV65526 JFG65524:JFR65526 JPC65524:JPN65526 JYY65524:JZJ65526 KIU65524:KJF65526 KSQ65524:KTB65526 LCM65524:LCX65526 LMI65524:LMT65526 LWE65524:LWP65526 MGA65524:MGL65526 MPW65524:MQH65526 MZS65524:NAD65526 NJO65524:NJZ65526 NTK65524:NTV65526 ODG65524:ODR65526 ONC65524:ONN65526 OWY65524:OXJ65526 PGU65524:PHF65526 PQQ65524:PRB65526 QAM65524:QAX65526 QKI65524:QKT65526 QUE65524:QUP65526 REA65524:REL65526 RNW65524:ROH65526 RXS65524:RYD65526 SHO65524:SHZ65526 SRK65524:SRV65526 TBG65524:TBR65526 TLC65524:TLN65526 TUY65524:TVJ65526 UEU65524:UFF65526 UOQ65524:UPB65526 UYM65524:UYX65526 VII65524:VIT65526 VSE65524:VSP65526 WCA65524:WCL65526 WLW65524:WMH65526 WVS65524:WWD65526 JG131060:JR131062 TC131060:TN131062 ACY131060:ADJ131062 AMU131060:ANF131062 AWQ131060:AXB131062 BGM131060:BGX131062 BQI131060:BQT131062 CAE131060:CAP131062 CKA131060:CKL131062 CTW131060:CUH131062 DDS131060:DED131062 DNO131060:DNZ131062 DXK131060:DXV131062 EHG131060:EHR131062 ERC131060:ERN131062 FAY131060:FBJ131062 FKU131060:FLF131062 FUQ131060:FVB131062 GEM131060:GEX131062 GOI131060:GOT131062 GYE131060:GYP131062 HIA131060:HIL131062 HRW131060:HSH131062 IBS131060:ICD131062 ILO131060:ILZ131062 IVK131060:IVV131062 JFG131060:JFR131062 JPC131060:JPN131062 JYY131060:JZJ131062 KIU131060:KJF131062 KSQ131060:KTB131062 LCM131060:LCX131062 LMI131060:LMT131062 LWE131060:LWP131062 MGA131060:MGL131062 MPW131060:MQH131062 MZS131060:NAD131062 NJO131060:NJZ131062 NTK131060:NTV131062 ODG131060:ODR131062 ONC131060:ONN131062 OWY131060:OXJ131062 PGU131060:PHF131062 PQQ131060:PRB131062 QAM131060:QAX131062 QKI131060:QKT131062 QUE131060:QUP131062 REA131060:REL131062 RNW131060:ROH131062 RXS131060:RYD131062 SHO131060:SHZ131062 SRK131060:SRV131062 TBG131060:TBR131062 TLC131060:TLN131062 TUY131060:TVJ131062 UEU131060:UFF131062 UOQ131060:UPB131062 UYM131060:UYX131062 VII131060:VIT131062 VSE131060:VSP131062 WCA131060:WCL131062 WLW131060:WMH131062 WVS131060:WWD131062 JG196596:JR196598 TC196596:TN196598 ACY196596:ADJ196598 AMU196596:ANF196598 AWQ196596:AXB196598 BGM196596:BGX196598 BQI196596:BQT196598 CAE196596:CAP196598 CKA196596:CKL196598 CTW196596:CUH196598 DDS196596:DED196598 DNO196596:DNZ196598 DXK196596:DXV196598 EHG196596:EHR196598 ERC196596:ERN196598 FAY196596:FBJ196598 FKU196596:FLF196598 FUQ196596:FVB196598 GEM196596:GEX196598 GOI196596:GOT196598 GYE196596:GYP196598 HIA196596:HIL196598 HRW196596:HSH196598 IBS196596:ICD196598 ILO196596:ILZ196598 IVK196596:IVV196598 JFG196596:JFR196598 JPC196596:JPN196598 JYY196596:JZJ196598 KIU196596:KJF196598 KSQ196596:KTB196598 LCM196596:LCX196598 LMI196596:LMT196598 LWE196596:LWP196598 MGA196596:MGL196598 MPW196596:MQH196598 MZS196596:NAD196598 NJO196596:NJZ196598 NTK196596:NTV196598 ODG196596:ODR196598 ONC196596:ONN196598 OWY196596:OXJ196598 PGU196596:PHF196598 PQQ196596:PRB196598 QAM196596:QAX196598 QKI196596:QKT196598 QUE196596:QUP196598 REA196596:REL196598 RNW196596:ROH196598 RXS196596:RYD196598 SHO196596:SHZ196598 SRK196596:SRV196598 TBG196596:TBR196598 TLC196596:TLN196598 TUY196596:TVJ196598 UEU196596:UFF196598 UOQ196596:UPB196598 UYM196596:UYX196598 VII196596:VIT196598 VSE196596:VSP196598 WCA196596:WCL196598 WLW196596:WMH196598 WVS196596:WWD196598 JG262132:JR262134 TC262132:TN262134 ACY262132:ADJ262134 AMU262132:ANF262134 AWQ262132:AXB262134 BGM262132:BGX262134 BQI262132:BQT262134 CAE262132:CAP262134 CKA262132:CKL262134 CTW262132:CUH262134 DDS262132:DED262134 DNO262132:DNZ262134 DXK262132:DXV262134 EHG262132:EHR262134 ERC262132:ERN262134 FAY262132:FBJ262134 FKU262132:FLF262134 FUQ262132:FVB262134 GEM262132:GEX262134 GOI262132:GOT262134 GYE262132:GYP262134 HIA262132:HIL262134 HRW262132:HSH262134 IBS262132:ICD262134 ILO262132:ILZ262134 IVK262132:IVV262134 JFG262132:JFR262134 JPC262132:JPN262134 JYY262132:JZJ262134 KIU262132:KJF262134 KSQ262132:KTB262134 LCM262132:LCX262134 LMI262132:LMT262134 LWE262132:LWP262134 MGA262132:MGL262134 MPW262132:MQH262134 MZS262132:NAD262134 NJO262132:NJZ262134 NTK262132:NTV262134 ODG262132:ODR262134 ONC262132:ONN262134 OWY262132:OXJ262134 PGU262132:PHF262134 PQQ262132:PRB262134 QAM262132:QAX262134 QKI262132:QKT262134 QUE262132:QUP262134 REA262132:REL262134 RNW262132:ROH262134 RXS262132:RYD262134 SHO262132:SHZ262134 SRK262132:SRV262134 TBG262132:TBR262134 TLC262132:TLN262134 TUY262132:TVJ262134 UEU262132:UFF262134 UOQ262132:UPB262134 UYM262132:UYX262134 VII262132:VIT262134 VSE262132:VSP262134 WCA262132:WCL262134 WLW262132:WMH262134 WVS262132:WWD262134 JG327668:JR327670 TC327668:TN327670 ACY327668:ADJ327670 AMU327668:ANF327670 AWQ327668:AXB327670 BGM327668:BGX327670 BQI327668:BQT327670 CAE327668:CAP327670 CKA327668:CKL327670 CTW327668:CUH327670 DDS327668:DED327670 DNO327668:DNZ327670 DXK327668:DXV327670 EHG327668:EHR327670 ERC327668:ERN327670 FAY327668:FBJ327670 FKU327668:FLF327670 FUQ327668:FVB327670 GEM327668:GEX327670 GOI327668:GOT327670 GYE327668:GYP327670 HIA327668:HIL327670 HRW327668:HSH327670 IBS327668:ICD327670 ILO327668:ILZ327670 IVK327668:IVV327670 JFG327668:JFR327670 JPC327668:JPN327670 JYY327668:JZJ327670 KIU327668:KJF327670 KSQ327668:KTB327670 LCM327668:LCX327670 LMI327668:LMT327670 LWE327668:LWP327670 MGA327668:MGL327670 MPW327668:MQH327670 MZS327668:NAD327670 NJO327668:NJZ327670 NTK327668:NTV327670 ODG327668:ODR327670 ONC327668:ONN327670 OWY327668:OXJ327670 PGU327668:PHF327670 PQQ327668:PRB327670 QAM327668:QAX327670 QKI327668:QKT327670 QUE327668:QUP327670 REA327668:REL327670 RNW327668:ROH327670 RXS327668:RYD327670 SHO327668:SHZ327670 SRK327668:SRV327670 TBG327668:TBR327670 TLC327668:TLN327670 TUY327668:TVJ327670 UEU327668:UFF327670 UOQ327668:UPB327670 UYM327668:UYX327670 VII327668:VIT327670 VSE327668:VSP327670 WCA327668:WCL327670 WLW327668:WMH327670 WVS327668:WWD327670 JG393204:JR393206 TC393204:TN393206 ACY393204:ADJ393206 AMU393204:ANF393206 AWQ393204:AXB393206 BGM393204:BGX393206 BQI393204:BQT393206 CAE393204:CAP393206 CKA393204:CKL393206 CTW393204:CUH393206 DDS393204:DED393206 DNO393204:DNZ393206 DXK393204:DXV393206 EHG393204:EHR393206 ERC393204:ERN393206 FAY393204:FBJ393206 FKU393204:FLF393206 FUQ393204:FVB393206 GEM393204:GEX393206 GOI393204:GOT393206 GYE393204:GYP393206 HIA393204:HIL393206 HRW393204:HSH393206 IBS393204:ICD393206 ILO393204:ILZ393206 IVK393204:IVV393206 JFG393204:JFR393206 JPC393204:JPN393206 JYY393204:JZJ393206 KIU393204:KJF393206 KSQ393204:KTB393206 LCM393204:LCX393206 LMI393204:LMT393206 LWE393204:LWP393206 MGA393204:MGL393206 MPW393204:MQH393206 MZS393204:NAD393206 NJO393204:NJZ393206 NTK393204:NTV393206 ODG393204:ODR393206 ONC393204:ONN393206 OWY393204:OXJ393206 PGU393204:PHF393206 PQQ393204:PRB393206 QAM393204:QAX393206 QKI393204:QKT393206 QUE393204:QUP393206 REA393204:REL393206 RNW393204:ROH393206 RXS393204:RYD393206 SHO393204:SHZ393206 SRK393204:SRV393206 TBG393204:TBR393206 TLC393204:TLN393206 TUY393204:TVJ393206 UEU393204:UFF393206 UOQ393204:UPB393206 UYM393204:UYX393206 VII393204:VIT393206 VSE393204:VSP393206 WCA393204:WCL393206 WLW393204:WMH393206 WVS393204:WWD393206 JG458740:JR458742 TC458740:TN458742 ACY458740:ADJ458742 AMU458740:ANF458742 AWQ458740:AXB458742 BGM458740:BGX458742 BQI458740:BQT458742 CAE458740:CAP458742 CKA458740:CKL458742 CTW458740:CUH458742 DDS458740:DED458742 DNO458740:DNZ458742 DXK458740:DXV458742 EHG458740:EHR458742 ERC458740:ERN458742 FAY458740:FBJ458742 FKU458740:FLF458742 FUQ458740:FVB458742 GEM458740:GEX458742 GOI458740:GOT458742 GYE458740:GYP458742 HIA458740:HIL458742 HRW458740:HSH458742 IBS458740:ICD458742 ILO458740:ILZ458742 IVK458740:IVV458742 JFG458740:JFR458742 JPC458740:JPN458742 JYY458740:JZJ458742 KIU458740:KJF458742 KSQ458740:KTB458742 LCM458740:LCX458742 LMI458740:LMT458742 LWE458740:LWP458742 MGA458740:MGL458742 MPW458740:MQH458742 MZS458740:NAD458742 NJO458740:NJZ458742 NTK458740:NTV458742 ODG458740:ODR458742 ONC458740:ONN458742 OWY458740:OXJ458742 PGU458740:PHF458742 PQQ458740:PRB458742 QAM458740:QAX458742 QKI458740:QKT458742 QUE458740:QUP458742 REA458740:REL458742 RNW458740:ROH458742 RXS458740:RYD458742 SHO458740:SHZ458742 SRK458740:SRV458742 TBG458740:TBR458742 TLC458740:TLN458742 TUY458740:TVJ458742 UEU458740:UFF458742 UOQ458740:UPB458742 UYM458740:UYX458742 VII458740:VIT458742 VSE458740:VSP458742 WCA458740:WCL458742 WLW458740:WMH458742 WVS458740:WWD458742 JG524276:JR524278 TC524276:TN524278 ACY524276:ADJ524278 AMU524276:ANF524278 AWQ524276:AXB524278 BGM524276:BGX524278 BQI524276:BQT524278 CAE524276:CAP524278 CKA524276:CKL524278 CTW524276:CUH524278 DDS524276:DED524278 DNO524276:DNZ524278 DXK524276:DXV524278 EHG524276:EHR524278 ERC524276:ERN524278 FAY524276:FBJ524278 FKU524276:FLF524278 FUQ524276:FVB524278 GEM524276:GEX524278 GOI524276:GOT524278 GYE524276:GYP524278 HIA524276:HIL524278 HRW524276:HSH524278 IBS524276:ICD524278 ILO524276:ILZ524278 IVK524276:IVV524278 JFG524276:JFR524278 JPC524276:JPN524278 JYY524276:JZJ524278 KIU524276:KJF524278 KSQ524276:KTB524278 LCM524276:LCX524278 LMI524276:LMT524278 LWE524276:LWP524278 MGA524276:MGL524278 MPW524276:MQH524278 MZS524276:NAD524278 NJO524276:NJZ524278 NTK524276:NTV524278 ODG524276:ODR524278 ONC524276:ONN524278 OWY524276:OXJ524278 PGU524276:PHF524278 PQQ524276:PRB524278 QAM524276:QAX524278 QKI524276:QKT524278 QUE524276:QUP524278 REA524276:REL524278 RNW524276:ROH524278 RXS524276:RYD524278 SHO524276:SHZ524278 SRK524276:SRV524278 TBG524276:TBR524278 TLC524276:TLN524278 TUY524276:TVJ524278 UEU524276:UFF524278 UOQ524276:UPB524278 UYM524276:UYX524278 VII524276:VIT524278 VSE524276:VSP524278 WCA524276:WCL524278 WLW524276:WMH524278 WVS524276:WWD524278 JG589812:JR589814 TC589812:TN589814 ACY589812:ADJ589814 AMU589812:ANF589814 AWQ589812:AXB589814 BGM589812:BGX589814 BQI589812:BQT589814 CAE589812:CAP589814 CKA589812:CKL589814 CTW589812:CUH589814 DDS589812:DED589814 DNO589812:DNZ589814 DXK589812:DXV589814 EHG589812:EHR589814 ERC589812:ERN589814 FAY589812:FBJ589814 FKU589812:FLF589814 FUQ589812:FVB589814 GEM589812:GEX589814 GOI589812:GOT589814 GYE589812:GYP589814 HIA589812:HIL589814 HRW589812:HSH589814 IBS589812:ICD589814 ILO589812:ILZ589814 IVK589812:IVV589814 JFG589812:JFR589814 JPC589812:JPN589814 JYY589812:JZJ589814 KIU589812:KJF589814 KSQ589812:KTB589814 LCM589812:LCX589814 LMI589812:LMT589814 LWE589812:LWP589814 MGA589812:MGL589814 MPW589812:MQH589814 MZS589812:NAD589814 NJO589812:NJZ589814 NTK589812:NTV589814 ODG589812:ODR589814 ONC589812:ONN589814 OWY589812:OXJ589814 PGU589812:PHF589814 PQQ589812:PRB589814 QAM589812:QAX589814 QKI589812:QKT589814 QUE589812:QUP589814 REA589812:REL589814 RNW589812:ROH589814 RXS589812:RYD589814 SHO589812:SHZ589814 SRK589812:SRV589814 TBG589812:TBR589814 TLC589812:TLN589814 TUY589812:TVJ589814 UEU589812:UFF589814 UOQ589812:UPB589814 UYM589812:UYX589814 VII589812:VIT589814 VSE589812:VSP589814 WCA589812:WCL589814 WLW589812:WMH589814 WVS589812:WWD589814 JG655348:JR655350 TC655348:TN655350 ACY655348:ADJ655350 AMU655348:ANF655350 AWQ655348:AXB655350 BGM655348:BGX655350 BQI655348:BQT655350 CAE655348:CAP655350 CKA655348:CKL655350 CTW655348:CUH655350 DDS655348:DED655350 DNO655348:DNZ655350 DXK655348:DXV655350 EHG655348:EHR655350 ERC655348:ERN655350 FAY655348:FBJ655350 FKU655348:FLF655350 FUQ655348:FVB655350 GEM655348:GEX655350 GOI655348:GOT655350 GYE655348:GYP655350 HIA655348:HIL655350 HRW655348:HSH655350 IBS655348:ICD655350 ILO655348:ILZ655350 IVK655348:IVV655350 JFG655348:JFR655350 JPC655348:JPN655350 JYY655348:JZJ655350 KIU655348:KJF655350 KSQ655348:KTB655350 LCM655348:LCX655350 LMI655348:LMT655350 LWE655348:LWP655350 MGA655348:MGL655350 MPW655348:MQH655350 MZS655348:NAD655350 NJO655348:NJZ655350 NTK655348:NTV655350 ODG655348:ODR655350 ONC655348:ONN655350 OWY655348:OXJ655350 PGU655348:PHF655350 PQQ655348:PRB655350 QAM655348:QAX655350 QKI655348:QKT655350 QUE655348:QUP655350 REA655348:REL655350 RNW655348:ROH655350 RXS655348:RYD655350 SHO655348:SHZ655350 SRK655348:SRV655350 TBG655348:TBR655350 TLC655348:TLN655350 TUY655348:TVJ655350 UEU655348:UFF655350 UOQ655348:UPB655350 UYM655348:UYX655350 VII655348:VIT655350 VSE655348:VSP655350 WCA655348:WCL655350 WLW655348:WMH655350 WVS655348:WWD655350 JG720884:JR720886 TC720884:TN720886 ACY720884:ADJ720886 AMU720884:ANF720886 AWQ720884:AXB720886 BGM720884:BGX720886 BQI720884:BQT720886 CAE720884:CAP720886 CKA720884:CKL720886 CTW720884:CUH720886 DDS720884:DED720886 DNO720884:DNZ720886 DXK720884:DXV720886 EHG720884:EHR720886 ERC720884:ERN720886 FAY720884:FBJ720886 FKU720884:FLF720886 FUQ720884:FVB720886 GEM720884:GEX720886 GOI720884:GOT720886 GYE720884:GYP720886 HIA720884:HIL720886 HRW720884:HSH720886 IBS720884:ICD720886 ILO720884:ILZ720886 IVK720884:IVV720886 JFG720884:JFR720886 JPC720884:JPN720886 JYY720884:JZJ720886 KIU720884:KJF720886 KSQ720884:KTB720886 LCM720884:LCX720886 LMI720884:LMT720886 LWE720884:LWP720886 MGA720884:MGL720886 MPW720884:MQH720886 MZS720884:NAD720886 NJO720884:NJZ720886 NTK720884:NTV720886 ODG720884:ODR720886 ONC720884:ONN720886 OWY720884:OXJ720886 PGU720884:PHF720886 PQQ720884:PRB720886 QAM720884:QAX720886 QKI720884:QKT720886 QUE720884:QUP720886 REA720884:REL720886 RNW720884:ROH720886 RXS720884:RYD720886 SHO720884:SHZ720886 SRK720884:SRV720886 TBG720884:TBR720886 TLC720884:TLN720886 TUY720884:TVJ720886 UEU720884:UFF720886 UOQ720884:UPB720886 UYM720884:UYX720886 VII720884:VIT720886 VSE720884:VSP720886 WCA720884:WCL720886 WLW720884:WMH720886 WVS720884:WWD720886 JG786420:JR786422 TC786420:TN786422 ACY786420:ADJ786422 AMU786420:ANF786422 AWQ786420:AXB786422 BGM786420:BGX786422 BQI786420:BQT786422 CAE786420:CAP786422 CKA786420:CKL786422 CTW786420:CUH786422 DDS786420:DED786422 DNO786420:DNZ786422 DXK786420:DXV786422 EHG786420:EHR786422 ERC786420:ERN786422 FAY786420:FBJ786422 FKU786420:FLF786422 FUQ786420:FVB786422 GEM786420:GEX786422 GOI786420:GOT786422 GYE786420:GYP786422 HIA786420:HIL786422 HRW786420:HSH786422 IBS786420:ICD786422 ILO786420:ILZ786422 IVK786420:IVV786422 JFG786420:JFR786422 JPC786420:JPN786422 JYY786420:JZJ786422 KIU786420:KJF786422 KSQ786420:KTB786422 LCM786420:LCX786422 LMI786420:LMT786422 LWE786420:LWP786422 MGA786420:MGL786422 MPW786420:MQH786422 MZS786420:NAD786422 NJO786420:NJZ786422 NTK786420:NTV786422 ODG786420:ODR786422 ONC786420:ONN786422 OWY786420:OXJ786422 PGU786420:PHF786422 PQQ786420:PRB786422 QAM786420:QAX786422 QKI786420:QKT786422 QUE786420:QUP786422 REA786420:REL786422 RNW786420:ROH786422 RXS786420:RYD786422 SHO786420:SHZ786422 SRK786420:SRV786422 TBG786420:TBR786422 TLC786420:TLN786422 TUY786420:TVJ786422 UEU786420:UFF786422 UOQ786420:UPB786422 UYM786420:UYX786422 VII786420:VIT786422 VSE786420:VSP786422 WCA786420:WCL786422 WLW786420:WMH786422 WVS786420:WWD786422 JG851956:JR851958 TC851956:TN851958 ACY851956:ADJ851958 AMU851956:ANF851958 AWQ851956:AXB851958 BGM851956:BGX851958 BQI851956:BQT851958 CAE851956:CAP851958 CKA851956:CKL851958 CTW851956:CUH851958 DDS851956:DED851958 DNO851956:DNZ851958 DXK851956:DXV851958 EHG851956:EHR851958 ERC851956:ERN851958 FAY851956:FBJ851958 FKU851956:FLF851958 FUQ851956:FVB851958 GEM851956:GEX851958 GOI851956:GOT851958 GYE851956:GYP851958 HIA851956:HIL851958 HRW851956:HSH851958 IBS851956:ICD851958 ILO851956:ILZ851958 IVK851956:IVV851958 JFG851956:JFR851958 JPC851956:JPN851958 JYY851956:JZJ851958 KIU851956:KJF851958 KSQ851956:KTB851958 LCM851956:LCX851958 LMI851956:LMT851958 LWE851956:LWP851958 MGA851956:MGL851958 MPW851956:MQH851958 MZS851956:NAD851958 NJO851956:NJZ851958 NTK851956:NTV851958 ODG851956:ODR851958 ONC851956:ONN851958 OWY851956:OXJ851958 PGU851956:PHF851958 PQQ851956:PRB851958 QAM851956:QAX851958 QKI851956:QKT851958 QUE851956:QUP851958 REA851956:REL851958 RNW851956:ROH851958 RXS851956:RYD851958 SHO851956:SHZ851958 SRK851956:SRV851958 TBG851956:TBR851958 TLC851956:TLN851958 TUY851956:TVJ851958 UEU851956:UFF851958 UOQ851956:UPB851958 UYM851956:UYX851958 VII851956:VIT851958 VSE851956:VSP851958 WCA851956:WCL851958 WLW851956:WMH851958 WVS851956:WWD851958 JG917492:JR917494 TC917492:TN917494 ACY917492:ADJ917494 AMU917492:ANF917494 AWQ917492:AXB917494 BGM917492:BGX917494 BQI917492:BQT917494 CAE917492:CAP917494 CKA917492:CKL917494 CTW917492:CUH917494 DDS917492:DED917494 DNO917492:DNZ917494 DXK917492:DXV917494 EHG917492:EHR917494 ERC917492:ERN917494 FAY917492:FBJ917494 FKU917492:FLF917494 FUQ917492:FVB917494 GEM917492:GEX917494 GOI917492:GOT917494 GYE917492:GYP917494 HIA917492:HIL917494 HRW917492:HSH917494 IBS917492:ICD917494 ILO917492:ILZ917494 IVK917492:IVV917494 JFG917492:JFR917494 JPC917492:JPN917494 JYY917492:JZJ917494 KIU917492:KJF917494 KSQ917492:KTB917494 LCM917492:LCX917494 LMI917492:LMT917494 LWE917492:LWP917494 MGA917492:MGL917494 MPW917492:MQH917494 MZS917492:NAD917494 NJO917492:NJZ917494 NTK917492:NTV917494 ODG917492:ODR917494 ONC917492:ONN917494 OWY917492:OXJ917494 PGU917492:PHF917494 PQQ917492:PRB917494 QAM917492:QAX917494 QKI917492:QKT917494 QUE917492:QUP917494 REA917492:REL917494 RNW917492:ROH917494 RXS917492:RYD917494 SHO917492:SHZ917494 SRK917492:SRV917494 TBG917492:TBR917494 TLC917492:TLN917494 TUY917492:TVJ917494 UEU917492:UFF917494 UOQ917492:UPB917494 UYM917492:UYX917494 VII917492:VIT917494 VSE917492:VSP917494 WCA917492:WCL917494 WLW917492:WMH917494 WVS917492:WWD917494 JG983028:JR983030 TC983028:TN983030 ACY983028:ADJ983030 AMU983028:ANF983030 AWQ983028:AXB983030 BGM983028:BGX983030 BQI983028:BQT983030 CAE983028:CAP983030 CKA983028:CKL983030 CTW983028:CUH983030 DDS983028:DED983030 DNO983028:DNZ983030 DXK983028:DXV983030 EHG983028:EHR983030 ERC983028:ERN983030 FAY983028:FBJ983030 FKU983028:FLF983030 FUQ983028:FVB983030 GEM983028:GEX983030 GOI983028:GOT983030 GYE983028:GYP983030 HIA983028:HIL983030 HRW983028:HSH983030 IBS983028:ICD983030 ILO983028:ILZ983030 IVK983028:IVV983030 JFG983028:JFR983030 JPC983028:JPN983030 JYY983028:JZJ983030 KIU983028:KJF983030 KSQ983028:KTB983030 LCM983028:LCX983030 LMI983028:LMT983030 LWE983028:LWP983030 MGA983028:MGL983030 MPW983028:MQH983030 MZS983028:NAD983030 NJO983028:NJZ983030 NTK983028:NTV983030 ODG983028:ODR983030 ONC983028:ONN983030 OWY983028:OXJ983030 PGU983028:PHF983030 PQQ983028:PRB983030 QAM983028:QAX983030 QKI983028:QKT983030 QUE983028:QUP983030 REA983028:REL983030 RNW983028:ROH983030 RXS983028:RYD983030 SHO983028:SHZ983030 SRK983028:SRV983030 TBG983028:TBR983030 TLC983028:TLN983030 TUY983028:TVJ983030 UEU983028:UFF983030 UOQ983028:UPB983030 UYM983028:UYX983030 VII983028:VIT983030 VSE983028:VSP983030 WCA983028:WCL983030 WLW983028:WMH983030 Z262127:AJ262129 Z196591:AJ196593 Z131055:AJ131057 Z65519:AJ65521 Z983028:AJ983030 Z917492:AJ917494 Z851956:AJ851958 Z786420:AJ786422 Z720884:AJ720886 Z655348:AJ655350 Z589812:AJ589814 Z524276:AJ524278 Z458740:AJ458742 Z393204:AJ393206 Z327668:AJ327670 Z262132:AJ262134 Z196596:AJ196598 Z131060:AJ131062 Z65524:AJ65526 Z983023:AJ983025 Z917487:AJ917489 Z851951:AJ851953 Z786415:AJ786417 Z720879:AJ720881 Z655343:AJ655345 Z589807:AJ589809 Z524271:AJ524273 Z458735:AJ458737 Z393199:AJ393201 Z327663:AJ327665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0500-000002000000}"/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3"/>
  <dimension ref="A1:BD39"/>
  <sheetViews>
    <sheetView showGridLines="0" zoomScaleNormal="100" zoomScaleSheetLayoutView="100" workbookViewId="0">
      <selection activeCell="Y2" sqref="Y2:AO3"/>
    </sheetView>
  </sheetViews>
  <sheetFormatPr defaultColWidth="2.6328125" defaultRowHeight="15" customHeight="1" x14ac:dyDescent="0.3"/>
  <cols>
    <col min="1" max="1" width="4.6328125" style="17" customWidth="1"/>
    <col min="2" max="26" width="2.6328125" style="17"/>
    <col min="27" max="27" width="2.6328125" style="17" customWidth="1"/>
    <col min="28" max="29" width="2.6328125" style="17"/>
    <col min="30" max="30" width="4.6328125" style="17" customWidth="1"/>
    <col min="31" max="31" width="2.6328125" style="17" customWidth="1"/>
    <col min="32" max="33" width="2.6328125" style="17"/>
    <col min="34" max="34" width="6.6328125" style="17" customWidth="1"/>
    <col min="35" max="16384" width="2.6328125" style="17"/>
  </cols>
  <sheetData>
    <row r="1" spans="1:56" s="16" customFormat="1" ht="15" customHeight="1" x14ac:dyDescent="0.3">
      <c r="A1" s="144" t="s">
        <v>100</v>
      </c>
      <c r="B1" s="145"/>
      <c r="C1" s="145"/>
      <c r="D1" s="145"/>
      <c r="E1" s="145"/>
      <c r="F1" s="145"/>
      <c r="G1" s="145"/>
      <c r="H1" s="146"/>
      <c r="I1" s="103" t="s">
        <v>98</v>
      </c>
      <c r="J1" s="104"/>
      <c r="K1" s="104"/>
      <c r="L1" s="104"/>
      <c r="M1" s="104"/>
      <c r="N1" s="104"/>
      <c r="O1" s="104"/>
      <c r="P1" s="104"/>
      <c r="Q1" s="105"/>
      <c r="R1" s="103" t="s">
        <v>99</v>
      </c>
      <c r="S1" s="104"/>
      <c r="T1" s="104"/>
      <c r="U1" s="104"/>
      <c r="V1" s="104"/>
      <c r="W1" s="104"/>
      <c r="X1" s="105"/>
      <c r="Y1" s="103" t="s">
        <v>0</v>
      </c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5"/>
      <c r="AP1" s="153" t="s">
        <v>1</v>
      </c>
      <c r="AQ1" s="154"/>
      <c r="AR1" s="154"/>
      <c r="AS1" s="154"/>
      <c r="AT1" s="155"/>
      <c r="AU1" s="153" t="s">
        <v>2</v>
      </c>
      <c r="AV1" s="154"/>
      <c r="AW1" s="154"/>
      <c r="AX1" s="154"/>
      <c r="AY1" s="155"/>
      <c r="AZ1" s="153" t="s">
        <v>3</v>
      </c>
      <c r="BA1" s="154"/>
      <c r="BB1" s="154"/>
      <c r="BC1" s="154"/>
      <c r="BD1" s="155"/>
    </row>
    <row r="2" spans="1:56" s="16" customFormat="1" ht="15" customHeight="1" x14ac:dyDescent="0.3">
      <c r="A2" s="147"/>
      <c r="B2" s="148"/>
      <c r="C2" s="148"/>
      <c r="D2" s="148"/>
      <c r="E2" s="148"/>
      <c r="F2" s="148"/>
      <c r="G2" s="148"/>
      <c r="H2" s="149"/>
      <c r="I2" s="127" t="s">
        <v>97</v>
      </c>
      <c r="J2" s="128"/>
      <c r="K2" s="128"/>
      <c r="L2" s="128"/>
      <c r="M2" s="128"/>
      <c r="N2" s="128"/>
      <c r="O2" s="128"/>
      <c r="P2" s="128"/>
      <c r="Q2" s="129"/>
      <c r="R2" s="127" t="str">
        <f ca="1">VLOOKUP(RIGHT(CELL("filename",A2),LEN(CELL("filename",A2))-FIND("]",CELL("filename",A2))),テーブル一覧!B:AD,22,FALSE)</f>
        <v>D.出荷</v>
      </c>
      <c r="S2" s="128"/>
      <c r="T2" s="128"/>
      <c r="U2" s="128"/>
      <c r="V2" s="128"/>
      <c r="W2" s="128"/>
      <c r="X2" s="129"/>
      <c r="Y2" s="127" t="str">
        <f ca="1">VLOOKUP(RIGHT(CELL("filename",A2),LEN(CELL("filename",A2))-FIND("]",CELL("filename",A2))),テーブル一覧!B:AD,1,FALSE)</f>
        <v>ロット№読取情報</v>
      </c>
      <c r="Z2" s="128"/>
      <c r="AA2" s="128"/>
      <c r="AB2" s="128"/>
      <c r="AC2" s="128"/>
      <c r="AD2" s="128"/>
      <c r="AE2" s="128"/>
      <c r="AF2" s="128"/>
      <c r="AG2" s="128"/>
      <c r="AH2" s="128"/>
      <c r="AI2" s="128"/>
      <c r="AJ2" s="128"/>
      <c r="AK2" s="128"/>
      <c r="AL2" s="128"/>
      <c r="AM2" s="128"/>
      <c r="AN2" s="128"/>
      <c r="AO2" s="129"/>
      <c r="AP2" s="97"/>
      <c r="AQ2" s="98"/>
      <c r="AR2" s="98"/>
      <c r="AS2" s="98"/>
      <c r="AT2" s="99"/>
      <c r="AU2" s="60" t="s">
        <v>188</v>
      </c>
      <c r="AV2" s="61"/>
      <c r="AW2" s="61"/>
      <c r="AX2" s="61"/>
      <c r="AY2" s="62"/>
      <c r="AZ2" s="181" t="s">
        <v>15</v>
      </c>
      <c r="BA2" s="182"/>
      <c r="BB2" s="182"/>
      <c r="BC2" s="182"/>
      <c r="BD2" s="183"/>
    </row>
    <row r="3" spans="1:56" s="16" customFormat="1" ht="15" customHeight="1" x14ac:dyDescent="0.3">
      <c r="A3" s="147"/>
      <c r="B3" s="148"/>
      <c r="C3" s="148"/>
      <c r="D3" s="148"/>
      <c r="E3" s="148"/>
      <c r="F3" s="148"/>
      <c r="G3" s="148"/>
      <c r="H3" s="149"/>
      <c r="I3" s="130"/>
      <c r="J3" s="131"/>
      <c r="K3" s="131"/>
      <c r="L3" s="131"/>
      <c r="M3" s="131"/>
      <c r="N3" s="131"/>
      <c r="O3" s="131"/>
      <c r="P3" s="131"/>
      <c r="Q3" s="132"/>
      <c r="R3" s="130"/>
      <c r="S3" s="131"/>
      <c r="T3" s="131"/>
      <c r="U3" s="131"/>
      <c r="V3" s="131"/>
      <c r="W3" s="131"/>
      <c r="X3" s="132"/>
      <c r="Y3" s="133"/>
      <c r="Z3" s="134"/>
      <c r="AA3" s="134"/>
      <c r="AB3" s="134"/>
      <c r="AC3" s="134"/>
      <c r="AD3" s="134"/>
      <c r="AE3" s="134"/>
      <c r="AF3" s="134"/>
      <c r="AG3" s="134"/>
      <c r="AH3" s="134"/>
      <c r="AI3" s="134"/>
      <c r="AJ3" s="134"/>
      <c r="AK3" s="134"/>
      <c r="AL3" s="134"/>
      <c r="AM3" s="134"/>
      <c r="AN3" s="134"/>
      <c r="AO3" s="135"/>
      <c r="AP3" s="100"/>
      <c r="AQ3" s="101"/>
      <c r="AR3" s="101"/>
      <c r="AS3" s="101"/>
      <c r="AT3" s="102"/>
      <c r="AU3" s="178"/>
      <c r="AV3" s="179"/>
      <c r="AW3" s="179"/>
      <c r="AX3" s="179"/>
      <c r="AY3" s="180"/>
      <c r="AZ3" s="181"/>
      <c r="BA3" s="182"/>
      <c r="BB3" s="182"/>
      <c r="BC3" s="182"/>
      <c r="BD3" s="183"/>
    </row>
    <row r="4" spans="1:56" s="16" customFormat="1" ht="15" customHeight="1" x14ac:dyDescent="0.3">
      <c r="A4" s="150"/>
      <c r="B4" s="151"/>
      <c r="C4" s="151"/>
      <c r="D4" s="151"/>
      <c r="E4" s="151"/>
      <c r="F4" s="151"/>
      <c r="G4" s="151"/>
      <c r="H4" s="152"/>
      <c r="I4" s="133"/>
      <c r="J4" s="134"/>
      <c r="K4" s="134"/>
      <c r="L4" s="134"/>
      <c r="M4" s="134"/>
      <c r="N4" s="134"/>
      <c r="O4" s="134"/>
      <c r="P4" s="134"/>
      <c r="Q4" s="135"/>
      <c r="R4" s="133"/>
      <c r="S4" s="134"/>
      <c r="T4" s="134"/>
      <c r="U4" s="134"/>
      <c r="V4" s="134"/>
      <c r="W4" s="134"/>
      <c r="X4" s="135"/>
      <c r="Y4" s="175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t_lot_no_read</v>
      </c>
      <c r="Z4" s="176"/>
      <c r="AA4" s="176"/>
      <c r="AB4" s="176"/>
      <c r="AC4" s="176"/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  <c r="AO4" s="177"/>
      <c r="AP4" s="100"/>
      <c r="AQ4" s="101"/>
      <c r="AR4" s="101"/>
      <c r="AS4" s="101"/>
      <c r="AT4" s="102"/>
      <c r="AU4" s="178"/>
      <c r="AV4" s="179"/>
      <c r="AW4" s="179"/>
      <c r="AX4" s="179"/>
      <c r="AY4" s="180"/>
      <c r="AZ4" s="181"/>
      <c r="BA4" s="182"/>
      <c r="BB4" s="182"/>
      <c r="BC4" s="182"/>
      <c r="BD4" s="183"/>
    </row>
    <row r="6" spans="1:56" ht="15" customHeight="1" x14ac:dyDescent="0.3">
      <c r="A6" s="156" t="s">
        <v>101</v>
      </c>
      <c r="B6" s="158" t="s">
        <v>4</v>
      </c>
      <c r="C6" s="159"/>
      <c r="D6" s="159"/>
      <c r="E6" s="159"/>
      <c r="F6" s="159"/>
      <c r="G6" s="159"/>
      <c r="H6" s="160"/>
      <c r="I6" s="158" t="s">
        <v>5</v>
      </c>
      <c r="J6" s="159"/>
      <c r="K6" s="159"/>
      <c r="L6" s="159"/>
      <c r="M6" s="159"/>
      <c r="N6" s="159"/>
      <c r="O6" s="159"/>
      <c r="P6" s="159"/>
      <c r="Q6" s="160"/>
      <c r="R6" s="158" t="s">
        <v>145</v>
      </c>
      <c r="S6" s="159"/>
      <c r="T6" s="159"/>
      <c r="U6" s="159"/>
      <c r="V6" s="159"/>
      <c r="W6" s="159"/>
      <c r="X6" s="160"/>
      <c r="Y6" s="158" t="s">
        <v>6</v>
      </c>
      <c r="Z6" s="160"/>
      <c r="AA6" s="158" t="s">
        <v>7</v>
      </c>
      <c r="AB6" s="159"/>
      <c r="AC6" s="160"/>
      <c r="AD6" s="164" t="s">
        <v>8</v>
      </c>
      <c r="AE6" s="185" t="s">
        <v>9</v>
      </c>
      <c r="AF6" s="164" t="s">
        <v>10</v>
      </c>
      <c r="AG6" s="164" t="s">
        <v>11</v>
      </c>
      <c r="AH6" s="164" t="s">
        <v>12</v>
      </c>
      <c r="AI6" s="166" t="s">
        <v>13</v>
      </c>
      <c r="AJ6" s="167"/>
      <c r="AK6" s="167"/>
      <c r="AL6" s="167"/>
      <c r="AM6" s="167"/>
      <c r="AN6" s="167"/>
      <c r="AO6" s="167"/>
      <c r="AP6" s="167"/>
      <c r="AQ6" s="167"/>
      <c r="AR6" s="168"/>
      <c r="AS6" s="169" t="s">
        <v>14</v>
      </c>
      <c r="AT6" s="170"/>
      <c r="AU6" s="170"/>
      <c r="AV6" s="170"/>
      <c r="AW6" s="170"/>
      <c r="AX6" s="170"/>
      <c r="AY6" s="170"/>
      <c r="AZ6" s="170"/>
      <c r="BA6" s="170"/>
      <c r="BB6" s="170"/>
      <c r="BC6" s="170"/>
      <c r="BD6" s="171"/>
    </row>
    <row r="7" spans="1:56" ht="15" customHeight="1" x14ac:dyDescent="0.3">
      <c r="A7" s="157"/>
      <c r="B7" s="161"/>
      <c r="C7" s="162"/>
      <c r="D7" s="162"/>
      <c r="E7" s="162"/>
      <c r="F7" s="162"/>
      <c r="G7" s="162"/>
      <c r="H7" s="163"/>
      <c r="I7" s="161"/>
      <c r="J7" s="162"/>
      <c r="K7" s="162"/>
      <c r="L7" s="162"/>
      <c r="M7" s="162"/>
      <c r="N7" s="162"/>
      <c r="O7" s="162"/>
      <c r="P7" s="162"/>
      <c r="Q7" s="163"/>
      <c r="R7" s="161"/>
      <c r="S7" s="162"/>
      <c r="T7" s="162"/>
      <c r="U7" s="162"/>
      <c r="V7" s="162"/>
      <c r="W7" s="162"/>
      <c r="X7" s="163"/>
      <c r="Y7" s="161"/>
      <c r="Z7" s="163"/>
      <c r="AA7" s="161"/>
      <c r="AB7" s="162"/>
      <c r="AC7" s="163"/>
      <c r="AD7" s="165"/>
      <c r="AE7" s="186"/>
      <c r="AF7" s="165"/>
      <c r="AG7" s="165"/>
      <c r="AH7" s="165"/>
      <c r="AI7" s="56">
        <v>1</v>
      </c>
      <c r="AJ7" s="56">
        <v>2</v>
      </c>
      <c r="AK7" s="56">
        <v>3</v>
      </c>
      <c r="AL7" s="56">
        <v>4</v>
      </c>
      <c r="AM7" s="56">
        <v>5</v>
      </c>
      <c r="AN7" s="56">
        <v>6</v>
      </c>
      <c r="AO7" s="56">
        <v>7</v>
      </c>
      <c r="AP7" s="56">
        <v>8</v>
      </c>
      <c r="AQ7" s="56">
        <v>9</v>
      </c>
      <c r="AR7" s="56">
        <v>10</v>
      </c>
      <c r="AS7" s="172"/>
      <c r="AT7" s="173"/>
      <c r="AU7" s="173"/>
      <c r="AV7" s="173"/>
      <c r="AW7" s="173"/>
      <c r="AX7" s="173"/>
      <c r="AY7" s="173"/>
      <c r="AZ7" s="173"/>
      <c r="BA7" s="173"/>
      <c r="BB7" s="173"/>
      <c r="BC7" s="173"/>
      <c r="BD7" s="174"/>
    </row>
    <row r="8" spans="1:56" ht="15" customHeight="1" x14ac:dyDescent="0.3">
      <c r="A8" s="54">
        <f>IF(B8="","",COUNTA($B$8:B8))</f>
        <v>1</v>
      </c>
      <c r="B8" s="18" t="s">
        <v>150</v>
      </c>
      <c r="C8" s="19"/>
      <c r="D8" s="19"/>
      <c r="E8" s="19"/>
      <c r="F8" s="19"/>
      <c r="G8" s="19"/>
      <c r="H8" s="19"/>
      <c r="I8" s="31" t="str">
        <f>VLOOKUP(B8,Sheet1!A:B,2,FALSE)</f>
        <v>shukka_shiji_no</v>
      </c>
      <c r="J8" s="21"/>
      <c r="K8" s="21"/>
      <c r="L8" s="21"/>
      <c r="M8" s="21"/>
      <c r="N8" s="21"/>
      <c r="O8" s="21"/>
      <c r="P8" s="21"/>
      <c r="Q8" s="21"/>
      <c r="R8" s="18" t="s">
        <v>150</v>
      </c>
      <c r="S8" s="19"/>
      <c r="T8" s="19"/>
      <c r="U8" s="19"/>
      <c r="V8" s="19"/>
      <c r="W8" s="19"/>
      <c r="X8" s="19"/>
      <c r="Y8" s="139" t="s">
        <v>111</v>
      </c>
      <c r="Z8" s="140"/>
      <c r="AA8" s="141" t="s">
        <v>107</v>
      </c>
      <c r="AB8" s="142"/>
      <c r="AC8" s="143"/>
      <c r="AD8" s="25">
        <v>10</v>
      </c>
      <c r="AE8" s="26"/>
      <c r="AF8" s="26" t="s">
        <v>119</v>
      </c>
      <c r="AG8" s="26" t="s">
        <v>85</v>
      </c>
      <c r="AH8" s="26"/>
      <c r="AI8" s="26"/>
      <c r="AJ8" s="26"/>
      <c r="AK8" s="26"/>
      <c r="AL8" s="26"/>
      <c r="AM8" s="26"/>
      <c r="AN8" s="26"/>
      <c r="AO8" s="27"/>
      <c r="AP8" s="27"/>
      <c r="AQ8" s="27"/>
      <c r="AR8" s="27"/>
      <c r="AS8" s="42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68"/>
    </row>
    <row r="9" spans="1:56" ht="15" customHeight="1" x14ac:dyDescent="0.3">
      <c r="A9" s="54">
        <f>IF(B9="","",COUNTA($B$8:B9))</f>
        <v>2</v>
      </c>
      <c r="B9" s="18" t="s">
        <v>1561</v>
      </c>
      <c r="C9" s="19"/>
      <c r="D9" s="19"/>
      <c r="E9" s="19"/>
      <c r="F9" s="19"/>
      <c r="G9" s="19"/>
      <c r="H9" s="19"/>
      <c r="I9" s="31" t="str">
        <f>VLOOKUP(B9,Sheet1!A:B,2,FALSE)</f>
        <v>seihin_full_lot_no</v>
      </c>
      <c r="J9" s="21"/>
      <c r="K9" s="21"/>
      <c r="L9" s="21"/>
      <c r="M9" s="21"/>
      <c r="N9" s="21"/>
      <c r="O9" s="21"/>
      <c r="P9" s="21"/>
      <c r="Q9" s="21"/>
      <c r="R9" s="18" t="s">
        <v>150</v>
      </c>
      <c r="S9" s="19"/>
      <c r="T9" s="19"/>
      <c r="U9" s="19"/>
      <c r="V9" s="19"/>
      <c r="W9" s="19"/>
      <c r="X9" s="19"/>
      <c r="Y9" s="139" t="s">
        <v>111</v>
      </c>
      <c r="Z9" s="140"/>
      <c r="AA9" s="141" t="s">
        <v>107</v>
      </c>
      <c r="AB9" s="142"/>
      <c r="AC9" s="143"/>
      <c r="AD9" s="25">
        <v>10</v>
      </c>
      <c r="AE9" s="26"/>
      <c r="AF9" s="26" t="s">
        <v>205</v>
      </c>
      <c r="AG9" s="26"/>
      <c r="AH9" s="26"/>
      <c r="AI9" s="26"/>
      <c r="AJ9" s="26"/>
      <c r="AK9" s="26"/>
      <c r="AL9" s="26"/>
      <c r="AM9" s="26"/>
      <c r="AN9" s="26"/>
      <c r="AO9" s="27"/>
      <c r="AP9" s="27"/>
      <c r="AQ9" s="27"/>
      <c r="AR9" s="27"/>
      <c r="AS9" s="42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68"/>
    </row>
    <row r="10" spans="1:56" ht="15" customHeight="1" x14ac:dyDescent="0.3">
      <c r="A10" s="54">
        <f>IF(B10="","",COUNTA($B$8:B10))</f>
        <v>3</v>
      </c>
      <c r="B10" s="42" t="s">
        <v>144</v>
      </c>
      <c r="C10" s="41"/>
      <c r="D10" s="41"/>
      <c r="E10" s="41"/>
      <c r="F10" s="41"/>
      <c r="G10" s="41"/>
      <c r="H10" s="41"/>
      <c r="I10" s="31" t="str">
        <f>VLOOKUP(B10,Sheet1!A:B,2,FALSE)</f>
        <v>full_pallet_no</v>
      </c>
      <c r="J10" s="32"/>
      <c r="K10" s="32"/>
      <c r="L10" s="32"/>
      <c r="M10" s="32"/>
      <c r="N10" s="32"/>
      <c r="O10" s="32"/>
      <c r="P10" s="32"/>
      <c r="Q10" s="32"/>
      <c r="R10" s="42" t="s">
        <v>209</v>
      </c>
      <c r="S10" s="19"/>
      <c r="T10" s="19"/>
      <c r="U10" s="19"/>
      <c r="V10" s="19"/>
      <c r="W10" s="19"/>
      <c r="X10" s="19"/>
      <c r="Y10" s="139" t="s">
        <v>108</v>
      </c>
      <c r="Z10" s="140"/>
      <c r="AA10" s="141" t="s">
        <v>110</v>
      </c>
      <c r="AB10" s="142"/>
      <c r="AC10" s="143"/>
      <c r="AD10" s="25">
        <v>3</v>
      </c>
      <c r="AE10" s="27"/>
      <c r="AF10" s="27">
        <v>3</v>
      </c>
      <c r="AG10" s="27" t="s">
        <v>85</v>
      </c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42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68"/>
    </row>
    <row r="11" spans="1:56" ht="15" customHeight="1" x14ac:dyDescent="0.3">
      <c r="A11" s="54">
        <f>IF(B11="","",COUNTA($B$8:B11))</f>
        <v>4</v>
      </c>
      <c r="B11" s="18" t="s">
        <v>1095</v>
      </c>
      <c r="C11" s="41"/>
      <c r="D11" s="41"/>
      <c r="E11" s="41"/>
      <c r="F11" s="41"/>
      <c r="G11" s="41"/>
      <c r="H11" s="41"/>
      <c r="I11" s="31" t="str">
        <f>VLOOKUP(B11,Sheet1!A:B,2,FALSE)</f>
        <v>insert_func_cd</v>
      </c>
      <c r="J11" s="32"/>
      <c r="K11" s="32"/>
      <c r="L11" s="32"/>
      <c r="M11" s="32"/>
      <c r="N11" s="32"/>
      <c r="O11" s="32"/>
      <c r="P11" s="32"/>
      <c r="Q11" s="32"/>
      <c r="R11" s="18" t="s">
        <v>116</v>
      </c>
      <c r="S11" s="41"/>
      <c r="T11" s="41"/>
      <c r="U11" s="41"/>
      <c r="V11" s="41"/>
      <c r="W11" s="41"/>
      <c r="X11" s="41"/>
      <c r="Y11" s="139" t="s">
        <v>111</v>
      </c>
      <c r="Z11" s="140"/>
      <c r="AA11" s="141" t="s">
        <v>107</v>
      </c>
      <c r="AB11" s="142"/>
      <c r="AC11" s="143"/>
      <c r="AD11" s="25">
        <v>10</v>
      </c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8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70"/>
    </row>
    <row r="12" spans="1:56" ht="15" customHeight="1" x14ac:dyDescent="0.3">
      <c r="A12" s="54">
        <f>IF(B12="","",COUNTA($B$8:B12))</f>
        <v>5</v>
      </c>
      <c r="B12" s="18" t="s">
        <v>112</v>
      </c>
      <c r="C12" s="41"/>
      <c r="D12" s="41"/>
      <c r="E12" s="41"/>
      <c r="F12" s="41"/>
      <c r="G12" s="41"/>
      <c r="H12" s="41"/>
      <c r="I12" s="31" t="str">
        <f>VLOOKUP(B12,Sheet1!A:B,2,FALSE)</f>
        <v>insert_user_cd</v>
      </c>
      <c r="J12" s="32"/>
      <c r="K12" s="32"/>
      <c r="L12" s="32"/>
      <c r="M12" s="32"/>
      <c r="N12" s="32"/>
      <c r="O12" s="32"/>
      <c r="P12" s="32"/>
      <c r="Q12" s="32"/>
      <c r="R12" s="18" t="s">
        <v>112</v>
      </c>
      <c r="S12" s="41"/>
      <c r="T12" s="41"/>
      <c r="U12" s="41"/>
      <c r="V12" s="41"/>
      <c r="W12" s="41"/>
      <c r="X12" s="41"/>
      <c r="Y12" s="139" t="s">
        <v>111</v>
      </c>
      <c r="Z12" s="140"/>
      <c r="AA12" s="141" t="s">
        <v>107</v>
      </c>
      <c r="AB12" s="142"/>
      <c r="AC12" s="143"/>
      <c r="AD12" s="25">
        <v>10</v>
      </c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8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70"/>
    </row>
    <row r="13" spans="1:56" ht="15" customHeight="1" x14ac:dyDescent="0.3">
      <c r="A13" s="54">
        <f>IF(B13="","",COUNTA($B$8:B13))</f>
        <v>6</v>
      </c>
      <c r="B13" s="18" t="s">
        <v>113</v>
      </c>
      <c r="C13" s="41"/>
      <c r="D13" s="41"/>
      <c r="E13" s="41"/>
      <c r="F13" s="41"/>
      <c r="G13" s="41"/>
      <c r="H13" s="41"/>
      <c r="I13" s="31" t="str">
        <f>VLOOKUP(B13,Sheet1!A:B,2,FALSE)</f>
        <v>insert_datetime</v>
      </c>
      <c r="J13" s="32"/>
      <c r="K13" s="32"/>
      <c r="L13" s="32"/>
      <c r="M13" s="32"/>
      <c r="N13" s="32"/>
      <c r="O13" s="32"/>
      <c r="P13" s="32"/>
      <c r="Q13" s="32"/>
      <c r="R13" s="18" t="s">
        <v>113</v>
      </c>
      <c r="S13" s="41"/>
      <c r="T13" s="41"/>
      <c r="U13" s="41"/>
      <c r="V13" s="41"/>
      <c r="W13" s="41"/>
      <c r="X13" s="41"/>
      <c r="Y13" s="139" t="s">
        <v>87</v>
      </c>
      <c r="Z13" s="140"/>
      <c r="AA13" s="141" t="s">
        <v>109</v>
      </c>
      <c r="AB13" s="142"/>
      <c r="AC13" s="143"/>
      <c r="AD13" s="55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8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70"/>
    </row>
    <row r="14" spans="1:56" ht="15" customHeight="1" x14ac:dyDescent="0.3">
      <c r="A14" s="54">
        <f>IF(B14="","",COUNTA($B$8:B14))</f>
        <v>7</v>
      </c>
      <c r="B14" s="18" t="s">
        <v>1094</v>
      </c>
      <c r="C14" s="41"/>
      <c r="D14" s="41"/>
      <c r="E14" s="41"/>
      <c r="F14" s="41"/>
      <c r="G14" s="41"/>
      <c r="H14" s="41"/>
      <c r="I14" s="31" t="str">
        <f>VLOOKUP(B14,Sheet1!A:B,2,FALSE)</f>
        <v>update_func_cd</v>
      </c>
      <c r="J14" s="32"/>
      <c r="K14" s="32"/>
      <c r="L14" s="32"/>
      <c r="M14" s="32"/>
      <c r="N14" s="32"/>
      <c r="O14" s="32"/>
      <c r="P14" s="32"/>
      <c r="Q14" s="32"/>
      <c r="R14" s="18" t="s">
        <v>117</v>
      </c>
      <c r="S14" s="41"/>
      <c r="T14" s="41"/>
      <c r="U14" s="41"/>
      <c r="V14" s="41"/>
      <c r="W14" s="41"/>
      <c r="X14" s="41"/>
      <c r="Y14" s="139" t="s">
        <v>111</v>
      </c>
      <c r="Z14" s="140"/>
      <c r="AA14" s="141" t="s">
        <v>107</v>
      </c>
      <c r="AB14" s="142"/>
      <c r="AC14" s="143"/>
      <c r="AD14" s="25">
        <v>10</v>
      </c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8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70"/>
    </row>
    <row r="15" spans="1:56" ht="15" customHeight="1" x14ac:dyDescent="0.3">
      <c r="A15" s="54">
        <f>IF(B15="","",COUNTA($B$8:B15))</f>
        <v>8</v>
      </c>
      <c r="B15" s="18" t="s">
        <v>114</v>
      </c>
      <c r="C15" s="19"/>
      <c r="D15" s="19"/>
      <c r="E15" s="19"/>
      <c r="F15" s="19"/>
      <c r="G15" s="19"/>
      <c r="H15" s="19"/>
      <c r="I15" s="31" t="str">
        <f>VLOOKUP(B15,Sheet1!A:B,2,FALSE)</f>
        <v>update_user_cd</v>
      </c>
      <c r="J15" s="21"/>
      <c r="K15" s="21"/>
      <c r="L15" s="21"/>
      <c r="M15" s="21"/>
      <c r="N15" s="21"/>
      <c r="O15" s="21"/>
      <c r="P15" s="21"/>
      <c r="Q15" s="21"/>
      <c r="R15" s="18" t="s">
        <v>114</v>
      </c>
      <c r="S15" s="19"/>
      <c r="T15" s="19"/>
      <c r="U15" s="19"/>
      <c r="V15" s="19"/>
      <c r="W15" s="19"/>
      <c r="X15" s="19"/>
      <c r="Y15" s="139" t="s">
        <v>111</v>
      </c>
      <c r="Z15" s="140"/>
      <c r="AA15" s="141" t="s">
        <v>107</v>
      </c>
      <c r="AB15" s="142"/>
      <c r="AC15" s="143"/>
      <c r="AD15" s="55">
        <v>10</v>
      </c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8"/>
      <c r="AP15" s="38"/>
      <c r="AQ15" s="38"/>
      <c r="AR15" s="38"/>
      <c r="AS15" s="39"/>
      <c r="AT15" s="40"/>
      <c r="AU15" s="69"/>
      <c r="AV15" s="69"/>
      <c r="AW15" s="69"/>
      <c r="AX15" s="69"/>
      <c r="AY15" s="69"/>
      <c r="AZ15" s="69"/>
      <c r="BA15" s="69"/>
      <c r="BB15" s="69"/>
      <c r="BC15" s="69"/>
      <c r="BD15" s="70"/>
    </row>
    <row r="16" spans="1:56" ht="15" customHeight="1" x14ac:dyDescent="0.3">
      <c r="A16" s="54">
        <f>IF(B16="","",COUNTA($B$8:B16))</f>
        <v>9</v>
      </c>
      <c r="B16" s="18" t="s">
        <v>115</v>
      </c>
      <c r="C16" s="19"/>
      <c r="D16" s="19"/>
      <c r="E16" s="19"/>
      <c r="F16" s="19"/>
      <c r="G16" s="19"/>
      <c r="H16" s="19"/>
      <c r="I16" s="31" t="str">
        <f>VLOOKUP(B16,Sheet1!A:B,2,FALSE)</f>
        <v>update_datetime</v>
      </c>
      <c r="J16" s="21"/>
      <c r="K16" s="21"/>
      <c r="L16" s="21"/>
      <c r="M16" s="21"/>
      <c r="N16" s="21"/>
      <c r="O16" s="21"/>
      <c r="P16" s="21"/>
      <c r="Q16" s="21"/>
      <c r="R16" s="18" t="s">
        <v>115</v>
      </c>
      <c r="S16" s="19"/>
      <c r="T16" s="19"/>
      <c r="U16" s="19"/>
      <c r="V16" s="19"/>
      <c r="W16" s="19"/>
      <c r="X16" s="19"/>
      <c r="Y16" s="139" t="s">
        <v>87</v>
      </c>
      <c r="Z16" s="140"/>
      <c r="AA16" s="141" t="s">
        <v>109</v>
      </c>
      <c r="AB16" s="142"/>
      <c r="AC16" s="143"/>
      <c r="AD16" s="55"/>
      <c r="AE16" s="37"/>
      <c r="AF16" s="37"/>
      <c r="AG16" s="37"/>
      <c r="AH16" s="37"/>
      <c r="AI16" s="37"/>
      <c r="AJ16" s="37"/>
      <c r="AK16" s="37"/>
      <c r="AL16" s="37"/>
      <c r="AM16" s="37"/>
      <c r="AN16" s="37"/>
      <c r="AO16" s="38"/>
      <c r="AP16" s="38"/>
      <c r="AQ16" s="38"/>
      <c r="AR16" s="38"/>
      <c r="AS16" s="39"/>
      <c r="AT16" s="40"/>
      <c r="AU16" s="69"/>
      <c r="AV16" s="69"/>
      <c r="AW16" s="69"/>
      <c r="AX16" s="69"/>
      <c r="AY16" s="69"/>
      <c r="AZ16" s="69"/>
      <c r="BA16" s="69"/>
      <c r="BB16" s="69"/>
      <c r="BC16" s="69"/>
      <c r="BD16" s="70"/>
    </row>
    <row r="17" spans="1:56" ht="15" customHeight="1" x14ac:dyDescent="0.3">
      <c r="A17" s="54" t="str">
        <f>IF(B17="","",COUNTA($B$8:B17))</f>
        <v/>
      </c>
      <c r="B17" s="42"/>
      <c r="C17" s="41"/>
      <c r="D17" s="41"/>
      <c r="E17" s="41"/>
      <c r="F17" s="41"/>
      <c r="G17" s="41"/>
      <c r="H17" s="41"/>
      <c r="I17" s="42"/>
      <c r="J17" s="32"/>
      <c r="K17" s="32"/>
      <c r="L17" s="32"/>
      <c r="M17" s="32"/>
      <c r="N17" s="32"/>
      <c r="O17" s="32"/>
      <c r="P17" s="32"/>
      <c r="Q17" s="32"/>
      <c r="R17" s="42"/>
      <c r="S17" s="41"/>
      <c r="T17" s="41"/>
      <c r="U17" s="41"/>
      <c r="V17" s="41"/>
      <c r="W17" s="41"/>
      <c r="X17" s="41"/>
      <c r="Y17" s="139"/>
      <c r="Z17" s="140"/>
      <c r="AA17" s="141"/>
      <c r="AB17" s="142"/>
      <c r="AC17" s="143"/>
      <c r="AD17" s="72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42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68"/>
    </row>
    <row r="18" spans="1:56" ht="15" customHeight="1" x14ac:dyDescent="0.3">
      <c r="A18" s="54" t="str">
        <f>IF(B18="","",COUNTA($B$8:B18))</f>
        <v/>
      </c>
      <c r="B18" s="42"/>
      <c r="C18" s="41"/>
      <c r="D18" s="41"/>
      <c r="E18" s="41"/>
      <c r="F18" s="41"/>
      <c r="G18" s="41"/>
      <c r="H18" s="41"/>
      <c r="I18" s="42"/>
      <c r="J18" s="32"/>
      <c r="K18" s="32"/>
      <c r="L18" s="32"/>
      <c r="M18" s="32"/>
      <c r="N18" s="32"/>
      <c r="O18" s="32"/>
      <c r="P18" s="32"/>
      <c r="Q18" s="32"/>
      <c r="R18" s="42"/>
      <c r="S18" s="41"/>
      <c r="T18" s="41"/>
      <c r="U18" s="41"/>
      <c r="V18" s="41"/>
      <c r="W18" s="41"/>
      <c r="X18" s="41"/>
      <c r="Y18" s="139"/>
      <c r="Z18" s="140"/>
      <c r="AA18" s="141"/>
      <c r="AB18" s="142"/>
      <c r="AC18" s="143"/>
      <c r="AD18" s="72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42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68"/>
    </row>
    <row r="19" spans="1:56" ht="15" customHeight="1" x14ac:dyDescent="0.3">
      <c r="A19" s="54" t="str">
        <f>IF(B19="","",COUNTA($B$8:B19))</f>
        <v/>
      </c>
      <c r="B19" s="42"/>
      <c r="C19" s="41"/>
      <c r="D19" s="41"/>
      <c r="E19" s="41"/>
      <c r="F19" s="41"/>
      <c r="G19" s="41"/>
      <c r="H19" s="41"/>
      <c r="I19" s="42"/>
      <c r="J19" s="32"/>
      <c r="K19" s="32"/>
      <c r="L19" s="32"/>
      <c r="M19" s="32"/>
      <c r="N19" s="32"/>
      <c r="O19" s="32"/>
      <c r="P19" s="32"/>
      <c r="Q19" s="32"/>
      <c r="R19" s="42"/>
      <c r="S19" s="41"/>
      <c r="T19" s="41"/>
      <c r="U19" s="41"/>
      <c r="V19" s="41"/>
      <c r="W19" s="41"/>
      <c r="X19" s="41"/>
      <c r="Y19" s="139"/>
      <c r="Z19" s="140"/>
      <c r="AA19" s="141"/>
      <c r="AB19" s="142"/>
      <c r="AC19" s="143"/>
      <c r="AD19" s="72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42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68"/>
    </row>
    <row r="20" spans="1:56" ht="15" customHeight="1" x14ac:dyDescent="0.3">
      <c r="A20" s="54" t="str">
        <f>IF(B20="","",COUNTA($B$8:B20))</f>
        <v/>
      </c>
      <c r="B20" s="42"/>
      <c r="C20" s="41"/>
      <c r="D20" s="41"/>
      <c r="E20" s="41"/>
      <c r="F20" s="41"/>
      <c r="G20" s="41"/>
      <c r="H20" s="41"/>
      <c r="I20" s="42"/>
      <c r="J20" s="32"/>
      <c r="K20" s="32"/>
      <c r="L20" s="32"/>
      <c r="M20" s="32"/>
      <c r="N20" s="32"/>
      <c r="O20" s="32"/>
      <c r="P20" s="32"/>
      <c r="Q20" s="32"/>
      <c r="R20" s="42"/>
      <c r="S20" s="41"/>
      <c r="T20" s="41"/>
      <c r="U20" s="41"/>
      <c r="V20" s="41"/>
      <c r="W20" s="41"/>
      <c r="X20" s="41"/>
      <c r="Y20" s="139"/>
      <c r="Z20" s="140"/>
      <c r="AA20" s="141"/>
      <c r="AB20" s="142"/>
      <c r="AC20" s="143"/>
      <c r="AD20" s="72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42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68"/>
    </row>
    <row r="21" spans="1:56" ht="15" customHeight="1" x14ac:dyDescent="0.3">
      <c r="A21" s="54" t="str">
        <f>IF(B21="","",COUNTA($B$8:B21))</f>
        <v/>
      </c>
      <c r="B21" s="42"/>
      <c r="C21" s="41"/>
      <c r="D21" s="41"/>
      <c r="E21" s="41"/>
      <c r="F21" s="41"/>
      <c r="G21" s="41"/>
      <c r="H21" s="41"/>
      <c r="I21" s="42"/>
      <c r="J21" s="32"/>
      <c r="K21" s="32"/>
      <c r="L21" s="32"/>
      <c r="M21" s="32"/>
      <c r="N21" s="32"/>
      <c r="O21" s="32"/>
      <c r="P21" s="32"/>
      <c r="Q21" s="32"/>
      <c r="R21" s="42"/>
      <c r="S21" s="41"/>
      <c r="T21" s="41"/>
      <c r="U21" s="41"/>
      <c r="V21" s="41"/>
      <c r="W21" s="41"/>
      <c r="X21" s="41"/>
      <c r="Y21" s="139"/>
      <c r="Z21" s="140"/>
      <c r="AA21" s="141"/>
      <c r="AB21" s="142"/>
      <c r="AC21" s="143"/>
      <c r="AD21" s="72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42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68"/>
    </row>
    <row r="22" spans="1:56" ht="15" customHeight="1" x14ac:dyDescent="0.3">
      <c r="A22" s="54" t="str">
        <f>IF(B22="","",COUNTA($B$8:B22))</f>
        <v/>
      </c>
      <c r="B22" s="42"/>
      <c r="C22" s="41"/>
      <c r="D22" s="41"/>
      <c r="E22" s="41"/>
      <c r="F22" s="41"/>
      <c r="G22" s="41"/>
      <c r="H22" s="41"/>
      <c r="I22" s="42"/>
      <c r="J22" s="32"/>
      <c r="K22" s="32"/>
      <c r="L22" s="32"/>
      <c r="M22" s="32"/>
      <c r="N22" s="32"/>
      <c r="O22" s="32"/>
      <c r="P22" s="32"/>
      <c r="Q22" s="32"/>
      <c r="R22" s="42"/>
      <c r="S22" s="41"/>
      <c r="T22" s="41"/>
      <c r="U22" s="41"/>
      <c r="V22" s="41"/>
      <c r="W22" s="41"/>
      <c r="X22" s="41"/>
      <c r="Y22" s="139"/>
      <c r="Z22" s="140"/>
      <c r="AA22" s="141"/>
      <c r="AB22" s="142"/>
      <c r="AC22" s="143"/>
      <c r="AD22" s="72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42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68"/>
    </row>
    <row r="23" spans="1:56" ht="15" customHeight="1" x14ac:dyDescent="0.3">
      <c r="A23" s="54" t="str">
        <f>IF(B23="","",COUNTA($B$8:B23))</f>
        <v/>
      </c>
      <c r="B23" s="42"/>
      <c r="C23" s="41"/>
      <c r="D23" s="41"/>
      <c r="E23" s="41"/>
      <c r="F23" s="41"/>
      <c r="G23" s="41"/>
      <c r="H23" s="41"/>
      <c r="I23" s="42"/>
      <c r="J23" s="32"/>
      <c r="K23" s="32"/>
      <c r="L23" s="32"/>
      <c r="M23" s="32"/>
      <c r="N23" s="32"/>
      <c r="O23" s="32"/>
      <c r="P23" s="32"/>
      <c r="Q23" s="32"/>
      <c r="R23" s="42"/>
      <c r="S23" s="41"/>
      <c r="T23" s="41"/>
      <c r="U23" s="41"/>
      <c r="V23" s="41"/>
      <c r="W23" s="41"/>
      <c r="X23" s="41"/>
      <c r="Y23" s="139"/>
      <c r="Z23" s="140"/>
      <c r="AA23" s="141"/>
      <c r="AB23" s="142"/>
      <c r="AC23" s="143"/>
      <c r="AD23" s="72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42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68"/>
    </row>
    <row r="24" spans="1:56" ht="15" customHeight="1" x14ac:dyDescent="0.3">
      <c r="A24" s="54" t="str">
        <f>IF(B24="","",COUNTA($B$8:B24))</f>
        <v/>
      </c>
      <c r="B24" s="42"/>
      <c r="C24" s="41"/>
      <c r="D24" s="41"/>
      <c r="E24" s="41"/>
      <c r="F24" s="41"/>
      <c r="G24" s="41"/>
      <c r="H24" s="41"/>
      <c r="I24" s="42"/>
      <c r="J24" s="32"/>
      <c r="K24" s="32"/>
      <c r="L24" s="32"/>
      <c r="M24" s="32"/>
      <c r="N24" s="32"/>
      <c r="O24" s="32"/>
      <c r="P24" s="32"/>
      <c r="Q24" s="32"/>
      <c r="R24" s="42"/>
      <c r="S24" s="41"/>
      <c r="T24" s="41"/>
      <c r="U24" s="41"/>
      <c r="V24" s="41"/>
      <c r="W24" s="41"/>
      <c r="X24" s="41"/>
      <c r="Y24" s="139"/>
      <c r="Z24" s="140"/>
      <c r="AA24" s="141"/>
      <c r="AB24" s="142"/>
      <c r="AC24" s="143"/>
      <c r="AD24" s="72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42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68"/>
    </row>
    <row r="25" spans="1:56" ht="15" customHeight="1" x14ac:dyDescent="0.3">
      <c r="A25" s="54" t="str">
        <f>IF(B25="","",COUNTA($B$8:B25))</f>
        <v/>
      </c>
      <c r="B25" s="42"/>
      <c r="C25" s="41"/>
      <c r="D25" s="41"/>
      <c r="E25" s="41"/>
      <c r="F25" s="41"/>
      <c r="G25" s="41"/>
      <c r="H25" s="41"/>
      <c r="I25" s="42"/>
      <c r="J25" s="32"/>
      <c r="K25" s="32"/>
      <c r="L25" s="32"/>
      <c r="M25" s="32"/>
      <c r="N25" s="32"/>
      <c r="O25" s="32"/>
      <c r="P25" s="32"/>
      <c r="Q25" s="32"/>
      <c r="R25" s="42"/>
      <c r="S25" s="41"/>
      <c r="T25" s="41"/>
      <c r="U25" s="41"/>
      <c r="V25" s="41"/>
      <c r="W25" s="41"/>
      <c r="X25" s="41"/>
      <c r="Y25" s="139"/>
      <c r="Z25" s="140"/>
      <c r="AA25" s="141"/>
      <c r="AB25" s="142"/>
      <c r="AC25" s="143"/>
      <c r="AD25" s="72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42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68"/>
    </row>
    <row r="26" spans="1:56" ht="15" customHeight="1" x14ac:dyDescent="0.3">
      <c r="A26" s="54" t="str">
        <f>IF(B26="","",COUNTA($B$8:B26))</f>
        <v/>
      </c>
      <c r="B26" s="42"/>
      <c r="C26" s="41"/>
      <c r="D26" s="41"/>
      <c r="E26" s="41"/>
      <c r="F26" s="41"/>
      <c r="G26" s="41"/>
      <c r="H26" s="41"/>
      <c r="I26" s="42"/>
      <c r="J26" s="32"/>
      <c r="K26" s="32"/>
      <c r="L26" s="32"/>
      <c r="M26" s="32"/>
      <c r="N26" s="32"/>
      <c r="O26" s="32"/>
      <c r="P26" s="32"/>
      <c r="Q26" s="32"/>
      <c r="R26" s="42"/>
      <c r="S26" s="41"/>
      <c r="T26" s="41"/>
      <c r="U26" s="41"/>
      <c r="V26" s="41"/>
      <c r="W26" s="41"/>
      <c r="X26" s="41"/>
      <c r="Y26" s="139"/>
      <c r="Z26" s="140"/>
      <c r="AA26" s="141"/>
      <c r="AB26" s="142"/>
      <c r="AC26" s="143"/>
      <c r="AD26" s="72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42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68"/>
    </row>
    <row r="27" spans="1:56" ht="15" customHeight="1" x14ac:dyDescent="0.3">
      <c r="A27" s="54" t="str">
        <f>IF(B27="","",COUNTA($B$8:B27))</f>
        <v/>
      </c>
      <c r="B27" s="42"/>
      <c r="C27" s="41"/>
      <c r="D27" s="41"/>
      <c r="E27" s="41"/>
      <c r="F27" s="41"/>
      <c r="G27" s="41"/>
      <c r="H27" s="41"/>
      <c r="I27" s="42"/>
      <c r="J27" s="32"/>
      <c r="K27" s="32"/>
      <c r="L27" s="32"/>
      <c r="M27" s="32"/>
      <c r="N27" s="32"/>
      <c r="O27" s="32"/>
      <c r="P27" s="32"/>
      <c r="Q27" s="32"/>
      <c r="R27" s="42"/>
      <c r="S27" s="41"/>
      <c r="T27" s="41"/>
      <c r="U27" s="41"/>
      <c r="V27" s="41"/>
      <c r="W27" s="41"/>
      <c r="X27" s="41"/>
      <c r="Y27" s="139"/>
      <c r="Z27" s="140"/>
      <c r="AA27" s="141"/>
      <c r="AB27" s="142"/>
      <c r="AC27" s="143"/>
      <c r="AD27" s="72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42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68"/>
    </row>
    <row r="28" spans="1:56" ht="15" customHeight="1" x14ac:dyDescent="0.3">
      <c r="A28" s="54" t="str">
        <f>IF(B28="","",COUNTA($B$8:B28))</f>
        <v/>
      </c>
      <c r="B28" s="42"/>
      <c r="C28" s="41"/>
      <c r="D28" s="41"/>
      <c r="E28" s="41"/>
      <c r="F28" s="41"/>
      <c r="G28" s="41"/>
      <c r="H28" s="41"/>
      <c r="I28" s="42"/>
      <c r="J28" s="32"/>
      <c r="K28" s="32"/>
      <c r="L28" s="32"/>
      <c r="M28" s="32"/>
      <c r="N28" s="32"/>
      <c r="O28" s="32"/>
      <c r="P28" s="32"/>
      <c r="Q28" s="32"/>
      <c r="R28" s="42"/>
      <c r="S28" s="41"/>
      <c r="T28" s="41"/>
      <c r="U28" s="41"/>
      <c r="V28" s="41"/>
      <c r="W28" s="41"/>
      <c r="X28" s="41"/>
      <c r="Y28" s="139"/>
      <c r="Z28" s="140"/>
      <c r="AA28" s="141"/>
      <c r="AB28" s="142"/>
      <c r="AC28" s="143"/>
      <c r="AD28" s="72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42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68"/>
    </row>
    <row r="29" spans="1:56" ht="15" customHeight="1" x14ac:dyDescent="0.3">
      <c r="A29" s="54" t="str">
        <f>IF(B29="","",COUNTA($B$8:B29))</f>
        <v/>
      </c>
      <c r="B29" s="42"/>
      <c r="C29" s="41"/>
      <c r="D29" s="41"/>
      <c r="E29" s="41"/>
      <c r="F29" s="41"/>
      <c r="G29" s="41"/>
      <c r="H29" s="41"/>
      <c r="I29" s="42"/>
      <c r="J29" s="32"/>
      <c r="K29" s="32"/>
      <c r="L29" s="32"/>
      <c r="M29" s="32"/>
      <c r="N29" s="32"/>
      <c r="O29" s="32"/>
      <c r="P29" s="32"/>
      <c r="Q29" s="32"/>
      <c r="R29" s="42"/>
      <c r="S29" s="41"/>
      <c r="T29" s="41"/>
      <c r="U29" s="41"/>
      <c r="V29" s="41"/>
      <c r="W29" s="41"/>
      <c r="X29" s="41"/>
      <c r="Y29" s="139"/>
      <c r="Z29" s="140"/>
      <c r="AA29" s="141"/>
      <c r="AB29" s="142"/>
      <c r="AC29" s="143"/>
      <c r="AD29" s="72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42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68"/>
    </row>
    <row r="30" spans="1:56" ht="15" customHeight="1" x14ac:dyDescent="0.3">
      <c r="A30" s="54" t="str">
        <f>IF(B30="","",COUNTA($B$8:B30))</f>
        <v/>
      </c>
      <c r="B30" s="42"/>
      <c r="C30" s="41"/>
      <c r="D30" s="41"/>
      <c r="E30" s="41"/>
      <c r="F30" s="41"/>
      <c r="G30" s="41"/>
      <c r="H30" s="41"/>
      <c r="I30" s="42"/>
      <c r="J30" s="32"/>
      <c r="K30" s="32"/>
      <c r="L30" s="32"/>
      <c r="M30" s="32"/>
      <c r="N30" s="32"/>
      <c r="O30" s="32"/>
      <c r="P30" s="32"/>
      <c r="Q30" s="32"/>
      <c r="R30" s="42"/>
      <c r="S30" s="41"/>
      <c r="T30" s="41"/>
      <c r="U30" s="41"/>
      <c r="V30" s="41"/>
      <c r="W30" s="41"/>
      <c r="X30" s="41"/>
      <c r="Y30" s="139"/>
      <c r="Z30" s="140"/>
      <c r="AA30" s="141"/>
      <c r="AB30" s="142"/>
      <c r="AC30" s="143"/>
      <c r="AD30" s="72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42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68"/>
    </row>
    <row r="31" spans="1:56" ht="15" customHeight="1" x14ac:dyDescent="0.3">
      <c r="A31" s="54" t="str">
        <f>IF(B31="","",COUNTA($B$8:B31))</f>
        <v/>
      </c>
      <c r="B31" s="42"/>
      <c r="C31" s="41"/>
      <c r="D31" s="41"/>
      <c r="E31" s="41"/>
      <c r="F31" s="41"/>
      <c r="G31" s="41"/>
      <c r="H31" s="41"/>
      <c r="I31" s="42"/>
      <c r="J31" s="32"/>
      <c r="K31" s="32"/>
      <c r="L31" s="32"/>
      <c r="M31" s="32"/>
      <c r="N31" s="32"/>
      <c r="O31" s="32"/>
      <c r="P31" s="32"/>
      <c r="Q31" s="32"/>
      <c r="R31" s="42"/>
      <c r="S31" s="41"/>
      <c r="T31" s="41"/>
      <c r="U31" s="41"/>
      <c r="V31" s="41"/>
      <c r="W31" s="41"/>
      <c r="X31" s="41"/>
      <c r="Y31" s="139"/>
      <c r="Z31" s="140"/>
      <c r="AA31" s="141"/>
      <c r="AB31" s="142"/>
      <c r="AC31" s="143"/>
      <c r="AD31" s="72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42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68"/>
    </row>
    <row r="32" spans="1:56" ht="15" customHeight="1" x14ac:dyDescent="0.3">
      <c r="A32" s="54" t="str">
        <f>IF(B32="","",COUNTA($B$8:B32))</f>
        <v/>
      </c>
      <c r="B32" s="42"/>
      <c r="C32" s="41"/>
      <c r="D32" s="41"/>
      <c r="E32" s="41"/>
      <c r="F32" s="41"/>
      <c r="G32" s="41"/>
      <c r="H32" s="41"/>
      <c r="I32" s="42"/>
      <c r="J32" s="32"/>
      <c r="K32" s="32"/>
      <c r="L32" s="32"/>
      <c r="M32" s="32"/>
      <c r="N32" s="32"/>
      <c r="O32" s="32"/>
      <c r="P32" s="32"/>
      <c r="Q32" s="32"/>
      <c r="R32" s="42"/>
      <c r="S32" s="41"/>
      <c r="T32" s="41"/>
      <c r="U32" s="41"/>
      <c r="V32" s="41"/>
      <c r="W32" s="41"/>
      <c r="X32" s="41"/>
      <c r="Y32" s="139"/>
      <c r="Z32" s="140"/>
      <c r="AA32" s="141"/>
      <c r="AB32" s="142"/>
      <c r="AC32" s="143"/>
      <c r="AD32" s="72"/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42"/>
      <c r="AT32" s="43"/>
      <c r="AU32" s="43"/>
      <c r="AV32" s="43"/>
      <c r="AW32" s="43"/>
      <c r="AX32" s="43"/>
      <c r="AY32" s="43"/>
      <c r="AZ32" s="43"/>
      <c r="BA32" s="43"/>
      <c r="BB32" s="43"/>
      <c r="BC32" s="43"/>
      <c r="BD32" s="68"/>
    </row>
    <row r="33" spans="1:56" ht="15" customHeight="1" x14ac:dyDescent="0.3">
      <c r="A33" s="54" t="str">
        <f>IF(B33="","",COUNTA($B$8:B33))</f>
        <v/>
      </c>
      <c r="B33" s="42"/>
      <c r="C33" s="41"/>
      <c r="D33" s="41"/>
      <c r="E33" s="41"/>
      <c r="F33" s="41"/>
      <c r="G33" s="41"/>
      <c r="H33" s="41"/>
      <c r="I33" s="42"/>
      <c r="J33" s="32"/>
      <c r="K33" s="32"/>
      <c r="L33" s="32"/>
      <c r="M33" s="32"/>
      <c r="N33" s="32"/>
      <c r="O33" s="32"/>
      <c r="P33" s="32"/>
      <c r="Q33" s="32"/>
      <c r="R33" s="42"/>
      <c r="S33" s="41"/>
      <c r="T33" s="41"/>
      <c r="U33" s="41"/>
      <c r="V33" s="41"/>
      <c r="W33" s="41"/>
      <c r="X33" s="41"/>
      <c r="Y33" s="139"/>
      <c r="Z33" s="140"/>
      <c r="AA33" s="141"/>
      <c r="AB33" s="142"/>
      <c r="AC33" s="143"/>
      <c r="AD33" s="72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42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68"/>
    </row>
    <row r="34" spans="1:56" ht="15" customHeight="1" x14ac:dyDescent="0.3">
      <c r="A34" s="54" t="str">
        <f>IF(B34="","",COUNTA($B$8:B34))</f>
        <v/>
      </c>
      <c r="B34" s="42"/>
      <c r="C34" s="41"/>
      <c r="D34" s="41"/>
      <c r="E34" s="41"/>
      <c r="F34" s="41"/>
      <c r="G34" s="41"/>
      <c r="H34" s="41"/>
      <c r="I34" s="42"/>
      <c r="J34" s="32"/>
      <c r="K34" s="32"/>
      <c r="L34" s="32"/>
      <c r="M34" s="32"/>
      <c r="N34" s="32"/>
      <c r="O34" s="32"/>
      <c r="P34" s="32"/>
      <c r="Q34" s="32"/>
      <c r="R34" s="42"/>
      <c r="S34" s="41"/>
      <c r="T34" s="41"/>
      <c r="U34" s="41"/>
      <c r="V34" s="41"/>
      <c r="W34" s="41"/>
      <c r="X34" s="41"/>
      <c r="Y34" s="139"/>
      <c r="Z34" s="140"/>
      <c r="AA34" s="141"/>
      <c r="AB34" s="142"/>
      <c r="AC34" s="143"/>
      <c r="AD34" s="72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42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68"/>
    </row>
    <row r="35" spans="1:56" ht="15" customHeight="1" x14ac:dyDescent="0.3">
      <c r="A35" s="54" t="str">
        <f>IF(B35="","",COUNTA($B$8:B35))</f>
        <v/>
      </c>
      <c r="B35" s="42"/>
      <c r="C35" s="41"/>
      <c r="D35" s="41"/>
      <c r="E35" s="41"/>
      <c r="F35" s="41"/>
      <c r="G35" s="41"/>
      <c r="H35" s="41"/>
      <c r="I35" s="42"/>
      <c r="J35" s="32"/>
      <c r="K35" s="32"/>
      <c r="L35" s="32"/>
      <c r="M35" s="32"/>
      <c r="N35" s="32"/>
      <c r="O35" s="32"/>
      <c r="P35" s="32"/>
      <c r="Q35" s="32"/>
      <c r="R35" s="42"/>
      <c r="S35" s="41"/>
      <c r="T35" s="41"/>
      <c r="U35" s="41"/>
      <c r="V35" s="41"/>
      <c r="W35" s="41"/>
      <c r="X35" s="41"/>
      <c r="Y35" s="139"/>
      <c r="Z35" s="140"/>
      <c r="AA35" s="141"/>
      <c r="AB35" s="142"/>
      <c r="AC35" s="143"/>
      <c r="AD35" s="72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42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68"/>
    </row>
    <row r="36" spans="1:56" ht="15" customHeight="1" x14ac:dyDescent="0.3">
      <c r="A36" s="54" t="str">
        <f>IF(B36="","",COUNTA($B$8:B36))</f>
        <v/>
      </c>
      <c r="B36" s="42"/>
      <c r="C36" s="41"/>
      <c r="D36" s="41"/>
      <c r="E36" s="41"/>
      <c r="F36" s="41"/>
      <c r="G36" s="41"/>
      <c r="H36" s="41"/>
      <c r="I36" s="42"/>
      <c r="J36" s="32"/>
      <c r="K36" s="32"/>
      <c r="L36" s="32"/>
      <c r="M36" s="32"/>
      <c r="N36" s="32"/>
      <c r="O36" s="32"/>
      <c r="P36" s="32"/>
      <c r="Q36" s="32"/>
      <c r="R36" s="42"/>
      <c r="S36" s="41"/>
      <c r="T36" s="41"/>
      <c r="U36" s="41"/>
      <c r="V36" s="41"/>
      <c r="W36" s="41"/>
      <c r="X36" s="41"/>
      <c r="Y36" s="139"/>
      <c r="Z36" s="140"/>
      <c r="AA36" s="141"/>
      <c r="AB36" s="142"/>
      <c r="AC36" s="143"/>
      <c r="AD36" s="72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42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68"/>
    </row>
    <row r="37" spans="1:56" ht="15" customHeight="1" x14ac:dyDescent="0.3">
      <c r="A37" s="54" t="str">
        <f>IF(B37="","",COUNTA($B$8:B37))</f>
        <v/>
      </c>
      <c r="B37" s="42"/>
      <c r="C37" s="41"/>
      <c r="D37" s="41"/>
      <c r="E37" s="41"/>
      <c r="F37" s="41"/>
      <c r="G37" s="41"/>
      <c r="H37" s="41"/>
      <c r="I37" s="42"/>
      <c r="J37" s="32"/>
      <c r="K37" s="32"/>
      <c r="L37" s="32"/>
      <c r="M37" s="32"/>
      <c r="N37" s="32"/>
      <c r="O37" s="32"/>
      <c r="P37" s="32"/>
      <c r="Q37" s="32"/>
      <c r="R37" s="42"/>
      <c r="S37" s="41"/>
      <c r="T37" s="41"/>
      <c r="U37" s="41"/>
      <c r="V37" s="41"/>
      <c r="W37" s="41"/>
      <c r="X37" s="41"/>
      <c r="Y37" s="139"/>
      <c r="Z37" s="140"/>
      <c r="AA37" s="141"/>
      <c r="AB37" s="142"/>
      <c r="AC37" s="143"/>
      <c r="AD37" s="72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42"/>
      <c r="AT37" s="43"/>
      <c r="AU37" s="43"/>
      <c r="AV37" s="43"/>
      <c r="AW37" s="43"/>
      <c r="AX37" s="43"/>
      <c r="AY37" s="43"/>
      <c r="AZ37" s="43"/>
      <c r="BA37" s="43"/>
      <c r="BB37" s="43"/>
      <c r="BC37" s="43"/>
      <c r="BD37" s="68"/>
    </row>
    <row r="38" spans="1:56" ht="15" customHeight="1" x14ac:dyDescent="0.3">
      <c r="A38" s="54" t="str">
        <f>IF(B38="","",COUNTA($B$8:B38))</f>
        <v/>
      </c>
      <c r="B38" s="42"/>
      <c r="C38" s="41"/>
      <c r="D38" s="41"/>
      <c r="E38" s="41"/>
      <c r="F38" s="41"/>
      <c r="G38" s="41"/>
      <c r="H38" s="41"/>
      <c r="I38" s="42"/>
      <c r="J38" s="32"/>
      <c r="K38" s="32"/>
      <c r="L38" s="32"/>
      <c r="M38" s="32"/>
      <c r="N38" s="32"/>
      <c r="O38" s="32"/>
      <c r="P38" s="32"/>
      <c r="Q38" s="32"/>
      <c r="R38" s="42"/>
      <c r="S38" s="41"/>
      <c r="T38" s="41"/>
      <c r="U38" s="41"/>
      <c r="V38" s="41"/>
      <c r="W38" s="41"/>
      <c r="X38" s="41"/>
      <c r="Y38" s="139"/>
      <c r="Z38" s="140"/>
      <c r="AA38" s="141"/>
      <c r="AB38" s="142"/>
      <c r="AC38" s="143"/>
      <c r="AD38" s="72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42"/>
      <c r="AT38" s="43"/>
      <c r="AU38" s="43"/>
      <c r="AV38" s="43"/>
      <c r="AW38" s="43"/>
      <c r="AX38" s="43"/>
      <c r="AY38" s="43"/>
      <c r="AZ38" s="43"/>
      <c r="BA38" s="43"/>
      <c r="BB38" s="43"/>
      <c r="BC38" s="43"/>
      <c r="BD38" s="68"/>
    </row>
    <row r="39" spans="1:56" ht="15" customHeight="1" x14ac:dyDescent="0.3">
      <c r="A39" s="54" t="str">
        <f>IF(B39="","",COUNTA($B$8:B39))</f>
        <v/>
      </c>
      <c r="B39" s="28"/>
      <c r="C39" s="41"/>
      <c r="D39" s="41"/>
      <c r="E39" s="41"/>
      <c r="F39" s="41"/>
      <c r="G39" s="41"/>
      <c r="H39" s="41"/>
      <c r="I39" s="20"/>
      <c r="J39" s="32"/>
      <c r="K39" s="32"/>
      <c r="L39" s="32"/>
      <c r="M39" s="32"/>
      <c r="N39" s="32"/>
      <c r="O39" s="32"/>
      <c r="P39" s="32"/>
      <c r="Q39" s="32"/>
      <c r="R39" s="28"/>
      <c r="S39" s="41"/>
      <c r="T39" s="41"/>
      <c r="U39" s="41"/>
      <c r="V39" s="41"/>
      <c r="W39" s="41"/>
      <c r="X39" s="41"/>
      <c r="Y39" s="139"/>
      <c r="Z39" s="140"/>
      <c r="AA39" s="141"/>
      <c r="AB39" s="142"/>
      <c r="AC39" s="143"/>
      <c r="AD39" s="55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8"/>
      <c r="AT39" s="69"/>
      <c r="AU39" s="69"/>
      <c r="AV39" s="69"/>
      <c r="AW39" s="69"/>
      <c r="AX39" s="69"/>
      <c r="AY39" s="69"/>
      <c r="AZ39" s="69"/>
      <c r="BA39" s="69"/>
      <c r="BB39" s="69"/>
      <c r="BC39" s="69"/>
      <c r="BD39" s="70"/>
    </row>
  </sheetData>
  <mergeCells count="96">
    <mergeCell ref="Y29:Z29"/>
    <mergeCell ref="AA29:AC29"/>
    <mergeCell ref="Y30:Z30"/>
    <mergeCell ref="AA30:AC30"/>
    <mergeCell ref="Y31:Z31"/>
    <mergeCell ref="AA31:AC31"/>
    <mergeCell ref="Y32:Z32"/>
    <mergeCell ref="AA32:AC32"/>
    <mergeCell ref="Y33:Z33"/>
    <mergeCell ref="AA33:AC33"/>
    <mergeCell ref="Y34:Z34"/>
    <mergeCell ref="AA34:AC34"/>
    <mergeCell ref="Y38:Z38"/>
    <mergeCell ref="AA38:AC38"/>
    <mergeCell ref="Y39:Z39"/>
    <mergeCell ref="AA39:AC39"/>
    <mergeCell ref="Y35:Z35"/>
    <mergeCell ref="AA35:AC35"/>
    <mergeCell ref="Y36:Z36"/>
    <mergeCell ref="AA36:AC36"/>
    <mergeCell ref="Y37:Z37"/>
    <mergeCell ref="AA37:AC37"/>
    <mergeCell ref="Y23:Z23"/>
    <mergeCell ref="AA23:AC23"/>
    <mergeCell ref="Y24:Z24"/>
    <mergeCell ref="AA24:AC24"/>
    <mergeCell ref="Y25:Z25"/>
    <mergeCell ref="AA25:AC25"/>
    <mergeCell ref="Y26:Z26"/>
    <mergeCell ref="AA26:AC26"/>
    <mergeCell ref="Y27:Z27"/>
    <mergeCell ref="AA27:AC27"/>
    <mergeCell ref="Y28:Z28"/>
    <mergeCell ref="AA28:AC28"/>
    <mergeCell ref="Y17:Z17"/>
    <mergeCell ref="AA17:AC17"/>
    <mergeCell ref="Y18:Z18"/>
    <mergeCell ref="AA18:AC18"/>
    <mergeCell ref="Y19:Z19"/>
    <mergeCell ref="AA19:AC19"/>
    <mergeCell ref="Y20:Z20"/>
    <mergeCell ref="AA20:AC20"/>
    <mergeCell ref="Y21:Z21"/>
    <mergeCell ref="AA21:AC21"/>
    <mergeCell ref="Y22:Z22"/>
    <mergeCell ref="AA22:AC22"/>
    <mergeCell ref="Y15:Z15"/>
    <mergeCell ref="AA15:AC15"/>
    <mergeCell ref="Y16:Z16"/>
    <mergeCell ref="AA16:AC16"/>
    <mergeCell ref="Y11:Z11"/>
    <mergeCell ref="AA11:AC11"/>
    <mergeCell ref="Y12:Z12"/>
    <mergeCell ref="AA12:AC12"/>
    <mergeCell ref="Y13:Z13"/>
    <mergeCell ref="AA13:AC13"/>
    <mergeCell ref="Y9:Z9"/>
    <mergeCell ref="AA9:AC9"/>
    <mergeCell ref="Y10:Z10"/>
    <mergeCell ref="AA10:AC10"/>
    <mergeCell ref="Y14:Z14"/>
    <mergeCell ref="AA14:AC14"/>
    <mergeCell ref="A1:H4"/>
    <mergeCell ref="AZ1:BD1"/>
    <mergeCell ref="I2:Q4"/>
    <mergeCell ref="R2:X4"/>
    <mergeCell ref="Y2:AO3"/>
    <mergeCell ref="AP2:AT2"/>
    <mergeCell ref="AZ2:BD2"/>
    <mergeCell ref="AP3:AT3"/>
    <mergeCell ref="A6:A7"/>
    <mergeCell ref="B6:H7"/>
    <mergeCell ref="I6:Q7"/>
    <mergeCell ref="R6:X7"/>
    <mergeCell ref="Y6:Z7"/>
    <mergeCell ref="AG6:AG7"/>
    <mergeCell ref="AH6:AH7"/>
    <mergeCell ref="AI6:AR6"/>
    <mergeCell ref="AS6:BD7"/>
    <mergeCell ref="Y8:Z8"/>
    <mergeCell ref="AA8:AC8"/>
    <mergeCell ref="AA6:AC7"/>
    <mergeCell ref="AD6:AD7"/>
    <mergeCell ref="AE6:AE7"/>
    <mergeCell ref="AF6:AF7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Z4:BD4"/>
  </mergeCells>
  <phoneticPr fontId="4"/>
  <dataValidations count="3">
    <dataValidation type="list" allowBlank="1" showInputMessage="1" showErrorMessage="1" sqref="AA11:AA39 AA8:AA10" xr:uid="{00000000-0002-0000-0600-000000000000}">
      <formula1>"datetime,int,numeric,varchar,nvarchar"</formula1>
    </dataValidation>
    <dataValidation imeMode="hiragana" allowBlank="1" showInputMessage="1" showErrorMessage="1" sqref="JG65514:JR65516 TC65514:TN65516 ACY65514:ADJ65516 AMU65514:ANF65516 AWQ65514:AXB65516 BGM65514:BGX65516 BQI65514:BQT65516 CAE65514:CAP65516 CKA65514:CKL65516 CTW65514:CUH65516 DDS65514:DED65516 DNO65514:DNZ65516 DXK65514:DXV65516 EHG65514:EHR65516 ERC65514:ERN65516 FAY65514:FBJ65516 FKU65514:FLF65516 FUQ65514:FVB65516 GEM65514:GEX65516 GOI65514:GOT65516 GYE65514:GYP65516 HIA65514:HIL65516 HRW65514:HSH65516 IBS65514:ICD65516 ILO65514:ILZ65516 IVK65514:IVV65516 JFG65514:JFR65516 JPC65514:JPN65516 JYY65514:JZJ65516 KIU65514:KJF65516 KSQ65514:KTB65516 LCM65514:LCX65516 LMI65514:LMT65516 LWE65514:LWP65516 MGA65514:MGL65516 MPW65514:MQH65516 MZS65514:NAD65516 NJO65514:NJZ65516 NTK65514:NTV65516 ODG65514:ODR65516 ONC65514:ONN65516 OWY65514:OXJ65516 PGU65514:PHF65516 PQQ65514:PRB65516 QAM65514:QAX65516 QKI65514:QKT65516 QUE65514:QUP65516 REA65514:REL65516 RNW65514:ROH65516 RXS65514:RYD65516 SHO65514:SHZ65516 SRK65514:SRV65516 TBG65514:TBR65516 TLC65514:TLN65516 TUY65514:TVJ65516 UEU65514:UFF65516 UOQ65514:UPB65516 UYM65514:UYX65516 VII65514:VIT65516 VSE65514:VSP65516 WCA65514:WCL65516 WLW65514:WMH65516 WVS65514:WWD65516 JG131050:JR131052 TC131050:TN131052 ACY131050:ADJ131052 AMU131050:ANF131052 AWQ131050:AXB131052 BGM131050:BGX131052 BQI131050:BQT131052 CAE131050:CAP131052 CKA131050:CKL131052 CTW131050:CUH131052 DDS131050:DED131052 DNO131050:DNZ131052 DXK131050:DXV131052 EHG131050:EHR131052 ERC131050:ERN131052 FAY131050:FBJ131052 FKU131050:FLF131052 FUQ131050:FVB131052 GEM131050:GEX131052 GOI131050:GOT131052 GYE131050:GYP131052 HIA131050:HIL131052 HRW131050:HSH131052 IBS131050:ICD131052 ILO131050:ILZ131052 IVK131050:IVV131052 JFG131050:JFR131052 JPC131050:JPN131052 JYY131050:JZJ131052 KIU131050:KJF131052 KSQ131050:KTB131052 LCM131050:LCX131052 LMI131050:LMT131052 LWE131050:LWP131052 MGA131050:MGL131052 MPW131050:MQH131052 MZS131050:NAD131052 NJO131050:NJZ131052 NTK131050:NTV131052 ODG131050:ODR131052 ONC131050:ONN131052 OWY131050:OXJ131052 PGU131050:PHF131052 PQQ131050:PRB131052 QAM131050:QAX131052 QKI131050:QKT131052 QUE131050:QUP131052 REA131050:REL131052 RNW131050:ROH131052 RXS131050:RYD131052 SHO131050:SHZ131052 SRK131050:SRV131052 TBG131050:TBR131052 TLC131050:TLN131052 TUY131050:TVJ131052 UEU131050:UFF131052 UOQ131050:UPB131052 UYM131050:UYX131052 VII131050:VIT131052 VSE131050:VSP131052 WCA131050:WCL131052 WLW131050:WMH131052 WVS131050:WWD131052 JG196586:JR196588 TC196586:TN196588 ACY196586:ADJ196588 AMU196586:ANF196588 AWQ196586:AXB196588 BGM196586:BGX196588 BQI196586:BQT196588 CAE196586:CAP196588 CKA196586:CKL196588 CTW196586:CUH196588 DDS196586:DED196588 DNO196586:DNZ196588 DXK196586:DXV196588 EHG196586:EHR196588 ERC196586:ERN196588 FAY196586:FBJ196588 FKU196586:FLF196588 FUQ196586:FVB196588 GEM196586:GEX196588 GOI196586:GOT196588 GYE196586:GYP196588 HIA196586:HIL196588 HRW196586:HSH196588 IBS196586:ICD196588 ILO196586:ILZ196588 IVK196586:IVV196588 JFG196586:JFR196588 JPC196586:JPN196588 JYY196586:JZJ196588 KIU196586:KJF196588 KSQ196586:KTB196588 LCM196586:LCX196588 LMI196586:LMT196588 LWE196586:LWP196588 MGA196586:MGL196588 MPW196586:MQH196588 MZS196586:NAD196588 NJO196586:NJZ196588 NTK196586:NTV196588 ODG196586:ODR196588 ONC196586:ONN196588 OWY196586:OXJ196588 PGU196586:PHF196588 PQQ196586:PRB196588 QAM196586:QAX196588 QKI196586:QKT196588 QUE196586:QUP196588 REA196586:REL196588 RNW196586:ROH196588 RXS196586:RYD196588 SHO196586:SHZ196588 SRK196586:SRV196588 TBG196586:TBR196588 TLC196586:TLN196588 TUY196586:TVJ196588 UEU196586:UFF196588 UOQ196586:UPB196588 UYM196586:UYX196588 VII196586:VIT196588 VSE196586:VSP196588 WCA196586:WCL196588 WLW196586:WMH196588 WVS196586:WWD196588 JG262122:JR262124 TC262122:TN262124 ACY262122:ADJ262124 AMU262122:ANF262124 AWQ262122:AXB262124 BGM262122:BGX262124 BQI262122:BQT262124 CAE262122:CAP262124 CKA262122:CKL262124 CTW262122:CUH262124 DDS262122:DED262124 DNO262122:DNZ262124 DXK262122:DXV262124 EHG262122:EHR262124 ERC262122:ERN262124 FAY262122:FBJ262124 FKU262122:FLF262124 FUQ262122:FVB262124 GEM262122:GEX262124 GOI262122:GOT262124 GYE262122:GYP262124 HIA262122:HIL262124 HRW262122:HSH262124 IBS262122:ICD262124 ILO262122:ILZ262124 IVK262122:IVV262124 JFG262122:JFR262124 JPC262122:JPN262124 JYY262122:JZJ262124 KIU262122:KJF262124 KSQ262122:KTB262124 LCM262122:LCX262124 LMI262122:LMT262124 LWE262122:LWP262124 MGA262122:MGL262124 MPW262122:MQH262124 MZS262122:NAD262124 NJO262122:NJZ262124 NTK262122:NTV262124 ODG262122:ODR262124 ONC262122:ONN262124 OWY262122:OXJ262124 PGU262122:PHF262124 PQQ262122:PRB262124 QAM262122:QAX262124 QKI262122:QKT262124 QUE262122:QUP262124 REA262122:REL262124 RNW262122:ROH262124 RXS262122:RYD262124 SHO262122:SHZ262124 SRK262122:SRV262124 TBG262122:TBR262124 TLC262122:TLN262124 TUY262122:TVJ262124 UEU262122:UFF262124 UOQ262122:UPB262124 UYM262122:UYX262124 VII262122:VIT262124 VSE262122:VSP262124 WCA262122:WCL262124 WLW262122:WMH262124 WVS262122:WWD262124 JG327658:JR327660 TC327658:TN327660 ACY327658:ADJ327660 AMU327658:ANF327660 AWQ327658:AXB327660 BGM327658:BGX327660 BQI327658:BQT327660 CAE327658:CAP327660 CKA327658:CKL327660 CTW327658:CUH327660 DDS327658:DED327660 DNO327658:DNZ327660 DXK327658:DXV327660 EHG327658:EHR327660 ERC327658:ERN327660 FAY327658:FBJ327660 FKU327658:FLF327660 FUQ327658:FVB327660 GEM327658:GEX327660 GOI327658:GOT327660 GYE327658:GYP327660 HIA327658:HIL327660 HRW327658:HSH327660 IBS327658:ICD327660 ILO327658:ILZ327660 IVK327658:IVV327660 JFG327658:JFR327660 JPC327658:JPN327660 JYY327658:JZJ327660 KIU327658:KJF327660 KSQ327658:KTB327660 LCM327658:LCX327660 LMI327658:LMT327660 LWE327658:LWP327660 MGA327658:MGL327660 MPW327658:MQH327660 MZS327658:NAD327660 NJO327658:NJZ327660 NTK327658:NTV327660 ODG327658:ODR327660 ONC327658:ONN327660 OWY327658:OXJ327660 PGU327658:PHF327660 PQQ327658:PRB327660 QAM327658:QAX327660 QKI327658:QKT327660 QUE327658:QUP327660 REA327658:REL327660 RNW327658:ROH327660 RXS327658:RYD327660 SHO327658:SHZ327660 SRK327658:SRV327660 TBG327658:TBR327660 TLC327658:TLN327660 TUY327658:TVJ327660 UEU327658:UFF327660 UOQ327658:UPB327660 UYM327658:UYX327660 VII327658:VIT327660 VSE327658:VSP327660 WCA327658:WCL327660 WLW327658:WMH327660 WVS327658:WWD327660 JG393194:JR393196 TC393194:TN393196 ACY393194:ADJ393196 AMU393194:ANF393196 AWQ393194:AXB393196 BGM393194:BGX393196 BQI393194:BQT393196 CAE393194:CAP393196 CKA393194:CKL393196 CTW393194:CUH393196 DDS393194:DED393196 DNO393194:DNZ393196 DXK393194:DXV393196 EHG393194:EHR393196 ERC393194:ERN393196 FAY393194:FBJ393196 FKU393194:FLF393196 FUQ393194:FVB393196 GEM393194:GEX393196 GOI393194:GOT393196 GYE393194:GYP393196 HIA393194:HIL393196 HRW393194:HSH393196 IBS393194:ICD393196 ILO393194:ILZ393196 IVK393194:IVV393196 JFG393194:JFR393196 JPC393194:JPN393196 JYY393194:JZJ393196 KIU393194:KJF393196 KSQ393194:KTB393196 LCM393194:LCX393196 LMI393194:LMT393196 LWE393194:LWP393196 MGA393194:MGL393196 MPW393194:MQH393196 MZS393194:NAD393196 NJO393194:NJZ393196 NTK393194:NTV393196 ODG393194:ODR393196 ONC393194:ONN393196 OWY393194:OXJ393196 PGU393194:PHF393196 PQQ393194:PRB393196 QAM393194:QAX393196 QKI393194:QKT393196 QUE393194:QUP393196 REA393194:REL393196 RNW393194:ROH393196 RXS393194:RYD393196 SHO393194:SHZ393196 SRK393194:SRV393196 TBG393194:TBR393196 TLC393194:TLN393196 TUY393194:TVJ393196 UEU393194:UFF393196 UOQ393194:UPB393196 UYM393194:UYX393196 VII393194:VIT393196 VSE393194:VSP393196 WCA393194:WCL393196 WLW393194:WMH393196 WVS393194:WWD393196 JG458730:JR458732 TC458730:TN458732 ACY458730:ADJ458732 AMU458730:ANF458732 AWQ458730:AXB458732 BGM458730:BGX458732 BQI458730:BQT458732 CAE458730:CAP458732 CKA458730:CKL458732 CTW458730:CUH458732 DDS458730:DED458732 DNO458730:DNZ458732 DXK458730:DXV458732 EHG458730:EHR458732 ERC458730:ERN458732 FAY458730:FBJ458732 FKU458730:FLF458732 FUQ458730:FVB458732 GEM458730:GEX458732 GOI458730:GOT458732 GYE458730:GYP458732 HIA458730:HIL458732 HRW458730:HSH458732 IBS458730:ICD458732 ILO458730:ILZ458732 IVK458730:IVV458732 JFG458730:JFR458732 JPC458730:JPN458732 JYY458730:JZJ458732 KIU458730:KJF458732 KSQ458730:KTB458732 LCM458730:LCX458732 LMI458730:LMT458732 LWE458730:LWP458732 MGA458730:MGL458732 MPW458730:MQH458732 MZS458730:NAD458732 NJO458730:NJZ458732 NTK458730:NTV458732 ODG458730:ODR458732 ONC458730:ONN458732 OWY458730:OXJ458732 PGU458730:PHF458732 PQQ458730:PRB458732 QAM458730:QAX458732 QKI458730:QKT458732 QUE458730:QUP458732 REA458730:REL458732 RNW458730:ROH458732 RXS458730:RYD458732 SHO458730:SHZ458732 SRK458730:SRV458732 TBG458730:TBR458732 TLC458730:TLN458732 TUY458730:TVJ458732 UEU458730:UFF458732 UOQ458730:UPB458732 UYM458730:UYX458732 VII458730:VIT458732 VSE458730:VSP458732 WCA458730:WCL458732 WLW458730:WMH458732 WVS458730:WWD458732 JG524266:JR524268 TC524266:TN524268 ACY524266:ADJ524268 AMU524266:ANF524268 AWQ524266:AXB524268 BGM524266:BGX524268 BQI524266:BQT524268 CAE524266:CAP524268 CKA524266:CKL524268 CTW524266:CUH524268 DDS524266:DED524268 DNO524266:DNZ524268 DXK524266:DXV524268 EHG524266:EHR524268 ERC524266:ERN524268 FAY524266:FBJ524268 FKU524266:FLF524268 FUQ524266:FVB524268 GEM524266:GEX524268 GOI524266:GOT524268 GYE524266:GYP524268 HIA524266:HIL524268 HRW524266:HSH524268 IBS524266:ICD524268 ILO524266:ILZ524268 IVK524266:IVV524268 JFG524266:JFR524268 JPC524266:JPN524268 JYY524266:JZJ524268 KIU524266:KJF524268 KSQ524266:KTB524268 LCM524266:LCX524268 LMI524266:LMT524268 LWE524266:LWP524268 MGA524266:MGL524268 MPW524266:MQH524268 MZS524266:NAD524268 NJO524266:NJZ524268 NTK524266:NTV524268 ODG524266:ODR524268 ONC524266:ONN524268 OWY524266:OXJ524268 PGU524266:PHF524268 PQQ524266:PRB524268 QAM524266:QAX524268 QKI524266:QKT524268 QUE524266:QUP524268 REA524266:REL524268 RNW524266:ROH524268 RXS524266:RYD524268 SHO524266:SHZ524268 SRK524266:SRV524268 TBG524266:TBR524268 TLC524266:TLN524268 TUY524266:TVJ524268 UEU524266:UFF524268 UOQ524266:UPB524268 UYM524266:UYX524268 VII524266:VIT524268 VSE524266:VSP524268 WCA524266:WCL524268 WLW524266:WMH524268 WVS524266:WWD524268 JG589802:JR589804 TC589802:TN589804 ACY589802:ADJ589804 AMU589802:ANF589804 AWQ589802:AXB589804 BGM589802:BGX589804 BQI589802:BQT589804 CAE589802:CAP589804 CKA589802:CKL589804 CTW589802:CUH589804 DDS589802:DED589804 DNO589802:DNZ589804 DXK589802:DXV589804 EHG589802:EHR589804 ERC589802:ERN589804 FAY589802:FBJ589804 FKU589802:FLF589804 FUQ589802:FVB589804 GEM589802:GEX589804 GOI589802:GOT589804 GYE589802:GYP589804 HIA589802:HIL589804 HRW589802:HSH589804 IBS589802:ICD589804 ILO589802:ILZ589804 IVK589802:IVV589804 JFG589802:JFR589804 JPC589802:JPN589804 JYY589802:JZJ589804 KIU589802:KJF589804 KSQ589802:KTB589804 LCM589802:LCX589804 LMI589802:LMT589804 LWE589802:LWP589804 MGA589802:MGL589804 MPW589802:MQH589804 MZS589802:NAD589804 NJO589802:NJZ589804 NTK589802:NTV589804 ODG589802:ODR589804 ONC589802:ONN589804 OWY589802:OXJ589804 PGU589802:PHF589804 PQQ589802:PRB589804 QAM589802:QAX589804 QKI589802:QKT589804 QUE589802:QUP589804 REA589802:REL589804 RNW589802:ROH589804 RXS589802:RYD589804 SHO589802:SHZ589804 SRK589802:SRV589804 TBG589802:TBR589804 TLC589802:TLN589804 TUY589802:TVJ589804 UEU589802:UFF589804 UOQ589802:UPB589804 UYM589802:UYX589804 VII589802:VIT589804 VSE589802:VSP589804 WCA589802:WCL589804 WLW589802:WMH589804 WVS589802:WWD589804 JG655338:JR655340 TC655338:TN655340 ACY655338:ADJ655340 AMU655338:ANF655340 AWQ655338:AXB655340 BGM655338:BGX655340 BQI655338:BQT655340 CAE655338:CAP655340 CKA655338:CKL655340 CTW655338:CUH655340 DDS655338:DED655340 DNO655338:DNZ655340 DXK655338:DXV655340 EHG655338:EHR655340 ERC655338:ERN655340 FAY655338:FBJ655340 FKU655338:FLF655340 FUQ655338:FVB655340 GEM655338:GEX655340 GOI655338:GOT655340 GYE655338:GYP655340 HIA655338:HIL655340 HRW655338:HSH655340 IBS655338:ICD655340 ILO655338:ILZ655340 IVK655338:IVV655340 JFG655338:JFR655340 JPC655338:JPN655340 JYY655338:JZJ655340 KIU655338:KJF655340 KSQ655338:KTB655340 LCM655338:LCX655340 LMI655338:LMT655340 LWE655338:LWP655340 MGA655338:MGL655340 MPW655338:MQH655340 MZS655338:NAD655340 NJO655338:NJZ655340 NTK655338:NTV655340 ODG655338:ODR655340 ONC655338:ONN655340 OWY655338:OXJ655340 PGU655338:PHF655340 PQQ655338:PRB655340 QAM655338:QAX655340 QKI655338:QKT655340 QUE655338:QUP655340 REA655338:REL655340 RNW655338:ROH655340 RXS655338:RYD655340 SHO655338:SHZ655340 SRK655338:SRV655340 TBG655338:TBR655340 TLC655338:TLN655340 TUY655338:TVJ655340 UEU655338:UFF655340 UOQ655338:UPB655340 UYM655338:UYX655340 VII655338:VIT655340 VSE655338:VSP655340 WCA655338:WCL655340 WLW655338:WMH655340 WVS655338:WWD655340 JG720874:JR720876 TC720874:TN720876 ACY720874:ADJ720876 AMU720874:ANF720876 AWQ720874:AXB720876 BGM720874:BGX720876 BQI720874:BQT720876 CAE720874:CAP720876 CKA720874:CKL720876 CTW720874:CUH720876 DDS720874:DED720876 DNO720874:DNZ720876 DXK720874:DXV720876 EHG720874:EHR720876 ERC720874:ERN720876 FAY720874:FBJ720876 FKU720874:FLF720876 FUQ720874:FVB720876 GEM720874:GEX720876 GOI720874:GOT720876 GYE720874:GYP720876 HIA720874:HIL720876 HRW720874:HSH720876 IBS720874:ICD720876 ILO720874:ILZ720876 IVK720874:IVV720876 JFG720874:JFR720876 JPC720874:JPN720876 JYY720874:JZJ720876 KIU720874:KJF720876 KSQ720874:KTB720876 LCM720874:LCX720876 LMI720874:LMT720876 LWE720874:LWP720876 MGA720874:MGL720876 MPW720874:MQH720876 MZS720874:NAD720876 NJO720874:NJZ720876 NTK720874:NTV720876 ODG720874:ODR720876 ONC720874:ONN720876 OWY720874:OXJ720876 PGU720874:PHF720876 PQQ720874:PRB720876 QAM720874:QAX720876 QKI720874:QKT720876 QUE720874:QUP720876 REA720874:REL720876 RNW720874:ROH720876 RXS720874:RYD720876 SHO720874:SHZ720876 SRK720874:SRV720876 TBG720874:TBR720876 TLC720874:TLN720876 TUY720874:TVJ720876 UEU720874:UFF720876 UOQ720874:UPB720876 UYM720874:UYX720876 VII720874:VIT720876 VSE720874:VSP720876 WCA720874:WCL720876 WLW720874:WMH720876 WVS720874:WWD720876 JG786410:JR786412 TC786410:TN786412 ACY786410:ADJ786412 AMU786410:ANF786412 AWQ786410:AXB786412 BGM786410:BGX786412 BQI786410:BQT786412 CAE786410:CAP786412 CKA786410:CKL786412 CTW786410:CUH786412 DDS786410:DED786412 DNO786410:DNZ786412 DXK786410:DXV786412 EHG786410:EHR786412 ERC786410:ERN786412 FAY786410:FBJ786412 FKU786410:FLF786412 FUQ786410:FVB786412 GEM786410:GEX786412 GOI786410:GOT786412 GYE786410:GYP786412 HIA786410:HIL786412 HRW786410:HSH786412 IBS786410:ICD786412 ILO786410:ILZ786412 IVK786410:IVV786412 JFG786410:JFR786412 JPC786410:JPN786412 JYY786410:JZJ786412 KIU786410:KJF786412 KSQ786410:KTB786412 LCM786410:LCX786412 LMI786410:LMT786412 LWE786410:LWP786412 MGA786410:MGL786412 MPW786410:MQH786412 MZS786410:NAD786412 NJO786410:NJZ786412 NTK786410:NTV786412 ODG786410:ODR786412 ONC786410:ONN786412 OWY786410:OXJ786412 PGU786410:PHF786412 PQQ786410:PRB786412 QAM786410:QAX786412 QKI786410:QKT786412 QUE786410:QUP786412 REA786410:REL786412 RNW786410:ROH786412 RXS786410:RYD786412 SHO786410:SHZ786412 SRK786410:SRV786412 TBG786410:TBR786412 TLC786410:TLN786412 TUY786410:TVJ786412 UEU786410:UFF786412 UOQ786410:UPB786412 UYM786410:UYX786412 VII786410:VIT786412 VSE786410:VSP786412 WCA786410:WCL786412 WLW786410:WMH786412 WVS786410:WWD786412 JG851946:JR851948 TC851946:TN851948 ACY851946:ADJ851948 AMU851946:ANF851948 AWQ851946:AXB851948 BGM851946:BGX851948 BQI851946:BQT851948 CAE851946:CAP851948 CKA851946:CKL851948 CTW851946:CUH851948 DDS851946:DED851948 DNO851946:DNZ851948 DXK851946:DXV851948 EHG851946:EHR851948 ERC851946:ERN851948 FAY851946:FBJ851948 FKU851946:FLF851948 FUQ851946:FVB851948 GEM851946:GEX851948 GOI851946:GOT851948 GYE851946:GYP851948 HIA851946:HIL851948 HRW851946:HSH851948 IBS851946:ICD851948 ILO851946:ILZ851948 IVK851946:IVV851948 JFG851946:JFR851948 JPC851946:JPN851948 JYY851946:JZJ851948 KIU851946:KJF851948 KSQ851946:KTB851948 LCM851946:LCX851948 LMI851946:LMT851948 LWE851946:LWP851948 MGA851946:MGL851948 MPW851946:MQH851948 MZS851946:NAD851948 NJO851946:NJZ851948 NTK851946:NTV851948 ODG851946:ODR851948 ONC851946:ONN851948 OWY851946:OXJ851948 PGU851946:PHF851948 PQQ851946:PRB851948 QAM851946:QAX851948 QKI851946:QKT851948 QUE851946:QUP851948 REA851946:REL851948 RNW851946:ROH851948 RXS851946:RYD851948 SHO851946:SHZ851948 SRK851946:SRV851948 TBG851946:TBR851948 TLC851946:TLN851948 TUY851946:TVJ851948 UEU851946:UFF851948 UOQ851946:UPB851948 UYM851946:UYX851948 VII851946:VIT851948 VSE851946:VSP851948 WCA851946:WCL851948 WLW851946:WMH851948 WVS851946:WWD851948 JG917482:JR917484 TC917482:TN917484 ACY917482:ADJ917484 AMU917482:ANF917484 AWQ917482:AXB917484 BGM917482:BGX917484 BQI917482:BQT917484 CAE917482:CAP917484 CKA917482:CKL917484 CTW917482:CUH917484 DDS917482:DED917484 DNO917482:DNZ917484 DXK917482:DXV917484 EHG917482:EHR917484 ERC917482:ERN917484 FAY917482:FBJ917484 FKU917482:FLF917484 FUQ917482:FVB917484 GEM917482:GEX917484 GOI917482:GOT917484 GYE917482:GYP917484 HIA917482:HIL917484 HRW917482:HSH917484 IBS917482:ICD917484 ILO917482:ILZ917484 IVK917482:IVV917484 JFG917482:JFR917484 JPC917482:JPN917484 JYY917482:JZJ917484 KIU917482:KJF917484 KSQ917482:KTB917484 LCM917482:LCX917484 LMI917482:LMT917484 LWE917482:LWP917484 MGA917482:MGL917484 MPW917482:MQH917484 MZS917482:NAD917484 NJO917482:NJZ917484 NTK917482:NTV917484 ODG917482:ODR917484 ONC917482:ONN917484 OWY917482:OXJ917484 PGU917482:PHF917484 PQQ917482:PRB917484 QAM917482:QAX917484 QKI917482:QKT917484 QUE917482:QUP917484 REA917482:REL917484 RNW917482:ROH917484 RXS917482:RYD917484 SHO917482:SHZ917484 SRK917482:SRV917484 TBG917482:TBR917484 TLC917482:TLN917484 TUY917482:TVJ917484 UEU917482:UFF917484 UOQ917482:UPB917484 UYM917482:UYX917484 VII917482:VIT917484 VSE917482:VSP917484 WCA917482:WCL917484 WLW917482:WMH917484 WVS917482:WWD917484 JG983018:JR983020 TC983018:TN983020 ACY983018:ADJ983020 AMU983018:ANF983020 AWQ983018:AXB983020 BGM983018:BGX983020 BQI983018:BQT983020 CAE983018:CAP983020 CKA983018:CKL983020 CTW983018:CUH983020 DDS983018:DED983020 DNO983018:DNZ983020 DXK983018:DXV983020 EHG983018:EHR983020 ERC983018:ERN983020 FAY983018:FBJ983020 FKU983018:FLF983020 FUQ983018:FVB983020 GEM983018:GEX983020 GOI983018:GOT983020 GYE983018:GYP983020 HIA983018:HIL983020 HRW983018:HSH983020 IBS983018:ICD983020 ILO983018:ILZ983020 IVK983018:IVV983020 JFG983018:JFR983020 JPC983018:JPN983020 JYY983018:JZJ983020 KIU983018:KJF983020 KSQ983018:KTB983020 LCM983018:LCX983020 LMI983018:LMT983020 LWE983018:LWP983020 MGA983018:MGL983020 MPW983018:MQH983020 MZS983018:NAD983020 NJO983018:NJZ983020 NTK983018:NTV983020 ODG983018:ODR983020 ONC983018:ONN983020 OWY983018:OXJ983020 PGU983018:PHF983020 PQQ983018:PRB983020 QAM983018:QAX983020 QKI983018:QKT983020 QUE983018:QUP983020 REA983018:REL983020 RNW983018:ROH983020 RXS983018:RYD983020 SHO983018:SHZ983020 SRK983018:SRV983020 TBG983018:TBR983020 TLC983018:TLN983020 TUY983018:TVJ983020 UEU983018:UFF983020 UOQ983018:UPB983020 UYM983018:UYX983020 VII983018:VIT983020 VSE983018:VSP983020 WCA983018:WCL983020 WLW983018:WMH983020 WVS983018:WWD983020 WVS983023:WWD983025 JG65519:JR65521 TC65519:TN65521 ACY65519:ADJ65521 AMU65519:ANF65521 AWQ65519:AXB65521 BGM65519:BGX65521 BQI65519:BQT65521 CAE65519:CAP65521 CKA65519:CKL65521 CTW65519:CUH65521 DDS65519:DED65521 DNO65519:DNZ65521 DXK65519:DXV65521 EHG65519:EHR65521 ERC65519:ERN65521 FAY65519:FBJ65521 FKU65519:FLF65521 FUQ65519:FVB65521 GEM65519:GEX65521 GOI65519:GOT65521 GYE65519:GYP65521 HIA65519:HIL65521 HRW65519:HSH65521 IBS65519:ICD65521 ILO65519:ILZ65521 IVK65519:IVV65521 JFG65519:JFR65521 JPC65519:JPN65521 JYY65519:JZJ65521 KIU65519:KJF65521 KSQ65519:KTB65521 LCM65519:LCX65521 LMI65519:LMT65521 LWE65519:LWP65521 MGA65519:MGL65521 MPW65519:MQH65521 MZS65519:NAD65521 NJO65519:NJZ65521 NTK65519:NTV65521 ODG65519:ODR65521 ONC65519:ONN65521 OWY65519:OXJ65521 PGU65519:PHF65521 PQQ65519:PRB65521 QAM65519:QAX65521 QKI65519:QKT65521 QUE65519:QUP65521 REA65519:REL65521 RNW65519:ROH65521 RXS65519:RYD65521 SHO65519:SHZ65521 SRK65519:SRV65521 TBG65519:TBR65521 TLC65519:TLN65521 TUY65519:TVJ65521 UEU65519:UFF65521 UOQ65519:UPB65521 UYM65519:UYX65521 VII65519:VIT65521 VSE65519:VSP65521 WCA65519:WCL65521 WLW65519:WMH65521 WVS65519:WWD65521 JG131055:JR131057 TC131055:TN131057 ACY131055:ADJ131057 AMU131055:ANF131057 AWQ131055:AXB131057 BGM131055:BGX131057 BQI131055:BQT131057 CAE131055:CAP131057 CKA131055:CKL131057 CTW131055:CUH131057 DDS131055:DED131057 DNO131055:DNZ131057 DXK131055:DXV131057 EHG131055:EHR131057 ERC131055:ERN131057 FAY131055:FBJ131057 FKU131055:FLF131057 FUQ131055:FVB131057 GEM131055:GEX131057 GOI131055:GOT131057 GYE131055:GYP131057 HIA131055:HIL131057 HRW131055:HSH131057 IBS131055:ICD131057 ILO131055:ILZ131057 IVK131055:IVV131057 JFG131055:JFR131057 JPC131055:JPN131057 JYY131055:JZJ131057 KIU131055:KJF131057 KSQ131055:KTB131057 LCM131055:LCX131057 LMI131055:LMT131057 LWE131055:LWP131057 MGA131055:MGL131057 MPW131055:MQH131057 MZS131055:NAD131057 NJO131055:NJZ131057 NTK131055:NTV131057 ODG131055:ODR131057 ONC131055:ONN131057 OWY131055:OXJ131057 PGU131055:PHF131057 PQQ131055:PRB131057 QAM131055:QAX131057 QKI131055:QKT131057 QUE131055:QUP131057 REA131055:REL131057 RNW131055:ROH131057 RXS131055:RYD131057 SHO131055:SHZ131057 SRK131055:SRV131057 TBG131055:TBR131057 TLC131055:TLN131057 TUY131055:TVJ131057 UEU131055:UFF131057 UOQ131055:UPB131057 UYM131055:UYX131057 VII131055:VIT131057 VSE131055:VSP131057 WCA131055:WCL131057 WLW131055:WMH131057 WVS131055:WWD131057 JG196591:JR196593 TC196591:TN196593 ACY196591:ADJ196593 AMU196591:ANF196593 AWQ196591:AXB196593 BGM196591:BGX196593 BQI196591:BQT196593 CAE196591:CAP196593 CKA196591:CKL196593 CTW196591:CUH196593 DDS196591:DED196593 DNO196591:DNZ196593 DXK196591:DXV196593 EHG196591:EHR196593 ERC196591:ERN196593 FAY196591:FBJ196593 FKU196591:FLF196593 FUQ196591:FVB196593 GEM196591:GEX196593 GOI196591:GOT196593 GYE196591:GYP196593 HIA196591:HIL196593 HRW196591:HSH196593 IBS196591:ICD196593 ILO196591:ILZ196593 IVK196591:IVV196593 JFG196591:JFR196593 JPC196591:JPN196593 JYY196591:JZJ196593 KIU196591:KJF196593 KSQ196591:KTB196593 LCM196591:LCX196593 LMI196591:LMT196593 LWE196591:LWP196593 MGA196591:MGL196593 MPW196591:MQH196593 MZS196591:NAD196593 NJO196591:NJZ196593 NTK196591:NTV196593 ODG196591:ODR196593 ONC196591:ONN196593 OWY196591:OXJ196593 PGU196591:PHF196593 PQQ196591:PRB196593 QAM196591:QAX196593 QKI196591:QKT196593 QUE196591:QUP196593 REA196591:REL196593 RNW196591:ROH196593 RXS196591:RYD196593 SHO196591:SHZ196593 SRK196591:SRV196593 TBG196591:TBR196593 TLC196591:TLN196593 TUY196591:TVJ196593 UEU196591:UFF196593 UOQ196591:UPB196593 UYM196591:UYX196593 VII196591:VIT196593 VSE196591:VSP196593 WCA196591:WCL196593 WLW196591:WMH196593 WVS196591:WWD196593 JG262127:JR262129 TC262127:TN262129 ACY262127:ADJ262129 AMU262127:ANF262129 AWQ262127:AXB262129 BGM262127:BGX262129 BQI262127:BQT262129 CAE262127:CAP262129 CKA262127:CKL262129 CTW262127:CUH262129 DDS262127:DED262129 DNO262127:DNZ262129 DXK262127:DXV262129 EHG262127:EHR262129 ERC262127:ERN262129 FAY262127:FBJ262129 FKU262127:FLF262129 FUQ262127:FVB262129 GEM262127:GEX262129 GOI262127:GOT262129 GYE262127:GYP262129 HIA262127:HIL262129 HRW262127:HSH262129 IBS262127:ICD262129 ILO262127:ILZ262129 IVK262127:IVV262129 JFG262127:JFR262129 JPC262127:JPN262129 JYY262127:JZJ262129 KIU262127:KJF262129 KSQ262127:KTB262129 LCM262127:LCX262129 LMI262127:LMT262129 LWE262127:LWP262129 MGA262127:MGL262129 MPW262127:MQH262129 MZS262127:NAD262129 NJO262127:NJZ262129 NTK262127:NTV262129 ODG262127:ODR262129 ONC262127:ONN262129 OWY262127:OXJ262129 PGU262127:PHF262129 PQQ262127:PRB262129 QAM262127:QAX262129 QKI262127:QKT262129 QUE262127:QUP262129 REA262127:REL262129 RNW262127:ROH262129 RXS262127:RYD262129 SHO262127:SHZ262129 SRK262127:SRV262129 TBG262127:TBR262129 TLC262127:TLN262129 TUY262127:TVJ262129 UEU262127:UFF262129 UOQ262127:UPB262129 UYM262127:UYX262129 VII262127:VIT262129 VSE262127:VSP262129 WCA262127:WCL262129 WLW262127:WMH262129 WVS262127:WWD262129 JG327663:JR327665 TC327663:TN327665 ACY327663:ADJ327665 AMU327663:ANF327665 AWQ327663:AXB327665 BGM327663:BGX327665 BQI327663:BQT327665 CAE327663:CAP327665 CKA327663:CKL327665 CTW327663:CUH327665 DDS327663:DED327665 DNO327663:DNZ327665 DXK327663:DXV327665 EHG327663:EHR327665 ERC327663:ERN327665 FAY327663:FBJ327665 FKU327663:FLF327665 FUQ327663:FVB327665 GEM327663:GEX327665 GOI327663:GOT327665 GYE327663:GYP327665 HIA327663:HIL327665 HRW327663:HSH327665 IBS327663:ICD327665 ILO327663:ILZ327665 IVK327663:IVV327665 JFG327663:JFR327665 JPC327663:JPN327665 JYY327663:JZJ327665 KIU327663:KJF327665 KSQ327663:KTB327665 LCM327663:LCX327665 LMI327663:LMT327665 LWE327663:LWP327665 MGA327663:MGL327665 MPW327663:MQH327665 MZS327663:NAD327665 NJO327663:NJZ327665 NTK327663:NTV327665 ODG327663:ODR327665 ONC327663:ONN327665 OWY327663:OXJ327665 PGU327663:PHF327665 PQQ327663:PRB327665 QAM327663:QAX327665 QKI327663:QKT327665 QUE327663:QUP327665 REA327663:REL327665 RNW327663:ROH327665 RXS327663:RYD327665 SHO327663:SHZ327665 SRK327663:SRV327665 TBG327663:TBR327665 TLC327663:TLN327665 TUY327663:TVJ327665 UEU327663:UFF327665 UOQ327663:UPB327665 UYM327663:UYX327665 VII327663:VIT327665 VSE327663:VSP327665 WCA327663:WCL327665 WLW327663:WMH327665 WVS327663:WWD327665 JG393199:JR393201 TC393199:TN393201 ACY393199:ADJ393201 AMU393199:ANF393201 AWQ393199:AXB393201 BGM393199:BGX393201 BQI393199:BQT393201 CAE393199:CAP393201 CKA393199:CKL393201 CTW393199:CUH393201 DDS393199:DED393201 DNO393199:DNZ393201 DXK393199:DXV393201 EHG393199:EHR393201 ERC393199:ERN393201 FAY393199:FBJ393201 FKU393199:FLF393201 FUQ393199:FVB393201 GEM393199:GEX393201 GOI393199:GOT393201 GYE393199:GYP393201 HIA393199:HIL393201 HRW393199:HSH393201 IBS393199:ICD393201 ILO393199:ILZ393201 IVK393199:IVV393201 JFG393199:JFR393201 JPC393199:JPN393201 JYY393199:JZJ393201 KIU393199:KJF393201 KSQ393199:KTB393201 LCM393199:LCX393201 LMI393199:LMT393201 LWE393199:LWP393201 MGA393199:MGL393201 MPW393199:MQH393201 MZS393199:NAD393201 NJO393199:NJZ393201 NTK393199:NTV393201 ODG393199:ODR393201 ONC393199:ONN393201 OWY393199:OXJ393201 PGU393199:PHF393201 PQQ393199:PRB393201 QAM393199:QAX393201 QKI393199:QKT393201 QUE393199:QUP393201 REA393199:REL393201 RNW393199:ROH393201 RXS393199:RYD393201 SHO393199:SHZ393201 SRK393199:SRV393201 TBG393199:TBR393201 TLC393199:TLN393201 TUY393199:TVJ393201 UEU393199:UFF393201 UOQ393199:UPB393201 UYM393199:UYX393201 VII393199:VIT393201 VSE393199:VSP393201 WCA393199:WCL393201 WLW393199:WMH393201 WVS393199:WWD393201 JG458735:JR458737 TC458735:TN458737 ACY458735:ADJ458737 AMU458735:ANF458737 AWQ458735:AXB458737 BGM458735:BGX458737 BQI458735:BQT458737 CAE458735:CAP458737 CKA458735:CKL458737 CTW458735:CUH458737 DDS458735:DED458737 DNO458735:DNZ458737 DXK458735:DXV458737 EHG458735:EHR458737 ERC458735:ERN458737 FAY458735:FBJ458737 FKU458735:FLF458737 FUQ458735:FVB458737 GEM458735:GEX458737 GOI458735:GOT458737 GYE458735:GYP458737 HIA458735:HIL458737 HRW458735:HSH458737 IBS458735:ICD458737 ILO458735:ILZ458737 IVK458735:IVV458737 JFG458735:JFR458737 JPC458735:JPN458737 JYY458735:JZJ458737 KIU458735:KJF458737 KSQ458735:KTB458737 LCM458735:LCX458737 LMI458735:LMT458737 LWE458735:LWP458737 MGA458735:MGL458737 MPW458735:MQH458737 MZS458735:NAD458737 NJO458735:NJZ458737 NTK458735:NTV458737 ODG458735:ODR458737 ONC458735:ONN458737 OWY458735:OXJ458737 PGU458735:PHF458737 PQQ458735:PRB458737 QAM458735:QAX458737 QKI458735:QKT458737 QUE458735:QUP458737 REA458735:REL458737 RNW458735:ROH458737 RXS458735:RYD458737 SHO458735:SHZ458737 SRK458735:SRV458737 TBG458735:TBR458737 TLC458735:TLN458737 TUY458735:TVJ458737 UEU458735:UFF458737 UOQ458735:UPB458737 UYM458735:UYX458737 VII458735:VIT458737 VSE458735:VSP458737 WCA458735:WCL458737 WLW458735:WMH458737 WVS458735:WWD458737 JG524271:JR524273 TC524271:TN524273 ACY524271:ADJ524273 AMU524271:ANF524273 AWQ524271:AXB524273 BGM524271:BGX524273 BQI524271:BQT524273 CAE524271:CAP524273 CKA524271:CKL524273 CTW524271:CUH524273 DDS524271:DED524273 DNO524271:DNZ524273 DXK524271:DXV524273 EHG524271:EHR524273 ERC524271:ERN524273 FAY524271:FBJ524273 FKU524271:FLF524273 FUQ524271:FVB524273 GEM524271:GEX524273 GOI524271:GOT524273 GYE524271:GYP524273 HIA524271:HIL524273 HRW524271:HSH524273 IBS524271:ICD524273 ILO524271:ILZ524273 IVK524271:IVV524273 JFG524271:JFR524273 JPC524271:JPN524273 JYY524271:JZJ524273 KIU524271:KJF524273 KSQ524271:KTB524273 LCM524271:LCX524273 LMI524271:LMT524273 LWE524271:LWP524273 MGA524271:MGL524273 MPW524271:MQH524273 MZS524271:NAD524273 NJO524271:NJZ524273 NTK524271:NTV524273 ODG524271:ODR524273 ONC524271:ONN524273 OWY524271:OXJ524273 PGU524271:PHF524273 PQQ524271:PRB524273 QAM524271:QAX524273 QKI524271:QKT524273 QUE524271:QUP524273 REA524271:REL524273 RNW524271:ROH524273 RXS524271:RYD524273 SHO524271:SHZ524273 SRK524271:SRV524273 TBG524271:TBR524273 TLC524271:TLN524273 TUY524271:TVJ524273 UEU524271:UFF524273 UOQ524271:UPB524273 UYM524271:UYX524273 VII524271:VIT524273 VSE524271:VSP524273 WCA524271:WCL524273 WLW524271:WMH524273 WVS524271:WWD524273 JG589807:JR589809 TC589807:TN589809 ACY589807:ADJ589809 AMU589807:ANF589809 AWQ589807:AXB589809 BGM589807:BGX589809 BQI589807:BQT589809 CAE589807:CAP589809 CKA589807:CKL589809 CTW589807:CUH589809 DDS589807:DED589809 DNO589807:DNZ589809 DXK589807:DXV589809 EHG589807:EHR589809 ERC589807:ERN589809 FAY589807:FBJ589809 FKU589807:FLF589809 FUQ589807:FVB589809 GEM589807:GEX589809 GOI589807:GOT589809 GYE589807:GYP589809 HIA589807:HIL589809 HRW589807:HSH589809 IBS589807:ICD589809 ILO589807:ILZ589809 IVK589807:IVV589809 JFG589807:JFR589809 JPC589807:JPN589809 JYY589807:JZJ589809 KIU589807:KJF589809 KSQ589807:KTB589809 LCM589807:LCX589809 LMI589807:LMT589809 LWE589807:LWP589809 MGA589807:MGL589809 MPW589807:MQH589809 MZS589807:NAD589809 NJO589807:NJZ589809 NTK589807:NTV589809 ODG589807:ODR589809 ONC589807:ONN589809 OWY589807:OXJ589809 PGU589807:PHF589809 PQQ589807:PRB589809 QAM589807:QAX589809 QKI589807:QKT589809 QUE589807:QUP589809 REA589807:REL589809 RNW589807:ROH589809 RXS589807:RYD589809 SHO589807:SHZ589809 SRK589807:SRV589809 TBG589807:TBR589809 TLC589807:TLN589809 TUY589807:TVJ589809 UEU589807:UFF589809 UOQ589807:UPB589809 UYM589807:UYX589809 VII589807:VIT589809 VSE589807:VSP589809 WCA589807:WCL589809 WLW589807:WMH589809 WVS589807:WWD589809 JG655343:JR655345 TC655343:TN655345 ACY655343:ADJ655345 AMU655343:ANF655345 AWQ655343:AXB655345 BGM655343:BGX655345 BQI655343:BQT655345 CAE655343:CAP655345 CKA655343:CKL655345 CTW655343:CUH655345 DDS655343:DED655345 DNO655343:DNZ655345 DXK655343:DXV655345 EHG655343:EHR655345 ERC655343:ERN655345 FAY655343:FBJ655345 FKU655343:FLF655345 FUQ655343:FVB655345 GEM655343:GEX655345 GOI655343:GOT655345 GYE655343:GYP655345 HIA655343:HIL655345 HRW655343:HSH655345 IBS655343:ICD655345 ILO655343:ILZ655345 IVK655343:IVV655345 JFG655343:JFR655345 JPC655343:JPN655345 JYY655343:JZJ655345 KIU655343:KJF655345 KSQ655343:KTB655345 LCM655343:LCX655345 LMI655343:LMT655345 LWE655343:LWP655345 MGA655343:MGL655345 MPW655343:MQH655345 MZS655343:NAD655345 NJO655343:NJZ655345 NTK655343:NTV655345 ODG655343:ODR655345 ONC655343:ONN655345 OWY655343:OXJ655345 PGU655343:PHF655345 PQQ655343:PRB655345 QAM655343:QAX655345 QKI655343:QKT655345 QUE655343:QUP655345 REA655343:REL655345 RNW655343:ROH655345 RXS655343:RYD655345 SHO655343:SHZ655345 SRK655343:SRV655345 TBG655343:TBR655345 TLC655343:TLN655345 TUY655343:TVJ655345 UEU655343:UFF655345 UOQ655343:UPB655345 UYM655343:UYX655345 VII655343:VIT655345 VSE655343:VSP655345 WCA655343:WCL655345 WLW655343:WMH655345 WVS655343:WWD655345 JG720879:JR720881 TC720879:TN720881 ACY720879:ADJ720881 AMU720879:ANF720881 AWQ720879:AXB720881 BGM720879:BGX720881 BQI720879:BQT720881 CAE720879:CAP720881 CKA720879:CKL720881 CTW720879:CUH720881 DDS720879:DED720881 DNO720879:DNZ720881 DXK720879:DXV720881 EHG720879:EHR720881 ERC720879:ERN720881 FAY720879:FBJ720881 FKU720879:FLF720881 FUQ720879:FVB720881 GEM720879:GEX720881 GOI720879:GOT720881 GYE720879:GYP720881 HIA720879:HIL720881 HRW720879:HSH720881 IBS720879:ICD720881 ILO720879:ILZ720881 IVK720879:IVV720881 JFG720879:JFR720881 JPC720879:JPN720881 JYY720879:JZJ720881 KIU720879:KJF720881 KSQ720879:KTB720881 LCM720879:LCX720881 LMI720879:LMT720881 LWE720879:LWP720881 MGA720879:MGL720881 MPW720879:MQH720881 MZS720879:NAD720881 NJO720879:NJZ720881 NTK720879:NTV720881 ODG720879:ODR720881 ONC720879:ONN720881 OWY720879:OXJ720881 PGU720879:PHF720881 PQQ720879:PRB720881 QAM720879:QAX720881 QKI720879:QKT720881 QUE720879:QUP720881 REA720879:REL720881 RNW720879:ROH720881 RXS720879:RYD720881 SHO720879:SHZ720881 SRK720879:SRV720881 TBG720879:TBR720881 TLC720879:TLN720881 TUY720879:TVJ720881 UEU720879:UFF720881 UOQ720879:UPB720881 UYM720879:UYX720881 VII720879:VIT720881 VSE720879:VSP720881 WCA720879:WCL720881 WLW720879:WMH720881 WVS720879:WWD720881 JG786415:JR786417 TC786415:TN786417 ACY786415:ADJ786417 AMU786415:ANF786417 AWQ786415:AXB786417 BGM786415:BGX786417 BQI786415:BQT786417 CAE786415:CAP786417 CKA786415:CKL786417 CTW786415:CUH786417 DDS786415:DED786417 DNO786415:DNZ786417 DXK786415:DXV786417 EHG786415:EHR786417 ERC786415:ERN786417 FAY786415:FBJ786417 FKU786415:FLF786417 FUQ786415:FVB786417 GEM786415:GEX786417 GOI786415:GOT786417 GYE786415:GYP786417 HIA786415:HIL786417 HRW786415:HSH786417 IBS786415:ICD786417 ILO786415:ILZ786417 IVK786415:IVV786417 JFG786415:JFR786417 JPC786415:JPN786417 JYY786415:JZJ786417 KIU786415:KJF786417 KSQ786415:KTB786417 LCM786415:LCX786417 LMI786415:LMT786417 LWE786415:LWP786417 MGA786415:MGL786417 MPW786415:MQH786417 MZS786415:NAD786417 NJO786415:NJZ786417 NTK786415:NTV786417 ODG786415:ODR786417 ONC786415:ONN786417 OWY786415:OXJ786417 PGU786415:PHF786417 PQQ786415:PRB786417 QAM786415:QAX786417 QKI786415:QKT786417 QUE786415:QUP786417 REA786415:REL786417 RNW786415:ROH786417 RXS786415:RYD786417 SHO786415:SHZ786417 SRK786415:SRV786417 TBG786415:TBR786417 TLC786415:TLN786417 TUY786415:TVJ786417 UEU786415:UFF786417 UOQ786415:UPB786417 UYM786415:UYX786417 VII786415:VIT786417 VSE786415:VSP786417 WCA786415:WCL786417 WLW786415:WMH786417 WVS786415:WWD786417 JG851951:JR851953 TC851951:TN851953 ACY851951:ADJ851953 AMU851951:ANF851953 AWQ851951:AXB851953 BGM851951:BGX851953 BQI851951:BQT851953 CAE851951:CAP851953 CKA851951:CKL851953 CTW851951:CUH851953 DDS851951:DED851953 DNO851951:DNZ851953 DXK851951:DXV851953 EHG851951:EHR851953 ERC851951:ERN851953 FAY851951:FBJ851953 FKU851951:FLF851953 FUQ851951:FVB851953 GEM851951:GEX851953 GOI851951:GOT851953 GYE851951:GYP851953 HIA851951:HIL851953 HRW851951:HSH851953 IBS851951:ICD851953 ILO851951:ILZ851953 IVK851951:IVV851953 JFG851951:JFR851953 JPC851951:JPN851953 JYY851951:JZJ851953 KIU851951:KJF851953 KSQ851951:KTB851953 LCM851951:LCX851953 LMI851951:LMT851953 LWE851951:LWP851953 MGA851951:MGL851953 MPW851951:MQH851953 MZS851951:NAD851953 NJO851951:NJZ851953 NTK851951:NTV851953 ODG851951:ODR851953 ONC851951:ONN851953 OWY851951:OXJ851953 PGU851951:PHF851953 PQQ851951:PRB851953 QAM851951:QAX851953 QKI851951:QKT851953 QUE851951:QUP851953 REA851951:REL851953 RNW851951:ROH851953 RXS851951:RYD851953 SHO851951:SHZ851953 SRK851951:SRV851953 TBG851951:TBR851953 TLC851951:TLN851953 TUY851951:TVJ851953 UEU851951:UFF851953 UOQ851951:UPB851953 UYM851951:UYX851953 VII851951:VIT851953 VSE851951:VSP851953 WCA851951:WCL851953 WLW851951:WMH851953 WVS851951:WWD851953 JG917487:JR917489 TC917487:TN917489 ACY917487:ADJ917489 AMU917487:ANF917489 AWQ917487:AXB917489 BGM917487:BGX917489 BQI917487:BQT917489 CAE917487:CAP917489 CKA917487:CKL917489 CTW917487:CUH917489 DDS917487:DED917489 DNO917487:DNZ917489 DXK917487:DXV917489 EHG917487:EHR917489 ERC917487:ERN917489 FAY917487:FBJ917489 FKU917487:FLF917489 FUQ917487:FVB917489 GEM917487:GEX917489 GOI917487:GOT917489 GYE917487:GYP917489 HIA917487:HIL917489 HRW917487:HSH917489 IBS917487:ICD917489 ILO917487:ILZ917489 IVK917487:IVV917489 JFG917487:JFR917489 JPC917487:JPN917489 JYY917487:JZJ917489 KIU917487:KJF917489 KSQ917487:KTB917489 LCM917487:LCX917489 LMI917487:LMT917489 LWE917487:LWP917489 MGA917487:MGL917489 MPW917487:MQH917489 MZS917487:NAD917489 NJO917487:NJZ917489 NTK917487:NTV917489 ODG917487:ODR917489 ONC917487:ONN917489 OWY917487:OXJ917489 PGU917487:PHF917489 PQQ917487:PRB917489 QAM917487:QAX917489 QKI917487:QKT917489 QUE917487:QUP917489 REA917487:REL917489 RNW917487:ROH917489 RXS917487:RYD917489 SHO917487:SHZ917489 SRK917487:SRV917489 TBG917487:TBR917489 TLC917487:TLN917489 TUY917487:TVJ917489 UEU917487:UFF917489 UOQ917487:UPB917489 UYM917487:UYX917489 VII917487:VIT917489 VSE917487:VSP917489 WCA917487:WCL917489 WLW917487:WMH917489 WVS917487:WWD917489 JG983023:JR983025 TC983023:TN983025 ACY983023:ADJ983025 AMU983023:ANF983025 AWQ983023:AXB983025 BGM983023:BGX983025 BQI983023:BQT983025 CAE983023:CAP983025 CKA983023:CKL983025 CTW983023:CUH983025 DDS983023:DED983025 DNO983023:DNZ983025 DXK983023:DXV983025 EHG983023:EHR983025 ERC983023:ERN983025 FAY983023:FBJ983025 FKU983023:FLF983025 FUQ983023:FVB983025 GEM983023:GEX983025 GOI983023:GOT983025 GYE983023:GYP983025 HIA983023:HIL983025 HRW983023:HSH983025 IBS983023:ICD983025 ILO983023:ILZ983025 IVK983023:IVV983025 JFG983023:JFR983025 JPC983023:JPN983025 JYY983023:JZJ983025 KIU983023:KJF983025 KSQ983023:KTB983025 LCM983023:LCX983025 LMI983023:LMT983025 LWE983023:LWP983025 MGA983023:MGL983025 MPW983023:MQH983025 MZS983023:NAD983025 NJO983023:NJZ983025 NTK983023:NTV983025 ODG983023:ODR983025 ONC983023:ONN983025 OWY983023:OXJ983025 PGU983023:PHF983025 PQQ983023:PRB983025 QAM983023:QAX983025 QKI983023:QKT983025 QUE983023:QUP983025 REA983023:REL983025 RNW983023:ROH983025 RXS983023:RYD983025 SHO983023:SHZ983025 SRK983023:SRV983025 TBG983023:TBR983025 TLC983023:TLN983025 TUY983023:TVJ983025 UEU983023:UFF983025 UOQ983023:UPB983025 UYM983023:UYX983025 VII983023:VIT983025 VSE983023:VSP983025 WCA983023:WCL983025 WLW983023:WMH983025 Z262122:AJ262124 Z196586:AJ196588 Z131050:AJ131052 Z65514:AJ65516 Z983023:AJ983025 Z917487:AJ917489 Z851951:AJ851953 Z786415:AJ786417 Z720879:AJ720881 Z655343:AJ655345 Z589807:AJ589809 Z524271:AJ524273 Z458735:AJ458737 Z393199:AJ393201 Z327663:AJ327665 Z262127:AJ262129 Z196591:AJ196593 Z131055:AJ131057 Z65519:AJ65521 Z983018:AJ983020 Z917482:AJ917484 Z851946:AJ851948 Z786410:AJ786412 Z720874:AJ720876 Z655338:AJ655340 Z589802:AJ589804 Z524266:AJ524268 Z458730:AJ458732 Z393194:AJ393196 Z327658:AJ327660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0600-000001000000}"/>
    <dataValidation type="list" allowBlank="1" showInputMessage="1" showErrorMessage="1" sqref="Y8:Z39" xr:uid="{00000000-0002-0000-06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9"/>
  <dimension ref="A1:BE45"/>
  <sheetViews>
    <sheetView showGridLines="0" zoomScaleNormal="100" zoomScaleSheetLayoutView="100" workbookViewId="0">
      <selection activeCell="F12" sqref="F12"/>
    </sheetView>
  </sheetViews>
  <sheetFormatPr defaultColWidth="2.6328125" defaultRowHeight="15" customHeight="1" x14ac:dyDescent="0.3"/>
  <cols>
    <col min="1" max="1" width="4.6328125" style="17" customWidth="1"/>
    <col min="2" max="26" width="2.6328125" style="17"/>
    <col min="27" max="27" width="2.6328125" style="17" customWidth="1"/>
    <col min="28" max="29" width="2.6328125" style="17"/>
    <col min="30" max="30" width="4.6328125" style="17" customWidth="1"/>
    <col min="31" max="31" width="2.6328125" style="17" customWidth="1"/>
    <col min="32" max="33" width="2.6328125" style="17"/>
    <col min="34" max="34" width="6.6328125" style="17" customWidth="1"/>
    <col min="35" max="16384" width="2.6328125" style="17"/>
  </cols>
  <sheetData>
    <row r="1" spans="1:56" s="16" customFormat="1" ht="15" customHeight="1" x14ac:dyDescent="0.3">
      <c r="A1" s="144" t="s">
        <v>100</v>
      </c>
      <c r="B1" s="145"/>
      <c r="C1" s="145"/>
      <c r="D1" s="145"/>
      <c r="E1" s="145"/>
      <c r="F1" s="145"/>
      <c r="G1" s="145"/>
      <c r="H1" s="146"/>
      <c r="I1" s="103" t="s">
        <v>98</v>
      </c>
      <c r="J1" s="104"/>
      <c r="K1" s="104"/>
      <c r="L1" s="104"/>
      <c r="M1" s="104"/>
      <c r="N1" s="104"/>
      <c r="O1" s="104"/>
      <c r="P1" s="104"/>
      <c r="Q1" s="105"/>
      <c r="R1" s="103" t="s">
        <v>99</v>
      </c>
      <c r="S1" s="104"/>
      <c r="T1" s="104"/>
      <c r="U1" s="104"/>
      <c r="V1" s="104"/>
      <c r="W1" s="104"/>
      <c r="X1" s="105"/>
      <c r="Y1" s="103" t="s">
        <v>0</v>
      </c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5"/>
      <c r="AP1" s="153" t="s">
        <v>1</v>
      </c>
      <c r="AQ1" s="154"/>
      <c r="AR1" s="154"/>
      <c r="AS1" s="154"/>
      <c r="AT1" s="155"/>
      <c r="AU1" s="153" t="s">
        <v>2</v>
      </c>
      <c r="AV1" s="154"/>
      <c r="AW1" s="154"/>
      <c r="AX1" s="154"/>
      <c r="AY1" s="155"/>
      <c r="AZ1" s="153" t="s">
        <v>3</v>
      </c>
      <c r="BA1" s="154"/>
      <c r="BB1" s="154"/>
      <c r="BC1" s="154"/>
      <c r="BD1" s="155"/>
    </row>
    <row r="2" spans="1:56" s="16" customFormat="1" ht="15" customHeight="1" x14ac:dyDescent="0.3">
      <c r="A2" s="147"/>
      <c r="B2" s="148"/>
      <c r="C2" s="148"/>
      <c r="D2" s="148"/>
      <c r="E2" s="148"/>
      <c r="F2" s="148"/>
      <c r="G2" s="148"/>
      <c r="H2" s="149"/>
      <c r="I2" s="127" t="s">
        <v>97</v>
      </c>
      <c r="J2" s="128"/>
      <c r="K2" s="128"/>
      <c r="L2" s="128"/>
      <c r="M2" s="128"/>
      <c r="N2" s="128"/>
      <c r="O2" s="128"/>
      <c r="P2" s="128"/>
      <c r="Q2" s="129"/>
      <c r="R2" s="127" t="str">
        <f ca="1">VLOOKUP(RIGHT(CELL("filename",A2),LEN(CELL("filename",A2))-FIND("]",CELL("filename",A2))),テーブル一覧!B:AD,22,FALSE)</f>
        <v>D.出荷</v>
      </c>
      <c r="S2" s="128"/>
      <c r="T2" s="128"/>
      <c r="U2" s="128"/>
      <c r="V2" s="128"/>
      <c r="W2" s="128"/>
      <c r="X2" s="129"/>
      <c r="Y2" s="127" t="str">
        <f ca="1">VLOOKUP(RIGHT(CELL("filename",A2),LEN(CELL("filename",A2))-FIND("]",CELL("filename",A2))),テーブル一覧!B:AD,1,FALSE)</f>
        <v>出荷実績情報</v>
      </c>
      <c r="Z2" s="128"/>
      <c r="AA2" s="128"/>
      <c r="AB2" s="128"/>
      <c r="AC2" s="128"/>
      <c r="AD2" s="128"/>
      <c r="AE2" s="128"/>
      <c r="AF2" s="128"/>
      <c r="AG2" s="128"/>
      <c r="AH2" s="128"/>
      <c r="AI2" s="128"/>
      <c r="AJ2" s="128"/>
      <c r="AK2" s="128"/>
      <c r="AL2" s="128"/>
      <c r="AM2" s="128"/>
      <c r="AN2" s="128"/>
      <c r="AO2" s="129"/>
      <c r="AP2" s="97"/>
      <c r="AQ2" s="98"/>
      <c r="AR2" s="98"/>
      <c r="AS2" s="98"/>
      <c r="AT2" s="99"/>
      <c r="AU2" s="60" t="s">
        <v>188</v>
      </c>
      <c r="AV2" s="61"/>
      <c r="AW2" s="61"/>
      <c r="AX2" s="61"/>
      <c r="AY2" s="62"/>
      <c r="AZ2" s="181" t="s">
        <v>15</v>
      </c>
      <c r="BA2" s="182"/>
      <c r="BB2" s="182"/>
      <c r="BC2" s="182"/>
      <c r="BD2" s="183"/>
    </row>
    <row r="3" spans="1:56" s="16" customFormat="1" ht="15" customHeight="1" x14ac:dyDescent="0.3">
      <c r="A3" s="147"/>
      <c r="B3" s="148"/>
      <c r="C3" s="148"/>
      <c r="D3" s="148"/>
      <c r="E3" s="148"/>
      <c r="F3" s="148"/>
      <c r="G3" s="148"/>
      <c r="H3" s="149"/>
      <c r="I3" s="130"/>
      <c r="J3" s="131"/>
      <c r="K3" s="131"/>
      <c r="L3" s="131"/>
      <c r="M3" s="131"/>
      <c r="N3" s="131"/>
      <c r="O3" s="131"/>
      <c r="P3" s="131"/>
      <c r="Q3" s="132"/>
      <c r="R3" s="130"/>
      <c r="S3" s="131"/>
      <c r="T3" s="131"/>
      <c r="U3" s="131"/>
      <c r="V3" s="131"/>
      <c r="W3" s="131"/>
      <c r="X3" s="132"/>
      <c r="Y3" s="133"/>
      <c r="Z3" s="134"/>
      <c r="AA3" s="134"/>
      <c r="AB3" s="134"/>
      <c r="AC3" s="134"/>
      <c r="AD3" s="134"/>
      <c r="AE3" s="134"/>
      <c r="AF3" s="134"/>
      <c r="AG3" s="134"/>
      <c r="AH3" s="134"/>
      <c r="AI3" s="134"/>
      <c r="AJ3" s="134"/>
      <c r="AK3" s="134"/>
      <c r="AL3" s="134"/>
      <c r="AM3" s="134"/>
      <c r="AN3" s="134"/>
      <c r="AO3" s="135"/>
      <c r="AP3" s="100"/>
      <c r="AQ3" s="101"/>
      <c r="AR3" s="101"/>
      <c r="AS3" s="101"/>
      <c r="AT3" s="102"/>
      <c r="AU3" s="178"/>
      <c r="AV3" s="179"/>
      <c r="AW3" s="179"/>
      <c r="AX3" s="179"/>
      <c r="AY3" s="180"/>
      <c r="AZ3" s="181"/>
      <c r="BA3" s="182"/>
      <c r="BB3" s="182"/>
      <c r="BC3" s="182"/>
      <c r="BD3" s="183"/>
    </row>
    <row r="4" spans="1:56" s="16" customFormat="1" ht="15" customHeight="1" x14ac:dyDescent="0.3">
      <c r="A4" s="150"/>
      <c r="B4" s="151"/>
      <c r="C4" s="151"/>
      <c r="D4" s="151"/>
      <c r="E4" s="151"/>
      <c r="F4" s="151"/>
      <c r="G4" s="151"/>
      <c r="H4" s="152"/>
      <c r="I4" s="133"/>
      <c r="J4" s="134"/>
      <c r="K4" s="134"/>
      <c r="L4" s="134"/>
      <c r="M4" s="134"/>
      <c r="N4" s="134"/>
      <c r="O4" s="134"/>
      <c r="P4" s="134"/>
      <c r="Q4" s="135"/>
      <c r="R4" s="133"/>
      <c r="S4" s="134"/>
      <c r="T4" s="134"/>
      <c r="U4" s="134"/>
      <c r="V4" s="134"/>
      <c r="W4" s="134"/>
      <c r="X4" s="135"/>
      <c r="Y4" s="175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t_shukkajisseki_h</v>
      </c>
      <c r="Z4" s="176"/>
      <c r="AA4" s="176"/>
      <c r="AB4" s="176"/>
      <c r="AC4" s="176"/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  <c r="AO4" s="177"/>
      <c r="AP4" s="100"/>
      <c r="AQ4" s="101"/>
      <c r="AR4" s="101"/>
      <c r="AS4" s="101"/>
      <c r="AT4" s="102"/>
      <c r="AU4" s="178"/>
      <c r="AV4" s="179"/>
      <c r="AW4" s="179"/>
      <c r="AX4" s="179"/>
      <c r="AY4" s="180"/>
      <c r="AZ4" s="181"/>
      <c r="BA4" s="182"/>
      <c r="BB4" s="182"/>
      <c r="BC4" s="182"/>
      <c r="BD4" s="183"/>
    </row>
    <row r="6" spans="1:56" ht="15" customHeight="1" x14ac:dyDescent="0.3">
      <c r="A6" s="156" t="s">
        <v>101</v>
      </c>
      <c r="B6" s="158" t="s">
        <v>4</v>
      </c>
      <c r="C6" s="159"/>
      <c r="D6" s="159"/>
      <c r="E6" s="159"/>
      <c r="F6" s="159"/>
      <c r="G6" s="159"/>
      <c r="H6" s="160"/>
      <c r="I6" s="158" t="s">
        <v>5</v>
      </c>
      <c r="J6" s="159"/>
      <c r="K6" s="159"/>
      <c r="L6" s="159"/>
      <c r="M6" s="159"/>
      <c r="N6" s="159"/>
      <c r="O6" s="159"/>
      <c r="P6" s="159"/>
      <c r="Q6" s="160"/>
      <c r="R6" s="158" t="s">
        <v>145</v>
      </c>
      <c r="S6" s="159"/>
      <c r="T6" s="159"/>
      <c r="U6" s="159"/>
      <c r="V6" s="159"/>
      <c r="W6" s="159"/>
      <c r="X6" s="160"/>
      <c r="Y6" s="158" t="s">
        <v>6</v>
      </c>
      <c r="Z6" s="160"/>
      <c r="AA6" s="158" t="s">
        <v>7</v>
      </c>
      <c r="AB6" s="159"/>
      <c r="AC6" s="160"/>
      <c r="AD6" s="164" t="s">
        <v>8</v>
      </c>
      <c r="AE6" s="185" t="s">
        <v>9</v>
      </c>
      <c r="AF6" s="164" t="s">
        <v>10</v>
      </c>
      <c r="AG6" s="164" t="s">
        <v>11</v>
      </c>
      <c r="AH6" s="164" t="s">
        <v>12</v>
      </c>
      <c r="AI6" s="166" t="s">
        <v>13</v>
      </c>
      <c r="AJ6" s="167"/>
      <c r="AK6" s="167"/>
      <c r="AL6" s="167"/>
      <c r="AM6" s="167"/>
      <c r="AN6" s="167"/>
      <c r="AO6" s="167"/>
      <c r="AP6" s="167"/>
      <c r="AQ6" s="167"/>
      <c r="AR6" s="168"/>
      <c r="AS6" s="169" t="s">
        <v>14</v>
      </c>
      <c r="AT6" s="170"/>
      <c r="AU6" s="170"/>
      <c r="AV6" s="170"/>
      <c r="AW6" s="170"/>
      <c r="AX6" s="170"/>
      <c r="AY6" s="170"/>
      <c r="AZ6" s="170"/>
      <c r="BA6" s="170"/>
      <c r="BB6" s="170"/>
      <c r="BC6" s="170"/>
      <c r="BD6" s="171"/>
    </row>
    <row r="7" spans="1:56" ht="15" customHeight="1" x14ac:dyDescent="0.3">
      <c r="A7" s="157"/>
      <c r="B7" s="161"/>
      <c r="C7" s="162"/>
      <c r="D7" s="162"/>
      <c r="E7" s="162"/>
      <c r="F7" s="162"/>
      <c r="G7" s="162"/>
      <c r="H7" s="163"/>
      <c r="I7" s="161"/>
      <c r="J7" s="162"/>
      <c r="K7" s="162"/>
      <c r="L7" s="162"/>
      <c r="M7" s="162"/>
      <c r="N7" s="162"/>
      <c r="O7" s="162"/>
      <c r="P7" s="162"/>
      <c r="Q7" s="163"/>
      <c r="R7" s="161"/>
      <c r="S7" s="162"/>
      <c r="T7" s="162"/>
      <c r="U7" s="162"/>
      <c r="V7" s="162"/>
      <c r="W7" s="162"/>
      <c r="X7" s="163"/>
      <c r="Y7" s="161"/>
      <c r="Z7" s="163"/>
      <c r="AA7" s="161"/>
      <c r="AB7" s="162"/>
      <c r="AC7" s="163"/>
      <c r="AD7" s="165"/>
      <c r="AE7" s="186"/>
      <c r="AF7" s="165"/>
      <c r="AG7" s="165"/>
      <c r="AH7" s="165"/>
      <c r="AI7" s="56">
        <v>1</v>
      </c>
      <c r="AJ7" s="56">
        <v>2</v>
      </c>
      <c r="AK7" s="56">
        <v>3</v>
      </c>
      <c r="AL7" s="56">
        <v>4</v>
      </c>
      <c r="AM7" s="56">
        <v>5</v>
      </c>
      <c r="AN7" s="56">
        <v>6</v>
      </c>
      <c r="AO7" s="56">
        <v>7</v>
      </c>
      <c r="AP7" s="56">
        <v>8</v>
      </c>
      <c r="AQ7" s="56">
        <v>9</v>
      </c>
      <c r="AR7" s="56">
        <v>10</v>
      </c>
      <c r="AS7" s="172"/>
      <c r="AT7" s="173"/>
      <c r="AU7" s="173"/>
      <c r="AV7" s="173"/>
      <c r="AW7" s="173"/>
      <c r="AX7" s="173"/>
      <c r="AY7" s="173"/>
      <c r="AZ7" s="173"/>
      <c r="BA7" s="173"/>
      <c r="BB7" s="173"/>
      <c r="BC7" s="173"/>
      <c r="BD7" s="174"/>
    </row>
    <row r="8" spans="1:56" ht="15" customHeight="1" x14ac:dyDescent="0.3">
      <c r="A8" s="54">
        <f>IF(B8="","",COUNTA($B$8:B8))</f>
        <v>1</v>
      </c>
      <c r="B8" s="18" t="s">
        <v>204</v>
      </c>
      <c r="C8" s="19"/>
      <c r="D8" s="19"/>
      <c r="E8" s="19"/>
      <c r="F8" s="19"/>
      <c r="G8" s="19"/>
      <c r="H8" s="19"/>
      <c r="I8" s="31" t="str">
        <f>VLOOKUP(B8,Sheet1!A:B,2,FALSE)</f>
        <v>shukka_jisseki_no</v>
      </c>
      <c r="J8" s="21"/>
      <c r="K8" s="21"/>
      <c r="L8" s="21"/>
      <c r="M8" s="21"/>
      <c r="N8" s="21"/>
      <c r="O8" s="21"/>
      <c r="P8" s="21"/>
      <c r="Q8" s="21"/>
      <c r="R8" s="18" t="s">
        <v>204</v>
      </c>
      <c r="S8" s="19"/>
      <c r="T8" s="19"/>
      <c r="U8" s="19"/>
      <c r="V8" s="19"/>
      <c r="W8" s="19"/>
      <c r="X8" s="19"/>
      <c r="Y8" s="139" t="s">
        <v>111</v>
      </c>
      <c r="Z8" s="140"/>
      <c r="AA8" s="141" t="s">
        <v>107</v>
      </c>
      <c r="AB8" s="142"/>
      <c r="AC8" s="143"/>
      <c r="AD8" s="25">
        <v>10</v>
      </c>
      <c r="AE8" s="26"/>
      <c r="AF8" s="26" t="s">
        <v>119</v>
      </c>
      <c r="AG8" s="26" t="s">
        <v>85</v>
      </c>
      <c r="AH8" s="26"/>
      <c r="AI8" s="26"/>
      <c r="AJ8" s="26"/>
      <c r="AK8" s="26"/>
      <c r="AL8" s="26"/>
      <c r="AM8" s="26"/>
      <c r="AN8" s="26"/>
      <c r="AO8" s="27"/>
      <c r="AP8" s="27"/>
      <c r="AQ8" s="27"/>
      <c r="AR8" s="27"/>
      <c r="AS8" s="42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68"/>
    </row>
    <row r="9" spans="1:56" s="49" customFormat="1" ht="15" customHeight="1" x14ac:dyDescent="0.3">
      <c r="A9" s="54">
        <f>IF(B9="","",COUNTA($B$8:B9))</f>
        <v>2</v>
      </c>
      <c r="B9" s="18" t="s">
        <v>203</v>
      </c>
      <c r="C9" s="19"/>
      <c r="D9" s="19"/>
      <c r="E9" s="19"/>
      <c r="F9" s="19"/>
      <c r="G9" s="19"/>
      <c r="H9" s="19"/>
      <c r="I9" s="31" t="str">
        <f>VLOOKUP(B9,Sheet1!A:B,2,FALSE)</f>
        <v>shukka_shiji_no</v>
      </c>
      <c r="J9" s="21"/>
      <c r="K9" s="21"/>
      <c r="L9" s="21"/>
      <c r="M9" s="21"/>
      <c r="N9" s="21"/>
      <c r="O9" s="21"/>
      <c r="P9" s="21"/>
      <c r="Q9" s="21"/>
      <c r="R9" s="18" t="s">
        <v>203</v>
      </c>
      <c r="S9" s="19"/>
      <c r="T9" s="19"/>
      <c r="U9" s="19"/>
      <c r="V9" s="19"/>
      <c r="W9" s="19"/>
      <c r="X9" s="19"/>
      <c r="Y9" s="139" t="s">
        <v>111</v>
      </c>
      <c r="Z9" s="140"/>
      <c r="AA9" s="141" t="s">
        <v>107</v>
      </c>
      <c r="AB9" s="142"/>
      <c r="AC9" s="143"/>
      <c r="AD9" s="55">
        <v>10</v>
      </c>
      <c r="AE9" s="26"/>
      <c r="AF9" s="47" t="s">
        <v>205</v>
      </c>
      <c r="AG9" s="47" t="s">
        <v>85</v>
      </c>
      <c r="AH9" s="47"/>
      <c r="AI9" s="47"/>
      <c r="AJ9" s="47"/>
      <c r="AK9" s="47"/>
      <c r="AL9" s="47"/>
      <c r="AM9" s="47"/>
      <c r="AN9" s="47"/>
      <c r="AO9" s="48"/>
      <c r="AP9" s="48"/>
      <c r="AQ9" s="48"/>
      <c r="AR9" s="48"/>
      <c r="AS9" s="28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30"/>
    </row>
    <row r="10" spans="1:56" ht="15" customHeight="1" x14ac:dyDescent="0.3">
      <c r="A10" s="54">
        <f>IF(B10="","",COUNTA($B$8:B10))</f>
        <v>3</v>
      </c>
      <c r="B10" s="42" t="s">
        <v>120</v>
      </c>
      <c r="C10" s="41"/>
      <c r="D10" s="41"/>
      <c r="E10" s="41"/>
      <c r="F10" s="41"/>
      <c r="G10" s="41"/>
      <c r="H10" s="41"/>
      <c r="I10" s="31" t="str">
        <f>VLOOKUP(B10,Sheet1!A:B,2,FALSE)</f>
        <v>kokunai_kaigai_kbn</v>
      </c>
      <c r="J10" s="32"/>
      <c r="K10" s="32"/>
      <c r="L10" s="32"/>
      <c r="M10" s="32"/>
      <c r="N10" s="32"/>
      <c r="O10" s="32"/>
      <c r="P10" s="32"/>
      <c r="Q10" s="32"/>
      <c r="R10" s="42" t="s">
        <v>120</v>
      </c>
      <c r="S10" s="41"/>
      <c r="T10" s="41"/>
      <c r="U10" s="41"/>
      <c r="V10" s="41"/>
      <c r="W10" s="41"/>
      <c r="X10" s="41"/>
      <c r="Y10" s="139" t="s">
        <v>111</v>
      </c>
      <c r="Z10" s="140"/>
      <c r="AA10" s="141" t="s">
        <v>107</v>
      </c>
      <c r="AB10" s="142"/>
      <c r="AC10" s="143"/>
      <c r="AD10" s="72">
        <v>1</v>
      </c>
      <c r="AE10" s="27"/>
      <c r="AF10" s="27"/>
      <c r="AG10" s="27"/>
      <c r="AH10" s="27"/>
      <c r="AI10" s="27">
        <v>1</v>
      </c>
      <c r="AJ10" s="27"/>
      <c r="AK10" s="27"/>
      <c r="AL10" s="27"/>
      <c r="AM10" s="27"/>
      <c r="AN10" s="27"/>
      <c r="AO10" s="27"/>
      <c r="AP10" s="27"/>
      <c r="AQ10" s="27"/>
      <c r="AR10" s="27"/>
      <c r="AS10" s="199" t="s">
        <v>1569</v>
      </c>
      <c r="AT10" s="200"/>
      <c r="AU10" s="200"/>
      <c r="AV10" s="200"/>
      <c r="AW10" s="200"/>
      <c r="AX10" s="200"/>
      <c r="AY10" s="43"/>
      <c r="AZ10" s="43"/>
      <c r="BA10" s="43"/>
      <c r="BB10" s="43"/>
      <c r="BC10" s="43"/>
      <c r="BD10" s="68"/>
    </row>
    <row r="11" spans="1:56" ht="15" customHeight="1" x14ac:dyDescent="0.3">
      <c r="A11" s="54">
        <f>IF(B11="","",COUNTA($B$8:B11))</f>
        <v>4</v>
      </c>
      <c r="B11" s="188" t="s">
        <v>1567</v>
      </c>
      <c r="C11" s="189"/>
      <c r="D11" s="189"/>
      <c r="E11" s="189"/>
      <c r="F11" s="189"/>
      <c r="G11" s="189"/>
      <c r="H11" s="189"/>
      <c r="I11" s="190" t="str">
        <f>VLOOKUP(B11,Sheet1!A:B,2,FALSE)</f>
        <v>shukka_ido_kbn</v>
      </c>
      <c r="J11" s="191"/>
      <c r="K11" s="191"/>
      <c r="L11" s="191"/>
      <c r="M11" s="191"/>
      <c r="N11" s="191"/>
      <c r="O11" s="191"/>
      <c r="P11" s="191"/>
      <c r="Q11" s="191"/>
      <c r="R11" s="188" t="s">
        <v>1567</v>
      </c>
      <c r="S11" s="189"/>
      <c r="T11" s="189"/>
      <c r="U11" s="189"/>
      <c r="V11" s="189"/>
      <c r="W11" s="189"/>
      <c r="X11" s="189"/>
      <c r="Y11" s="202" t="s">
        <v>111</v>
      </c>
      <c r="Z11" s="203"/>
      <c r="AA11" s="204" t="s">
        <v>107</v>
      </c>
      <c r="AB11" s="205"/>
      <c r="AC11" s="206"/>
      <c r="AD11" s="207">
        <v>1</v>
      </c>
      <c r="AE11" s="198"/>
      <c r="AF11" s="198"/>
      <c r="AG11" s="198"/>
      <c r="AH11" s="198"/>
      <c r="AI11" s="198"/>
      <c r="AJ11" s="198"/>
      <c r="AK11" s="198"/>
      <c r="AL11" s="198"/>
      <c r="AM11" s="198"/>
      <c r="AN11" s="198"/>
      <c r="AO11" s="198"/>
      <c r="AP11" s="198"/>
      <c r="AQ11" s="198"/>
      <c r="AR11" s="198"/>
      <c r="AS11" s="199" t="s">
        <v>1568</v>
      </c>
      <c r="AT11" s="200"/>
      <c r="AU11" s="200"/>
      <c r="AV11" s="200"/>
      <c r="AW11" s="200"/>
      <c r="AX11" s="200"/>
      <c r="AY11" s="43"/>
      <c r="AZ11" s="43"/>
      <c r="BA11" s="43"/>
      <c r="BB11" s="43"/>
      <c r="BC11" s="43"/>
      <c r="BD11" s="68"/>
    </row>
    <row r="12" spans="1:56" ht="15" customHeight="1" x14ac:dyDescent="0.3">
      <c r="A12" s="54">
        <f>IF(B12="","",COUNTA($B$8:B12))</f>
        <v>5</v>
      </c>
      <c r="B12" s="42" t="s">
        <v>151</v>
      </c>
      <c r="C12" s="41"/>
      <c r="D12" s="41"/>
      <c r="E12" s="41"/>
      <c r="F12" s="41"/>
      <c r="G12" s="41"/>
      <c r="H12" s="41"/>
      <c r="I12" s="31" t="str">
        <f>VLOOKUP(B12,Sheet1!A:B,2,FALSE)</f>
        <v>shukka_date</v>
      </c>
      <c r="J12" s="32"/>
      <c r="K12" s="32"/>
      <c r="L12" s="32"/>
      <c r="M12" s="32"/>
      <c r="N12" s="32"/>
      <c r="O12" s="32"/>
      <c r="P12" s="32"/>
      <c r="Q12" s="32"/>
      <c r="R12" s="42" t="s">
        <v>151</v>
      </c>
      <c r="S12" s="41"/>
      <c r="T12" s="41"/>
      <c r="U12" s="41"/>
      <c r="V12" s="41"/>
      <c r="W12" s="41"/>
      <c r="X12" s="41"/>
      <c r="Y12" s="139" t="s">
        <v>87</v>
      </c>
      <c r="Z12" s="140"/>
      <c r="AA12" s="141" t="s">
        <v>109</v>
      </c>
      <c r="AB12" s="142"/>
      <c r="AC12" s="143"/>
      <c r="AD12" s="72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42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68"/>
    </row>
    <row r="13" spans="1:56" ht="15" customHeight="1" x14ac:dyDescent="0.3">
      <c r="A13" s="54">
        <f>IF(B13="","",COUNTA($B$8:B13))</f>
        <v>6</v>
      </c>
      <c r="B13" s="42" t="s">
        <v>152</v>
      </c>
      <c r="C13" s="44"/>
      <c r="D13" s="44"/>
      <c r="E13" s="44"/>
      <c r="F13" s="44"/>
      <c r="G13" s="44"/>
      <c r="H13" s="44"/>
      <c r="I13" s="31" t="str">
        <f>VLOOKUP(B13,Sheet1!A:B,2,FALSE)</f>
        <v>nonyu_date</v>
      </c>
      <c r="J13" s="32"/>
      <c r="K13" s="32"/>
      <c r="L13" s="32"/>
      <c r="M13" s="32"/>
      <c r="N13" s="32"/>
      <c r="O13" s="32"/>
      <c r="P13" s="32"/>
      <c r="Q13" s="32"/>
      <c r="R13" s="42" t="s">
        <v>152</v>
      </c>
      <c r="S13" s="44"/>
      <c r="T13" s="44"/>
      <c r="U13" s="44"/>
      <c r="V13" s="44"/>
      <c r="W13" s="44"/>
      <c r="X13" s="44"/>
      <c r="Y13" s="139" t="s">
        <v>87</v>
      </c>
      <c r="Z13" s="140"/>
      <c r="AA13" s="141" t="s">
        <v>109</v>
      </c>
      <c r="AB13" s="142"/>
      <c r="AC13" s="143"/>
      <c r="AD13" s="45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42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68"/>
    </row>
    <row r="14" spans="1:56" ht="15" customHeight="1" x14ac:dyDescent="0.3">
      <c r="A14" s="54">
        <f>IF(B14="","",COUNTA($B$8:B14))</f>
        <v>7</v>
      </c>
      <c r="B14" s="42" t="s">
        <v>122</v>
      </c>
      <c r="C14" s="41"/>
      <c r="D14" s="41"/>
      <c r="E14" s="41"/>
      <c r="F14" s="41"/>
      <c r="G14" s="41"/>
      <c r="H14" s="41"/>
      <c r="I14" s="31" t="str">
        <f>VLOOKUP(B14,Sheet1!A:B,2,FALSE)</f>
        <v>tokuisaki_cd</v>
      </c>
      <c r="J14" s="32"/>
      <c r="K14" s="32"/>
      <c r="L14" s="32"/>
      <c r="M14" s="32"/>
      <c r="N14" s="32"/>
      <c r="O14" s="32"/>
      <c r="P14" s="32"/>
      <c r="Q14" s="32"/>
      <c r="R14" s="42" t="s">
        <v>122</v>
      </c>
      <c r="S14" s="41"/>
      <c r="T14" s="41"/>
      <c r="U14" s="41"/>
      <c r="V14" s="41"/>
      <c r="W14" s="41"/>
      <c r="X14" s="41"/>
      <c r="Y14" s="139" t="s">
        <v>111</v>
      </c>
      <c r="Z14" s="140"/>
      <c r="AA14" s="141" t="s">
        <v>107</v>
      </c>
      <c r="AB14" s="142"/>
      <c r="AC14" s="143"/>
      <c r="AD14" s="72">
        <v>5</v>
      </c>
      <c r="AE14" s="27"/>
      <c r="AF14" s="27"/>
      <c r="AG14" s="27"/>
      <c r="AH14" s="27"/>
      <c r="AI14" s="27"/>
      <c r="AJ14" s="27">
        <v>1</v>
      </c>
      <c r="AK14" s="27"/>
      <c r="AL14" s="27"/>
      <c r="AM14" s="27"/>
      <c r="AN14" s="27"/>
      <c r="AO14" s="27"/>
      <c r="AP14" s="27"/>
      <c r="AQ14" s="27"/>
      <c r="AR14" s="27"/>
      <c r="AS14" s="42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68"/>
    </row>
    <row r="15" spans="1:56" ht="15" customHeight="1" x14ac:dyDescent="0.3">
      <c r="A15" s="54">
        <f>IF(B15="","",COUNTA($B$8:B15))</f>
        <v>8</v>
      </c>
      <c r="B15" s="42" t="s">
        <v>123</v>
      </c>
      <c r="C15" s="41"/>
      <c r="D15" s="41"/>
      <c r="E15" s="41"/>
      <c r="F15" s="41"/>
      <c r="G15" s="41"/>
      <c r="H15" s="41"/>
      <c r="I15" s="31" t="str">
        <f>VLOOKUP(B15,Sheet1!A:B,2,FALSE)</f>
        <v>tokuisaki_nm</v>
      </c>
      <c r="J15" s="32"/>
      <c r="K15" s="32"/>
      <c r="L15" s="32"/>
      <c r="M15" s="32"/>
      <c r="N15" s="32"/>
      <c r="O15" s="32"/>
      <c r="P15" s="32"/>
      <c r="Q15" s="32"/>
      <c r="R15" s="42" t="s">
        <v>123</v>
      </c>
      <c r="S15" s="41"/>
      <c r="T15" s="41"/>
      <c r="U15" s="41"/>
      <c r="V15" s="41"/>
      <c r="W15" s="41"/>
      <c r="X15" s="41"/>
      <c r="Y15" s="139" t="s">
        <v>111</v>
      </c>
      <c r="Z15" s="140"/>
      <c r="AA15" s="141" t="s">
        <v>107</v>
      </c>
      <c r="AB15" s="142"/>
      <c r="AC15" s="143"/>
      <c r="AD15" s="72">
        <v>80</v>
      </c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42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68"/>
    </row>
    <row r="16" spans="1:56" ht="15" customHeight="1" x14ac:dyDescent="0.3">
      <c r="A16" s="54">
        <f>IF(B16="","",COUNTA($B$8:B16))</f>
        <v>9</v>
      </c>
      <c r="B16" s="42" t="s">
        <v>124</v>
      </c>
      <c r="C16" s="41"/>
      <c r="D16" s="41"/>
      <c r="E16" s="41"/>
      <c r="F16" s="41"/>
      <c r="G16" s="41"/>
      <c r="H16" s="41"/>
      <c r="I16" s="31" t="str">
        <f>VLOOKUP(B16,Sheet1!A:B,2,FALSE)</f>
        <v>nonyusaki_cd</v>
      </c>
      <c r="J16" s="32"/>
      <c r="K16" s="32"/>
      <c r="L16" s="32"/>
      <c r="M16" s="32"/>
      <c r="N16" s="32"/>
      <c r="O16" s="32"/>
      <c r="P16" s="32"/>
      <c r="Q16" s="32"/>
      <c r="R16" s="42" t="s">
        <v>124</v>
      </c>
      <c r="S16" s="41"/>
      <c r="T16" s="41"/>
      <c r="U16" s="41"/>
      <c r="V16" s="41"/>
      <c r="W16" s="41"/>
      <c r="X16" s="41"/>
      <c r="Y16" s="139" t="s">
        <v>111</v>
      </c>
      <c r="Z16" s="140"/>
      <c r="AA16" s="141" t="s">
        <v>107</v>
      </c>
      <c r="AB16" s="142"/>
      <c r="AC16" s="143"/>
      <c r="AD16" s="72">
        <v>5</v>
      </c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42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68"/>
    </row>
    <row r="17" spans="1:56" ht="15" customHeight="1" x14ac:dyDescent="0.3">
      <c r="A17" s="54">
        <f>IF(B17="","",COUNTA($B$8:B17))</f>
        <v>10</v>
      </c>
      <c r="B17" s="42" t="s">
        <v>125</v>
      </c>
      <c r="C17" s="41"/>
      <c r="D17" s="41"/>
      <c r="E17" s="41"/>
      <c r="F17" s="41"/>
      <c r="G17" s="41"/>
      <c r="H17" s="41"/>
      <c r="I17" s="31" t="str">
        <f>VLOOKUP(B17,Sheet1!A:B,2,FALSE)</f>
        <v>nonyusaki_nm</v>
      </c>
      <c r="J17" s="32"/>
      <c r="K17" s="32"/>
      <c r="L17" s="32"/>
      <c r="M17" s="32"/>
      <c r="N17" s="32"/>
      <c r="O17" s="32"/>
      <c r="P17" s="32"/>
      <c r="Q17" s="32"/>
      <c r="R17" s="42" t="s">
        <v>125</v>
      </c>
      <c r="S17" s="41"/>
      <c r="T17" s="41"/>
      <c r="U17" s="41"/>
      <c r="V17" s="41"/>
      <c r="W17" s="41"/>
      <c r="X17" s="41"/>
      <c r="Y17" s="139" t="s">
        <v>111</v>
      </c>
      <c r="Z17" s="140"/>
      <c r="AA17" s="141" t="s">
        <v>107</v>
      </c>
      <c r="AB17" s="142"/>
      <c r="AC17" s="143"/>
      <c r="AD17" s="72">
        <v>80</v>
      </c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42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68"/>
    </row>
    <row r="18" spans="1:56" ht="15" customHeight="1" x14ac:dyDescent="0.3">
      <c r="A18" s="54">
        <f>IF(B18="","",COUNTA($B$8:B18))</f>
        <v>11</v>
      </c>
      <c r="B18" s="42" t="s">
        <v>126</v>
      </c>
      <c r="C18" s="41"/>
      <c r="D18" s="41"/>
      <c r="E18" s="41"/>
      <c r="F18" s="41"/>
      <c r="G18" s="41"/>
      <c r="H18" s="41"/>
      <c r="I18" s="31" t="str">
        <f>VLOOKUP(B18,Sheet1!A:B,2,FALSE)</f>
        <v>atsukaiten_cd</v>
      </c>
      <c r="J18" s="32"/>
      <c r="K18" s="32"/>
      <c r="L18" s="32"/>
      <c r="M18" s="32"/>
      <c r="N18" s="32"/>
      <c r="O18" s="32"/>
      <c r="P18" s="32"/>
      <c r="Q18" s="32"/>
      <c r="R18" s="42" t="s">
        <v>126</v>
      </c>
      <c r="S18" s="41"/>
      <c r="T18" s="41"/>
      <c r="U18" s="41"/>
      <c r="V18" s="41"/>
      <c r="W18" s="41"/>
      <c r="X18" s="41"/>
      <c r="Y18" s="139" t="s">
        <v>111</v>
      </c>
      <c r="Z18" s="184"/>
      <c r="AA18" s="141" t="s">
        <v>107</v>
      </c>
      <c r="AB18" s="142"/>
      <c r="AC18" s="143"/>
      <c r="AD18" s="72">
        <v>5</v>
      </c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42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68"/>
    </row>
    <row r="19" spans="1:56" ht="15" customHeight="1" x14ac:dyDescent="0.3">
      <c r="A19" s="54">
        <f>IF(B19="","",COUNTA($B$8:B19))</f>
        <v>12</v>
      </c>
      <c r="B19" s="42" t="s">
        <v>127</v>
      </c>
      <c r="C19" s="41"/>
      <c r="D19" s="41"/>
      <c r="E19" s="41"/>
      <c r="F19" s="41"/>
      <c r="G19" s="41"/>
      <c r="H19" s="41"/>
      <c r="I19" s="31" t="str">
        <f>VLOOKUP(B19,Sheet1!A:B,2,FALSE)</f>
        <v>atsukaiten_nm</v>
      </c>
      <c r="J19" s="32"/>
      <c r="K19" s="32"/>
      <c r="L19" s="32"/>
      <c r="M19" s="32"/>
      <c r="N19" s="32"/>
      <c r="O19" s="32"/>
      <c r="P19" s="32"/>
      <c r="Q19" s="32"/>
      <c r="R19" s="42" t="s">
        <v>127</v>
      </c>
      <c r="S19" s="41"/>
      <c r="T19" s="41"/>
      <c r="U19" s="41"/>
      <c r="V19" s="41"/>
      <c r="W19" s="41"/>
      <c r="X19" s="41"/>
      <c r="Y19" s="139" t="s">
        <v>111</v>
      </c>
      <c r="Z19" s="184"/>
      <c r="AA19" s="141" t="s">
        <v>107</v>
      </c>
      <c r="AB19" s="142"/>
      <c r="AC19" s="143"/>
      <c r="AD19" s="72">
        <v>80</v>
      </c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42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68"/>
    </row>
    <row r="20" spans="1:56" ht="15" customHeight="1" x14ac:dyDescent="0.3">
      <c r="A20" s="54">
        <f>IF(B20="","",COUNTA($B$8:B20))</f>
        <v>13</v>
      </c>
      <c r="B20" s="42" t="s">
        <v>154</v>
      </c>
      <c r="C20" s="41"/>
      <c r="D20" s="41"/>
      <c r="E20" s="41"/>
      <c r="F20" s="41"/>
      <c r="G20" s="41"/>
      <c r="H20" s="41"/>
      <c r="I20" s="31" t="str">
        <f>VLOOKUP(B20,Sheet1!A:B,2,FALSE)</f>
        <v>unsokaisha_cd</v>
      </c>
      <c r="J20" s="32"/>
      <c r="K20" s="32"/>
      <c r="L20" s="32"/>
      <c r="M20" s="32"/>
      <c r="N20" s="32"/>
      <c r="O20" s="32"/>
      <c r="P20" s="32"/>
      <c r="Q20" s="32"/>
      <c r="R20" s="42" t="s">
        <v>154</v>
      </c>
      <c r="S20" s="41"/>
      <c r="T20" s="41"/>
      <c r="U20" s="41"/>
      <c r="V20" s="41"/>
      <c r="W20" s="41"/>
      <c r="X20" s="41"/>
      <c r="Y20" s="139" t="s">
        <v>111</v>
      </c>
      <c r="Z20" s="184"/>
      <c r="AA20" s="141" t="s">
        <v>107</v>
      </c>
      <c r="AB20" s="142"/>
      <c r="AC20" s="143"/>
      <c r="AD20" s="72">
        <v>5</v>
      </c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42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68"/>
    </row>
    <row r="21" spans="1:56" ht="15" customHeight="1" x14ac:dyDescent="0.3">
      <c r="A21" s="54">
        <f>IF(B21="","",COUNTA($B$8:B21))</f>
        <v>14</v>
      </c>
      <c r="B21" s="42" t="s">
        <v>1496</v>
      </c>
      <c r="C21" s="41"/>
      <c r="D21" s="41"/>
      <c r="E21" s="41"/>
      <c r="F21" s="41"/>
      <c r="G21" s="41"/>
      <c r="H21" s="41"/>
      <c r="I21" s="31" t="str">
        <f>VLOOKUP(B21,Sheet1!A:B,2,FALSE)</f>
        <v>unsokaisha_nm</v>
      </c>
      <c r="J21" s="32"/>
      <c r="K21" s="32"/>
      <c r="L21" s="32"/>
      <c r="M21" s="32"/>
      <c r="N21" s="32"/>
      <c r="O21" s="32"/>
      <c r="P21" s="32"/>
      <c r="Q21" s="32"/>
      <c r="R21" s="42" t="s">
        <v>1496</v>
      </c>
      <c r="S21" s="41"/>
      <c r="T21" s="41"/>
      <c r="U21" s="41"/>
      <c r="V21" s="41"/>
      <c r="W21" s="41"/>
      <c r="X21" s="41"/>
      <c r="Y21" s="139" t="s">
        <v>111</v>
      </c>
      <c r="Z21" s="184"/>
      <c r="AA21" s="141" t="s">
        <v>107</v>
      </c>
      <c r="AB21" s="142"/>
      <c r="AC21" s="143"/>
      <c r="AD21" s="72">
        <v>80</v>
      </c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42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68"/>
    </row>
    <row r="22" spans="1:56" ht="15" customHeight="1" x14ac:dyDescent="0.3">
      <c r="A22" s="54">
        <f>IF(B22="","",COUNTA($B$8:B22))</f>
        <v>15</v>
      </c>
      <c r="B22" s="18" t="s">
        <v>197</v>
      </c>
      <c r="C22" s="41"/>
      <c r="D22" s="41"/>
      <c r="E22" s="41"/>
      <c r="F22" s="41"/>
      <c r="G22" s="41"/>
      <c r="H22" s="41"/>
      <c r="I22" s="31" t="str">
        <f>VLOOKUP(B22,Sheet1!A:B,2,FALSE)</f>
        <v>nisugata_su</v>
      </c>
      <c r="J22" s="32"/>
      <c r="K22" s="32"/>
      <c r="L22" s="32"/>
      <c r="M22" s="32"/>
      <c r="N22" s="32"/>
      <c r="O22" s="32"/>
      <c r="P22" s="32"/>
      <c r="Q22" s="32"/>
      <c r="R22" s="18" t="s">
        <v>197</v>
      </c>
      <c r="S22" s="41"/>
      <c r="T22" s="41"/>
      <c r="U22" s="41"/>
      <c r="V22" s="41"/>
      <c r="W22" s="41"/>
      <c r="X22" s="41"/>
      <c r="Y22" s="139" t="s">
        <v>108</v>
      </c>
      <c r="Z22" s="140"/>
      <c r="AA22" s="141" t="s">
        <v>110</v>
      </c>
      <c r="AB22" s="142"/>
      <c r="AC22" s="143"/>
      <c r="AD22" s="72">
        <v>3</v>
      </c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42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68"/>
    </row>
    <row r="23" spans="1:56" ht="15" customHeight="1" x14ac:dyDescent="0.3">
      <c r="A23" s="54">
        <f>IF(B23="","",COUNTA($B$8:B23))</f>
        <v>16</v>
      </c>
      <c r="B23" s="18" t="s">
        <v>172</v>
      </c>
      <c r="C23" s="41"/>
      <c r="D23" s="41"/>
      <c r="E23" s="41"/>
      <c r="F23" s="41"/>
      <c r="G23" s="41"/>
      <c r="H23" s="41"/>
      <c r="I23" s="31" t="str">
        <f>VLOOKUP(B23,Sheet1!A:B,2,FALSE)</f>
        <v>nisugata_unit</v>
      </c>
      <c r="J23" s="32"/>
      <c r="K23" s="32"/>
      <c r="L23" s="32"/>
      <c r="M23" s="32"/>
      <c r="N23" s="32"/>
      <c r="O23" s="32"/>
      <c r="P23" s="32"/>
      <c r="Q23" s="32"/>
      <c r="R23" s="18" t="s">
        <v>172</v>
      </c>
      <c r="S23" s="41"/>
      <c r="T23" s="41"/>
      <c r="U23" s="41"/>
      <c r="V23" s="41"/>
      <c r="W23" s="41"/>
      <c r="X23" s="41"/>
      <c r="Y23" s="139" t="s">
        <v>111</v>
      </c>
      <c r="Z23" s="140"/>
      <c r="AA23" s="141" t="s">
        <v>107</v>
      </c>
      <c r="AB23" s="142"/>
      <c r="AC23" s="143"/>
      <c r="AD23" s="72">
        <v>4</v>
      </c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42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68"/>
    </row>
    <row r="24" spans="1:56" ht="15" customHeight="1" x14ac:dyDescent="0.3">
      <c r="A24" s="54">
        <f>IF(B24="","",COUNTA($B$8:B24))</f>
        <v>17</v>
      </c>
      <c r="B24" s="18" t="s">
        <v>139</v>
      </c>
      <c r="C24" s="41"/>
      <c r="D24" s="41"/>
      <c r="E24" s="41"/>
      <c r="F24" s="41"/>
      <c r="G24" s="41"/>
      <c r="H24" s="41"/>
      <c r="I24" s="31" t="str">
        <f>VLOOKUP(B24,Sheet1!A:B,2,FALSE)</f>
        <v>biko</v>
      </c>
      <c r="J24" s="32"/>
      <c r="K24" s="32"/>
      <c r="L24" s="32"/>
      <c r="M24" s="32"/>
      <c r="N24" s="32"/>
      <c r="O24" s="32"/>
      <c r="P24" s="32"/>
      <c r="Q24" s="32"/>
      <c r="R24" s="18" t="s">
        <v>139</v>
      </c>
      <c r="S24" s="41"/>
      <c r="T24" s="41"/>
      <c r="U24" s="41"/>
      <c r="V24" s="41"/>
      <c r="W24" s="41"/>
      <c r="X24" s="41"/>
      <c r="Y24" s="139" t="s">
        <v>111</v>
      </c>
      <c r="Z24" s="140"/>
      <c r="AA24" s="141" t="s">
        <v>107</v>
      </c>
      <c r="AB24" s="142"/>
      <c r="AC24" s="143"/>
      <c r="AD24" s="72">
        <v>1000</v>
      </c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42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68"/>
    </row>
    <row r="25" spans="1:56" ht="15" customHeight="1" x14ac:dyDescent="0.3">
      <c r="A25" s="54">
        <f>IF(B25="","",COUNTA($B$8:B25))</f>
        <v>18</v>
      </c>
      <c r="B25" s="18" t="s">
        <v>1520</v>
      </c>
      <c r="C25" s="41"/>
      <c r="D25" s="41"/>
      <c r="E25" s="41"/>
      <c r="F25" s="41"/>
      <c r="G25" s="41"/>
      <c r="H25" s="41"/>
      <c r="I25" s="31" t="str">
        <f>VLOOKUP(B25,Sheet1!A:B,2,FALSE)</f>
        <v>unso_biko</v>
      </c>
      <c r="J25" s="32"/>
      <c r="K25" s="32"/>
      <c r="L25" s="32"/>
      <c r="M25" s="32"/>
      <c r="N25" s="32"/>
      <c r="O25" s="32"/>
      <c r="P25" s="32"/>
      <c r="Q25" s="32"/>
      <c r="R25" s="18" t="s">
        <v>1520</v>
      </c>
      <c r="S25" s="41"/>
      <c r="T25" s="41"/>
      <c r="U25" s="41"/>
      <c r="V25" s="41"/>
      <c r="W25" s="41"/>
      <c r="X25" s="41"/>
      <c r="Y25" s="139" t="s">
        <v>111</v>
      </c>
      <c r="Z25" s="140"/>
      <c r="AA25" s="141" t="s">
        <v>107</v>
      </c>
      <c r="AB25" s="142"/>
      <c r="AC25" s="143"/>
      <c r="AD25" s="72">
        <v>1000</v>
      </c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42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68"/>
    </row>
    <row r="26" spans="1:56" ht="15" customHeight="1" x14ac:dyDescent="0.3">
      <c r="A26" s="54">
        <f>IF(B26="","",COUNTA($B$8:B26))</f>
        <v>19</v>
      </c>
      <c r="B26" s="42" t="s">
        <v>1511</v>
      </c>
      <c r="C26" s="41"/>
      <c r="D26" s="41"/>
      <c r="E26" s="41"/>
      <c r="F26" s="41"/>
      <c r="G26" s="41"/>
      <c r="H26" s="41"/>
      <c r="I26" s="31" t="str">
        <f>VLOOKUP(B26,Sheet1!A:B,2,FALSE)</f>
        <v>okurijo_nonyu_basho</v>
      </c>
      <c r="J26" s="32"/>
      <c r="K26" s="32"/>
      <c r="L26" s="32"/>
      <c r="M26" s="32"/>
      <c r="N26" s="32"/>
      <c r="O26" s="32"/>
      <c r="P26" s="32"/>
      <c r="Q26" s="32"/>
      <c r="R26" s="42" t="s">
        <v>1511</v>
      </c>
      <c r="S26" s="41"/>
      <c r="T26" s="41"/>
      <c r="U26" s="41"/>
      <c r="V26" s="41"/>
      <c r="W26" s="41"/>
      <c r="X26" s="41"/>
      <c r="Y26" s="139" t="s">
        <v>111</v>
      </c>
      <c r="Z26" s="140"/>
      <c r="AA26" s="141" t="s">
        <v>107</v>
      </c>
      <c r="AB26" s="142"/>
      <c r="AC26" s="143"/>
      <c r="AD26" s="72">
        <v>50</v>
      </c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42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68"/>
    </row>
    <row r="27" spans="1:56" ht="15" customHeight="1" x14ac:dyDescent="0.3">
      <c r="A27" s="54">
        <f>IF(B27="","",COUNTA($B$8:B27))</f>
        <v>20</v>
      </c>
      <c r="B27" s="18" t="s">
        <v>1512</v>
      </c>
      <c r="C27" s="41"/>
      <c r="D27" s="41"/>
      <c r="E27" s="41"/>
      <c r="F27" s="41"/>
      <c r="G27" s="41"/>
      <c r="H27" s="41"/>
      <c r="I27" s="31" t="str">
        <f>VLOOKUP(B27,Sheet1!A:B,2,FALSE)</f>
        <v>okurijo_nonyubi_biko</v>
      </c>
      <c r="J27" s="32"/>
      <c r="K27" s="32"/>
      <c r="L27" s="32"/>
      <c r="M27" s="32"/>
      <c r="N27" s="32"/>
      <c r="O27" s="32"/>
      <c r="P27" s="32"/>
      <c r="Q27" s="32"/>
      <c r="R27" s="18" t="s">
        <v>1512</v>
      </c>
      <c r="S27" s="41"/>
      <c r="T27" s="41"/>
      <c r="U27" s="41"/>
      <c r="V27" s="41"/>
      <c r="W27" s="41"/>
      <c r="X27" s="41"/>
      <c r="Y27" s="139" t="s">
        <v>111</v>
      </c>
      <c r="Z27" s="140"/>
      <c r="AA27" s="141" t="s">
        <v>107</v>
      </c>
      <c r="AB27" s="142"/>
      <c r="AC27" s="143"/>
      <c r="AD27" s="72">
        <v>50</v>
      </c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42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68"/>
    </row>
    <row r="28" spans="1:56" ht="15" customHeight="1" x14ac:dyDescent="0.3">
      <c r="A28" s="54">
        <f>IF(B28="","",COUNTA($B$8:B28))</f>
        <v>21</v>
      </c>
      <c r="B28" s="18" t="s">
        <v>153</v>
      </c>
      <c r="C28" s="41"/>
      <c r="D28" s="41"/>
      <c r="E28" s="41"/>
      <c r="F28" s="41"/>
      <c r="G28" s="41"/>
      <c r="H28" s="41"/>
      <c r="I28" s="31" t="str">
        <f>VLOOKUP(B28,Sheet1!A:B,2,FALSE)</f>
        <v>okurijo_tekiyo</v>
      </c>
      <c r="J28" s="32"/>
      <c r="K28" s="32"/>
      <c r="L28" s="32"/>
      <c r="M28" s="32"/>
      <c r="N28" s="32"/>
      <c r="O28" s="32"/>
      <c r="P28" s="32"/>
      <c r="Q28" s="32"/>
      <c r="R28" s="18" t="s">
        <v>153</v>
      </c>
      <c r="S28" s="41"/>
      <c r="T28" s="41"/>
      <c r="U28" s="41"/>
      <c r="V28" s="41"/>
      <c r="W28" s="41"/>
      <c r="X28" s="41"/>
      <c r="Y28" s="139" t="s">
        <v>111</v>
      </c>
      <c r="Z28" s="140"/>
      <c r="AA28" s="141" t="s">
        <v>107</v>
      </c>
      <c r="AB28" s="142"/>
      <c r="AC28" s="143"/>
      <c r="AD28" s="72">
        <v>50</v>
      </c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42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68"/>
    </row>
    <row r="29" spans="1:56" ht="15" customHeight="1" x14ac:dyDescent="0.3">
      <c r="A29" s="54">
        <f>IF(B29="","",COUNTA($B$8:B29))</f>
        <v>22</v>
      </c>
      <c r="B29" s="18" t="s">
        <v>1519</v>
      </c>
      <c r="C29" s="41"/>
      <c r="D29" s="41"/>
      <c r="E29" s="41"/>
      <c r="F29" s="41"/>
      <c r="G29" s="41"/>
      <c r="H29" s="41"/>
      <c r="I29" s="31" t="str">
        <f>VLOOKUP(B29,Sheet1!A:B,2,FALSE)</f>
        <v>okurijo_juryo</v>
      </c>
      <c r="J29" s="32"/>
      <c r="K29" s="32"/>
      <c r="L29" s="32"/>
      <c r="M29" s="32"/>
      <c r="N29" s="32"/>
      <c r="O29" s="32"/>
      <c r="P29" s="32"/>
      <c r="Q29" s="32"/>
      <c r="R29" s="18" t="s">
        <v>1519</v>
      </c>
      <c r="S29" s="41"/>
      <c r="T29" s="41"/>
      <c r="U29" s="41"/>
      <c r="V29" s="41"/>
      <c r="W29" s="41"/>
      <c r="X29" s="41"/>
      <c r="Y29" s="139" t="s">
        <v>108</v>
      </c>
      <c r="Z29" s="140"/>
      <c r="AA29" s="141" t="s">
        <v>110</v>
      </c>
      <c r="AB29" s="142"/>
      <c r="AC29" s="143"/>
      <c r="AD29" s="72">
        <v>6</v>
      </c>
      <c r="AE29" s="27">
        <v>1</v>
      </c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42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68"/>
    </row>
    <row r="30" spans="1:56" ht="15" customHeight="1" x14ac:dyDescent="0.3">
      <c r="A30" s="71">
        <f>IF(B30="","",COUNTA($B$8:B30))</f>
        <v>23</v>
      </c>
      <c r="B30" s="18" t="s">
        <v>182</v>
      </c>
      <c r="C30" s="19"/>
      <c r="D30" s="19"/>
      <c r="E30" s="19"/>
      <c r="F30" s="19"/>
      <c r="G30" s="19"/>
      <c r="H30" s="22"/>
      <c r="I30" s="31" t="str">
        <f>VLOOKUP(B30,Sheet1!A:B,2,FALSE)</f>
        <v>shukan_busho_cd</v>
      </c>
      <c r="J30" s="21"/>
      <c r="K30" s="21"/>
      <c r="L30" s="21"/>
      <c r="M30" s="21"/>
      <c r="N30" s="21"/>
      <c r="O30" s="21"/>
      <c r="P30" s="21"/>
      <c r="Q30" s="33"/>
      <c r="R30" s="18" t="s">
        <v>184</v>
      </c>
      <c r="S30" s="21"/>
      <c r="T30" s="21"/>
      <c r="U30" s="21"/>
      <c r="V30" s="21"/>
      <c r="W30" s="21"/>
      <c r="X30" s="22"/>
      <c r="Y30" s="139" t="s">
        <v>56</v>
      </c>
      <c r="Z30" s="184"/>
      <c r="AA30" s="141" t="s">
        <v>107</v>
      </c>
      <c r="AB30" s="142"/>
      <c r="AC30" s="143"/>
      <c r="AD30" s="25">
        <v>4</v>
      </c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7"/>
      <c r="AP30" s="27"/>
      <c r="AQ30" s="27"/>
      <c r="AR30" s="27"/>
      <c r="AS30" s="28"/>
      <c r="AT30" s="69"/>
      <c r="AU30" s="69"/>
      <c r="AV30" s="69"/>
      <c r="AW30" s="69"/>
      <c r="AX30" s="69"/>
      <c r="AY30" s="69"/>
      <c r="AZ30" s="69"/>
      <c r="BA30" s="69"/>
      <c r="BB30" s="69"/>
      <c r="BC30" s="69"/>
      <c r="BD30" s="70"/>
    </row>
    <row r="31" spans="1:56" ht="15" customHeight="1" x14ac:dyDescent="0.3">
      <c r="A31" s="54">
        <f>IF(B31="","",COUNTA($B$8:B31))</f>
        <v>24</v>
      </c>
      <c r="B31" s="18" t="s">
        <v>183</v>
      </c>
      <c r="C31" s="19"/>
      <c r="D31" s="19"/>
      <c r="E31" s="19"/>
      <c r="F31" s="19"/>
      <c r="G31" s="19"/>
      <c r="H31" s="22"/>
      <c r="I31" s="31" t="str">
        <f>VLOOKUP(B31,Sheet1!A:B,2,FALSE)</f>
        <v>shukan_kotei_cd</v>
      </c>
      <c r="J31" s="21"/>
      <c r="K31" s="21"/>
      <c r="L31" s="21"/>
      <c r="M31" s="21"/>
      <c r="N31" s="21"/>
      <c r="O31" s="21"/>
      <c r="P31" s="21"/>
      <c r="Q31" s="33"/>
      <c r="R31" s="18" t="s">
        <v>183</v>
      </c>
      <c r="S31" s="21"/>
      <c r="T31" s="21"/>
      <c r="U31" s="21"/>
      <c r="V31" s="21"/>
      <c r="W31" s="21"/>
      <c r="X31" s="22"/>
      <c r="Y31" s="18" t="s">
        <v>56</v>
      </c>
      <c r="Z31" s="35"/>
      <c r="AA31" s="23" t="s">
        <v>107</v>
      </c>
      <c r="AB31" s="24"/>
      <c r="AC31" s="36"/>
      <c r="AD31" s="25">
        <v>4</v>
      </c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7"/>
      <c r="AP31" s="27"/>
      <c r="AQ31" s="27"/>
      <c r="AR31" s="27"/>
      <c r="AS31" s="28"/>
      <c r="AT31" s="69"/>
      <c r="AU31" s="69"/>
      <c r="AV31" s="69"/>
      <c r="AW31" s="69"/>
      <c r="AX31" s="69"/>
      <c r="AY31" s="69"/>
      <c r="AZ31" s="69"/>
      <c r="BA31" s="69"/>
      <c r="BB31" s="69"/>
      <c r="BC31" s="69"/>
      <c r="BD31" s="70"/>
    </row>
    <row r="32" spans="1:56" ht="15" customHeight="1" x14ac:dyDescent="0.3">
      <c r="A32" s="54">
        <f>IF(B32="","",COUNTA($B$8:B32))</f>
        <v>25</v>
      </c>
      <c r="B32" s="18" t="s">
        <v>1095</v>
      </c>
      <c r="C32" s="41"/>
      <c r="D32" s="41"/>
      <c r="E32" s="41"/>
      <c r="F32" s="41"/>
      <c r="G32" s="41"/>
      <c r="H32" s="41"/>
      <c r="I32" s="31" t="str">
        <f>VLOOKUP(B32,Sheet1!A:B,2,FALSE)</f>
        <v>insert_func_cd</v>
      </c>
      <c r="J32" s="32"/>
      <c r="K32" s="32"/>
      <c r="L32" s="32"/>
      <c r="M32" s="32"/>
      <c r="N32" s="32"/>
      <c r="O32" s="32"/>
      <c r="P32" s="32"/>
      <c r="Q32" s="32"/>
      <c r="R32" s="18" t="s">
        <v>116</v>
      </c>
      <c r="S32" s="41"/>
      <c r="T32" s="41"/>
      <c r="U32" s="41"/>
      <c r="V32" s="41"/>
      <c r="W32" s="41"/>
      <c r="X32" s="41"/>
      <c r="Y32" s="18" t="s">
        <v>111</v>
      </c>
      <c r="Z32" s="34"/>
      <c r="AA32" s="23" t="s">
        <v>107</v>
      </c>
      <c r="AB32" s="24"/>
      <c r="AC32" s="36"/>
      <c r="AD32" s="25">
        <v>10</v>
      </c>
      <c r="AE32" s="37"/>
      <c r="AF32" s="37"/>
      <c r="AG32" s="37"/>
      <c r="AH32" s="37"/>
      <c r="AI32" s="37"/>
      <c r="AJ32" s="37"/>
      <c r="AK32" s="37"/>
      <c r="AL32" s="37"/>
      <c r="AM32" s="37"/>
      <c r="AN32" s="37"/>
      <c r="AO32" s="38"/>
      <c r="AP32" s="38"/>
      <c r="AQ32" s="38"/>
      <c r="AR32" s="38"/>
      <c r="AS32" s="39"/>
      <c r="AT32" s="40"/>
      <c r="AU32" s="69"/>
      <c r="AV32" s="69"/>
      <c r="AW32" s="43"/>
      <c r="AX32" s="43"/>
      <c r="AY32" s="43"/>
      <c r="AZ32" s="43"/>
      <c r="BA32" s="43"/>
      <c r="BB32" s="43"/>
      <c r="BC32" s="43"/>
      <c r="BD32" s="68"/>
    </row>
    <row r="33" spans="1:57" ht="15" customHeight="1" x14ac:dyDescent="0.3">
      <c r="A33" s="54">
        <f>IF(B33="","",COUNTA($B$8:B33))</f>
        <v>26</v>
      </c>
      <c r="B33" s="18" t="s">
        <v>112</v>
      </c>
      <c r="C33" s="41"/>
      <c r="D33" s="41"/>
      <c r="E33" s="41"/>
      <c r="F33" s="41"/>
      <c r="G33" s="41"/>
      <c r="H33" s="41"/>
      <c r="I33" s="31" t="str">
        <f>VLOOKUP(B33,Sheet1!A:B,2,FALSE)</f>
        <v>insert_user_cd</v>
      </c>
      <c r="J33" s="32"/>
      <c r="K33" s="32"/>
      <c r="L33" s="32"/>
      <c r="M33" s="32"/>
      <c r="N33" s="32"/>
      <c r="O33" s="32"/>
      <c r="P33" s="32"/>
      <c r="Q33" s="32"/>
      <c r="R33" s="18" t="s">
        <v>112</v>
      </c>
      <c r="S33" s="41"/>
      <c r="T33" s="41"/>
      <c r="U33" s="41"/>
      <c r="V33" s="41"/>
      <c r="W33" s="41"/>
      <c r="X33" s="41"/>
      <c r="Y33" s="18" t="s">
        <v>111</v>
      </c>
      <c r="Z33" s="34"/>
      <c r="AA33" s="23" t="s">
        <v>107</v>
      </c>
      <c r="AB33" s="24"/>
      <c r="AC33" s="36"/>
      <c r="AD33" s="25">
        <v>10</v>
      </c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7"/>
      <c r="AP33" s="27"/>
      <c r="AQ33" s="27"/>
      <c r="AR33" s="27"/>
      <c r="AS33" s="39"/>
      <c r="AT33" s="46"/>
      <c r="AU33" s="43"/>
      <c r="AV33" s="43"/>
      <c r="AW33" s="43"/>
      <c r="AX33" s="43"/>
      <c r="AY33" s="43"/>
      <c r="AZ33" s="43"/>
      <c r="BA33" s="43"/>
      <c r="BB33" s="43"/>
      <c r="BC33" s="43"/>
      <c r="BD33" s="68"/>
    </row>
    <row r="34" spans="1:57" ht="15" customHeight="1" x14ac:dyDescent="0.3">
      <c r="A34" s="54">
        <f>IF(B34="","",COUNTA($B$8:B34))</f>
        <v>27</v>
      </c>
      <c r="B34" s="18" t="s">
        <v>113</v>
      </c>
      <c r="C34" s="41"/>
      <c r="D34" s="41"/>
      <c r="E34" s="41"/>
      <c r="F34" s="41"/>
      <c r="G34" s="41"/>
      <c r="H34" s="41"/>
      <c r="I34" s="31" t="str">
        <f>VLOOKUP(B34,Sheet1!A:B,2,FALSE)</f>
        <v>insert_datetime</v>
      </c>
      <c r="J34" s="32"/>
      <c r="K34" s="32"/>
      <c r="L34" s="32"/>
      <c r="M34" s="32"/>
      <c r="N34" s="32"/>
      <c r="O34" s="32"/>
      <c r="P34" s="32"/>
      <c r="Q34" s="32"/>
      <c r="R34" s="18" t="s">
        <v>113</v>
      </c>
      <c r="S34" s="41"/>
      <c r="T34" s="41"/>
      <c r="U34" s="41"/>
      <c r="V34" s="41"/>
      <c r="W34" s="41"/>
      <c r="X34" s="41"/>
      <c r="Y34" s="18" t="s">
        <v>87</v>
      </c>
      <c r="Z34" s="34"/>
      <c r="AA34" s="23" t="s">
        <v>109</v>
      </c>
      <c r="AB34" s="24"/>
      <c r="AC34" s="36"/>
      <c r="AD34" s="55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7"/>
      <c r="AP34" s="27"/>
      <c r="AQ34" s="27"/>
      <c r="AR34" s="27"/>
      <c r="AS34" s="39"/>
      <c r="AT34" s="46"/>
      <c r="AU34" s="43"/>
      <c r="AV34" s="43"/>
      <c r="AW34" s="43"/>
      <c r="AX34" s="43"/>
      <c r="AY34" s="43"/>
      <c r="AZ34" s="43"/>
      <c r="BA34" s="43"/>
      <c r="BB34" s="43"/>
      <c r="BC34" s="43"/>
      <c r="BD34" s="68"/>
    </row>
    <row r="35" spans="1:57" ht="15" customHeight="1" x14ac:dyDescent="0.3">
      <c r="A35" s="54">
        <f>IF(B35="","",COUNTA($B$8:B35))</f>
        <v>28</v>
      </c>
      <c r="B35" s="18" t="s">
        <v>1094</v>
      </c>
      <c r="C35" s="41"/>
      <c r="D35" s="41"/>
      <c r="E35" s="41"/>
      <c r="F35" s="41"/>
      <c r="G35" s="41"/>
      <c r="H35" s="41"/>
      <c r="I35" s="31" t="str">
        <f>VLOOKUP(B35,Sheet1!A:B,2,FALSE)</f>
        <v>update_func_cd</v>
      </c>
      <c r="J35" s="32"/>
      <c r="K35" s="32"/>
      <c r="L35" s="32"/>
      <c r="M35" s="32"/>
      <c r="N35" s="32"/>
      <c r="O35" s="32"/>
      <c r="P35" s="32"/>
      <c r="Q35" s="32"/>
      <c r="R35" s="18" t="s">
        <v>117</v>
      </c>
      <c r="S35" s="41"/>
      <c r="T35" s="41"/>
      <c r="U35" s="41"/>
      <c r="V35" s="41"/>
      <c r="W35" s="41"/>
      <c r="X35" s="41"/>
      <c r="Y35" s="18" t="s">
        <v>111</v>
      </c>
      <c r="Z35" s="34"/>
      <c r="AA35" s="23" t="s">
        <v>107</v>
      </c>
      <c r="AB35" s="24"/>
      <c r="AC35" s="36"/>
      <c r="AD35" s="25">
        <v>10</v>
      </c>
      <c r="AE35" s="37"/>
      <c r="AF35" s="37"/>
      <c r="AG35" s="37"/>
      <c r="AH35" s="37"/>
      <c r="AI35" s="37"/>
      <c r="AJ35" s="37"/>
      <c r="AK35" s="37"/>
      <c r="AL35" s="37"/>
      <c r="AM35" s="37"/>
      <c r="AN35" s="37"/>
      <c r="AO35" s="38"/>
      <c r="AP35" s="38"/>
      <c r="AQ35" s="38"/>
      <c r="AR35" s="38"/>
      <c r="AS35" s="39"/>
      <c r="AT35" s="40"/>
      <c r="AU35" s="43"/>
      <c r="AV35" s="43"/>
      <c r="AW35" s="43"/>
      <c r="AX35" s="43"/>
      <c r="AY35" s="43"/>
      <c r="AZ35" s="43"/>
      <c r="BA35" s="43"/>
      <c r="BB35" s="43"/>
      <c r="BC35" s="43"/>
      <c r="BD35" s="68"/>
    </row>
    <row r="36" spans="1:57" ht="15" customHeight="1" x14ac:dyDescent="0.3">
      <c r="A36" s="54">
        <f>IF(B36="","",COUNTA($B$8:B36))</f>
        <v>29</v>
      </c>
      <c r="B36" s="18" t="s">
        <v>114</v>
      </c>
      <c r="C36" s="19"/>
      <c r="D36" s="19"/>
      <c r="E36" s="19"/>
      <c r="F36" s="19"/>
      <c r="G36" s="19"/>
      <c r="H36" s="19"/>
      <c r="I36" s="31" t="str">
        <f>VLOOKUP(B36,Sheet1!A:B,2,FALSE)</f>
        <v>update_user_cd</v>
      </c>
      <c r="J36" s="21"/>
      <c r="K36" s="21"/>
      <c r="L36" s="21"/>
      <c r="M36" s="21"/>
      <c r="N36" s="21"/>
      <c r="O36" s="21"/>
      <c r="P36" s="21"/>
      <c r="Q36" s="21"/>
      <c r="R36" s="18" t="s">
        <v>114</v>
      </c>
      <c r="S36" s="19"/>
      <c r="T36" s="19"/>
      <c r="U36" s="19"/>
      <c r="V36" s="19"/>
      <c r="W36" s="19"/>
      <c r="X36" s="19"/>
      <c r="Y36" s="18" t="s">
        <v>111</v>
      </c>
      <c r="Z36" s="34"/>
      <c r="AA36" s="23" t="s">
        <v>107</v>
      </c>
      <c r="AB36" s="24"/>
      <c r="AC36" s="36"/>
      <c r="AD36" s="55">
        <v>10</v>
      </c>
      <c r="AE36" s="37"/>
      <c r="AF36" s="37"/>
      <c r="AG36" s="37"/>
      <c r="AH36" s="37"/>
      <c r="AI36" s="37"/>
      <c r="AJ36" s="37"/>
      <c r="AK36" s="37"/>
      <c r="AL36" s="37"/>
      <c r="AM36" s="37"/>
      <c r="AN36" s="37"/>
      <c r="AO36" s="38"/>
      <c r="AP36" s="38"/>
      <c r="AQ36" s="38"/>
      <c r="AR36" s="38"/>
      <c r="AS36" s="39"/>
      <c r="AT36" s="40"/>
      <c r="AU36" s="43"/>
      <c r="AV36" s="43"/>
      <c r="AW36" s="43"/>
      <c r="AX36" s="43"/>
      <c r="AY36" s="43"/>
      <c r="AZ36" s="43"/>
      <c r="BA36" s="43"/>
      <c r="BB36" s="43"/>
      <c r="BC36" s="43"/>
      <c r="BD36" s="68"/>
    </row>
    <row r="37" spans="1:57" ht="15" customHeight="1" x14ac:dyDescent="0.3">
      <c r="A37" s="54">
        <f>IF(B37="","",COUNTA($B$8:B37))</f>
        <v>30</v>
      </c>
      <c r="B37" s="18" t="s">
        <v>115</v>
      </c>
      <c r="C37" s="19"/>
      <c r="D37" s="19"/>
      <c r="E37" s="19"/>
      <c r="F37" s="19"/>
      <c r="G37" s="19"/>
      <c r="H37" s="19"/>
      <c r="I37" s="31" t="str">
        <f>VLOOKUP(B37,Sheet1!A:B,2,FALSE)</f>
        <v>update_datetime</v>
      </c>
      <c r="J37" s="21"/>
      <c r="K37" s="21"/>
      <c r="L37" s="21"/>
      <c r="M37" s="21"/>
      <c r="N37" s="21"/>
      <c r="O37" s="21"/>
      <c r="P37" s="21"/>
      <c r="Q37" s="21"/>
      <c r="R37" s="18" t="s">
        <v>115</v>
      </c>
      <c r="S37" s="19"/>
      <c r="T37" s="19"/>
      <c r="U37" s="19"/>
      <c r="V37" s="19"/>
      <c r="W37" s="19"/>
      <c r="X37" s="19"/>
      <c r="Y37" s="18" t="s">
        <v>87</v>
      </c>
      <c r="Z37" s="34"/>
      <c r="AA37" s="23" t="s">
        <v>109</v>
      </c>
      <c r="AB37" s="24"/>
      <c r="AC37" s="36"/>
      <c r="AD37" s="55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42"/>
      <c r="AT37" s="43"/>
      <c r="AU37" s="43"/>
      <c r="AV37" s="43"/>
      <c r="AW37" s="43"/>
      <c r="AX37" s="43"/>
      <c r="AY37" s="43"/>
      <c r="AZ37" s="43"/>
      <c r="BA37" s="43"/>
      <c r="BB37" s="43"/>
      <c r="BC37" s="43"/>
      <c r="BD37" s="68"/>
    </row>
    <row r="38" spans="1:57" s="49" customFormat="1" ht="15" customHeight="1" x14ac:dyDescent="0.3">
      <c r="A38" s="54" t="str">
        <f>IF(B38="","",COUNTA($B$8:B38))</f>
        <v/>
      </c>
      <c r="B38" s="18"/>
      <c r="C38" s="19"/>
      <c r="D38" s="19"/>
      <c r="E38" s="19"/>
      <c r="F38" s="19"/>
      <c r="G38" s="19"/>
      <c r="H38" s="19"/>
      <c r="I38" s="20"/>
      <c r="J38" s="21"/>
      <c r="K38" s="21"/>
      <c r="L38" s="21"/>
      <c r="M38" s="21"/>
      <c r="N38" s="21"/>
      <c r="O38" s="21"/>
      <c r="P38" s="21"/>
      <c r="Q38" s="21"/>
      <c r="R38" s="18"/>
      <c r="S38" s="19"/>
      <c r="T38" s="19"/>
      <c r="U38" s="19"/>
      <c r="V38" s="19"/>
      <c r="W38" s="19"/>
      <c r="X38" s="19"/>
      <c r="Y38" s="139"/>
      <c r="Z38" s="140"/>
      <c r="AA38" s="141"/>
      <c r="AB38" s="142"/>
      <c r="AC38" s="143"/>
      <c r="AD38" s="55"/>
      <c r="AE38" s="26"/>
      <c r="AF38" s="47"/>
      <c r="AG38" s="47"/>
      <c r="AH38" s="47"/>
      <c r="AI38" s="47"/>
      <c r="AJ38" s="47"/>
      <c r="AK38" s="47"/>
      <c r="AL38" s="47"/>
      <c r="AM38" s="47"/>
      <c r="AN38" s="47"/>
      <c r="AO38" s="48"/>
      <c r="AP38" s="48"/>
      <c r="AQ38" s="48"/>
      <c r="AR38" s="48"/>
      <c r="AS38" s="28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30"/>
    </row>
    <row r="39" spans="1:57" ht="15" customHeight="1" x14ac:dyDescent="0.3">
      <c r="A39" s="54" t="str">
        <f>IF(B39="","",COUNTA($B$8:B39))</f>
        <v/>
      </c>
      <c r="B39" s="42"/>
      <c r="C39" s="41"/>
      <c r="D39" s="41"/>
      <c r="E39" s="41"/>
      <c r="F39" s="41"/>
      <c r="G39" s="41"/>
      <c r="H39" s="41"/>
      <c r="I39" s="31"/>
      <c r="J39" s="32"/>
      <c r="K39" s="32"/>
      <c r="L39" s="32"/>
      <c r="M39" s="32"/>
      <c r="N39" s="32"/>
      <c r="O39" s="32"/>
      <c r="P39" s="32"/>
      <c r="Q39" s="32"/>
      <c r="R39" s="42"/>
      <c r="S39" s="41"/>
      <c r="T39" s="41"/>
      <c r="U39" s="41"/>
      <c r="V39" s="41"/>
      <c r="W39" s="41"/>
      <c r="X39" s="41"/>
      <c r="Y39" s="139"/>
      <c r="Z39" s="140"/>
      <c r="AA39" s="141"/>
      <c r="AB39" s="142"/>
      <c r="AC39" s="143"/>
      <c r="AD39" s="72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42"/>
      <c r="AT39" s="43"/>
      <c r="AU39" s="43"/>
      <c r="AV39" s="43"/>
      <c r="AW39" s="43"/>
      <c r="AX39" s="43"/>
      <c r="AY39" s="43"/>
      <c r="AZ39" s="43"/>
      <c r="BA39" s="43"/>
      <c r="BB39" s="43"/>
      <c r="BC39" s="43"/>
      <c r="BD39" s="68"/>
    </row>
    <row r="40" spans="1:57" ht="15" customHeight="1" x14ac:dyDescent="0.3">
      <c r="A40" s="54" t="str">
        <f>IF(B40="","",COUNTA($B$8:B40))</f>
        <v/>
      </c>
      <c r="B40" s="42"/>
      <c r="C40" s="41"/>
      <c r="D40" s="41"/>
      <c r="E40" s="41"/>
      <c r="F40" s="41"/>
      <c r="G40" s="41"/>
      <c r="H40" s="41"/>
      <c r="I40" s="31"/>
      <c r="J40" s="32"/>
      <c r="K40" s="32"/>
      <c r="L40" s="32"/>
      <c r="M40" s="32"/>
      <c r="N40" s="32"/>
      <c r="O40" s="32"/>
      <c r="P40" s="32"/>
      <c r="Q40" s="32"/>
      <c r="R40" s="42"/>
      <c r="S40" s="41"/>
      <c r="T40" s="41"/>
      <c r="U40" s="41"/>
      <c r="V40" s="41"/>
      <c r="W40" s="41"/>
      <c r="X40" s="41"/>
      <c r="Y40" s="139"/>
      <c r="Z40" s="140"/>
      <c r="AA40" s="141"/>
      <c r="AB40" s="142"/>
      <c r="AC40" s="143"/>
      <c r="AD40" s="72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42"/>
      <c r="AT40" s="43"/>
      <c r="AU40" s="43"/>
      <c r="AV40" s="43"/>
      <c r="AW40" s="43"/>
      <c r="AX40" s="43"/>
      <c r="AY40" s="43"/>
      <c r="AZ40" s="43"/>
      <c r="BA40" s="43"/>
      <c r="BB40" s="43"/>
      <c r="BC40" s="43"/>
      <c r="BD40" s="68"/>
    </row>
    <row r="41" spans="1:57" ht="15" customHeight="1" x14ac:dyDescent="0.3">
      <c r="A41" s="54" t="str">
        <f>IF(B41="","",COUNTA($B$8:B41))</f>
        <v/>
      </c>
      <c r="B41" s="42"/>
      <c r="C41" s="41"/>
      <c r="D41" s="41"/>
      <c r="E41" s="41"/>
      <c r="F41" s="41"/>
      <c r="G41" s="41"/>
      <c r="H41" s="41"/>
      <c r="I41" s="31"/>
      <c r="J41" s="32"/>
      <c r="K41" s="32"/>
      <c r="L41" s="32"/>
      <c r="M41" s="32"/>
      <c r="N41" s="32"/>
      <c r="O41" s="32"/>
      <c r="P41" s="32"/>
      <c r="Q41" s="32"/>
      <c r="R41" s="42"/>
      <c r="S41" s="41"/>
      <c r="T41" s="41"/>
      <c r="U41" s="41"/>
      <c r="V41" s="41"/>
      <c r="W41" s="41"/>
      <c r="X41" s="41"/>
      <c r="Y41" s="139"/>
      <c r="Z41" s="140"/>
      <c r="AA41" s="141"/>
      <c r="AB41" s="142"/>
      <c r="AC41" s="143"/>
      <c r="AD41" s="72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42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68"/>
    </row>
    <row r="42" spans="1:57" ht="15" customHeight="1" x14ac:dyDescent="0.3">
      <c r="A42" s="54" t="str">
        <f>IF(B42="","",COUNTA($B$8:B42))</f>
        <v/>
      </c>
      <c r="B42" s="42"/>
      <c r="C42" s="41"/>
      <c r="D42" s="41"/>
      <c r="E42" s="41"/>
      <c r="F42" s="41"/>
      <c r="G42" s="41"/>
      <c r="H42" s="41"/>
      <c r="I42" s="31"/>
      <c r="J42" s="32"/>
      <c r="K42" s="32"/>
      <c r="L42" s="32"/>
      <c r="M42" s="32"/>
      <c r="N42" s="32"/>
      <c r="O42" s="32"/>
      <c r="P42" s="32"/>
      <c r="Q42" s="32"/>
      <c r="R42" s="42"/>
      <c r="S42" s="41"/>
      <c r="T42" s="41"/>
      <c r="U42" s="41"/>
      <c r="V42" s="41"/>
      <c r="W42" s="41"/>
      <c r="X42" s="41"/>
      <c r="Y42" s="139"/>
      <c r="Z42" s="140"/>
      <c r="AA42" s="141"/>
      <c r="AB42" s="142"/>
      <c r="AC42" s="143"/>
      <c r="AD42" s="72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50"/>
      <c r="AT42" s="51"/>
      <c r="AU42" s="51"/>
      <c r="AV42" s="51"/>
      <c r="AW42" s="51"/>
      <c r="AX42" s="51"/>
      <c r="AY42" s="51"/>
      <c r="AZ42" s="51"/>
      <c r="BA42" s="51"/>
      <c r="BB42" s="51"/>
      <c r="BC42" s="51"/>
      <c r="BD42" s="52"/>
      <c r="BE42" s="53"/>
    </row>
    <row r="43" spans="1:57" ht="15" customHeight="1" x14ac:dyDescent="0.3">
      <c r="A43" s="54" t="str">
        <f>IF(B43="","",COUNTA($B$8:B43))</f>
        <v/>
      </c>
      <c r="B43" s="42"/>
      <c r="C43" s="41"/>
      <c r="D43" s="41"/>
      <c r="E43" s="41"/>
      <c r="F43" s="41"/>
      <c r="G43" s="41"/>
      <c r="H43" s="41"/>
      <c r="I43" s="31"/>
      <c r="J43" s="32"/>
      <c r="K43" s="32"/>
      <c r="L43" s="32"/>
      <c r="M43" s="32"/>
      <c r="N43" s="32"/>
      <c r="O43" s="32"/>
      <c r="P43" s="32"/>
      <c r="Q43" s="32"/>
      <c r="R43" s="42"/>
      <c r="S43" s="41"/>
      <c r="T43" s="41"/>
      <c r="U43" s="41"/>
      <c r="V43" s="41"/>
      <c r="W43" s="41"/>
      <c r="X43" s="41"/>
      <c r="Y43" s="139"/>
      <c r="Z43" s="140"/>
      <c r="AA43" s="141"/>
      <c r="AB43" s="142"/>
      <c r="AC43" s="143"/>
      <c r="AD43" s="72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50"/>
      <c r="AT43" s="51"/>
      <c r="AU43" s="51"/>
      <c r="AV43" s="51"/>
      <c r="AW43" s="51"/>
      <c r="AX43" s="51"/>
      <c r="AY43" s="51"/>
      <c r="AZ43" s="51"/>
      <c r="BA43" s="51"/>
      <c r="BB43" s="51"/>
      <c r="BC43" s="51"/>
      <c r="BD43" s="52"/>
      <c r="BE43" s="53"/>
    </row>
    <row r="44" spans="1:57" ht="15" customHeight="1" x14ac:dyDescent="0.3">
      <c r="A44" s="54" t="str">
        <f>IF(B44="","",COUNTA($B$8:B44))</f>
        <v/>
      </c>
      <c r="B44" s="42"/>
      <c r="C44" s="41"/>
      <c r="D44" s="41"/>
      <c r="E44" s="41"/>
      <c r="F44" s="41"/>
      <c r="G44" s="41"/>
      <c r="H44" s="41"/>
      <c r="I44" s="31"/>
      <c r="J44" s="32"/>
      <c r="K44" s="32"/>
      <c r="L44" s="32"/>
      <c r="M44" s="32"/>
      <c r="N44" s="32"/>
      <c r="O44" s="32"/>
      <c r="P44" s="32"/>
      <c r="Q44" s="32"/>
      <c r="R44" s="42"/>
      <c r="S44" s="41"/>
      <c r="T44" s="41"/>
      <c r="U44" s="41"/>
      <c r="V44" s="41"/>
      <c r="W44" s="41"/>
      <c r="X44" s="41"/>
      <c r="Y44" s="139"/>
      <c r="Z44" s="140"/>
      <c r="AA44" s="141"/>
      <c r="AB44" s="142"/>
      <c r="AC44" s="143"/>
      <c r="AD44" s="72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50"/>
      <c r="AT44" s="51"/>
      <c r="AU44" s="51"/>
      <c r="AV44" s="51"/>
      <c r="AW44" s="51"/>
      <c r="AX44" s="51"/>
      <c r="AY44" s="51"/>
      <c r="AZ44" s="51"/>
      <c r="BA44" s="51"/>
      <c r="BB44" s="51"/>
      <c r="BC44" s="51"/>
      <c r="BD44" s="52"/>
      <c r="BE44" s="53"/>
    </row>
    <row r="45" spans="1:57" ht="15" customHeight="1" x14ac:dyDescent="0.3">
      <c r="A45" s="54" t="str">
        <f>IF(B45="","",COUNTA($B$8:B45))</f>
        <v/>
      </c>
      <c r="B45" s="28"/>
      <c r="C45" s="41"/>
      <c r="D45" s="41"/>
      <c r="E45" s="41"/>
      <c r="F45" s="41"/>
      <c r="G45" s="41"/>
      <c r="H45" s="41"/>
      <c r="I45" s="20"/>
      <c r="J45" s="32"/>
      <c r="K45" s="32"/>
      <c r="L45" s="32"/>
      <c r="M45" s="32"/>
      <c r="N45" s="32"/>
      <c r="O45" s="32"/>
      <c r="P45" s="32"/>
      <c r="Q45" s="32"/>
      <c r="R45" s="28"/>
      <c r="S45" s="41"/>
      <c r="T45" s="41"/>
      <c r="U45" s="41"/>
      <c r="V45" s="41"/>
      <c r="W45" s="41"/>
      <c r="X45" s="41"/>
      <c r="Y45" s="139"/>
      <c r="Z45" s="140"/>
      <c r="AA45" s="141"/>
      <c r="AB45" s="142"/>
      <c r="AC45" s="143"/>
      <c r="AD45" s="55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8"/>
      <c r="AT45" s="69"/>
      <c r="AU45" s="69"/>
      <c r="AV45" s="69"/>
      <c r="AW45" s="69"/>
      <c r="AX45" s="69"/>
      <c r="AY45" s="69"/>
      <c r="AZ45" s="69"/>
      <c r="BA45" s="69"/>
      <c r="BB45" s="69"/>
      <c r="BC45" s="69"/>
      <c r="BD45" s="70"/>
    </row>
  </sheetData>
  <mergeCells count="92"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U4:AY4"/>
    <mergeCell ref="AG6:AG7"/>
    <mergeCell ref="AH6:AH7"/>
    <mergeCell ref="AI6:AR6"/>
    <mergeCell ref="AS6:BD7"/>
    <mergeCell ref="Y8:Z8"/>
    <mergeCell ref="AA8:AC8"/>
    <mergeCell ref="Y10:Z10"/>
    <mergeCell ref="AA10:AC10"/>
    <mergeCell ref="Y12:Z12"/>
    <mergeCell ref="AA12:AC12"/>
    <mergeCell ref="Y9:Z9"/>
    <mergeCell ref="AA9:AC9"/>
    <mergeCell ref="Y25:Z25"/>
    <mergeCell ref="AA25:AC25"/>
    <mergeCell ref="Y14:Z14"/>
    <mergeCell ref="AA14:AC14"/>
    <mergeCell ref="Y15:Z15"/>
    <mergeCell ref="AA15:AC15"/>
    <mergeCell ref="Y16:Z16"/>
    <mergeCell ref="AA16:AC16"/>
    <mergeCell ref="Y17:Z17"/>
    <mergeCell ref="AA17:AC17"/>
    <mergeCell ref="Y21:Z21"/>
    <mergeCell ref="AA21:AC21"/>
    <mergeCell ref="Y13:Z13"/>
    <mergeCell ref="AA13:AC13"/>
    <mergeCell ref="Y27:Z27"/>
    <mergeCell ref="AA27:AC27"/>
    <mergeCell ref="Y18:Z18"/>
    <mergeCell ref="AA18:AC18"/>
    <mergeCell ref="Y19:Z19"/>
    <mergeCell ref="AA19:AC19"/>
    <mergeCell ref="Y20:Z20"/>
    <mergeCell ref="AA20:AC20"/>
    <mergeCell ref="Y22:Z22"/>
    <mergeCell ref="AA22:AC22"/>
    <mergeCell ref="Y23:Z23"/>
    <mergeCell ref="AA23:AC23"/>
    <mergeCell ref="Y24:Z24"/>
    <mergeCell ref="AA24:AC24"/>
    <mergeCell ref="Y44:Z44"/>
    <mergeCell ref="AA44:AC44"/>
    <mergeCell ref="Y45:Z45"/>
    <mergeCell ref="AA45:AC45"/>
    <mergeCell ref="Y40:Z40"/>
    <mergeCell ref="AA40:AC40"/>
    <mergeCell ref="Y41:Z41"/>
    <mergeCell ref="AA41:AC41"/>
    <mergeCell ref="Y42:Z42"/>
    <mergeCell ref="AA42:AC42"/>
    <mergeCell ref="Y43:Z43"/>
    <mergeCell ref="AA43:AC43"/>
    <mergeCell ref="Y38:Z38"/>
    <mergeCell ref="AA38:AC38"/>
    <mergeCell ref="Y39:Z39"/>
    <mergeCell ref="AA39:AC39"/>
    <mergeCell ref="Y26:Z26"/>
    <mergeCell ref="AA26:AC26"/>
    <mergeCell ref="Y30:Z30"/>
    <mergeCell ref="AA30:AC30"/>
    <mergeCell ref="Y29:Z29"/>
    <mergeCell ref="AA29:AC29"/>
    <mergeCell ref="Y28:Z28"/>
    <mergeCell ref="AA28:AC28"/>
  </mergeCells>
  <phoneticPr fontId="4"/>
  <dataValidations count="3">
    <dataValidation type="list" allowBlank="1" showInputMessage="1" showErrorMessage="1" sqref="AA30:AC31 AA8:AA29 AA32:AA45" xr:uid="{00000000-0002-0000-0700-000000000000}">
      <formula1>"datetime,int,numeric,varchar,nvarchar"</formula1>
    </dataValidation>
    <dataValidation imeMode="hiragana" allowBlank="1" showInputMessage="1" showErrorMessage="1" sqref="JG65520:JR65522 TC65520:TN65522 ACY65520:ADJ65522 AMU65520:ANF65522 AWQ65520:AXB65522 BGM65520:BGX65522 BQI65520:BQT65522 CAE65520:CAP65522 CKA65520:CKL65522 CTW65520:CUH65522 DDS65520:DED65522 DNO65520:DNZ65522 DXK65520:DXV65522 EHG65520:EHR65522 ERC65520:ERN65522 FAY65520:FBJ65522 FKU65520:FLF65522 FUQ65520:FVB65522 GEM65520:GEX65522 GOI65520:GOT65522 GYE65520:GYP65522 HIA65520:HIL65522 HRW65520:HSH65522 IBS65520:ICD65522 ILO65520:ILZ65522 IVK65520:IVV65522 JFG65520:JFR65522 JPC65520:JPN65522 JYY65520:JZJ65522 KIU65520:KJF65522 KSQ65520:KTB65522 LCM65520:LCX65522 LMI65520:LMT65522 LWE65520:LWP65522 MGA65520:MGL65522 MPW65520:MQH65522 MZS65520:NAD65522 NJO65520:NJZ65522 NTK65520:NTV65522 ODG65520:ODR65522 ONC65520:ONN65522 OWY65520:OXJ65522 PGU65520:PHF65522 PQQ65520:PRB65522 QAM65520:QAX65522 QKI65520:QKT65522 QUE65520:QUP65522 REA65520:REL65522 RNW65520:ROH65522 RXS65520:RYD65522 SHO65520:SHZ65522 SRK65520:SRV65522 TBG65520:TBR65522 TLC65520:TLN65522 TUY65520:TVJ65522 UEU65520:UFF65522 UOQ65520:UPB65522 UYM65520:UYX65522 VII65520:VIT65522 VSE65520:VSP65522 WCA65520:WCL65522 WLW65520:WMH65522 WVS65520:WWD65522 JG131056:JR131058 TC131056:TN131058 ACY131056:ADJ131058 AMU131056:ANF131058 AWQ131056:AXB131058 BGM131056:BGX131058 BQI131056:BQT131058 CAE131056:CAP131058 CKA131056:CKL131058 CTW131056:CUH131058 DDS131056:DED131058 DNO131056:DNZ131058 DXK131056:DXV131058 EHG131056:EHR131058 ERC131056:ERN131058 FAY131056:FBJ131058 FKU131056:FLF131058 FUQ131056:FVB131058 GEM131056:GEX131058 GOI131056:GOT131058 GYE131056:GYP131058 HIA131056:HIL131058 HRW131056:HSH131058 IBS131056:ICD131058 ILO131056:ILZ131058 IVK131056:IVV131058 JFG131056:JFR131058 JPC131056:JPN131058 JYY131056:JZJ131058 KIU131056:KJF131058 KSQ131056:KTB131058 LCM131056:LCX131058 LMI131056:LMT131058 LWE131056:LWP131058 MGA131056:MGL131058 MPW131056:MQH131058 MZS131056:NAD131058 NJO131056:NJZ131058 NTK131056:NTV131058 ODG131056:ODR131058 ONC131056:ONN131058 OWY131056:OXJ131058 PGU131056:PHF131058 PQQ131056:PRB131058 QAM131056:QAX131058 QKI131056:QKT131058 QUE131056:QUP131058 REA131056:REL131058 RNW131056:ROH131058 RXS131056:RYD131058 SHO131056:SHZ131058 SRK131056:SRV131058 TBG131056:TBR131058 TLC131056:TLN131058 TUY131056:TVJ131058 UEU131056:UFF131058 UOQ131056:UPB131058 UYM131056:UYX131058 VII131056:VIT131058 VSE131056:VSP131058 WCA131056:WCL131058 WLW131056:WMH131058 WVS131056:WWD131058 JG196592:JR196594 TC196592:TN196594 ACY196592:ADJ196594 AMU196592:ANF196594 AWQ196592:AXB196594 BGM196592:BGX196594 BQI196592:BQT196594 CAE196592:CAP196594 CKA196592:CKL196594 CTW196592:CUH196594 DDS196592:DED196594 DNO196592:DNZ196594 DXK196592:DXV196594 EHG196592:EHR196594 ERC196592:ERN196594 FAY196592:FBJ196594 FKU196592:FLF196594 FUQ196592:FVB196594 GEM196592:GEX196594 GOI196592:GOT196594 GYE196592:GYP196594 HIA196592:HIL196594 HRW196592:HSH196594 IBS196592:ICD196594 ILO196592:ILZ196594 IVK196592:IVV196594 JFG196592:JFR196594 JPC196592:JPN196594 JYY196592:JZJ196594 KIU196592:KJF196594 KSQ196592:KTB196594 LCM196592:LCX196594 LMI196592:LMT196594 LWE196592:LWP196594 MGA196592:MGL196594 MPW196592:MQH196594 MZS196592:NAD196594 NJO196592:NJZ196594 NTK196592:NTV196594 ODG196592:ODR196594 ONC196592:ONN196594 OWY196592:OXJ196594 PGU196592:PHF196594 PQQ196592:PRB196594 QAM196592:QAX196594 QKI196592:QKT196594 QUE196592:QUP196594 REA196592:REL196594 RNW196592:ROH196594 RXS196592:RYD196594 SHO196592:SHZ196594 SRK196592:SRV196594 TBG196592:TBR196594 TLC196592:TLN196594 TUY196592:TVJ196594 UEU196592:UFF196594 UOQ196592:UPB196594 UYM196592:UYX196594 VII196592:VIT196594 VSE196592:VSP196594 WCA196592:WCL196594 WLW196592:WMH196594 WVS196592:WWD196594 JG262128:JR262130 TC262128:TN262130 ACY262128:ADJ262130 AMU262128:ANF262130 AWQ262128:AXB262130 BGM262128:BGX262130 BQI262128:BQT262130 CAE262128:CAP262130 CKA262128:CKL262130 CTW262128:CUH262130 DDS262128:DED262130 DNO262128:DNZ262130 DXK262128:DXV262130 EHG262128:EHR262130 ERC262128:ERN262130 FAY262128:FBJ262130 FKU262128:FLF262130 FUQ262128:FVB262130 GEM262128:GEX262130 GOI262128:GOT262130 GYE262128:GYP262130 HIA262128:HIL262130 HRW262128:HSH262130 IBS262128:ICD262130 ILO262128:ILZ262130 IVK262128:IVV262130 JFG262128:JFR262130 JPC262128:JPN262130 JYY262128:JZJ262130 KIU262128:KJF262130 KSQ262128:KTB262130 LCM262128:LCX262130 LMI262128:LMT262130 LWE262128:LWP262130 MGA262128:MGL262130 MPW262128:MQH262130 MZS262128:NAD262130 NJO262128:NJZ262130 NTK262128:NTV262130 ODG262128:ODR262130 ONC262128:ONN262130 OWY262128:OXJ262130 PGU262128:PHF262130 PQQ262128:PRB262130 QAM262128:QAX262130 QKI262128:QKT262130 QUE262128:QUP262130 REA262128:REL262130 RNW262128:ROH262130 RXS262128:RYD262130 SHO262128:SHZ262130 SRK262128:SRV262130 TBG262128:TBR262130 TLC262128:TLN262130 TUY262128:TVJ262130 UEU262128:UFF262130 UOQ262128:UPB262130 UYM262128:UYX262130 VII262128:VIT262130 VSE262128:VSP262130 WCA262128:WCL262130 WLW262128:WMH262130 WVS262128:WWD262130 JG327664:JR327666 TC327664:TN327666 ACY327664:ADJ327666 AMU327664:ANF327666 AWQ327664:AXB327666 BGM327664:BGX327666 BQI327664:BQT327666 CAE327664:CAP327666 CKA327664:CKL327666 CTW327664:CUH327666 DDS327664:DED327666 DNO327664:DNZ327666 DXK327664:DXV327666 EHG327664:EHR327666 ERC327664:ERN327666 FAY327664:FBJ327666 FKU327664:FLF327666 FUQ327664:FVB327666 GEM327664:GEX327666 GOI327664:GOT327666 GYE327664:GYP327666 HIA327664:HIL327666 HRW327664:HSH327666 IBS327664:ICD327666 ILO327664:ILZ327666 IVK327664:IVV327666 JFG327664:JFR327666 JPC327664:JPN327666 JYY327664:JZJ327666 KIU327664:KJF327666 KSQ327664:KTB327666 LCM327664:LCX327666 LMI327664:LMT327666 LWE327664:LWP327666 MGA327664:MGL327666 MPW327664:MQH327666 MZS327664:NAD327666 NJO327664:NJZ327666 NTK327664:NTV327666 ODG327664:ODR327666 ONC327664:ONN327666 OWY327664:OXJ327666 PGU327664:PHF327666 PQQ327664:PRB327666 QAM327664:QAX327666 QKI327664:QKT327666 QUE327664:QUP327666 REA327664:REL327666 RNW327664:ROH327666 RXS327664:RYD327666 SHO327664:SHZ327666 SRK327664:SRV327666 TBG327664:TBR327666 TLC327664:TLN327666 TUY327664:TVJ327666 UEU327664:UFF327666 UOQ327664:UPB327666 UYM327664:UYX327666 VII327664:VIT327666 VSE327664:VSP327666 WCA327664:WCL327666 WLW327664:WMH327666 WVS327664:WWD327666 JG393200:JR393202 TC393200:TN393202 ACY393200:ADJ393202 AMU393200:ANF393202 AWQ393200:AXB393202 BGM393200:BGX393202 BQI393200:BQT393202 CAE393200:CAP393202 CKA393200:CKL393202 CTW393200:CUH393202 DDS393200:DED393202 DNO393200:DNZ393202 DXK393200:DXV393202 EHG393200:EHR393202 ERC393200:ERN393202 FAY393200:FBJ393202 FKU393200:FLF393202 FUQ393200:FVB393202 GEM393200:GEX393202 GOI393200:GOT393202 GYE393200:GYP393202 HIA393200:HIL393202 HRW393200:HSH393202 IBS393200:ICD393202 ILO393200:ILZ393202 IVK393200:IVV393202 JFG393200:JFR393202 JPC393200:JPN393202 JYY393200:JZJ393202 KIU393200:KJF393202 KSQ393200:KTB393202 LCM393200:LCX393202 LMI393200:LMT393202 LWE393200:LWP393202 MGA393200:MGL393202 MPW393200:MQH393202 MZS393200:NAD393202 NJO393200:NJZ393202 NTK393200:NTV393202 ODG393200:ODR393202 ONC393200:ONN393202 OWY393200:OXJ393202 PGU393200:PHF393202 PQQ393200:PRB393202 QAM393200:QAX393202 QKI393200:QKT393202 QUE393200:QUP393202 REA393200:REL393202 RNW393200:ROH393202 RXS393200:RYD393202 SHO393200:SHZ393202 SRK393200:SRV393202 TBG393200:TBR393202 TLC393200:TLN393202 TUY393200:TVJ393202 UEU393200:UFF393202 UOQ393200:UPB393202 UYM393200:UYX393202 VII393200:VIT393202 VSE393200:VSP393202 WCA393200:WCL393202 WLW393200:WMH393202 WVS393200:WWD393202 JG458736:JR458738 TC458736:TN458738 ACY458736:ADJ458738 AMU458736:ANF458738 AWQ458736:AXB458738 BGM458736:BGX458738 BQI458736:BQT458738 CAE458736:CAP458738 CKA458736:CKL458738 CTW458736:CUH458738 DDS458736:DED458738 DNO458736:DNZ458738 DXK458736:DXV458738 EHG458736:EHR458738 ERC458736:ERN458738 FAY458736:FBJ458738 FKU458736:FLF458738 FUQ458736:FVB458738 GEM458736:GEX458738 GOI458736:GOT458738 GYE458736:GYP458738 HIA458736:HIL458738 HRW458736:HSH458738 IBS458736:ICD458738 ILO458736:ILZ458738 IVK458736:IVV458738 JFG458736:JFR458738 JPC458736:JPN458738 JYY458736:JZJ458738 KIU458736:KJF458738 KSQ458736:KTB458738 LCM458736:LCX458738 LMI458736:LMT458738 LWE458736:LWP458738 MGA458736:MGL458738 MPW458736:MQH458738 MZS458736:NAD458738 NJO458736:NJZ458738 NTK458736:NTV458738 ODG458736:ODR458738 ONC458736:ONN458738 OWY458736:OXJ458738 PGU458736:PHF458738 PQQ458736:PRB458738 QAM458736:QAX458738 QKI458736:QKT458738 QUE458736:QUP458738 REA458736:REL458738 RNW458736:ROH458738 RXS458736:RYD458738 SHO458736:SHZ458738 SRK458736:SRV458738 TBG458736:TBR458738 TLC458736:TLN458738 TUY458736:TVJ458738 UEU458736:UFF458738 UOQ458736:UPB458738 UYM458736:UYX458738 VII458736:VIT458738 VSE458736:VSP458738 WCA458736:WCL458738 WLW458736:WMH458738 WVS458736:WWD458738 JG524272:JR524274 TC524272:TN524274 ACY524272:ADJ524274 AMU524272:ANF524274 AWQ524272:AXB524274 BGM524272:BGX524274 BQI524272:BQT524274 CAE524272:CAP524274 CKA524272:CKL524274 CTW524272:CUH524274 DDS524272:DED524274 DNO524272:DNZ524274 DXK524272:DXV524274 EHG524272:EHR524274 ERC524272:ERN524274 FAY524272:FBJ524274 FKU524272:FLF524274 FUQ524272:FVB524274 GEM524272:GEX524274 GOI524272:GOT524274 GYE524272:GYP524274 HIA524272:HIL524274 HRW524272:HSH524274 IBS524272:ICD524274 ILO524272:ILZ524274 IVK524272:IVV524274 JFG524272:JFR524274 JPC524272:JPN524274 JYY524272:JZJ524274 KIU524272:KJF524274 KSQ524272:KTB524274 LCM524272:LCX524274 LMI524272:LMT524274 LWE524272:LWP524274 MGA524272:MGL524274 MPW524272:MQH524274 MZS524272:NAD524274 NJO524272:NJZ524274 NTK524272:NTV524274 ODG524272:ODR524274 ONC524272:ONN524274 OWY524272:OXJ524274 PGU524272:PHF524274 PQQ524272:PRB524274 QAM524272:QAX524274 QKI524272:QKT524274 QUE524272:QUP524274 REA524272:REL524274 RNW524272:ROH524274 RXS524272:RYD524274 SHO524272:SHZ524274 SRK524272:SRV524274 TBG524272:TBR524274 TLC524272:TLN524274 TUY524272:TVJ524274 UEU524272:UFF524274 UOQ524272:UPB524274 UYM524272:UYX524274 VII524272:VIT524274 VSE524272:VSP524274 WCA524272:WCL524274 WLW524272:WMH524274 WVS524272:WWD524274 JG589808:JR589810 TC589808:TN589810 ACY589808:ADJ589810 AMU589808:ANF589810 AWQ589808:AXB589810 BGM589808:BGX589810 BQI589808:BQT589810 CAE589808:CAP589810 CKA589808:CKL589810 CTW589808:CUH589810 DDS589808:DED589810 DNO589808:DNZ589810 DXK589808:DXV589810 EHG589808:EHR589810 ERC589808:ERN589810 FAY589808:FBJ589810 FKU589808:FLF589810 FUQ589808:FVB589810 GEM589808:GEX589810 GOI589808:GOT589810 GYE589808:GYP589810 HIA589808:HIL589810 HRW589808:HSH589810 IBS589808:ICD589810 ILO589808:ILZ589810 IVK589808:IVV589810 JFG589808:JFR589810 JPC589808:JPN589810 JYY589808:JZJ589810 KIU589808:KJF589810 KSQ589808:KTB589810 LCM589808:LCX589810 LMI589808:LMT589810 LWE589808:LWP589810 MGA589808:MGL589810 MPW589808:MQH589810 MZS589808:NAD589810 NJO589808:NJZ589810 NTK589808:NTV589810 ODG589808:ODR589810 ONC589808:ONN589810 OWY589808:OXJ589810 PGU589808:PHF589810 PQQ589808:PRB589810 QAM589808:QAX589810 QKI589808:QKT589810 QUE589808:QUP589810 REA589808:REL589810 RNW589808:ROH589810 RXS589808:RYD589810 SHO589808:SHZ589810 SRK589808:SRV589810 TBG589808:TBR589810 TLC589808:TLN589810 TUY589808:TVJ589810 UEU589808:UFF589810 UOQ589808:UPB589810 UYM589808:UYX589810 VII589808:VIT589810 VSE589808:VSP589810 WCA589808:WCL589810 WLW589808:WMH589810 WVS589808:WWD589810 JG655344:JR655346 TC655344:TN655346 ACY655344:ADJ655346 AMU655344:ANF655346 AWQ655344:AXB655346 BGM655344:BGX655346 BQI655344:BQT655346 CAE655344:CAP655346 CKA655344:CKL655346 CTW655344:CUH655346 DDS655344:DED655346 DNO655344:DNZ655346 DXK655344:DXV655346 EHG655344:EHR655346 ERC655344:ERN655346 FAY655344:FBJ655346 FKU655344:FLF655346 FUQ655344:FVB655346 GEM655344:GEX655346 GOI655344:GOT655346 GYE655344:GYP655346 HIA655344:HIL655346 HRW655344:HSH655346 IBS655344:ICD655346 ILO655344:ILZ655346 IVK655344:IVV655346 JFG655344:JFR655346 JPC655344:JPN655346 JYY655344:JZJ655346 KIU655344:KJF655346 KSQ655344:KTB655346 LCM655344:LCX655346 LMI655344:LMT655346 LWE655344:LWP655346 MGA655344:MGL655346 MPW655344:MQH655346 MZS655344:NAD655346 NJO655344:NJZ655346 NTK655344:NTV655346 ODG655344:ODR655346 ONC655344:ONN655346 OWY655344:OXJ655346 PGU655344:PHF655346 PQQ655344:PRB655346 QAM655344:QAX655346 QKI655344:QKT655346 QUE655344:QUP655346 REA655344:REL655346 RNW655344:ROH655346 RXS655344:RYD655346 SHO655344:SHZ655346 SRK655344:SRV655346 TBG655344:TBR655346 TLC655344:TLN655346 TUY655344:TVJ655346 UEU655344:UFF655346 UOQ655344:UPB655346 UYM655344:UYX655346 VII655344:VIT655346 VSE655344:VSP655346 WCA655344:WCL655346 WLW655344:WMH655346 WVS655344:WWD655346 JG720880:JR720882 TC720880:TN720882 ACY720880:ADJ720882 AMU720880:ANF720882 AWQ720880:AXB720882 BGM720880:BGX720882 BQI720880:BQT720882 CAE720880:CAP720882 CKA720880:CKL720882 CTW720880:CUH720882 DDS720880:DED720882 DNO720880:DNZ720882 DXK720880:DXV720882 EHG720880:EHR720882 ERC720880:ERN720882 FAY720880:FBJ720882 FKU720880:FLF720882 FUQ720880:FVB720882 GEM720880:GEX720882 GOI720880:GOT720882 GYE720880:GYP720882 HIA720880:HIL720882 HRW720880:HSH720882 IBS720880:ICD720882 ILO720880:ILZ720882 IVK720880:IVV720882 JFG720880:JFR720882 JPC720880:JPN720882 JYY720880:JZJ720882 KIU720880:KJF720882 KSQ720880:KTB720882 LCM720880:LCX720882 LMI720880:LMT720882 LWE720880:LWP720882 MGA720880:MGL720882 MPW720880:MQH720882 MZS720880:NAD720882 NJO720880:NJZ720882 NTK720880:NTV720882 ODG720880:ODR720882 ONC720880:ONN720882 OWY720880:OXJ720882 PGU720880:PHF720882 PQQ720880:PRB720882 QAM720880:QAX720882 QKI720880:QKT720882 QUE720880:QUP720882 REA720880:REL720882 RNW720880:ROH720882 RXS720880:RYD720882 SHO720880:SHZ720882 SRK720880:SRV720882 TBG720880:TBR720882 TLC720880:TLN720882 TUY720880:TVJ720882 UEU720880:UFF720882 UOQ720880:UPB720882 UYM720880:UYX720882 VII720880:VIT720882 VSE720880:VSP720882 WCA720880:WCL720882 WLW720880:WMH720882 WVS720880:WWD720882 JG786416:JR786418 TC786416:TN786418 ACY786416:ADJ786418 AMU786416:ANF786418 AWQ786416:AXB786418 BGM786416:BGX786418 BQI786416:BQT786418 CAE786416:CAP786418 CKA786416:CKL786418 CTW786416:CUH786418 DDS786416:DED786418 DNO786416:DNZ786418 DXK786416:DXV786418 EHG786416:EHR786418 ERC786416:ERN786418 FAY786416:FBJ786418 FKU786416:FLF786418 FUQ786416:FVB786418 GEM786416:GEX786418 GOI786416:GOT786418 GYE786416:GYP786418 HIA786416:HIL786418 HRW786416:HSH786418 IBS786416:ICD786418 ILO786416:ILZ786418 IVK786416:IVV786418 JFG786416:JFR786418 JPC786416:JPN786418 JYY786416:JZJ786418 KIU786416:KJF786418 KSQ786416:KTB786418 LCM786416:LCX786418 LMI786416:LMT786418 LWE786416:LWP786418 MGA786416:MGL786418 MPW786416:MQH786418 MZS786416:NAD786418 NJO786416:NJZ786418 NTK786416:NTV786418 ODG786416:ODR786418 ONC786416:ONN786418 OWY786416:OXJ786418 PGU786416:PHF786418 PQQ786416:PRB786418 QAM786416:QAX786418 QKI786416:QKT786418 QUE786416:QUP786418 REA786416:REL786418 RNW786416:ROH786418 RXS786416:RYD786418 SHO786416:SHZ786418 SRK786416:SRV786418 TBG786416:TBR786418 TLC786416:TLN786418 TUY786416:TVJ786418 UEU786416:UFF786418 UOQ786416:UPB786418 UYM786416:UYX786418 VII786416:VIT786418 VSE786416:VSP786418 WCA786416:WCL786418 WLW786416:WMH786418 WVS786416:WWD786418 JG851952:JR851954 TC851952:TN851954 ACY851952:ADJ851954 AMU851952:ANF851954 AWQ851952:AXB851954 BGM851952:BGX851954 BQI851952:BQT851954 CAE851952:CAP851954 CKA851952:CKL851954 CTW851952:CUH851954 DDS851952:DED851954 DNO851952:DNZ851954 DXK851952:DXV851954 EHG851952:EHR851954 ERC851952:ERN851954 FAY851952:FBJ851954 FKU851952:FLF851954 FUQ851952:FVB851954 GEM851952:GEX851954 GOI851952:GOT851954 GYE851952:GYP851954 HIA851952:HIL851954 HRW851952:HSH851954 IBS851952:ICD851954 ILO851952:ILZ851954 IVK851952:IVV851954 JFG851952:JFR851954 JPC851952:JPN851954 JYY851952:JZJ851954 KIU851952:KJF851954 KSQ851952:KTB851954 LCM851952:LCX851954 LMI851952:LMT851954 LWE851952:LWP851954 MGA851952:MGL851954 MPW851952:MQH851954 MZS851952:NAD851954 NJO851952:NJZ851954 NTK851952:NTV851954 ODG851952:ODR851954 ONC851952:ONN851954 OWY851952:OXJ851954 PGU851952:PHF851954 PQQ851952:PRB851954 QAM851952:QAX851954 QKI851952:QKT851954 QUE851952:QUP851954 REA851952:REL851954 RNW851952:ROH851954 RXS851952:RYD851954 SHO851952:SHZ851954 SRK851952:SRV851954 TBG851952:TBR851954 TLC851952:TLN851954 TUY851952:TVJ851954 UEU851952:UFF851954 UOQ851952:UPB851954 UYM851952:UYX851954 VII851952:VIT851954 VSE851952:VSP851954 WCA851952:WCL851954 WLW851952:WMH851954 WVS851952:WWD851954 JG917488:JR917490 TC917488:TN917490 ACY917488:ADJ917490 AMU917488:ANF917490 AWQ917488:AXB917490 BGM917488:BGX917490 BQI917488:BQT917490 CAE917488:CAP917490 CKA917488:CKL917490 CTW917488:CUH917490 DDS917488:DED917490 DNO917488:DNZ917490 DXK917488:DXV917490 EHG917488:EHR917490 ERC917488:ERN917490 FAY917488:FBJ917490 FKU917488:FLF917490 FUQ917488:FVB917490 GEM917488:GEX917490 GOI917488:GOT917490 GYE917488:GYP917490 HIA917488:HIL917490 HRW917488:HSH917490 IBS917488:ICD917490 ILO917488:ILZ917490 IVK917488:IVV917490 JFG917488:JFR917490 JPC917488:JPN917490 JYY917488:JZJ917490 KIU917488:KJF917490 KSQ917488:KTB917490 LCM917488:LCX917490 LMI917488:LMT917490 LWE917488:LWP917490 MGA917488:MGL917490 MPW917488:MQH917490 MZS917488:NAD917490 NJO917488:NJZ917490 NTK917488:NTV917490 ODG917488:ODR917490 ONC917488:ONN917490 OWY917488:OXJ917490 PGU917488:PHF917490 PQQ917488:PRB917490 QAM917488:QAX917490 QKI917488:QKT917490 QUE917488:QUP917490 REA917488:REL917490 RNW917488:ROH917490 RXS917488:RYD917490 SHO917488:SHZ917490 SRK917488:SRV917490 TBG917488:TBR917490 TLC917488:TLN917490 TUY917488:TVJ917490 UEU917488:UFF917490 UOQ917488:UPB917490 UYM917488:UYX917490 VII917488:VIT917490 VSE917488:VSP917490 WCA917488:WCL917490 WLW917488:WMH917490 WVS917488:WWD917490 JG983024:JR983026 TC983024:TN983026 ACY983024:ADJ983026 AMU983024:ANF983026 AWQ983024:AXB983026 BGM983024:BGX983026 BQI983024:BQT983026 CAE983024:CAP983026 CKA983024:CKL983026 CTW983024:CUH983026 DDS983024:DED983026 DNO983024:DNZ983026 DXK983024:DXV983026 EHG983024:EHR983026 ERC983024:ERN983026 FAY983024:FBJ983026 FKU983024:FLF983026 FUQ983024:FVB983026 GEM983024:GEX983026 GOI983024:GOT983026 GYE983024:GYP983026 HIA983024:HIL983026 HRW983024:HSH983026 IBS983024:ICD983026 ILO983024:ILZ983026 IVK983024:IVV983026 JFG983024:JFR983026 JPC983024:JPN983026 JYY983024:JZJ983026 KIU983024:KJF983026 KSQ983024:KTB983026 LCM983024:LCX983026 LMI983024:LMT983026 LWE983024:LWP983026 MGA983024:MGL983026 MPW983024:MQH983026 MZS983024:NAD983026 NJO983024:NJZ983026 NTK983024:NTV983026 ODG983024:ODR983026 ONC983024:ONN983026 OWY983024:OXJ983026 PGU983024:PHF983026 PQQ983024:PRB983026 QAM983024:QAX983026 QKI983024:QKT983026 QUE983024:QUP983026 REA983024:REL983026 RNW983024:ROH983026 RXS983024:RYD983026 SHO983024:SHZ983026 SRK983024:SRV983026 TBG983024:TBR983026 TLC983024:TLN983026 TUY983024:TVJ983026 UEU983024:UFF983026 UOQ983024:UPB983026 UYM983024:UYX983026 VII983024:VIT983026 VSE983024:VSP983026 WCA983024:WCL983026 WLW983024:WMH983026 WVS983024:WWD983026 WVS983029:WWD983031 JG65525:JR65527 TC65525:TN65527 ACY65525:ADJ65527 AMU65525:ANF65527 AWQ65525:AXB65527 BGM65525:BGX65527 BQI65525:BQT65527 CAE65525:CAP65527 CKA65525:CKL65527 CTW65525:CUH65527 DDS65525:DED65527 DNO65525:DNZ65527 DXK65525:DXV65527 EHG65525:EHR65527 ERC65525:ERN65527 FAY65525:FBJ65527 FKU65525:FLF65527 FUQ65525:FVB65527 GEM65525:GEX65527 GOI65525:GOT65527 GYE65525:GYP65527 HIA65525:HIL65527 HRW65525:HSH65527 IBS65525:ICD65527 ILO65525:ILZ65527 IVK65525:IVV65527 JFG65525:JFR65527 JPC65525:JPN65527 JYY65525:JZJ65527 KIU65525:KJF65527 KSQ65525:KTB65527 LCM65525:LCX65527 LMI65525:LMT65527 LWE65525:LWP65527 MGA65525:MGL65527 MPW65525:MQH65527 MZS65525:NAD65527 NJO65525:NJZ65527 NTK65525:NTV65527 ODG65525:ODR65527 ONC65525:ONN65527 OWY65525:OXJ65527 PGU65525:PHF65527 PQQ65525:PRB65527 QAM65525:QAX65527 QKI65525:QKT65527 QUE65525:QUP65527 REA65525:REL65527 RNW65525:ROH65527 RXS65525:RYD65527 SHO65525:SHZ65527 SRK65525:SRV65527 TBG65525:TBR65527 TLC65525:TLN65527 TUY65525:TVJ65527 UEU65525:UFF65527 UOQ65525:UPB65527 UYM65525:UYX65527 VII65525:VIT65527 VSE65525:VSP65527 WCA65525:WCL65527 WLW65525:WMH65527 WVS65525:WWD65527 JG131061:JR131063 TC131061:TN131063 ACY131061:ADJ131063 AMU131061:ANF131063 AWQ131061:AXB131063 BGM131061:BGX131063 BQI131061:BQT131063 CAE131061:CAP131063 CKA131061:CKL131063 CTW131061:CUH131063 DDS131061:DED131063 DNO131061:DNZ131063 DXK131061:DXV131063 EHG131061:EHR131063 ERC131061:ERN131063 FAY131061:FBJ131063 FKU131061:FLF131063 FUQ131061:FVB131063 GEM131061:GEX131063 GOI131061:GOT131063 GYE131061:GYP131063 HIA131061:HIL131063 HRW131061:HSH131063 IBS131061:ICD131063 ILO131061:ILZ131063 IVK131061:IVV131063 JFG131061:JFR131063 JPC131061:JPN131063 JYY131061:JZJ131063 KIU131061:KJF131063 KSQ131061:KTB131063 LCM131061:LCX131063 LMI131061:LMT131063 LWE131061:LWP131063 MGA131061:MGL131063 MPW131061:MQH131063 MZS131061:NAD131063 NJO131061:NJZ131063 NTK131061:NTV131063 ODG131061:ODR131063 ONC131061:ONN131063 OWY131061:OXJ131063 PGU131061:PHF131063 PQQ131061:PRB131063 QAM131061:QAX131063 QKI131061:QKT131063 QUE131061:QUP131063 REA131061:REL131063 RNW131061:ROH131063 RXS131061:RYD131063 SHO131061:SHZ131063 SRK131061:SRV131063 TBG131061:TBR131063 TLC131061:TLN131063 TUY131061:TVJ131063 UEU131061:UFF131063 UOQ131061:UPB131063 UYM131061:UYX131063 VII131061:VIT131063 VSE131061:VSP131063 WCA131061:WCL131063 WLW131061:WMH131063 WVS131061:WWD131063 JG196597:JR196599 TC196597:TN196599 ACY196597:ADJ196599 AMU196597:ANF196599 AWQ196597:AXB196599 BGM196597:BGX196599 BQI196597:BQT196599 CAE196597:CAP196599 CKA196597:CKL196599 CTW196597:CUH196599 DDS196597:DED196599 DNO196597:DNZ196599 DXK196597:DXV196599 EHG196597:EHR196599 ERC196597:ERN196599 FAY196597:FBJ196599 FKU196597:FLF196599 FUQ196597:FVB196599 GEM196597:GEX196599 GOI196597:GOT196599 GYE196597:GYP196599 HIA196597:HIL196599 HRW196597:HSH196599 IBS196597:ICD196599 ILO196597:ILZ196599 IVK196597:IVV196599 JFG196597:JFR196599 JPC196597:JPN196599 JYY196597:JZJ196599 KIU196597:KJF196599 KSQ196597:KTB196599 LCM196597:LCX196599 LMI196597:LMT196599 LWE196597:LWP196599 MGA196597:MGL196599 MPW196597:MQH196599 MZS196597:NAD196599 NJO196597:NJZ196599 NTK196597:NTV196599 ODG196597:ODR196599 ONC196597:ONN196599 OWY196597:OXJ196599 PGU196597:PHF196599 PQQ196597:PRB196599 QAM196597:QAX196599 QKI196597:QKT196599 QUE196597:QUP196599 REA196597:REL196599 RNW196597:ROH196599 RXS196597:RYD196599 SHO196597:SHZ196599 SRK196597:SRV196599 TBG196597:TBR196599 TLC196597:TLN196599 TUY196597:TVJ196599 UEU196597:UFF196599 UOQ196597:UPB196599 UYM196597:UYX196599 VII196597:VIT196599 VSE196597:VSP196599 WCA196597:WCL196599 WLW196597:WMH196599 WVS196597:WWD196599 JG262133:JR262135 TC262133:TN262135 ACY262133:ADJ262135 AMU262133:ANF262135 AWQ262133:AXB262135 BGM262133:BGX262135 BQI262133:BQT262135 CAE262133:CAP262135 CKA262133:CKL262135 CTW262133:CUH262135 DDS262133:DED262135 DNO262133:DNZ262135 DXK262133:DXV262135 EHG262133:EHR262135 ERC262133:ERN262135 FAY262133:FBJ262135 FKU262133:FLF262135 FUQ262133:FVB262135 GEM262133:GEX262135 GOI262133:GOT262135 GYE262133:GYP262135 HIA262133:HIL262135 HRW262133:HSH262135 IBS262133:ICD262135 ILO262133:ILZ262135 IVK262133:IVV262135 JFG262133:JFR262135 JPC262133:JPN262135 JYY262133:JZJ262135 KIU262133:KJF262135 KSQ262133:KTB262135 LCM262133:LCX262135 LMI262133:LMT262135 LWE262133:LWP262135 MGA262133:MGL262135 MPW262133:MQH262135 MZS262133:NAD262135 NJO262133:NJZ262135 NTK262133:NTV262135 ODG262133:ODR262135 ONC262133:ONN262135 OWY262133:OXJ262135 PGU262133:PHF262135 PQQ262133:PRB262135 QAM262133:QAX262135 QKI262133:QKT262135 QUE262133:QUP262135 REA262133:REL262135 RNW262133:ROH262135 RXS262133:RYD262135 SHO262133:SHZ262135 SRK262133:SRV262135 TBG262133:TBR262135 TLC262133:TLN262135 TUY262133:TVJ262135 UEU262133:UFF262135 UOQ262133:UPB262135 UYM262133:UYX262135 VII262133:VIT262135 VSE262133:VSP262135 WCA262133:WCL262135 WLW262133:WMH262135 WVS262133:WWD262135 JG327669:JR327671 TC327669:TN327671 ACY327669:ADJ327671 AMU327669:ANF327671 AWQ327669:AXB327671 BGM327669:BGX327671 BQI327669:BQT327671 CAE327669:CAP327671 CKA327669:CKL327671 CTW327669:CUH327671 DDS327669:DED327671 DNO327669:DNZ327671 DXK327669:DXV327671 EHG327669:EHR327671 ERC327669:ERN327671 FAY327669:FBJ327671 FKU327669:FLF327671 FUQ327669:FVB327671 GEM327669:GEX327671 GOI327669:GOT327671 GYE327669:GYP327671 HIA327669:HIL327671 HRW327669:HSH327671 IBS327669:ICD327671 ILO327669:ILZ327671 IVK327669:IVV327671 JFG327669:JFR327671 JPC327669:JPN327671 JYY327669:JZJ327671 KIU327669:KJF327671 KSQ327669:KTB327671 LCM327669:LCX327671 LMI327669:LMT327671 LWE327669:LWP327671 MGA327669:MGL327671 MPW327669:MQH327671 MZS327669:NAD327671 NJO327669:NJZ327671 NTK327669:NTV327671 ODG327669:ODR327671 ONC327669:ONN327671 OWY327669:OXJ327671 PGU327669:PHF327671 PQQ327669:PRB327671 QAM327669:QAX327671 QKI327669:QKT327671 QUE327669:QUP327671 REA327669:REL327671 RNW327669:ROH327671 RXS327669:RYD327671 SHO327669:SHZ327671 SRK327669:SRV327671 TBG327669:TBR327671 TLC327669:TLN327671 TUY327669:TVJ327671 UEU327669:UFF327671 UOQ327669:UPB327671 UYM327669:UYX327671 VII327669:VIT327671 VSE327669:VSP327671 WCA327669:WCL327671 WLW327669:WMH327671 WVS327669:WWD327671 JG393205:JR393207 TC393205:TN393207 ACY393205:ADJ393207 AMU393205:ANF393207 AWQ393205:AXB393207 BGM393205:BGX393207 BQI393205:BQT393207 CAE393205:CAP393207 CKA393205:CKL393207 CTW393205:CUH393207 DDS393205:DED393207 DNO393205:DNZ393207 DXK393205:DXV393207 EHG393205:EHR393207 ERC393205:ERN393207 FAY393205:FBJ393207 FKU393205:FLF393207 FUQ393205:FVB393207 GEM393205:GEX393207 GOI393205:GOT393207 GYE393205:GYP393207 HIA393205:HIL393207 HRW393205:HSH393207 IBS393205:ICD393207 ILO393205:ILZ393207 IVK393205:IVV393207 JFG393205:JFR393207 JPC393205:JPN393207 JYY393205:JZJ393207 KIU393205:KJF393207 KSQ393205:KTB393207 LCM393205:LCX393207 LMI393205:LMT393207 LWE393205:LWP393207 MGA393205:MGL393207 MPW393205:MQH393207 MZS393205:NAD393207 NJO393205:NJZ393207 NTK393205:NTV393207 ODG393205:ODR393207 ONC393205:ONN393207 OWY393205:OXJ393207 PGU393205:PHF393207 PQQ393205:PRB393207 QAM393205:QAX393207 QKI393205:QKT393207 QUE393205:QUP393207 REA393205:REL393207 RNW393205:ROH393207 RXS393205:RYD393207 SHO393205:SHZ393207 SRK393205:SRV393207 TBG393205:TBR393207 TLC393205:TLN393207 TUY393205:TVJ393207 UEU393205:UFF393207 UOQ393205:UPB393207 UYM393205:UYX393207 VII393205:VIT393207 VSE393205:VSP393207 WCA393205:WCL393207 WLW393205:WMH393207 WVS393205:WWD393207 JG458741:JR458743 TC458741:TN458743 ACY458741:ADJ458743 AMU458741:ANF458743 AWQ458741:AXB458743 BGM458741:BGX458743 BQI458741:BQT458743 CAE458741:CAP458743 CKA458741:CKL458743 CTW458741:CUH458743 DDS458741:DED458743 DNO458741:DNZ458743 DXK458741:DXV458743 EHG458741:EHR458743 ERC458741:ERN458743 FAY458741:FBJ458743 FKU458741:FLF458743 FUQ458741:FVB458743 GEM458741:GEX458743 GOI458741:GOT458743 GYE458741:GYP458743 HIA458741:HIL458743 HRW458741:HSH458743 IBS458741:ICD458743 ILO458741:ILZ458743 IVK458741:IVV458743 JFG458741:JFR458743 JPC458741:JPN458743 JYY458741:JZJ458743 KIU458741:KJF458743 KSQ458741:KTB458743 LCM458741:LCX458743 LMI458741:LMT458743 LWE458741:LWP458743 MGA458741:MGL458743 MPW458741:MQH458743 MZS458741:NAD458743 NJO458741:NJZ458743 NTK458741:NTV458743 ODG458741:ODR458743 ONC458741:ONN458743 OWY458741:OXJ458743 PGU458741:PHF458743 PQQ458741:PRB458743 QAM458741:QAX458743 QKI458741:QKT458743 QUE458741:QUP458743 REA458741:REL458743 RNW458741:ROH458743 RXS458741:RYD458743 SHO458741:SHZ458743 SRK458741:SRV458743 TBG458741:TBR458743 TLC458741:TLN458743 TUY458741:TVJ458743 UEU458741:UFF458743 UOQ458741:UPB458743 UYM458741:UYX458743 VII458741:VIT458743 VSE458741:VSP458743 WCA458741:WCL458743 WLW458741:WMH458743 WVS458741:WWD458743 JG524277:JR524279 TC524277:TN524279 ACY524277:ADJ524279 AMU524277:ANF524279 AWQ524277:AXB524279 BGM524277:BGX524279 BQI524277:BQT524279 CAE524277:CAP524279 CKA524277:CKL524279 CTW524277:CUH524279 DDS524277:DED524279 DNO524277:DNZ524279 DXK524277:DXV524279 EHG524277:EHR524279 ERC524277:ERN524279 FAY524277:FBJ524279 FKU524277:FLF524279 FUQ524277:FVB524279 GEM524277:GEX524279 GOI524277:GOT524279 GYE524277:GYP524279 HIA524277:HIL524279 HRW524277:HSH524279 IBS524277:ICD524279 ILO524277:ILZ524279 IVK524277:IVV524279 JFG524277:JFR524279 JPC524277:JPN524279 JYY524277:JZJ524279 KIU524277:KJF524279 KSQ524277:KTB524279 LCM524277:LCX524279 LMI524277:LMT524279 LWE524277:LWP524279 MGA524277:MGL524279 MPW524277:MQH524279 MZS524277:NAD524279 NJO524277:NJZ524279 NTK524277:NTV524279 ODG524277:ODR524279 ONC524277:ONN524279 OWY524277:OXJ524279 PGU524277:PHF524279 PQQ524277:PRB524279 QAM524277:QAX524279 QKI524277:QKT524279 QUE524277:QUP524279 REA524277:REL524279 RNW524277:ROH524279 RXS524277:RYD524279 SHO524277:SHZ524279 SRK524277:SRV524279 TBG524277:TBR524279 TLC524277:TLN524279 TUY524277:TVJ524279 UEU524277:UFF524279 UOQ524277:UPB524279 UYM524277:UYX524279 VII524277:VIT524279 VSE524277:VSP524279 WCA524277:WCL524279 WLW524277:WMH524279 WVS524277:WWD524279 JG589813:JR589815 TC589813:TN589815 ACY589813:ADJ589815 AMU589813:ANF589815 AWQ589813:AXB589815 BGM589813:BGX589815 BQI589813:BQT589815 CAE589813:CAP589815 CKA589813:CKL589815 CTW589813:CUH589815 DDS589813:DED589815 DNO589813:DNZ589815 DXK589813:DXV589815 EHG589813:EHR589815 ERC589813:ERN589815 FAY589813:FBJ589815 FKU589813:FLF589815 FUQ589813:FVB589815 GEM589813:GEX589815 GOI589813:GOT589815 GYE589813:GYP589815 HIA589813:HIL589815 HRW589813:HSH589815 IBS589813:ICD589815 ILO589813:ILZ589815 IVK589813:IVV589815 JFG589813:JFR589815 JPC589813:JPN589815 JYY589813:JZJ589815 KIU589813:KJF589815 KSQ589813:KTB589815 LCM589813:LCX589815 LMI589813:LMT589815 LWE589813:LWP589815 MGA589813:MGL589815 MPW589813:MQH589815 MZS589813:NAD589815 NJO589813:NJZ589815 NTK589813:NTV589815 ODG589813:ODR589815 ONC589813:ONN589815 OWY589813:OXJ589815 PGU589813:PHF589815 PQQ589813:PRB589815 QAM589813:QAX589815 QKI589813:QKT589815 QUE589813:QUP589815 REA589813:REL589815 RNW589813:ROH589815 RXS589813:RYD589815 SHO589813:SHZ589815 SRK589813:SRV589815 TBG589813:TBR589815 TLC589813:TLN589815 TUY589813:TVJ589815 UEU589813:UFF589815 UOQ589813:UPB589815 UYM589813:UYX589815 VII589813:VIT589815 VSE589813:VSP589815 WCA589813:WCL589815 WLW589813:WMH589815 WVS589813:WWD589815 JG655349:JR655351 TC655349:TN655351 ACY655349:ADJ655351 AMU655349:ANF655351 AWQ655349:AXB655351 BGM655349:BGX655351 BQI655349:BQT655351 CAE655349:CAP655351 CKA655349:CKL655351 CTW655349:CUH655351 DDS655349:DED655351 DNO655349:DNZ655351 DXK655349:DXV655351 EHG655349:EHR655351 ERC655349:ERN655351 FAY655349:FBJ655351 FKU655349:FLF655351 FUQ655349:FVB655351 GEM655349:GEX655351 GOI655349:GOT655351 GYE655349:GYP655351 HIA655349:HIL655351 HRW655349:HSH655351 IBS655349:ICD655351 ILO655349:ILZ655351 IVK655349:IVV655351 JFG655349:JFR655351 JPC655349:JPN655351 JYY655349:JZJ655351 KIU655349:KJF655351 KSQ655349:KTB655351 LCM655349:LCX655351 LMI655349:LMT655351 LWE655349:LWP655351 MGA655349:MGL655351 MPW655349:MQH655351 MZS655349:NAD655351 NJO655349:NJZ655351 NTK655349:NTV655351 ODG655349:ODR655351 ONC655349:ONN655351 OWY655349:OXJ655351 PGU655349:PHF655351 PQQ655349:PRB655351 QAM655349:QAX655351 QKI655349:QKT655351 QUE655349:QUP655351 REA655349:REL655351 RNW655349:ROH655351 RXS655349:RYD655351 SHO655349:SHZ655351 SRK655349:SRV655351 TBG655349:TBR655351 TLC655349:TLN655351 TUY655349:TVJ655351 UEU655349:UFF655351 UOQ655349:UPB655351 UYM655349:UYX655351 VII655349:VIT655351 VSE655349:VSP655351 WCA655349:WCL655351 WLW655349:WMH655351 WVS655349:WWD655351 JG720885:JR720887 TC720885:TN720887 ACY720885:ADJ720887 AMU720885:ANF720887 AWQ720885:AXB720887 BGM720885:BGX720887 BQI720885:BQT720887 CAE720885:CAP720887 CKA720885:CKL720887 CTW720885:CUH720887 DDS720885:DED720887 DNO720885:DNZ720887 DXK720885:DXV720887 EHG720885:EHR720887 ERC720885:ERN720887 FAY720885:FBJ720887 FKU720885:FLF720887 FUQ720885:FVB720887 GEM720885:GEX720887 GOI720885:GOT720887 GYE720885:GYP720887 HIA720885:HIL720887 HRW720885:HSH720887 IBS720885:ICD720887 ILO720885:ILZ720887 IVK720885:IVV720887 JFG720885:JFR720887 JPC720885:JPN720887 JYY720885:JZJ720887 KIU720885:KJF720887 KSQ720885:KTB720887 LCM720885:LCX720887 LMI720885:LMT720887 LWE720885:LWP720887 MGA720885:MGL720887 MPW720885:MQH720887 MZS720885:NAD720887 NJO720885:NJZ720887 NTK720885:NTV720887 ODG720885:ODR720887 ONC720885:ONN720887 OWY720885:OXJ720887 PGU720885:PHF720887 PQQ720885:PRB720887 QAM720885:QAX720887 QKI720885:QKT720887 QUE720885:QUP720887 REA720885:REL720887 RNW720885:ROH720887 RXS720885:RYD720887 SHO720885:SHZ720887 SRK720885:SRV720887 TBG720885:TBR720887 TLC720885:TLN720887 TUY720885:TVJ720887 UEU720885:UFF720887 UOQ720885:UPB720887 UYM720885:UYX720887 VII720885:VIT720887 VSE720885:VSP720887 WCA720885:WCL720887 WLW720885:WMH720887 WVS720885:WWD720887 JG786421:JR786423 TC786421:TN786423 ACY786421:ADJ786423 AMU786421:ANF786423 AWQ786421:AXB786423 BGM786421:BGX786423 BQI786421:BQT786423 CAE786421:CAP786423 CKA786421:CKL786423 CTW786421:CUH786423 DDS786421:DED786423 DNO786421:DNZ786423 DXK786421:DXV786423 EHG786421:EHR786423 ERC786421:ERN786423 FAY786421:FBJ786423 FKU786421:FLF786423 FUQ786421:FVB786423 GEM786421:GEX786423 GOI786421:GOT786423 GYE786421:GYP786423 HIA786421:HIL786423 HRW786421:HSH786423 IBS786421:ICD786423 ILO786421:ILZ786423 IVK786421:IVV786423 JFG786421:JFR786423 JPC786421:JPN786423 JYY786421:JZJ786423 KIU786421:KJF786423 KSQ786421:KTB786423 LCM786421:LCX786423 LMI786421:LMT786423 LWE786421:LWP786423 MGA786421:MGL786423 MPW786421:MQH786423 MZS786421:NAD786423 NJO786421:NJZ786423 NTK786421:NTV786423 ODG786421:ODR786423 ONC786421:ONN786423 OWY786421:OXJ786423 PGU786421:PHF786423 PQQ786421:PRB786423 QAM786421:QAX786423 QKI786421:QKT786423 QUE786421:QUP786423 REA786421:REL786423 RNW786421:ROH786423 RXS786421:RYD786423 SHO786421:SHZ786423 SRK786421:SRV786423 TBG786421:TBR786423 TLC786421:TLN786423 TUY786421:TVJ786423 UEU786421:UFF786423 UOQ786421:UPB786423 UYM786421:UYX786423 VII786421:VIT786423 VSE786421:VSP786423 WCA786421:WCL786423 WLW786421:WMH786423 WVS786421:WWD786423 JG851957:JR851959 TC851957:TN851959 ACY851957:ADJ851959 AMU851957:ANF851959 AWQ851957:AXB851959 BGM851957:BGX851959 BQI851957:BQT851959 CAE851957:CAP851959 CKA851957:CKL851959 CTW851957:CUH851959 DDS851957:DED851959 DNO851957:DNZ851959 DXK851957:DXV851959 EHG851957:EHR851959 ERC851957:ERN851959 FAY851957:FBJ851959 FKU851957:FLF851959 FUQ851957:FVB851959 GEM851957:GEX851959 GOI851957:GOT851959 GYE851957:GYP851959 HIA851957:HIL851959 HRW851957:HSH851959 IBS851957:ICD851959 ILO851957:ILZ851959 IVK851957:IVV851959 JFG851957:JFR851959 JPC851957:JPN851959 JYY851957:JZJ851959 KIU851957:KJF851959 KSQ851957:KTB851959 LCM851957:LCX851959 LMI851957:LMT851959 LWE851957:LWP851959 MGA851957:MGL851959 MPW851957:MQH851959 MZS851957:NAD851959 NJO851957:NJZ851959 NTK851957:NTV851959 ODG851957:ODR851959 ONC851957:ONN851959 OWY851957:OXJ851959 PGU851957:PHF851959 PQQ851957:PRB851959 QAM851957:QAX851959 QKI851957:QKT851959 QUE851957:QUP851959 REA851957:REL851959 RNW851957:ROH851959 RXS851957:RYD851959 SHO851957:SHZ851959 SRK851957:SRV851959 TBG851957:TBR851959 TLC851957:TLN851959 TUY851957:TVJ851959 UEU851957:UFF851959 UOQ851957:UPB851959 UYM851957:UYX851959 VII851957:VIT851959 VSE851957:VSP851959 WCA851957:WCL851959 WLW851957:WMH851959 WVS851957:WWD851959 JG917493:JR917495 TC917493:TN917495 ACY917493:ADJ917495 AMU917493:ANF917495 AWQ917493:AXB917495 BGM917493:BGX917495 BQI917493:BQT917495 CAE917493:CAP917495 CKA917493:CKL917495 CTW917493:CUH917495 DDS917493:DED917495 DNO917493:DNZ917495 DXK917493:DXV917495 EHG917493:EHR917495 ERC917493:ERN917495 FAY917493:FBJ917495 FKU917493:FLF917495 FUQ917493:FVB917495 GEM917493:GEX917495 GOI917493:GOT917495 GYE917493:GYP917495 HIA917493:HIL917495 HRW917493:HSH917495 IBS917493:ICD917495 ILO917493:ILZ917495 IVK917493:IVV917495 JFG917493:JFR917495 JPC917493:JPN917495 JYY917493:JZJ917495 KIU917493:KJF917495 KSQ917493:KTB917495 LCM917493:LCX917495 LMI917493:LMT917495 LWE917493:LWP917495 MGA917493:MGL917495 MPW917493:MQH917495 MZS917493:NAD917495 NJO917493:NJZ917495 NTK917493:NTV917495 ODG917493:ODR917495 ONC917493:ONN917495 OWY917493:OXJ917495 PGU917493:PHF917495 PQQ917493:PRB917495 QAM917493:QAX917495 QKI917493:QKT917495 QUE917493:QUP917495 REA917493:REL917495 RNW917493:ROH917495 RXS917493:RYD917495 SHO917493:SHZ917495 SRK917493:SRV917495 TBG917493:TBR917495 TLC917493:TLN917495 TUY917493:TVJ917495 UEU917493:UFF917495 UOQ917493:UPB917495 UYM917493:UYX917495 VII917493:VIT917495 VSE917493:VSP917495 WCA917493:WCL917495 WLW917493:WMH917495 WVS917493:WWD917495 JG983029:JR983031 TC983029:TN983031 ACY983029:ADJ983031 AMU983029:ANF983031 AWQ983029:AXB983031 BGM983029:BGX983031 BQI983029:BQT983031 CAE983029:CAP983031 CKA983029:CKL983031 CTW983029:CUH983031 DDS983029:DED983031 DNO983029:DNZ983031 DXK983029:DXV983031 EHG983029:EHR983031 ERC983029:ERN983031 FAY983029:FBJ983031 FKU983029:FLF983031 FUQ983029:FVB983031 GEM983029:GEX983031 GOI983029:GOT983031 GYE983029:GYP983031 HIA983029:HIL983031 HRW983029:HSH983031 IBS983029:ICD983031 ILO983029:ILZ983031 IVK983029:IVV983031 JFG983029:JFR983031 JPC983029:JPN983031 JYY983029:JZJ983031 KIU983029:KJF983031 KSQ983029:KTB983031 LCM983029:LCX983031 LMI983029:LMT983031 LWE983029:LWP983031 MGA983029:MGL983031 MPW983029:MQH983031 MZS983029:NAD983031 NJO983029:NJZ983031 NTK983029:NTV983031 ODG983029:ODR983031 ONC983029:ONN983031 OWY983029:OXJ983031 PGU983029:PHF983031 PQQ983029:PRB983031 QAM983029:QAX983031 QKI983029:QKT983031 QUE983029:QUP983031 REA983029:REL983031 RNW983029:ROH983031 RXS983029:RYD983031 SHO983029:SHZ983031 SRK983029:SRV983031 TBG983029:TBR983031 TLC983029:TLN983031 TUY983029:TVJ983031 UEU983029:UFF983031 UOQ983029:UPB983031 UYM983029:UYX983031 VII983029:VIT983031 VSE983029:VSP983031 WCA983029:WCL983031 WLW983029:WMH983031 Z262128:AJ262130 Z196592:AJ196594 Z131056:AJ131058 Z65520:AJ65522 Z983029:AJ983031 Z917493:AJ917495 Z851957:AJ851959 Z786421:AJ786423 Z720885:AJ720887 Z655349:AJ655351 Z589813:AJ589815 Z524277:AJ524279 Z458741:AJ458743 Z393205:AJ393207 Z327669:AJ327671 Z262133:AJ262135 Z196597:AJ196599 Z131061:AJ131063 Z65525:AJ65527 Z983024:AJ983026 Z917488:AJ917490 Z851952:AJ851954 Z786416:AJ786418 Z720880:AJ720882 Z655344:AJ655346 Z589808:AJ589810 Z524272:AJ524274 Z458736:AJ458738 Z393200:AJ393202 Z327664:AJ327666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0700-000001000000}"/>
    <dataValidation type="list" allowBlank="1" showInputMessage="1" showErrorMessage="1" sqref="Y8:Z45" xr:uid="{00000000-0002-0000-07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BD45"/>
  <sheetViews>
    <sheetView showGridLines="0" zoomScaleNormal="100" zoomScaleSheetLayoutView="100" workbookViewId="0">
      <selection activeCell="AD15" sqref="AD15"/>
    </sheetView>
  </sheetViews>
  <sheetFormatPr defaultColWidth="2.6328125" defaultRowHeight="15" customHeight="1" x14ac:dyDescent="0.3"/>
  <cols>
    <col min="1" max="1" width="4.6328125" style="17" customWidth="1"/>
    <col min="2" max="26" width="2.6328125" style="17"/>
    <col min="27" max="27" width="2.6328125" style="17" customWidth="1"/>
    <col min="28" max="29" width="2.6328125" style="17"/>
    <col min="30" max="30" width="4.6328125" style="17" customWidth="1"/>
    <col min="31" max="31" width="2.6328125" style="17" customWidth="1"/>
    <col min="32" max="33" width="2.6328125" style="17"/>
    <col min="34" max="34" width="6.6328125" style="17" customWidth="1"/>
    <col min="35" max="16384" width="2.6328125" style="17"/>
  </cols>
  <sheetData>
    <row r="1" spans="1:56" s="16" customFormat="1" ht="15" customHeight="1" x14ac:dyDescent="0.3">
      <c r="A1" s="144" t="s">
        <v>100</v>
      </c>
      <c r="B1" s="145"/>
      <c r="C1" s="145"/>
      <c r="D1" s="145"/>
      <c r="E1" s="145"/>
      <c r="F1" s="145"/>
      <c r="G1" s="145"/>
      <c r="H1" s="146"/>
      <c r="I1" s="103" t="s">
        <v>98</v>
      </c>
      <c r="J1" s="104"/>
      <c r="K1" s="104"/>
      <c r="L1" s="104"/>
      <c r="M1" s="104"/>
      <c r="N1" s="104"/>
      <c r="O1" s="104"/>
      <c r="P1" s="104"/>
      <c r="Q1" s="105"/>
      <c r="R1" s="103" t="s">
        <v>99</v>
      </c>
      <c r="S1" s="104"/>
      <c r="T1" s="104"/>
      <c r="U1" s="104"/>
      <c r="V1" s="104"/>
      <c r="W1" s="104"/>
      <c r="X1" s="105"/>
      <c r="Y1" s="103" t="s">
        <v>0</v>
      </c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5"/>
      <c r="AP1" s="153" t="s">
        <v>1</v>
      </c>
      <c r="AQ1" s="154"/>
      <c r="AR1" s="154"/>
      <c r="AS1" s="154"/>
      <c r="AT1" s="155"/>
      <c r="AU1" s="153" t="s">
        <v>2</v>
      </c>
      <c r="AV1" s="154"/>
      <c r="AW1" s="154"/>
      <c r="AX1" s="154"/>
      <c r="AY1" s="155"/>
      <c r="AZ1" s="153" t="s">
        <v>3</v>
      </c>
      <c r="BA1" s="154"/>
      <c r="BB1" s="154"/>
      <c r="BC1" s="154"/>
      <c r="BD1" s="155"/>
    </row>
    <row r="2" spans="1:56" s="16" customFormat="1" ht="15" customHeight="1" x14ac:dyDescent="0.3">
      <c r="A2" s="147"/>
      <c r="B2" s="148"/>
      <c r="C2" s="148"/>
      <c r="D2" s="148"/>
      <c r="E2" s="148"/>
      <c r="F2" s="148"/>
      <c r="G2" s="148"/>
      <c r="H2" s="149"/>
      <c r="I2" s="127" t="s">
        <v>97</v>
      </c>
      <c r="J2" s="128"/>
      <c r="K2" s="128"/>
      <c r="L2" s="128"/>
      <c r="M2" s="128"/>
      <c r="N2" s="128"/>
      <c r="O2" s="128"/>
      <c r="P2" s="128"/>
      <c r="Q2" s="129"/>
      <c r="R2" s="127" t="str">
        <f ca="1">VLOOKUP(RIGHT(CELL("filename",A2),LEN(CELL("filename",A2))-FIND("]",CELL("filename",A2))),テーブル一覧!B:AD,22,FALSE)</f>
        <v>D.出荷</v>
      </c>
      <c r="S2" s="128"/>
      <c r="T2" s="128"/>
      <c r="U2" s="128"/>
      <c r="V2" s="128"/>
      <c r="W2" s="128"/>
      <c r="X2" s="129"/>
      <c r="Y2" s="127" t="str">
        <f ca="1">VLOOKUP(RIGHT(CELL("filename",A2),LEN(CELL("filename",A2))-FIND("]",CELL("filename",A2))),テーブル一覧!B:AD,1,FALSE)</f>
        <v>出荷実績明細情報（受注）</v>
      </c>
      <c r="Z2" s="128"/>
      <c r="AA2" s="128"/>
      <c r="AB2" s="128"/>
      <c r="AC2" s="128"/>
      <c r="AD2" s="128"/>
      <c r="AE2" s="128"/>
      <c r="AF2" s="128"/>
      <c r="AG2" s="128"/>
      <c r="AH2" s="128"/>
      <c r="AI2" s="128"/>
      <c r="AJ2" s="128"/>
      <c r="AK2" s="128"/>
      <c r="AL2" s="128"/>
      <c r="AM2" s="128"/>
      <c r="AN2" s="128"/>
      <c r="AO2" s="129"/>
      <c r="AP2" s="97"/>
      <c r="AQ2" s="98"/>
      <c r="AR2" s="98"/>
      <c r="AS2" s="98"/>
      <c r="AT2" s="99"/>
      <c r="AU2" s="60" t="s">
        <v>188</v>
      </c>
      <c r="AV2" s="61"/>
      <c r="AW2" s="61"/>
      <c r="AX2" s="61"/>
      <c r="AY2" s="62"/>
      <c r="AZ2" s="181" t="s">
        <v>15</v>
      </c>
      <c r="BA2" s="182"/>
      <c r="BB2" s="182"/>
      <c r="BC2" s="182"/>
      <c r="BD2" s="183"/>
    </row>
    <row r="3" spans="1:56" s="16" customFormat="1" ht="15" customHeight="1" x14ac:dyDescent="0.3">
      <c r="A3" s="147"/>
      <c r="B3" s="148"/>
      <c r="C3" s="148"/>
      <c r="D3" s="148"/>
      <c r="E3" s="148"/>
      <c r="F3" s="148"/>
      <c r="G3" s="148"/>
      <c r="H3" s="149"/>
      <c r="I3" s="130"/>
      <c r="J3" s="131"/>
      <c r="K3" s="131"/>
      <c r="L3" s="131"/>
      <c r="M3" s="131"/>
      <c r="N3" s="131"/>
      <c r="O3" s="131"/>
      <c r="P3" s="131"/>
      <c r="Q3" s="132"/>
      <c r="R3" s="130"/>
      <c r="S3" s="131"/>
      <c r="T3" s="131"/>
      <c r="U3" s="131"/>
      <c r="V3" s="131"/>
      <c r="W3" s="131"/>
      <c r="X3" s="132"/>
      <c r="Y3" s="133"/>
      <c r="Z3" s="134"/>
      <c r="AA3" s="134"/>
      <c r="AB3" s="134"/>
      <c r="AC3" s="134"/>
      <c r="AD3" s="134"/>
      <c r="AE3" s="134"/>
      <c r="AF3" s="134"/>
      <c r="AG3" s="134"/>
      <c r="AH3" s="134"/>
      <c r="AI3" s="134"/>
      <c r="AJ3" s="134"/>
      <c r="AK3" s="134"/>
      <c r="AL3" s="134"/>
      <c r="AM3" s="134"/>
      <c r="AN3" s="134"/>
      <c r="AO3" s="135"/>
      <c r="AP3" s="100"/>
      <c r="AQ3" s="101"/>
      <c r="AR3" s="101"/>
      <c r="AS3" s="101"/>
      <c r="AT3" s="102"/>
      <c r="AU3" s="178"/>
      <c r="AV3" s="179"/>
      <c r="AW3" s="179"/>
      <c r="AX3" s="179"/>
      <c r="AY3" s="180"/>
      <c r="AZ3" s="181"/>
      <c r="BA3" s="182"/>
      <c r="BB3" s="182"/>
      <c r="BC3" s="182"/>
      <c r="BD3" s="183"/>
    </row>
    <row r="4" spans="1:56" s="16" customFormat="1" ht="15" customHeight="1" x14ac:dyDescent="0.3">
      <c r="A4" s="150"/>
      <c r="B4" s="151"/>
      <c r="C4" s="151"/>
      <c r="D4" s="151"/>
      <c r="E4" s="151"/>
      <c r="F4" s="151"/>
      <c r="G4" s="151"/>
      <c r="H4" s="152"/>
      <c r="I4" s="133"/>
      <c r="J4" s="134"/>
      <c r="K4" s="134"/>
      <c r="L4" s="134"/>
      <c r="M4" s="134"/>
      <c r="N4" s="134"/>
      <c r="O4" s="134"/>
      <c r="P4" s="134"/>
      <c r="Q4" s="135"/>
      <c r="R4" s="133"/>
      <c r="S4" s="134"/>
      <c r="T4" s="134"/>
      <c r="U4" s="134"/>
      <c r="V4" s="134"/>
      <c r="W4" s="134"/>
      <c r="X4" s="135"/>
      <c r="Y4" s="175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t_shukkajisseki_juchu_m</v>
      </c>
      <c r="Z4" s="176"/>
      <c r="AA4" s="176"/>
      <c r="AB4" s="176"/>
      <c r="AC4" s="176"/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  <c r="AO4" s="177"/>
      <c r="AP4" s="100"/>
      <c r="AQ4" s="101"/>
      <c r="AR4" s="101"/>
      <c r="AS4" s="101"/>
      <c r="AT4" s="102"/>
      <c r="AU4" s="178"/>
      <c r="AV4" s="179"/>
      <c r="AW4" s="179"/>
      <c r="AX4" s="179"/>
      <c r="AY4" s="180"/>
      <c r="AZ4" s="181"/>
      <c r="BA4" s="182"/>
      <c r="BB4" s="182"/>
      <c r="BC4" s="182"/>
      <c r="BD4" s="183"/>
    </row>
    <row r="6" spans="1:56" ht="15" customHeight="1" x14ac:dyDescent="0.3">
      <c r="A6" s="156" t="s">
        <v>101</v>
      </c>
      <c r="B6" s="158" t="s">
        <v>4</v>
      </c>
      <c r="C6" s="159"/>
      <c r="D6" s="159"/>
      <c r="E6" s="159"/>
      <c r="F6" s="159"/>
      <c r="G6" s="159"/>
      <c r="H6" s="160"/>
      <c r="I6" s="158" t="s">
        <v>5</v>
      </c>
      <c r="J6" s="159"/>
      <c r="K6" s="159"/>
      <c r="L6" s="159"/>
      <c r="M6" s="159"/>
      <c r="N6" s="159"/>
      <c r="O6" s="159"/>
      <c r="P6" s="159"/>
      <c r="Q6" s="160"/>
      <c r="R6" s="158" t="s">
        <v>145</v>
      </c>
      <c r="S6" s="159"/>
      <c r="T6" s="159"/>
      <c r="U6" s="159"/>
      <c r="V6" s="159"/>
      <c r="W6" s="159"/>
      <c r="X6" s="160"/>
      <c r="Y6" s="158" t="s">
        <v>6</v>
      </c>
      <c r="Z6" s="160"/>
      <c r="AA6" s="158" t="s">
        <v>7</v>
      </c>
      <c r="AB6" s="159"/>
      <c r="AC6" s="160"/>
      <c r="AD6" s="164" t="s">
        <v>8</v>
      </c>
      <c r="AE6" s="185" t="s">
        <v>9</v>
      </c>
      <c r="AF6" s="164" t="s">
        <v>10</v>
      </c>
      <c r="AG6" s="164" t="s">
        <v>11</v>
      </c>
      <c r="AH6" s="164" t="s">
        <v>12</v>
      </c>
      <c r="AI6" s="166" t="s">
        <v>13</v>
      </c>
      <c r="AJ6" s="167"/>
      <c r="AK6" s="167"/>
      <c r="AL6" s="167"/>
      <c r="AM6" s="167"/>
      <c r="AN6" s="167"/>
      <c r="AO6" s="167"/>
      <c r="AP6" s="167"/>
      <c r="AQ6" s="167"/>
      <c r="AR6" s="168"/>
      <c r="AS6" s="169" t="s">
        <v>14</v>
      </c>
      <c r="AT6" s="170"/>
      <c r="AU6" s="170"/>
      <c r="AV6" s="170"/>
      <c r="AW6" s="170"/>
      <c r="AX6" s="170"/>
      <c r="AY6" s="170"/>
      <c r="AZ6" s="170"/>
      <c r="BA6" s="170"/>
      <c r="BB6" s="170"/>
      <c r="BC6" s="170"/>
      <c r="BD6" s="171"/>
    </row>
    <row r="7" spans="1:56" ht="15" customHeight="1" x14ac:dyDescent="0.3">
      <c r="A7" s="157"/>
      <c r="B7" s="161"/>
      <c r="C7" s="162"/>
      <c r="D7" s="162"/>
      <c r="E7" s="162"/>
      <c r="F7" s="162"/>
      <c r="G7" s="162"/>
      <c r="H7" s="163"/>
      <c r="I7" s="161"/>
      <c r="J7" s="162"/>
      <c r="K7" s="162"/>
      <c r="L7" s="162"/>
      <c r="M7" s="162"/>
      <c r="N7" s="162"/>
      <c r="O7" s="162"/>
      <c r="P7" s="162"/>
      <c r="Q7" s="163"/>
      <c r="R7" s="161"/>
      <c r="S7" s="162"/>
      <c r="T7" s="162"/>
      <c r="U7" s="162"/>
      <c r="V7" s="162"/>
      <c r="W7" s="162"/>
      <c r="X7" s="163"/>
      <c r="Y7" s="161"/>
      <c r="Z7" s="163"/>
      <c r="AA7" s="161"/>
      <c r="AB7" s="162"/>
      <c r="AC7" s="163"/>
      <c r="AD7" s="165"/>
      <c r="AE7" s="186"/>
      <c r="AF7" s="165"/>
      <c r="AG7" s="165"/>
      <c r="AH7" s="165"/>
      <c r="AI7" s="56">
        <v>1</v>
      </c>
      <c r="AJ7" s="56">
        <v>2</v>
      </c>
      <c r="AK7" s="56">
        <v>3</v>
      </c>
      <c r="AL7" s="56">
        <v>4</v>
      </c>
      <c r="AM7" s="56">
        <v>5</v>
      </c>
      <c r="AN7" s="56">
        <v>6</v>
      </c>
      <c r="AO7" s="56">
        <v>7</v>
      </c>
      <c r="AP7" s="56">
        <v>8</v>
      </c>
      <c r="AQ7" s="56">
        <v>9</v>
      </c>
      <c r="AR7" s="56">
        <v>10</v>
      </c>
      <c r="AS7" s="172"/>
      <c r="AT7" s="173"/>
      <c r="AU7" s="173"/>
      <c r="AV7" s="173"/>
      <c r="AW7" s="173"/>
      <c r="AX7" s="173"/>
      <c r="AY7" s="173"/>
      <c r="AZ7" s="173"/>
      <c r="BA7" s="173"/>
      <c r="BB7" s="173"/>
      <c r="BC7" s="173"/>
      <c r="BD7" s="174"/>
    </row>
    <row r="8" spans="1:56" ht="15" customHeight="1" x14ac:dyDescent="0.3">
      <c r="A8" s="54">
        <f>IF(B8="","",COUNTA($B$8:B8))</f>
        <v>1</v>
      </c>
      <c r="B8" s="18" t="s">
        <v>204</v>
      </c>
      <c r="C8" s="19"/>
      <c r="D8" s="19"/>
      <c r="E8" s="19"/>
      <c r="F8" s="19"/>
      <c r="G8" s="19"/>
      <c r="H8" s="19"/>
      <c r="I8" s="31" t="str">
        <f>VLOOKUP(B8,Sheet1!A:B,2,FALSE)</f>
        <v>shukka_jisseki_no</v>
      </c>
      <c r="J8" s="21"/>
      <c r="K8" s="21"/>
      <c r="L8" s="21"/>
      <c r="M8" s="21"/>
      <c r="N8" s="21"/>
      <c r="O8" s="21"/>
      <c r="P8" s="21"/>
      <c r="Q8" s="21"/>
      <c r="R8" s="18" t="s">
        <v>204</v>
      </c>
      <c r="S8" s="19"/>
      <c r="T8" s="19"/>
      <c r="U8" s="19"/>
      <c r="V8" s="19"/>
      <c r="W8" s="19"/>
      <c r="X8" s="19"/>
      <c r="Y8" s="139" t="s">
        <v>111</v>
      </c>
      <c r="Z8" s="140"/>
      <c r="AA8" s="141" t="s">
        <v>107</v>
      </c>
      <c r="AB8" s="142"/>
      <c r="AC8" s="143"/>
      <c r="AD8" s="25">
        <v>10</v>
      </c>
      <c r="AE8" s="26"/>
      <c r="AF8" s="26" t="s">
        <v>119</v>
      </c>
      <c r="AG8" s="26" t="s">
        <v>85</v>
      </c>
      <c r="AH8" s="26"/>
      <c r="AI8" s="26"/>
      <c r="AJ8" s="26"/>
      <c r="AK8" s="26"/>
      <c r="AL8" s="26"/>
      <c r="AM8" s="26"/>
      <c r="AN8" s="26"/>
      <c r="AO8" s="27"/>
      <c r="AP8" s="27"/>
      <c r="AQ8" s="27"/>
      <c r="AR8" s="27"/>
      <c r="AS8" s="42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68"/>
    </row>
    <row r="9" spans="1:56" ht="15" customHeight="1" x14ac:dyDescent="0.3">
      <c r="A9" s="54">
        <f>IF(B9="","",COUNTA($B$8:B9))</f>
        <v>2</v>
      </c>
      <c r="B9" s="18" t="s">
        <v>150</v>
      </c>
      <c r="C9" s="41"/>
      <c r="D9" s="41"/>
      <c r="E9" s="41"/>
      <c r="F9" s="41"/>
      <c r="G9" s="41"/>
      <c r="H9" s="41"/>
      <c r="I9" s="31" t="str">
        <f>VLOOKUP(B9,Sheet1!A:B,2,FALSE)</f>
        <v>shukka_shiji_no</v>
      </c>
      <c r="J9" s="32"/>
      <c r="K9" s="32"/>
      <c r="L9" s="32"/>
      <c r="M9" s="32"/>
      <c r="N9" s="32"/>
      <c r="O9" s="32"/>
      <c r="P9" s="32"/>
      <c r="Q9" s="32"/>
      <c r="R9" s="18" t="s">
        <v>150</v>
      </c>
      <c r="S9" s="41"/>
      <c r="T9" s="41"/>
      <c r="U9" s="41"/>
      <c r="V9" s="41"/>
      <c r="W9" s="41"/>
      <c r="X9" s="41"/>
      <c r="Y9" s="139" t="s">
        <v>111</v>
      </c>
      <c r="Z9" s="140"/>
      <c r="AA9" s="141" t="s">
        <v>107</v>
      </c>
      <c r="AB9" s="142"/>
      <c r="AC9" s="143"/>
      <c r="AD9" s="25">
        <v>10</v>
      </c>
      <c r="AE9" s="27"/>
      <c r="AF9" s="26" t="s">
        <v>205</v>
      </c>
      <c r="AG9" s="27" t="s">
        <v>85</v>
      </c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42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68"/>
    </row>
    <row r="10" spans="1:56" ht="15" customHeight="1" x14ac:dyDescent="0.3">
      <c r="A10" s="54">
        <f>IF(B10="","",COUNTA($B$8:B10))</f>
        <v>3</v>
      </c>
      <c r="B10" s="42" t="s">
        <v>191</v>
      </c>
      <c r="C10" s="41"/>
      <c r="D10" s="41"/>
      <c r="E10" s="41"/>
      <c r="F10" s="41"/>
      <c r="G10" s="41"/>
      <c r="H10" s="41"/>
      <c r="I10" s="31" t="str">
        <f>VLOOKUP(B10,Sheet1!A:B,2,FALSE)</f>
        <v>juchu_meisai_seq</v>
      </c>
      <c r="J10" s="32"/>
      <c r="K10" s="32"/>
      <c r="L10" s="32"/>
      <c r="M10" s="32"/>
      <c r="N10" s="32"/>
      <c r="O10" s="32"/>
      <c r="P10" s="32"/>
      <c r="Q10" s="32"/>
      <c r="R10" s="42" t="s">
        <v>191</v>
      </c>
      <c r="S10" s="41"/>
      <c r="T10" s="41"/>
      <c r="U10" s="41"/>
      <c r="V10" s="41"/>
      <c r="W10" s="41"/>
      <c r="X10" s="41"/>
      <c r="Y10" s="139" t="s">
        <v>108</v>
      </c>
      <c r="Z10" s="140"/>
      <c r="AA10" s="141" t="s">
        <v>110</v>
      </c>
      <c r="AB10" s="142"/>
      <c r="AC10" s="143"/>
      <c r="AD10" s="72">
        <v>3</v>
      </c>
      <c r="AE10" s="27"/>
      <c r="AF10" s="27">
        <v>3</v>
      </c>
      <c r="AG10" s="27" t="s">
        <v>85</v>
      </c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42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68"/>
    </row>
    <row r="11" spans="1:56" ht="15" customHeight="1" x14ac:dyDescent="0.3">
      <c r="A11" s="54">
        <f>IF(B11="","",COUNTA($B$8:B11))</f>
        <v>4</v>
      </c>
      <c r="B11" s="42" t="s">
        <v>155</v>
      </c>
      <c r="C11" s="41"/>
      <c r="D11" s="41"/>
      <c r="E11" s="41"/>
      <c r="F11" s="41"/>
      <c r="G11" s="41"/>
      <c r="H11" s="41"/>
      <c r="I11" s="31" t="str">
        <f>VLOOKUP(B11,Sheet1!A:B,2,FALSE)</f>
        <v>juchu_no</v>
      </c>
      <c r="J11" s="32"/>
      <c r="K11" s="32"/>
      <c r="L11" s="32"/>
      <c r="M11" s="32"/>
      <c r="N11" s="32"/>
      <c r="O11" s="32"/>
      <c r="P11" s="32"/>
      <c r="Q11" s="32"/>
      <c r="R11" s="18" t="s">
        <v>118</v>
      </c>
      <c r="S11" s="19"/>
      <c r="T11" s="19"/>
      <c r="U11" s="19"/>
      <c r="V11" s="19"/>
      <c r="W11" s="19"/>
      <c r="X11" s="19"/>
      <c r="Y11" s="139" t="s">
        <v>111</v>
      </c>
      <c r="Z11" s="140"/>
      <c r="AA11" s="141" t="s">
        <v>107</v>
      </c>
      <c r="AB11" s="142"/>
      <c r="AC11" s="143"/>
      <c r="AD11" s="25">
        <v>10</v>
      </c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42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68"/>
    </row>
    <row r="12" spans="1:56" ht="15" customHeight="1" x14ac:dyDescent="0.3">
      <c r="A12" s="54">
        <f>IF(B12="","",COUNTA($B$8:B12))</f>
        <v>5</v>
      </c>
      <c r="B12" s="42" t="s">
        <v>156</v>
      </c>
      <c r="C12" s="41"/>
      <c r="D12" s="41"/>
      <c r="E12" s="41"/>
      <c r="F12" s="41"/>
      <c r="G12" s="41"/>
      <c r="H12" s="41"/>
      <c r="I12" s="31" t="str">
        <f>VLOOKUP(B12,Sheet1!A:B,2,FALSE)</f>
        <v>juchu_date</v>
      </c>
      <c r="J12" s="32"/>
      <c r="K12" s="32"/>
      <c r="L12" s="32"/>
      <c r="M12" s="32"/>
      <c r="N12" s="32"/>
      <c r="O12" s="32"/>
      <c r="P12" s="32"/>
      <c r="Q12" s="32"/>
      <c r="R12" s="18" t="s">
        <v>121</v>
      </c>
      <c r="S12" s="19"/>
      <c r="T12" s="19"/>
      <c r="U12" s="19"/>
      <c r="V12" s="19"/>
      <c r="W12" s="19"/>
      <c r="X12" s="19"/>
      <c r="Y12" s="139" t="s">
        <v>87</v>
      </c>
      <c r="Z12" s="140"/>
      <c r="AA12" s="141" t="s">
        <v>109</v>
      </c>
      <c r="AB12" s="142"/>
      <c r="AC12" s="143"/>
      <c r="AD12" s="72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42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68"/>
    </row>
    <row r="13" spans="1:56" ht="15" customHeight="1" x14ac:dyDescent="0.3">
      <c r="A13" s="54">
        <f>IF(B13="","",COUNTA($B$8:B13))</f>
        <v>6</v>
      </c>
      <c r="B13" s="42" t="s">
        <v>157</v>
      </c>
      <c r="C13" s="41"/>
      <c r="D13" s="41"/>
      <c r="E13" s="41"/>
      <c r="F13" s="41"/>
      <c r="G13" s="41"/>
      <c r="H13" s="41"/>
      <c r="I13" s="31" t="str">
        <f>VLOOKUP(B13,Sheet1!A:B,2,FALSE)</f>
        <v>kotei</v>
      </c>
      <c r="J13" s="32"/>
      <c r="K13" s="32"/>
      <c r="L13" s="32"/>
      <c r="M13" s="32"/>
      <c r="N13" s="32"/>
      <c r="O13" s="32"/>
      <c r="P13" s="32"/>
      <c r="Q13" s="32"/>
      <c r="R13" s="42" t="s">
        <v>131</v>
      </c>
      <c r="S13" s="41"/>
      <c r="T13" s="41"/>
      <c r="U13" s="41"/>
      <c r="V13" s="41"/>
      <c r="W13" s="41"/>
      <c r="X13" s="41"/>
      <c r="Y13" s="139" t="s">
        <v>111</v>
      </c>
      <c r="Z13" s="184"/>
      <c r="AA13" s="141" t="s">
        <v>107</v>
      </c>
      <c r="AB13" s="142"/>
      <c r="AC13" s="143"/>
      <c r="AD13" s="72">
        <v>4</v>
      </c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42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68"/>
    </row>
    <row r="14" spans="1:56" ht="15" customHeight="1" x14ac:dyDescent="0.3">
      <c r="A14" s="54">
        <f>IF(B14="","",COUNTA($B$8:B14))</f>
        <v>7</v>
      </c>
      <c r="B14" s="188" t="s">
        <v>1570</v>
      </c>
      <c r="C14" s="189"/>
      <c r="D14" s="189"/>
      <c r="E14" s="189"/>
      <c r="F14" s="189"/>
      <c r="G14" s="189"/>
      <c r="H14" s="189"/>
      <c r="I14" s="190" t="str">
        <f>VLOOKUP(B14,Sheet1!A:B,2,FALSE)</f>
        <v>seihin_kbn</v>
      </c>
      <c r="J14" s="191"/>
      <c r="K14" s="191"/>
      <c r="L14" s="191"/>
      <c r="M14" s="191"/>
      <c r="N14" s="191"/>
      <c r="O14" s="191"/>
      <c r="P14" s="191"/>
      <c r="Q14" s="191"/>
      <c r="R14" s="188" t="s">
        <v>1570</v>
      </c>
      <c r="S14" s="189"/>
      <c r="T14" s="189"/>
      <c r="U14" s="189"/>
      <c r="V14" s="189"/>
      <c r="W14" s="189"/>
      <c r="X14" s="189"/>
      <c r="Y14" s="202" t="s">
        <v>111</v>
      </c>
      <c r="Z14" s="208"/>
      <c r="AA14" s="204" t="s">
        <v>107</v>
      </c>
      <c r="AB14" s="205"/>
      <c r="AC14" s="206"/>
      <c r="AD14" s="207">
        <v>2</v>
      </c>
      <c r="AE14" s="198"/>
      <c r="AF14" s="198"/>
      <c r="AG14" s="198"/>
      <c r="AH14" s="198"/>
      <c r="AI14" s="198"/>
      <c r="AJ14" s="198"/>
      <c r="AK14" s="198"/>
      <c r="AL14" s="198"/>
      <c r="AM14" s="198"/>
      <c r="AN14" s="198"/>
      <c r="AO14" s="198"/>
      <c r="AP14" s="198"/>
      <c r="AQ14" s="198"/>
      <c r="AR14" s="198"/>
      <c r="AS14" s="199" t="s">
        <v>1571</v>
      </c>
      <c r="AT14" s="200"/>
      <c r="AU14" s="200"/>
      <c r="AV14" s="200"/>
      <c r="AW14" s="200"/>
      <c r="AX14" s="200"/>
      <c r="AY14" s="43"/>
      <c r="AZ14" s="43"/>
      <c r="BA14" s="43"/>
      <c r="BB14" s="43"/>
      <c r="BC14" s="43"/>
      <c r="BD14" s="68"/>
    </row>
    <row r="15" spans="1:56" ht="15" customHeight="1" x14ac:dyDescent="0.3">
      <c r="A15" s="54">
        <f>IF(B15="","",COUNTA($B$8:B15))</f>
        <v>8</v>
      </c>
      <c r="B15" s="42" t="s">
        <v>158</v>
      </c>
      <c r="C15" s="41"/>
      <c r="D15" s="41"/>
      <c r="E15" s="41"/>
      <c r="F15" s="41"/>
      <c r="G15" s="41"/>
      <c r="H15" s="41"/>
      <c r="I15" s="31" t="str">
        <f>VLOOKUP(B15,Sheet1!A:B,2,FALSE)</f>
        <v>seihin_no</v>
      </c>
      <c r="J15" s="32"/>
      <c r="K15" s="32"/>
      <c r="L15" s="32"/>
      <c r="M15" s="32"/>
      <c r="N15" s="32"/>
      <c r="O15" s="32"/>
      <c r="P15" s="32"/>
      <c r="Q15" s="32"/>
      <c r="R15" s="42" t="s">
        <v>128</v>
      </c>
      <c r="S15" s="41"/>
      <c r="T15" s="41"/>
      <c r="U15" s="41"/>
      <c r="V15" s="41"/>
      <c r="W15" s="41"/>
      <c r="X15" s="41"/>
      <c r="Y15" s="139" t="s">
        <v>111</v>
      </c>
      <c r="Z15" s="184"/>
      <c r="AA15" s="141" t="s">
        <v>107</v>
      </c>
      <c r="AB15" s="142"/>
      <c r="AC15" s="143"/>
      <c r="AD15" s="207">
        <v>5</v>
      </c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42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68"/>
    </row>
    <row r="16" spans="1:56" ht="15" customHeight="1" x14ac:dyDescent="0.3">
      <c r="A16" s="54">
        <f>IF(B16="","",COUNTA($B$8:B16))</f>
        <v>9</v>
      </c>
      <c r="B16" s="42" t="s">
        <v>159</v>
      </c>
      <c r="C16" s="41"/>
      <c r="D16" s="41"/>
      <c r="E16" s="41"/>
      <c r="F16" s="41"/>
      <c r="G16" s="41"/>
      <c r="H16" s="41"/>
      <c r="I16" s="31" t="str">
        <f>VLOOKUP(B16,Sheet1!A:B,2,FALSE)</f>
        <v>hinshu_cd</v>
      </c>
      <c r="J16" s="32"/>
      <c r="K16" s="32"/>
      <c r="L16" s="32"/>
      <c r="M16" s="32"/>
      <c r="N16" s="32"/>
      <c r="O16" s="32"/>
      <c r="P16" s="32"/>
      <c r="Q16" s="32"/>
      <c r="R16" s="42" t="s">
        <v>129</v>
      </c>
      <c r="S16" s="41"/>
      <c r="T16" s="41"/>
      <c r="U16" s="41"/>
      <c r="V16" s="41"/>
      <c r="W16" s="41"/>
      <c r="X16" s="41"/>
      <c r="Y16" s="139" t="s">
        <v>111</v>
      </c>
      <c r="Z16" s="184"/>
      <c r="AA16" s="141" t="s">
        <v>107</v>
      </c>
      <c r="AB16" s="142"/>
      <c r="AC16" s="143"/>
      <c r="AD16" s="72">
        <v>12</v>
      </c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42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68"/>
    </row>
    <row r="17" spans="1:56" ht="15" customHeight="1" x14ac:dyDescent="0.3">
      <c r="A17" s="54">
        <f>IF(B17="","",COUNTA($B$8:B17))</f>
        <v>10</v>
      </c>
      <c r="B17" s="42" t="s">
        <v>160</v>
      </c>
      <c r="C17" s="41"/>
      <c r="D17" s="41"/>
      <c r="E17" s="41"/>
      <c r="F17" s="41"/>
      <c r="G17" s="41"/>
      <c r="H17" s="41"/>
      <c r="I17" s="31" t="str">
        <f>VLOOKUP(B17,Sheet1!A:B,2,FALSE)</f>
        <v>hinmei</v>
      </c>
      <c r="J17" s="32"/>
      <c r="K17" s="32"/>
      <c r="L17" s="32"/>
      <c r="M17" s="32"/>
      <c r="N17" s="32"/>
      <c r="O17" s="32"/>
      <c r="P17" s="32"/>
      <c r="Q17" s="32"/>
      <c r="R17" s="42" t="s">
        <v>130</v>
      </c>
      <c r="S17" s="41"/>
      <c r="T17" s="41"/>
      <c r="U17" s="41"/>
      <c r="V17" s="41"/>
      <c r="W17" s="41"/>
      <c r="X17" s="41"/>
      <c r="Y17" s="139" t="s">
        <v>111</v>
      </c>
      <c r="Z17" s="184"/>
      <c r="AA17" s="141" t="s">
        <v>107</v>
      </c>
      <c r="AB17" s="142"/>
      <c r="AC17" s="143"/>
      <c r="AD17" s="72">
        <v>30</v>
      </c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42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68"/>
    </row>
    <row r="18" spans="1:56" ht="15" customHeight="1" x14ac:dyDescent="0.3">
      <c r="A18" s="54">
        <f>IF(B18="","",COUNTA($B$8:B18))</f>
        <v>11</v>
      </c>
      <c r="B18" s="42" t="s">
        <v>161</v>
      </c>
      <c r="C18" s="41"/>
      <c r="D18" s="41"/>
      <c r="E18" s="41"/>
      <c r="F18" s="41"/>
      <c r="G18" s="41"/>
      <c r="H18" s="41"/>
      <c r="I18" s="31" t="str">
        <f>VLOOKUP(B18,Sheet1!A:B,2,FALSE)</f>
        <v>paper_weight</v>
      </c>
      <c r="J18" s="32"/>
      <c r="K18" s="32"/>
      <c r="L18" s="32"/>
      <c r="M18" s="32"/>
      <c r="N18" s="32"/>
      <c r="O18" s="32"/>
      <c r="P18" s="32"/>
      <c r="Q18" s="32"/>
      <c r="R18" s="42" t="s">
        <v>132</v>
      </c>
      <c r="S18" s="41"/>
      <c r="T18" s="41"/>
      <c r="U18" s="41"/>
      <c r="V18" s="41"/>
      <c r="W18" s="41"/>
      <c r="X18" s="41"/>
      <c r="Y18" s="139" t="s">
        <v>108</v>
      </c>
      <c r="Z18" s="140"/>
      <c r="AA18" s="141" t="s">
        <v>110</v>
      </c>
      <c r="AB18" s="142"/>
      <c r="AC18" s="143"/>
      <c r="AD18" s="72">
        <v>5</v>
      </c>
      <c r="AE18" s="27">
        <v>2</v>
      </c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42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68"/>
    </row>
    <row r="19" spans="1:56" ht="15" customHeight="1" x14ac:dyDescent="0.3">
      <c r="A19" s="54">
        <f>IF(B19="","",COUNTA($B$8:B19))</f>
        <v>12</v>
      </c>
      <c r="B19" s="42" t="s">
        <v>162</v>
      </c>
      <c r="C19" s="41"/>
      <c r="D19" s="41"/>
      <c r="E19" s="41"/>
      <c r="F19" s="41"/>
      <c r="G19" s="41"/>
      <c r="H19" s="41"/>
      <c r="I19" s="31" t="str">
        <f>VLOOKUP(B19,Sheet1!A:B,2,FALSE)</f>
        <v>width</v>
      </c>
      <c r="J19" s="32"/>
      <c r="K19" s="32"/>
      <c r="L19" s="32"/>
      <c r="M19" s="32"/>
      <c r="N19" s="32"/>
      <c r="O19" s="32"/>
      <c r="P19" s="32"/>
      <c r="Q19" s="32"/>
      <c r="R19" s="42" t="s">
        <v>133</v>
      </c>
      <c r="S19" s="41"/>
      <c r="T19" s="41"/>
      <c r="U19" s="41"/>
      <c r="V19" s="41"/>
      <c r="W19" s="41"/>
      <c r="X19" s="41"/>
      <c r="Y19" s="139" t="s">
        <v>108</v>
      </c>
      <c r="Z19" s="140"/>
      <c r="AA19" s="141" t="s">
        <v>110</v>
      </c>
      <c r="AB19" s="142"/>
      <c r="AC19" s="143"/>
      <c r="AD19" s="72">
        <v>4</v>
      </c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42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68"/>
    </row>
    <row r="20" spans="1:56" ht="15" customHeight="1" x14ac:dyDescent="0.3">
      <c r="A20" s="54">
        <f>IF(B20="","",COUNTA($B$8:B20))</f>
        <v>13</v>
      </c>
      <c r="B20" s="42" t="s">
        <v>163</v>
      </c>
      <c r="C20" s="41"/>
      <c r="D20" s="41"/>
      <c r="E20" s="41"/>
      <c r="F20" s="41"/>
      <c r="G20" s="41"/>
      <c r="H20" s="41"/>
      <c r="I20" s="31" t="str">
        <f>VLOOKUP(B20,Sheet1!A:B,2,FALSE)</f>
        <v>length</v>
      </c>
      <c r="J20" s="32"/>
      <c r="K20" s="32"/>
      <c r="L20" s="32"/>
      <c r="M20" s="32"/>
      <c r="N20" s="32"/>
      <c r="O20" s="32"/>
      <c r="P20" s="32"/>
      <c r="Q20" s="32"/>
      <c r="R20" s="42" t="s">
        <v>134</v>
      </c>
      <c r="S20" s="41"/>
      <c r="T20" s="41"/>
      <c r="U20" s="41"/>
      <c r="V20" s="41"/>
      <c r="W20" s="41"/>
      <c r="X20" s="41"/>
      <c r="Y20" s="139" t="s">
        <v>108</v>
      </c>
      <c r="Z20" s="140"/>
      <c r="AA20" s="141" t="s">
        <v>110</v>
      </c>
      <c r="AB20" s="142"/>
      <c r="AC20" s="143"/>
      <c r="AD20" s="72">
        <v>5</v>
      </c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42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68"/>
    </row>
    <row r="21" spans="1:56" ht="15" customHeight="1" x14ac:dyDescent="0.3">
      <c r="A21" s="54">
        <f>IF(B21="","",COUNTA($B$8:B21))</f>
        <v>14</v>
      </c>
      <c r="B21" s="42" t="s">
        <v>164</v>
      </c>
      <c r="C21" s="41"/>
      <c r="D21" s="41"/>
      <c r="E21" s="41"/>
      <c r="F21" s="41"/>
      <c r="G21" s="41"/>
      <c r="H21" s="41"/>
      <c r="I21" s="31" t="str">
        <f>VLOOKUP(B21,Sheet1!A:B,2,FALSE)</f>
        <v>renryo</v>
      </c>
      <c r="J21" s="32"/>
      <c r="K21" s="32"/>
      <c r="L21" s="32"/>
      <c r="M21" s="32"/>
      <c r="N21" s="32"/>
      <c r="O21" s="32"/>
      <c r="P21" s="32"/>
      <c r="Q21" s="32"/>
      <c r="R21" s="42" t="s">
        <v>135</v>
      </c>
      <c r="S21" s="41"/>
      <c r="T21" s="41"/>
      <c r="U21" s="41"/>
      <c r="V21" s="41"/>
      <c r="W21" s="41"/>
      <c r="X21" s="41"/>
      <c r="Y21" s="139" t="s">
        <v>108</v>
      </c>
      <c r="Z21" s="140"/>
      <c r="AA21" s="141" t="s">
        <v>110</v>
      </c>
      <c r="AB21" s="142"/>
      <c r="AC21" s="143"/>
      <c r="AD21" s="72">
        <v>7</v>
      </c>
      <c r="AE21" s="27">
        <v>2</v>
      </c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42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68"/>
    </row>
    <row r="22" spans="1:56" ht="15" customHeight="1" x14ac:dyDescent="0.3">
      <c r="A22" s="54">
        <f>IF(B22="","",COUNTA($B$8:B22))</f>
        <v>15</v>
      </c>
      <c r="B22" s="42" t="s">
        <v>194</v>
      </c>
      <c r="C22" s="41"/>
      <c r="D22" s="41"/>
      <c r="E22" s="41"/>
      <c r="F22" s="41"/>
      <c r="G22" s="41"/>
      <c r="H22" s="41"/>
      <c r="I22" s="31" t="str">
        <f>VLOOKUP(B22,Sheet1!A:B,2,FALSE)</f>
        <v>juchu_su</v>
      </c>
      <c r="J22" s="32"/>
      <c r="K22" s="32"/>
      <c r="L22" s="32"/>
      <c r="M22" s="32"/>
      <c r="N22" s="32"/>
      <c r="O22" s="32"/>
      <c r="P22" s="32"/>
      <c r="Q22" s="32"/>
      <c r="R22" s="42" t="s">
        <v>194</v>
      </c>
      <c r="S22" s="41"/>
      <c r="T22" s="41"/>
      <c r="U22" s="41"/>
      <c r="V22" s="41"/>
      <c r="W22" s="41"/>
      <c r="X22" s="41"/>
      <c r="Y22" s="139" t="s">
        <v>108</v>
      </c>
      <c r="Z22" s="140"/>
      <c r="AA22" s="141" t="s">
        <v>110</v>
      </c>
      <c r="AB22" s="142"/>
      <c r="AC22" s="143"/>
      <c r="AD22" s="72">
        <v>5</v>
      </c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42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68"/>
    </row>
    <row r="23" spans="1:56" ht="15" customHeight="1" x14ac:dyDescent="0.3">
      <c r="A23" s="54">
        <f>IF(B23="","",COUNTA($B$8:B23))</f>
        <v>16</v>
      </c>
      <c r="B23" s="42" t="s">
        <v>227</v>
      </c>
      <c r="C23" s="41"/>
      <c r="D23" s="41"/>
      <c r="E23" s="41"/>
      <c r="F23" s="41"/>
      <c r="G23" s="41"/>
      <c r="H23" s="41"/>
      <c r="I23" s="31" t="str">
        <f>VLOOKUP(B23,Sheet1!A:B,2,FALSE)</f>
        <v>shiji_su</v>
      </c>
      <c r="J23" s="32"/>
      <c r="K23" s="32"/>
      <c r="L23" s="32"/>
      <c r="M23" s="32"/>
      <c r="N23" s="32"/>
      <c r="O23" s="32"/>
      <c r="P23" s="32"/>
      <c r="Q23" s="32"/>
      <c r="R23" s="42" t="s">
        <v>227</v>
      </c>
      <c r="S23" s="41"/>
      <c r="T23" s="41"/>
      <c r="U23" s="41"/>
      <c r="V23" s="41"/>
      <c r="W23" s="41"/>
      <c r="X23" s="41"/>
      <c r="Y23" s="139" t="s">
        <v>108</v>
      </c>
      <c r="Z23" s="140"/>
      <c r="AA23" s="141" t="s">
        <v>110</v>
      </c>
      <c r="AB23" s="142"/>
      <c r="AC23" s="143"/>
      <c r="AD23" s="72">
        <v>5</v>
      </c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42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68"/>
    </row>
    <row r="24" spans="1:56" ht="15" customHeight="1" x14ac:dyDescent="0.3">
      <c r="A24" s="54">
        <f>IF(B24="","",COUNTA($B$8:B24))</f>
        <v>17</v>
      </c>
      <c r="B24" s="42" t="s">
        <v>195</v>
      </c>
      <c r="C24" s="41"/>
      <c r="D24" s="41"/>
      <c r="E24" s="41"/>
      <c r="F24" s="41"/>
      <c r="G24" s="41"/>
      <c r="H24" s="41"/>
      <c r="I24" s="31" t="str">
        <f>VLOOKUP(B24,Sheet1!A:B,2,FALSE)</f>
        <v>kosu_unit</v>
      </c>
      <c r="J24" s="32"/>
      <c r="K24" s="32"/>
      <c r="L24" s="32"/>
      <c r="M24" s="32"/>
      <c r="N24" s="32"/>
      <c r="O24" s="32"/>
      <c r="P24" s="32"/>
      <c r="Q24" s="32"/>
      <c r="R24" s="42" t="s">
        <v>195</v>
      </c>
      <c r="S24" s="41"/>
      <c r="T24" s="41"/>
      <c r="U24" s="41"/>
      <c r="V24" s="41"/>
      <c r="W24" s="41"/>
      <c r="X24" s="41"/>
      <c r="Y24" s="139" t="s">
        <v>111</v>
      </c>
      <c r="Z24" s="140"/>
      <c r="AA24" s="141" t="s">
        <v>107</v>
      </c>
      <c r="AB24" s="142"/>
      <c r="AC24" s="143"/>
      <c r="AD24" s="72">
        <v>4</v>
      </c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42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68"/>
    </row>
    <row r="25" spans="1:56" ht="15" customHeight="1" x14ac:dyDescent="0.3">
      <c r="A25" s="54">
        <f>IF(B25="","",COUNTA($B$8:B25))</f>
        <v>18</v>
      </c>
      <c r="B25" s="42" t="s">
        <v>196</v>
      </c>
      <c r="C25" s="41"/>
      <c r="D25" s="41"/>
      <c r="E25" s="41"/>
      <c r="F25" s="41"/>
      <c r="G25" s="41"/>
      <c r="H25" s="41"/>
      <c r="I25" s="31" t="str">
        <f>VLOOKUP(B25,Sheet1!A:B,2,FALSE)</f>
        <v>suryo</v>
      </c>
      <c r="J25" s="32"/>
      <c r="K25" s="32"/>
      <c r="L25" s="32"/>
      <c r="M25" s="32"/>
      <c r="N25" s="32"/>
      <c r="O25" s="32"/>
      <c r="P25" s="32"/>
      <c r="Q25" s="32"/>
      <c r="R25" s="42" t="s">
        <v>196</v>
      </c>
      <c r="S25" s="41"/>
      <c r="T25" s="41"/>
      <c r="U25" s="41"/>
      <c r="V25" s="41"/>
      <c r="W25" s="41"/>
      <c r="X25" s="41"/>
      <c r="Y25" s="139" t="s">
        <v>108</v>
      </c>
      <c r="Z25" s="140"/>
      <c r="AA25" s="141" t="s">
        <v>110</v>
      </c>
      <c r="AB25" s="142"/>
      <c r="AC25" s="143"/>
      <c r="AD25" s="72">
        <v>9</v>
      </c>
      <c r="AE25" s="27">
        <v>2</v>
      </c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42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68"/>
    </row>
    <row r="26" spans="1:56" ht="15" customHeight="1" x14ac:dyDescent="0.3">
      <c r="A26" s="54">
        <f>IF(B26="","",COUNTA($B$8:B26))</f>
        <v>19</v>
      </c>
      <c r="B26" s="42" t="s">
        <v>166</v>
      </c>
      <c r="C26" s="41"/>
      <c r="D26" s="41"/>
      <c r="E26" s="41"/>
      <c r="F26" s="41"/>
      <c r="G26" s="41"/>
      <c r="H26" s="41"/>
      <c r="I26" s="31" t="str">
        <f>VLOOKUP(B26,Sheet1!A:B,2,FALSE)</f>
        <v>unit_price</v>
      </c>
      <c r="J26" s="32"/>
      <c r="K26" s="32"/>
      <c r="L26" s="32"/>
      <c r="M26" s="32"/>
      <c r="N26" s="32"/>
      <c r="O26" s="32"/>
      <c r="P26" s="32"/>
      <c r="Q26" s="32"/>
      <c r="R26" s="28" t="s">
        <v>137</v>
      </c>
      <c r="S26" s="41"/>
      <c r="T26" s="41"/>
      <c r="U26" s="41"/>
      <c r="V26" s="41"/>
      <c r="W26" s="41"/>
      <c r="X26" s="41"/>
      <c r="Y26" s="139" t="s">
        <v>108</v>
      </c>
      <c r="Z26" s="140"/>
      <c r="AA26" s="141" t="s">
        <v>110</v>
      </c>
      <c r="AB26" s="142"/>
      <c r="AC26" s="143"/>
      <c r="AD26" s="72">
        <v>5</v>
      </c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42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68"/>
    </row>
    <row r="27" spans="1:56" ht="15" customHeight="1" x14ac:dyDescent="0.3">
      <c r="A27" s="54">
        <f>IF(B27="","",COUNTA($B$8:B27))</f>
        <v>20</v>
      </c>
      <c r="B27" s="42" t="s">
        <v>167</v>
      </c>
      <c r="C27" s="41"/>
      <c r="D27" s="41"/>
      <c r="E27" s="41"/>
      <c r="F27" s="41"/>
      <c r="G27" s="41"/>
      <c r="H27" s="41"/>
      <c r="I27" s="31" t="str">
        <f>VLOOKUP(B27,Sheet1!A:B,2,FALSE)</f>
        <v>unit_price_unit</v>
      </c>
      <c r="J27" s="32"/>
      <c r="K27" s="32"/>
      <c r="L27" s="32"/>
      <c r="M27" s="32"/>
      <c r="N27" s="32"/>
      <c r="O27" s="32"/>
      <c r="P27" s="32"/>
      <c r="Q27" s="32"/>
      <c r="R27" s="28" t="s">
        <v>138</v>
      </c>
      <c r="S27" s="41"/>
      <c r="T27" s="41"/>
      <c r="U27" s="41"/>
      <c r="V27" s="41"/>
      <c r="W27" s="41"/>
      <c r="X27" s="41"/>
      <c r="Y27" s="139" t="s">
        <v>111</v>
      </c>
      <c r="Z27" s="140"/>
      <c r="AA27" s="141" t="s">
        <v>107</v>
      </c>
      <c r="AB27" s="142"/>
      <c r="AC27" s="143"/>
      <c r="AD27" s="72">
        <v>4</v>
      </c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42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68"/>
    </row>
    <row r="28" spans="1:56" ht="15" customHeight="1" x14ac:dyDescent="0.3">
      <c r="A28" s="54">
        <f>IF(B28="","",COUNTA($B$8:B28))</f>
        <v>21</v>
      </c>
      <c r="B28" s="42" t="s">
        <v>206</v>
      </c>
      <c r="C28" s="41"/>
      <c r="D28" s="41"/>
      <c r="E28" s="41"/>
      <c r="F28" s="41"/>
      <c r="G28" s="41"/>
      <c r="H28" s="41"/>
      <c r="I28" s="31" t="str">
        <f>VLOOKUP(B28,Sheet1!A:B,2,FALSE)</f>
        <v>amount</v>
      </c>
      <c r="J28" s="32"/>
      <c r="K28" s="32"/>
      <c r="L28" s="32"/>
      <c r="M28" s="32"/>
      <c r="N28" s="32"/>
      <c r="O28" s="32"/>
      <c r="P28" s="32"/>
      <c r="Q28" s="32"/>
      <c r="R28" s="28" t="s">
        <v>207</v>
      </c>
      <c r="S28" s="41"/>
      <c r="T28" s="41"/>
      <c r="U28" s="41"/>
      <c r="V28" s="41"/>
      <c r="W28" s="41"/>
      <c r="X28" s="41"/>
      <c r="Y28" s="139" t="s">
        <v>108</v>
      </c>
      <c r="Z28" s="140"/>
      <c r="AA28" s="141" t="s">
        <v>110</v>
      </c>
      <c r="AB28" s="142"/>
      <c r="AC28" s="143"/>
      <c r="AD28" s="72">
        <v>9</v>
      </c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42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68"/>
    </row>
    <row r="29" spans="1:56" ht="15" customHeight="1" x14ac:dyDescent="0.3">
      <c r="A29" s="54">
        <f>IF(B29="","",COUNTA($B$8:B29))</f>
        <v>22</v>
      </c>
      <c r="B29" s="42" t="s">
        <v>165</v>
      </c>
      <c r="C29" s="41"/>
      <c r="D29" s="41"/>
      <c r="E29" s="41"/>
      <c r="F29" s="41"/>
      <c r="G29" s="41"/>
      <c r="H29" s="41"/>
      <c r="I29" s="31" t="str">
        <f>VLOOKUP(B29,Sheet1!A:B,2,FALSE)</f>
        <v>soryo</v>
      </c>
      <c r="J29" s="32"/>
      <c r="K29" s="32"/>
      <c r="L29" s="32"/>
      <c r="M29" s="32"/>
      <c r="N29" s="32"/>
      <c r="O29" s="32"/>
      <c r="P29" s="32"/>
      <c r="Q29" s="32"/>
      <c r="R29" s="42" t="s">
        <v>136</v>
      </c>
      <c r="S29" s="41"/>
      <c r="T29" s="41"/>
      <c r="U29" s="41"/>
      <c r="V29" s="41"/>
      <c r="W29" s="41"/>
      <c r="X29" s="41"/>
      <c r="Y29" s="139" t="s">
        <v>108</v>
      </c>
      <c r="Z29" s="140"/>
      <c r="AA29" s="141" t="s">
        <v>110</v>
      </c>
      <c r="AB29" s="142"/>
      <c r="AC29" s="143"/>
      <c r="AD29" s="72">
        <v>7</v>
      </c>
      <c r="AE29" s="27">
        <v>2</v>
      </c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42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68"/>
    </row>
    <row r="30" spans="1:56" ht="15" customHeight="1" x14ac:dyDescent="0.3">
      <c r="A30" s="54">
        <f>IF(B30="","",COUNTA($B$8:B30))</f>
        <v>23</v>
      </c>
      <c r="B30" s="42" t="s">
        <v>1497</v>
      </c>
      <c r="C30" s="41"/>
      <c r="D30" s="41"/>
      <c r="E30" s="41"/>
      <c r="F30" s="41"/>
      <c r="G30" s="41"/>
      <c r="H30" s="41"/>
      <c r="I30" s="31" t="str">
        <f>VLOOKUP(B30,Sheet1!A:B,2,FALSE)</f>
        <v>gaika_amount</v>
      </c>
      <c r="J30" s="32"/>
      <c r="K30" s="32"/>
      <c r="L30" s="32"/>
      <c r="M30" s="32"/>
      <c r="N30" s="32"/>
      <c r="O30" s="32"/>
      <c r="P30" s="32"/>
      <c r="Q30" s="32"/>
      <c r="R30" s="42" t="s">
        <v>1497</v>
      </c>
      <c r="S30" s="41"/>
      <c r="T30" s="41"/>
      <c r="U30" s="41"/>
      <c r="V30" s="41"/>
      <c r="W30" s="41"/>
      <c r="X30" s="41"/>
      <c r="Y30" s="139" t="s">
        <v>108</v>
      </c>
      <c r="Z30" s="140"/>
      <c r="AA30" s="141" t="s">
        <v>110</v>
      </c>
      <c r="AB30" s="142"/>
      <c r="AC30" s="143"/>
      <c r="AD30" s="72">
        <v>9</v>
      </c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42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68"/>
    </row>
    <row r="31" spans="1:56" ht="15" customHeight="1" x14ac:dyDescent="0.3">
      <c r="A31" s="54">
        <f>IF(B31="","",COUNTA($B$8:B31))</f>
        <v>24</v>
      </c>
      <c r="B31" s="42" t="s">
        <v>1477</v>
      </c>
      <c r="C31" s="41"/>
      <c r="D31" s="41"/>
      <c r="E31" s="41"/>
      <c r="F31" s="41"/>
      <c r="G31" s="41"/>
      <c r="H31" s="41"/>
      <c r="I31" s="31" t="str">
        <f>VLOOKUP(B31,Sheet1!A:B,2,FALSE)</f>
        <v>currency_cd</v>
      </c>
      <c r="J31" s="32"/>
      <c r="K31" s="32"/>
      <c r="L31" s="32"/>
      <c r="M31" s="32"/>
      <c r="N31" s="32"/>
      <c r="O31" s="32"/>
      <c r="P31" s="32"/>
      <c r="Q31" s="32"/>
      <c r="R31" s="42" t="s">
        <v>1477</v>
      </c>
      <c r="S31" s="41"/>
      <c r="T31" s="41"/>
      <c r="U31" s="41"/>
      <c r="V31" s="41"/>
      <c r="W31" s="41"/>
      <c r="X31" s="41"/>
      <c r="Y31" s="139" t="s">
        <v>108</v>
      </c>
      <c r="Z31" s="140"/>
      <c r="AA31" s="141" t="s">
        <v>110</v>
      </c>
      <c r="AB31" s="142"/>
      <c r="AC31" s="143"/>
      <c r="AD31" s="72">
        <v>9</v>
      </c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42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68"/>
    </row>
    <row r="32" spans="1:56" ht="15" customHeight="1" x14ac:dyDescent="0.3">
      <c r="A32" s="54">
        <f>IF(B32="","",COUNTA($B$8:B32))</f>
        <v>25</v>
      </c>
      <c r="B32" s="42" t="s">
        <v>231</v>
      </c>
      <c r="C32" s="41"/>
      <c r="D32" s="41"/>
      <c r="E32" s="41"/>
      <c r="F32" s="41"/>
      <c r="G32" s="41"/>
      <c r="H32" s="41"/>
      <c r="I32" s="31" t="str">
        <f>VLOOKUP(B32,Sheet1!A:B,2,FALSE)</f>
        <v>rate</v>
      </c>
      <c r="J32" s="32"/>
      <c r="K32" s="32"/>
      <c r="L32" s="32"/>
      <c r="M32" s="32"/>
      <c r="N32" s="32"/>
      <c r="O32" s="32"/>
      <c r="P32" s="32"/>
      <c r="Q32" s="32"/>
      <c r="R32" s="42" t="s">
        <v>231</v>
      </c>
      <c r="S32" s="41"/>
      <c r="T32" s="41"/>
      <c r="U32" s="41"/>
      <c r="V32" s="41"/>
      <c r="W32" s="41"/>
      <c r="X32" s="41"/>
      <c r="Y32" s="139" t="s">
        <v>108</v>
      </c>
      <c r="Z32" s="140"/>
      <c r="AA32" s="141" t="s">
        <v>110</v>
      </c>
      <c r="AB32" s="142"/>
      <c r="AC32" s="143"/>
      <c r="AD32" s="72">
        <v>9</v>
      </c>
      <c r="AE32" s="27">
        <v>2</v>
      </c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42"/>
      <c r="AT32" s="43"/>
      <c r="AU32" s="43"/>
      <c r="AV32" s="43"/>
      <c r="AW32" s="43"/>
      <c r="AX32" s="43"/>
      <c r="AY32" s="43"/>
      <c r="AZ32" s="43"/>
      <c r="BA32" s="43"/>
      <c r="BB32" s="43"/>
      <c r="BC32" s="43"/>
      <c r="BD32" s="68"/>
    </row>
    <row r="33" spans="1:56" ht="15" customHeight="1" x14ac:dyDescent="0.3">
      <c r="A33" s="54">
        <f>IF(B33="","",COUNTA($B$8:B33))</f>
        <v>26</v>
      </c>
      <c r="B33" s="42" t="s">
        <v>173</v>
      </c>
      <c r="C33" s="41"/>
      <c r="D33" s="41"/>
      <c r="E33" s="41"/>
      <c r="F33" s="41"/>
      <c r="G33" s="41"/>
      <c r="H33" s="41"/>
      <c r="I33" s="31" t="str">
        <f>VLOOKUP(B33,Sheet1!A:B,2,FALSE)</f>
        <v>case_irisu</v>
      </c>
      <c r="J33" s="32"/>
      <c r="K33" s="32"/>
      <c r="L33" s="32"/>
      <c r="M33" s="32"/>
      <c r="N33" s="32"/>
      <c r="O33" s="32"/>
      <c r="P33" s="32"/>
      <c r="Q33" s="32"/>
      <c r="R33" s="42" t="s">
        <v>173</v>
      </c>
      <c r="S33" s="41"/>
      <c r="T33" s="41"/>
      <c r="U33" s="41"/>
      <c r="V33" s="41"/>
      <c r="W33" s="41"/>
      <c r="X33" s="41"/>
      <c r="Y33" s="139" t="s">
        <v>108</v>
      </c>
      <c r="Z33" s="140"/>
      <c r="AA33" s="141" t="s">
        <v>110</v>
      </c>
      <c r="AB33" s="142"/>
      <c r="AC33" s="143"/>
      <c r="AD33" s="72">
        <v>5</v>
      </c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42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68"/>
    </row>
    <row r="34" spans="1:56" ht="15" customHeight="1" x14ac:dyDescent="0.3">
      <c r="A34" s="54">
        <f>IF(B34="","",COUNTA($B$8:B34))</f>
        <v>27</v>
      </c>
      <c r="B34" s="42" t="s">
        <v>185</v>
      </c>
      <c r="C34" s="41"/>
      <c r="D34" s="41"/>
      <c r="E34" s="41"/>
      <c r="F34" s="41"/>
      <c r="G34" s="41"/>
      <c r="H34" s="41"/>
      <c r="I34" s="31" t="str">
        <f>VLOOKUP(B34,Sheet1!A:B,2,FALSE)</f>
        <v>pakku_irisu</v>
      </c>
      <c r="J34" s="32"/>
      <c r="K34" s="32"/>
      <c r="L34" s="32"/>
      <c r="M34" s="32"/>
      <c r="N34" s="32"/>
      <c r="O34" s="32"/>
      <c r="P34" s="32"/>
      <c r="Q34" s="32"/>
      <c r="R34" s="42" t="s">
        <v>185</v>
      </c>
      <c r="S34" s="41"/>
      <c r="T34" s="41"/>
      <c r="U34" s="41"/>
      <c r="V34" s="41"/>
      <c r="W34" s="41"/>
      <c r="X34" s="41"/>
      <c r="Y34" s="139" t="s">
        <v>108</v>
      </c>
      <c r="Z34" s="140"/>
      <c r="AA34" s="141" t="s">
        <v>110</v>
      </c>
      <c r="AB34" s="142"/>
      <c r="AC34" s="143"/>
      <c r="AD34" s="72">
        <v>5</v>
      </c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42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68"/>
    </row>
    <row r="35" spans="1:56" ht="15" customHeight="1" x14ac:dyDescent="0.3">
      <c r="A35" s="71">
        <f>IF(B35="","",COUNTA($B$8:B35))</f>
        <v>28</v>
      </c>
      <c r="B35" s="18" t="s">
        <v>182</v>
      </c>
      <c r="C35" s="19"/>
      <c r="D35" s="19"/>
      <c r="E35" s="19"/>
      <c r="F35" s="19"/>
      <c r="G35" s="19"/>
      <c r="H35" s="22"/>
      <c r="I35" s="31" t="str">
        <f>VLOOKUP(B35,Sheet1!A:B,2,FALSE)</f>
        <v>shukan_busho_cd</v>
      </c>
      <c r="J35" s="21"/>
      <c r="K35" s="21"/>
      <c r="L35" s="21"/>
      <c r="M35" s="21"/>
      <c r="N35" s="21"/>
      <c r="O35" s="21"/>
      <c r="P35" s="21"/>
      <c r="Q35" s="33"/>
      <c r="R35" s="18" t="s">
        <v>184</v>
      </c>
      <c r="S35" s="21"/>
      <c r="T35" s="21"/>
      <c r="U35" s="21"/>
      <c r="V35" s="21"/>
      <c r="W35" s="21"/>
      <c r="X35" s="22"/>
      <c r="Y35" s="139" t="s">
        <v>56</v>
      </c>
      <c r="Z35" s="184"/>
      <c r="AA35" s="141" t="s">
        <v>107</v>
      </c>
      <c r="AB35" s="142"/>
      <c r="AC35" s="143"/>
      <c r="AD35" s="25">
        <v>4</v>
      </c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7"/>
      <c r="AP35" s="27"/>
      <c r="AQ35" s="27"/>
      <c r="AR35" s="27"/>
      <c r="AS35" s="28"/>
      <c r="AT35" s="69"/>
      <c r="AU35" s="69"/>
      <c r="AV35" s="69"/>
      <c r="AW35" s="69"/>
      <c r="AX35" s="69"/>
      <c r="AY35" s="69"/>
      <c r="AZ35" s="69"/>
      <c r="BA35" s="69"/>
      <c r="BB35" s="69"/>
      <c r="BC35" s="69"/>
      <c r="BD35" s="70"/>
    </row>
    <row r="36" spans="1:56" ht="15" customHeight="1" x14ac:dyDescent="0.3">
      <c r="A36" s="71">
        <f>IF(B36="","",COUNTA($B$8:B36))</f>
        <v>29</v>
      </c>
      <c r="B36" s="18" t="s">
        <v>183</v>
      </c>
      <c r="C36" s="19"/>
      <c r="D36" s="19"/>
      <c r="E36" s="19"/>
      <c r="F36" s="19"/>
      <c r="G36" s="19"/>
      <c r="H36" s="22"/>
      <c r="I36" s="31" t="str">
        <f>VLOOKUP(B36,Sheet1!A:B,2,FALSE)</f>
        <v>shukan_kotei_cd</v>
      </c>
      <c r="J36" s="21"/>
      <c r="K36" s="21"/>
      <c r="L36" s="21"/>
      <c r="M36" s="21"/>
      <c r="N36" s="21"/>
      <c r="O36" s="21"/>
      <c r="P36" s="21"/>
      <c r="Q36" s="33"/>
      <c r="R36" s="18" t="s">
        <v>183</v>
      </c>
      <c r="S36" s="21"/>
      <c r="T36" s="21"/>
      <c r="U36" s="21"/>
      <c r="V36" s="21"/>
      <c r="W36" s="21"/>
      <c r="X36" s="22"/>
      <c r="Y36" s="139" t="s">
        <v>56</v>
      </c>
      <c r="Z36" s="184"/>
      <c r="AA36" s="141" t="s">
        <v>107</v>
      </c>
      <c r="AB36" s="142"/>
      <c r="AC36" s="143"/>
      <c r="AD36" s="25">
        <v>4</v>
      </c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7"/>
      <c r="AP36" s="27"/>
      <c r="AQ36" s="27"/>
      <c r="AR36" s="27"/>
      <c r="AS36" s="28"/>
      <c r="AT36" s="69"/>
      <c r="AU36" s="69"/>
      <c r="AV36" s="69"/>
      <c r="AW36" s="69"/>
      <c r="AX36" s="69"/>
      <c r="AY36" s="69"/>
      <c r="AZ36" s="69"/>
      <c r="BA36" s="69"/>
      <c r="BB36" s="69"/>
      <c r="BC36" s="69"/>
      <c r="BD36" s="70"/>
    </row>
    <row r="37" spans="1:56" ht="15" customHeight="1" x14ac:dyDescent="0.3">
      <c r="A37" s="54">
        <f>IF(B37="","",COUNTA($B$8:B37))</f>
        <v>30</v>
      </c>
      <c r="B37" s="18" t="s">
        <v>1095</v>
      </c>
      <c r="C37" s="41"/>
      <c r="D37" s="41"/>
      <c r="E37" s="41"/>
      <c r="F37" s="41"/>
      <c r="G37" s="41"/>
      <c r="H37" s="41"/>
      <c r="I37" s="31" t="str">
        <f>VLOOKUP(B37,Sheet1!A:B,2,FALSE)</f>
        <v>insert_func_cd</v>
      </c>
      <c r="J37" s="32"/>
      <c r="K37" s="32"/>
      <c r="L37" s="32"/>
      <c r="M37" s="32"/>
      <c r="N37" s="32"/>
      <c r="O37" s="32"/>
      <c r="P37" s="32"/>
      <c r="Q37" s="32"/>
      <c r="R37" s="18" t="s">
        <v>116</v>
      </c>
      <c r="S37" s="41"/>
      <c r="T37" s="41"/>
      <c r="U37" s="41"/>
      <c r="V37" s="41"/>
      <c r="W37" s="41"/>
      <c r="X37" s="41"/>
      <c r="Y37" s="139" t="s">
        <v>111</v>
      </c>
      <c r="Z37" s="140"/>
      <c r="AA37" s="141" t="s">
        <v>107</v>
      </c>
      <c r="AB37" s="142"/>
      <c r="AC37" s="143"/>
      <c r="AD37" s="25">
        <v>10</v>
      </c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8"/>
      <c r="AT37" s="69"/>
      <c r="AU37" s="69"/>
      <c r="AV37" s="69"/>
      <c r="AW37" s="69"/>
      <c r="AX37" s="69"/>
      <c r="AY37" s="69"/>
      <c r="AZ37" s="69"/>
      <c r="BA37" s="69"/>
      <c r="BB37" s="69"/>
      <c r="BC37" s="69"/>
      <c r="BD37" s="70"/>
    </row>
    <row r="38" spans="1:56" ht="15" customHeight="1" x14ac:dyDescent="0.3">
      <c r="A38" s="54">
        <f>IF(B38="","",COUNTA($B$8:B38))</f>
        <v>31</v>
      </c>
      <c r="B38" s="18" t="s">
        <v>112</v>
      </c>
      <c r="C38" s="41"/>
      <c r="D38" s="41"/>
      <c r="E38" s="41"/>
      <c r="F38" s="41"/>
      <c r="G38" s="41"/>
      <c r="H38" s="41"/>
      <c r="I38" s="31" t="str">
        <f>VLOOKUP(B38,Sheet1!A:B,2,FALSE)</f>
        <v>insert_user_cd</v>
      </c>
      <c r="J38" s="32"/>
      <c r="K38" s="32"/>
      <c r="L38" s="32"/>
      <c r="M38" s="32"/>
      <c r="N38" s="32"/>
      <c r="O38" s="32"/>
      <c r="P38" s="32"/>
      <c r="Q38" s="32"/>
      <c r="R38" s="18" t="s">
        <v>112</v>
      </c>
      <c r="S38" s="41"/>
      <c r="T38" s="41"/>
      <c r="U38" s="41"/>
      <c r="V38" s="41"/>
      <c r="W38" s="41"/>
      <c r="X38" s="41"/>
      <c r="Y38" s="139" t="s">
        <v>111</v>
      </c>
      <c r="Z38" s="140"/>
      <c r="AA38" s="141" t="s">
        <v>107</v>
      </c>
      <c r="AB38" s="142"/>
      <c r="AC38" s="143"/>
      <c r="AD38" s="25">
        <v>10</v>
      </c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8"/>
      <c r="AT38" s="69"/>
      <c r="AU38" s="69"/>
      <c r="AV38" s="69"/>
      <c r="AW38" s="69"/>
      <c r="AX38" s="69"/>
      <c r="AY38" s="69"/>
      <c r="AZ38" s="69"/>
      <c r="BA38" s="69"/>
      <c r="BB38" s="69"/>
      <c r="BC38" s="69"/>
      <c r="BD38" s="70"/>
    </row>
    <row r="39" spans="1:56" ht="15" customHeight="1" x14ac:dyDescent="0.3">
      <c r="A39" s="54">
        <f>IF(B39="","",COUNTA($B$8:B39))</f>
        <v>32</v>
      </c>
      <c r="B39" s="18" t="s">
        <v>113</v>
      </c>
      <c r="C39" s="41"/>
      <c r="D39" s="41"/>
      <c r="E39" s="41"/>
      <c r="F39" s="41"/>
      <c r="G39" s="41"/>
      <c r="H39" s="41"/>
      <c r="I39" s="31" t="str">
        <f>VLOOKUP(B39,Sheet1!A:B,2,FALSE)</f>
        <v>insert_datetime</v>
      </c>
      <c r="J39" s="32"/>
      <c r="K39" s="32"/>
      <c r="L39" s="32"/>
      <c r="M39" s="32"/>
      <c r="N39" s="32"/>
      <c r="O39" s="32"/>
      <c r="P39" s="32"/>
      <c r="Q39" s="32"/>
      <c r="R39" s="18" t="s">
        <v>113</v>
      </c>
      <c r="S39" s="41"/>
      <c r="T39" s="41"/>
      <c r="U39" s="41"/>
      <c r="V39" s="41"/>
      <c r="W39" s="41"/>
      <c r="X39" s="41"/>
      <c r="Y39" s="139" t="s">
        <v>87</v>
      </c>
      <c r="Z39" s="140"/>
      <c r="AA39" s="141" t="s">
        <v>109</v>
      </c>
      <c r="AB39" s="142"/>
      <c r="AC39" s="143"/>
      <c r="AD39" s="55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8"/>
      <c r="AT39" s="69"/>
      <c r="AU39" s="69"/>
      <c r="AV39" s="69"/>
      <c r="AW39" s="69"/>
      <c r="AX39" s="69"/>
      <c r="AY39" s="69"/>
      <c r="AZ39" s="69"/>
      <c r="BA39" s="69"/>
      <c r="BB39" s="69"/>
      <c r="BC39" s="69"/>
      <c r="BD39" s="70"/>
    </row>
    <row r="40" spans="1:56" ht="15" customHeight="1" x14ac:dyDescent="0.3">
      <c r="A40" s="54">
        <f>IF(B40="","",COUNTA($B$8:B40))</f>
        <v>33</v>
      </c>
      <c r="B40" s="18" t="s">
        <v>1094</v>
      </c>
      <c r="C40" s="41"/>
      <c r="D40" s="41"/>
      <c r="E40" s="41"/>
      <c r="F40" s="41"/>
      <c r="G40" s="41"/>
      <c r="H40" s="41"/>
      <c r="I40" s="31" t="str">
        <f>VLOOKUP(B40,Sheet1!A:B,2,FALSE)</f>
        <v>update_func_cd</v>
      </c>
      <c r="J40" s="32"/>
      <c r="K40" s="32"/>
      <c r="L40" s="32"/>
      <c r="M40" s="32"/>
      <c r="N40" s="32"/>
      <c r="O40" s="32"/>
      <c r="P40" s="32"/>
      <c r="Q40" s="32"/>
      <c r="R40" s="18" t="s">
        <v>117</v>
      </c>
      <c r="S40" s="41"/>
      <c r="T40" s="41"/>
      <c r="U40" s="41"/>
      <c r="V40" s="41"/>
      <c r="W40" s="41"/>
      <c r="X40" s="41"/>
      <c r="Y40" s="139" t="s">
        <v>111</v>
      </c>
      <c r="Z40" s="140"/>
      <c r="AA40" s="141" t="s">
        <v>107</v>
      </c>
      <c r="AB40" s="142"/>
      <c r="AC40" s="143"/>
      <c r="AD40" s="25">
        <v>10</v>
      </c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8"/>
      <c r="AT40" s="69"/>
      <c r="AU40" s="69"/>
      <c r="AV40" s="69"/>
      <c r="AW40" s="69"/>
      <c r="AX40" s="69"/>
      <c r="AY40" s="69"/>
      <c r="AZ40" s="69"/>
      <c r="BA40" s="69"/>
      <c r="BB40" s="69"/>
      <c r="BC40" s="69"/>
      <c r="BD40" s="70"/>
    </row>
    <row r="41" spans="1:56" ht="15" customHeight="1" x14ac:dyDescent="0.3">
      <c r="A41" s="54">
        <f>IF(B41="","",COUNTA($B$8:B41))</f>
        <v>34</v>
      </c>
      <c r="B41" s="18" t="s">
        <v>114</v>
      </c>
      <c r="C41" s="19"/>
      <c r="D41" s="19"/>
      <c r="E41" s="19"/>
      <c r="F41" s="19"/>
      <c r="G41" s="19"/>
      <c r="H41" s="19"/>
      <c r="I41" s="31" t="str">
        <f>VLOOKUP(B41,Sheet1!A:B,2,FALSE)</f>
        <v>update_user_cd</v>
      </c>
      <c r="J41" s="21"/>
      <c r="K41" s="21"/>
      <c r="L41" s="21"/>
      <c r="M41" s="21"/>
      <c r="N41" s="21"/>
      <c r="O41" s="21"/>
      <c r="P41" s="21"/>
      <c r="Q41" s="21"/>
      <c r="R41" s="18" t="s">
        <v>114</v>
      </c>
      <c r="S41" s="19"/>
      <c r="T41" s="19"/>
      <c r="U41" s="19"/>
      <c r="V41" s="19"/>
      <c r="W41" s="19"/>
      <c r="X41" s="19"/>
      <c r="Y41" s="139" t="s">
        <v>111</v>
      </c>
      <c r="Z41" s="140"/>
      <c r="AA41" s="141" t="s">
        <v>107</v>
      </c>
      <c r="AB41" s="142"/>
      <c r="AC41" s="143"/>
      <c r="AD41" s="55">
        <v>10</v>
      </c>
      <c r="AE41" s="37"/>
      <c r="AF41" s="37"/>
      <c r="AG41" s="37"/>
      <c r="AH41" s="37"/>
      <c r="AI41" s="37"/>
      <c r="AJ41" s="37"/>
      <c r="AK41" s="37"/>
      <c r="AL41" s="37"/>
      <c r="AM41" s="37"/>
      <c r="AN41" s="37"/>
      <c r="AO41" s="38"/>
      <c r="AP41" s="38"/>
      <c r="AQ41" s="38"/>
      <c r="AR41" s="38"/>
      <c r="AS41" s="39"/>
      <c r="AT41" s="40"/>
      <c r="AU41" s="69"/>
      <c r="AV41" s="69"/>
      <c r="AW41" s="69"/>
      <c r="AX41" s="69"/>
      <c r="AY41" s="69"/>
      <c r="AZ41" s="69"/>
      <c r="BA41" s="69"/>
      <c r="BB41" s="69"/>
      <c r="BC41" s="69"/>
      <c r="BD41" s="70"/>
    </row>
    <row r="42" spans="1:56" ht="15" customHeight="1" x14ac:dyDescent="0.3">
      <c r="A42" s="54">
        <f>IF(B42="","",COUNTA($B$8:B42))</f>
        <v>35</v>
      </c>
      <c r="B42" s="18" t="s">
        <v>115</v>
      </c>
      <c r="C42" s="19"/>
      <c r="D42" s="19"/>
      <c r="E42" s="19"/>
      <c r="F42" s="19"/>
      <c r="G42" s="19"/>
      <c r="H42" s="19"/>
      <c r="I42" s="31" t="str">
        <f>VLOOKUP(B42,Sheet1!A:B,2,FALSE)</f>
        <v>update_datetime</v>
      </c>
      <c r="J42" s="21"/>
      <c r="K42" s="21"/>
      <c r="L42" s="21"/>
      <c r="M42" s="21"/>
      <c r="N42" s="21"/>
      <c r="O42" s="21"/>
      <c r="P42" s="21"/>
      <c r="Q42" s="21"/>
      <c r="R42" s="18" t="s">
        <v>115</v>
      </c>
      <c r="S42" s="19"/>
      <c r="T42" s="19"/>
      <c r="U42" s="19"/>
      <c r="V42" s="19"/>
      <c r="W42" s="19"/>
      <c r="X42" s="19"/>
      <c r="Y42" s="139" t="s">
        <v>87</v>
      </c>
      <c r="Z42" s="140"/>
      <c r="AA42" s="141" t="s">
        <v>109</v>
      </c>
      <c r="AB42" s="142"/>
      <c r="AC42" s="143"/>
      <c r="AD42" s="55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8"/>
      <c r="AP42" s="38"/>
      <c r="AQ42" s="38"/>
      <c r="AR42" s="38"/>
      <c r="AS42" s="39"/>
      <c r="AT42" s="40"/>
      <c r="AU42" s="69"/>
      <c r="AV42" s="69"/>
      <c r="AW42" s="69"/>
      <c r="AX42" s="69"/>
      <c r="AY42" s="69"/>
      <c r="AZ42" s="69"/>
      <c r="BA42" s="69"/>
      <c r="BB42" s="69"/>
      <c r="BC42" s="69"/>
      <c r="BD42" s="70"/>
    </row>
    <row r="43" spans="1:56" ht="15" customHeight="1" x14ac:dyDescent="0.3">
      <c r="A43" s="54" t="str">
        <f>IF(B43="","",COUNTA($B$8:B43))</f>
        <v/>
      </c>
      <c r="B43" s="42"/>
      <c r="C43" s="41"/>
      <c r="D43" s="41"/>
      <c r="E43" s="41"/>
      <c r="F43" s="41"/>
      <c r="G43" s="41"/>
      <c r="H43" s="41"/>
      <c r="I43" s="42"/>
      <c r="J43" s="32"/>
      <c r="K43" s="32"/>
      <c r="L43" s="32"/>
      <c r="M43" s="32"/>
      <c r="N43" s="32"/>
      <c r="O43" s="32"/>
      <c r="P43" s="32"/>
      <c r="Q43" s="32"/>
      <c r="R43" s="42"/>
      <c r="S43" s="41"/>
      <c r="T43" s="41"/>
      <c r="U43" s="41"/>
      <c r="V43" s="41"/>
      <c r="W43" s="41"/>
      <c r="X43" s="41"/>
      <c r="Y43" s="139"/>
      <c r="Z43" s="140"/>
      <c r="AA43" s="141"/>
      <c r="AB43" s="142"/>
      <c r="AC43" s="143"/>
      <c r="AD43" s="72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42"/>
      <c r="AT43" s="43"/>
      <c r="AU43" s="43"/>
      <c r="AV43" s="43"/>
      <c r="AW43" s="43"/>
      <c r="AX43" s="43"/>
      <c r="AY43" s="43"/>
      <c r="AZ43" s="43"/>
      <c r="BA43" s="43"/>
      <c r="BB43" s="43"/>
      <c r="BC43" s="43"/>
      <c r="BD43" s="68"/>
    </row>
    <row r="44" spans="1:56" ht="15" customHeight="1" x14ac:dyDescent="0.3">
      <c r="A44" s="54" t="str">
        <f>IF(B44="","",COUNTA($B$8:B44))</f>
        <v/>
      </c>
      <c r="B44" s="42"/>
      <c r="C44" s="41"/>
      <c r="D44" s="41"/>
      <c r="E44" s="41"/>
      <c r="F44" s="41"/>
      <c r="G44" s="41"/>
      <c r="H44" s="41"/>
      <c r="I44" s="42"/>
      <c r="J44" s="32"/>
      <c r="K44" s="32"/>
      <c r="L44" s="32"/>
      <c r="M44" s="32"/>
      <c r="N44" s="32"/>
      <c r="O44" s="32"/>
      <c r="P44" s="32"/>
      <c r="Q44" s="32"/>
      <c r="R44" s="42"/>
      <c r="S44" s="41"/>
      <c r="T44" s="41"/>
      <c r="U44" s="41"/>
      <c r="V44" s="41"/>
      <c r="W44" s="41"/>
      <c r="X44" s="41"/>
      <c r="Y44" s="139"/>
      <c r="Z44" s="140"/>
      <c r="AA44" s="141"/>
      <c r="AB44" s="142"/>
      <c r="AC44" s="143"/>
      <c r="AD44" s="72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42"/>
      <c r="AT44" s="43"/>
      <c r="AU44" s="43"/>
      <c r="AV44" s="43"/>
      <c r="AW44" s="43"/>
      <c r="AX44" s="43"/>
      <c r="AY44" s="43"/>
      <c r="AZ44" s="43"/>
      <c r="BA44" s="43"/>
      <c r="BB44" s="43"/>
      <c r="BC44" s="43"/>
      <c r="BD44" s="68"/>
    </row>
    <row r="45" spans="1:56" ht="15" customHeight="1" x14ac:dyDescent="0.3">
      <c r="A45" s="54" t="str">
        <f>IF(B45="","",COUNTA($B$8:B45))</f>
        <v/>
      </c>
      <c r="B45" s="28"/>
      <c r="C45" s="41"/>
      <c r="D45" s="41"/>
      <c r="E45" s="41"/>
      <c r="F45" s="41"/>
      <c r="G45" s="41"/>
      <c r="H45" s="41"/>
      <c r="I45" s="20"/>
      <c r="J45" s="32"/>
      <c r="K45" s="32"/>
      <c r="L45" s="32"/>
      <c r="M45" s="32"/>
      <c r="N45" s="32"/>
      <c r="O45" s="32"/>
      <c r="P45" s="32"/>
      <c r="Q45" s="32"/>
      <c r="R45" s="28"/>
      <c r="S45" s="41"/>
      <c r="T45" s="41"/>
      <c r="U45" s="41"/>
      <c r="V45" s="41"/>
      <c r="W45" s="41"/>
      <c r="X45" s="41"/>
      <c r="Y45" s="139"/>
      <c r="Z45" s="140"/>
      <c r="AA45" s="141"/>
      <c r="AB45" s="142"/>
      <c r="AC45" s="143"/>
      <c r="AD45" s="55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8"/>
      <c r="AT45" s="69"/>
      <c r="AU45" s="69"/>
      <c r="AV45" s="69"/>
      <c r="AW45" s="69"/>
      <c r="AX45" s="69"/>
      <c r="AY45" s="69"/>
      <c r="AZ45" s="69"/>
      <c r="BA45" s="69"/>
      <c r="BB45" s="69"/>
      <c r="BC45" s="69"/>
      <c r="BD45" s="70"/>
    </row>
  </sheetData>
  <mergeCells count="106"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G6:AG7"/>
    <mergeCell ref="AH6:AH7"/>
    <mergeCell ref="AI6:AR6"/>
    <mergeCell ref="Y9:Z9"/>
    <mergeCell ref="AA9:AC9"/>
    <mergeCell ref="AS6:BD7"/>
    <mergeCell ref="Y8:Z8"/>
    <mergeCell ref="AA8:AC8"/>
    <mergeCell ref="AZ4:BD4"/>
    <mergeCell ref="Y13:Z13"/>
    <mergeCell ref="AA13:AC13"/>
    <mergeCell ref="Y15:Z15"/>
    <mergeCell ref="AA15:AC15"/>
    <mergeCell ref="Y16:Z16"/>
    <mergeCell ref="AA16:AC16"/>
    <mergeCell ref="Y10:Z10"/>
    <mergeCell ref="AA10:AC10"/>
    <mergeCell ref="Y11:Z11"/>
    <mergeCell ref="AA11:AC11"/>
    <mergeCell ref="Y12:Z12"/>
    <mergeCell ref="AA12:AC12"/>
    <mergeCell ref="Y20:Z20"/>
    <mergeCell ref="AA20:AC20"/>
    <mergeCell ref="Y21:Z21"/>
    <mergeCell ref="AA21:AC21"/>
    <mergeCell ref="Y22:Z22"/>
    <mergeCell ref="AA22:AC22"/>
    <mergeCell ref="Y17:Z17"/>
    <mergeCell ref="AA17:AC17"/>
    <mergeCell ref="Y18:Z18"/>
    <mergeCell ref="AA18:AC18"/>
    <mergeCell ref="Y19:Z19"/>
    <mergeCell ref="AA19:AC19"/>
    <mergeCell ref="Y25:Z25"/>
    <mergeCell ref="AA25:AC25"/>
    <mergeCell ref="Y26:Z26"/>
    <mergeCell ref="AA26:AC26"/>
    <mergeCell ref="Y27:Z27"/>
    <mergeCell ref="AA27:AC27"/>
    <mergeCell ref="Y28:Z28"/>
    <mergeCell ref="AA28:AC28"/>
    <mergeCell ref="Y23:Z23"/>
    <mergeCell ref="AA23:AC23"/>
    <mergeCell ref="Y24:Z24"/>
    <mergeCell ref="AA24:AC24"/>
    <mergeCell ref="Y35:Z35"/>
    <mergeCell ref="AA35:AC35"/>
    <mergeCell ref="Y36:Z36"/>
    <mergeCell ref="AA36:AC36"/>
    <mergeCell ref="Y37:Z37"/>
    <mergeCell ref="AA37:AC37"/>
    <mergeCell ref="Y29:Z29"/>
    <mergeCell ref="AA29:AC29"/>
    <mergeCell ref="Y33:Z33"/>
    <mergeCell ref="AA33:AC33"/>
    <mergeCell ref="Y34:Z34"/>
    <mergeCell ref="AA34:AC34"/>
    <mergeCell ref="Y30:Z30"/>
    <mergeCell ref="AA30:AC30"/>
    <mergeCell ref="Y31:Z31"/>
    <mergeCell ref="AA31:AC31"/>
    <mergeCell ref="Y32:Z32"/>
    <mergeCell ref="AA32:AC32"/>
    <mergeCell ref="Y38:Z38"/>
    <mergeCell ref="AA38:AC38"/>
    <mergeCell ref="Y39:Z39"/>
    <mergeCell ref="AA39:AC39"/>
    <mergeCell ref="Y40:Z40"/>
    <mergeCell ref="AA40:AC40"/>
    <mergeCell ref="Y45:Z45"/>
    <mergeCell ref="AA45:AC45"/>
    <mergeCell ref="Y44:Z44"/>
    <mergeCell ref="AA44:AC44"/>
    <mergeCell ref="Y41:Z41"/>
    <mergeCell ref="AA41:AC41"/>
    <mergeCell ref="Y42:Z42"/>
    <mergeCell ref="AA42:AC42"/>
    <mergeCell ref="Y43:Z43"/>
    <mergeCell ref="AA43:AC43"/>
  </mergeCells>
  <phoneticPr fontId="4"/>
  <dataValidations count="3">
    <dataValidation type="list" allowBlank="1" showInputMessage="1" showErrorMessage="1" sqref="AA35:AC36 AA37:AA45 AA8:AA34" xr:uid="{00000000-0002-0000-0800-000000000000}">
      <formula1>"datetime,int,numeric,varchar,nvarchar"</formula1>
    </dataValidation>
    <dataValidation imeMode="hiragana" allowBlank="1" showInputMessage="1" showErrorMessage="1" sqref="JG65520:JR65522 TC65520:TN65522 ACY65520:ADJ65522 AMU65520:ANF65522 AWQ65520:AXB65522 BGM65520:BGX65522 BQI65520:BQT65522 CAE65520:CAP65522 CKA65520:CKL65522 CTW65520:CUH65522 DDS65520:DED65522 DNO65520:DNZ65522 DXK65520:DXV65522 EHG65520:EHR65522 ERC65520:ERN65522 FAY65520:FBJ65522 FKU65520:FLF65522 FUQ65520:FVB65522 GEM65520:GEX65522 GOI65520:GOT65522 GYE65520:GYP65522 HIA65520:HIL65522 HRW65520:HSH65522 IBS65520:ICD65522 ILO65520:ILZ65522 IVK65520:IVV65522 JFG65520:JFR65522 JPC65520:JPN65522 JYY65520:JZJ65522 KIU65520:KJF65522 KSQ65520:KTB65522 LCM65520:LCX65522 LMI65520:LMT65522 LWE65520:LWP65522 MGA65520:MGL65522 MPW65520:MQH65522 MZS65520:NAD65522 NJO65520:NJZ65522 NTK65520:NTV65522 ODG65520:ODR65522 ONC65520:ONN65522 OWY65520:OXJ65522 PGU65520:PHF65522 PQQ65520:PRB65522 QAM65520:QAX65522 QKI65520:QKT65522 QUE65520:QUP65522 REA65520:REL65522 RNW65520:ROH65522 RXS65520:RYD65522 SHO65520:SHZ65522 SRK65520:SRV65522 TBG65520:TBR65522 TLC65520:TLN65522 TUY65520:TVJ65522 UEU65520:UFF65522 UOQ65520:UPB65522 UYM65520:UYX65522 VII65520:VIT65522 VSE65520:VSP65522 WCA65520:WCL65522 WLW65520:WMH65522 WVS65520:WWD65522 JG131056:JR131058 TC131056:TN131058 ACY131056:ADJ131058 AMU131056:ANF131058 AWQ131056:AXB131058 BGM131056:BGX131058 BQI131056:BQT131058 CAE131056:CAP131058 CKA131056:CKL131058 CTW131056:CUH131058 DDS131056:DED131058 DNO131056:DNZ131058 DXK131056:DXV131058 EHG131056:EHR131058 ERC131056:ERN131058 FAY131056:FBJ131058 FKU131056:FLF131058 FUQ131056:FVB131058 GEM131056:GEX131058 GOI131056:GOT131058 GYE131056:GYP131058 HIA131056:HIL131058 HRW131056:HSH131058 IBS131056:ICD131058 ILO131056:ILZ131058 IVK131056:IVV131058 JFG131056:JFR131058 JPC131056:JPN131058 JYY131056:JZJ131058 KIU131056:KJF131058 KSQ131056:KTB131058 LCM131056:LCX131058 LMI131056:LMT131058 LWE131056:LWP131058 MGA131056:MGL131058 MPW131056:MQH131058 MZS131056:NAD131058 NJO131056:NJZ131058 NTK131056:NTV131058 ODG131056:ODR131058 ONC131056:ONN131058 OWY131056:OXJ131058 PGU131056:PHF131058 PQQ131056:PRB131058 QAM131056:QAX131058 QKI131056:QKT131058 QUE131056:QUP131058 REA131056:REL131058 RNW131056:ROH131058 RXS131056:RYD131058 SHO131056:SHZ131058 SRK131056:SRV131058 TBG131056:TBR131058 TLC131056:TLN131058 TUY131056:TVJ131058 UEU131056:UFF131058 UOQ131056:UPB131058 UYM131056:UYX131058 VII131056:VIT131058 VSE131056:VSP131058 WCA131056:WCL131058 WLW131056:WMH131058 WVS131056:WWD131058 JG196592:JR196594 TC196592:TN196594 ACY196592:ADJ196594 AMU196592:ANF196594 AWQ196592:AXB196594 BGM196592:BGX196594 BQI196592:BQT196594 CAE196592:CAP196594 CKA196592:CKL196594 CTW196592:CUH196594 DDS196592:DED196594 DNO196592:DNZ196594 DXK196592:DXV196594 EHG196592:EHR196594 ERC196592:ERN196594 FAY196592:FBJ196594 FKU196592:FLF196594 FUQ196592:FVB196594 GEM196592:GEX196594 GOI196592:GOT196594 GYE196592:GYP196594 HIA196592:HIL196594 HRW196592:HSH196594 IBS196592:ICD196594 ILO196592:ILZ196594 IVK196592:IVV196594 JFG196592:JFR196594 JPC196592:JPN196594 JYY196592:JZJ196594 KIU196592:KJF196594 KSQ196592:KTB196594 LCM196592:LCX196594 LMI196592:LMT196594 LWE196592:LWP196594 MGA196592:MGL196594 MPW196592:MQH196594 MZS196592:NAD196594 NJO196592:NJZ196594 NTK196592:NTV196594 ODG196592:ODR196594 ONC196592:ONN196594 OWY196592:OXJ196594 PGU196592:PHF196594 PQQ196592:PRB196594 QAM196592:QAX196594 QKI196592:QKT196594 QUE196592:QUP196594 REA196592:REL196594 RNW196592:ROH196594 RXS196592:RYD196594 SHO196592:SHZ196594 SRK196592:SRV196594 TBG196592:TBR196594 TLC196592:TLN196594 TUY196592:TVJ196594 UEU196592:UFF196594 UOQ196592:UPB196594 UYM196592:UYX196594 VII196592:VIT196594 VSE196592:VSP196594 WCA196592:WCL196594 WLW196592:WMH196594 WVS196592:WWD196594 JG262128:JR262130 TC262128:TN262130 ACY262128:ADJ262130 AMU262128:ANF262130 AWQ262128:AXB262130 BGM262128:BGX262130 BQI262128:BQT262130 CAE262128:CAP262130 CKA262128:CKL262130 CTW262128:CUH262130 DDS262128:DED262130 DNO262128:DNZ262130 DXK262128:DXV262130 EHG262128:EHR262130 ERC262128:ERN262130 FAY262128:FBJ262130 FKU262128:FLF262130 FUQ262128:FVB262130 GEM262128:GEX262130 GOI262128:GOT262130 GYE262128:GYP262130 HIA262128:HIL262130 HRW262128:HSH262130 IBS262128:ICD262130 ILO262128:ILZ262130 IVK262128:IVV262130 JFG262128:JFR262130 JPC262128:JPN262130 JYY262128:JZJ262130 KIU262128:KJF262130 KSQ262128:KTB262130 LCM262128:LCX262130 LMI262128:LMT262130 LWE262128:LWP262130 MGA262128:MGL262130 MPW262128:MQH262130 MZS262128:NAD262130 NJO262128:NJZ262130 NTK262128:NTV262130 ODG262128:ODR262130 ONC262128:ONN262130 OWY262128:OXJ262130 PGU262128:PHF262130 PQQ262128:PRB262130 QAM262128:QAX262130 QKI262128:QKT262130 QUE262128:QUP262130 REA262128:REL262130 RNW262128:ROH262130 RXS262128:RYD262130 SHO262128:SHZ262130 SRK262128:SRV262130 TBG262128:TBR262130 TLC262128:TLN262130 TUY262128:TVJ262130 UEU262128:UFF262130 UOQ262128:UPB262130 UYM262128:UYX262130 VII262128:VIT262130 VSE262128:VSP262130 WCA262128:WCL262130 WLW262128:WMH262130 WVS262128:WWD262130 JG327664:JR327666 TC327664:TN327666 ACY327664:ADJ327666 AMU327664:ANF327666 AWQ327664:AXB327666 BGM327664:BGX327666 BQI327664:BQT327666 CAE327664:CAP327666 CKA327664:CKL327666 CTW327664:CUH327666 DDS327664:DED327666 DNO327664:DNZ327666 DXK327664:DXV327666 EHG327664:EHR327666 ERC327664:ERN327666 FAY327664:FBJ327666 FKU327664:FLF327666 FUQ327664:FVB327666 GEM327664:GEX327666 GOI327664:GOT327666 GYE327664:GYP327666 HIA327664:HIL327666 HRW327664:HSH327666 IBS327664:ICD327666 ILO327664:ILZ327666 IVK327664:IVV327666 JFG327664:JFR327666 JPC327664:JPN327666 JYY327664:JZJ327666 KIU327664:KJF327666 KSQ327664:KTB327666 LCM327664:LCX327666 LMI327664:LMT327666 LWE327664:LWP327666 MGA327664:MGL327666 MPW327664:MQH327666 MZS327664:NAD327666 NJO327664:NJZ327666 NTK327664:NTV327666 ODG327664:ODR327666 ONC327664:ONN327666 OWY327664:OXJ327666 PGU327664:PHF327666 PQQ327664:PRB327666 QAM327664:QAX327666 QKI327664:QKT327666 QUE327664:QUP327666 REA327664:REL327666 RNW327664:ROH327666 RXS327664:RYD327666 SHO327664:SHZ327666 SRK327664:SRV327666 TBG327664:TBR327666 TLC327664:TLN327666 TUY327664:TVJ327666 UEU327664:UFF327666 UOQ327664:UPB327666 UYM327664:UYX327666 VII327664:VIT327666 VSE327664:VSP327666 WCA327664:WCL327666 WLW327664:WMH327666 WVS327664:WWD327666 JG393200:JR393202 TC393200:TN393202 ACY393200:ADJ393202 AMU393200:ANF393202 AWQ393200:AXB393202 BGM393200:BGX393202 BQI393200:BQT393202 CAE393200:CAP393202 CKA393200:CKL393202 CTW393200:CUH393202 DDS393200:DED393202 DNO393200:DNZ393202 DXK393200:DXV393202 EHG393200:EHR393202 ERC393200:ERN393202 FAY393200:FBJ393202 FKU393200:FLF393202 FUQ393200:FVB393202 GEM393200:GEX393202 GOI393200:GOT393202 GYE393200:GYP393202 HIA393200:HIL393202 HRW393200:HSH393202 IBS393200:ICD393202 ILO393200:ILZ393202 IVK393200:IVV393202 JFG393200:JFR393202 JPC393200:JPN393202 JYY393200:JZJ393202 KIU393200:KJF393202 KSQ393200:KTB393202 LCM393200:LCX393202 LMI393200:LMT393202 LWE393200:LWP393202 MGA393200:MGL393202 MPW393200:MQH393202 MZS393200:NAD393202 NJO393200:NJZ393202 NTK393200:NTV393202 ODG393200:ODR393202 ONC393200:ONN393202 OWY393200:OXJ393202 PGU393200:PHF393202 PQQ393200:PRB393202 QAM393200:QAX393202 QKI393200:QKT393202 QUE393200:QUP393202 REA393200:REL393202 RNW393200:ROH393202 RXS393200:RYD393202 SHO393200:SHZ393202 SRK393200:SRV393202 TBG393200:TBR393202 TLC393200:TLN393202 TUY393200:TVJ393202 UEU393200:UFF393202 UOQ393200:UPB393202 UYM393200:UYX393202 VII393200:VIT393202 VSE393200:VSP393202 WCA393200:WCL393202 WLW393200:WMH393202 WVS393200:WWD393202 JG458736:JR458738 TC458736:TN458738 ACY458736:ADJ458738 AMU458736:ANF458738 AWQ458736:AXB458738 BGM458736:BGX458738 BQI458736:BQT458738 CAE458736:CAP458738 CKA458736:CKL458738 CTW458736:CUH458738 DDS458736:DED458738 DNO458736:DNZ458738 DXK458736:DXV458738 EHG458736:EHR458738 ERC458736:ERN458738 FAY458736:FBJ458738 FKU458736:FLF458738 FUQ458736:FVB458738 GEM458736:GEX458738 GOI458736:GOT458738 GYE458736:GYP458738 HIA458736:HIL458738 HRW458736:HSH458738 IBS458736:ICD458738 ILO458736:ILZ458738 IVK458736:IVV458738 JFG458736:JFR458738 JPC458736:JPN458738 JYY458736:JZJ458738 KIU458736:KJF458738 KSQ458736:KTB458738 LCM458736:LCX458738 LMI458736:LMT458738 LWE458736:LWP458738 MGA458736:MGL458738 MPW458736:MQH458738 MZS458736:NAD458738 NJO458736:NJZ458738 NTK458736:NTV458738 ODG458736:ODR458738 ONC458736:ONN458738 OWY458736:OXJ458738 PGU458736:PHF458738 PQQ458736:PRB458738 QAM458736:QAX458738 QKI458736:QKT458738 QUE458736:QUP458738 REA458736:REL458738 RNW458736:ROH458738 RXS458736:RYD458738 SHO458736:SHZ458738 SRK458736:SRV458738 TBG458736:TBR458738 TLC458736:TLN458738 TUY458736:TVJ458738 UEU458736:UFF458738 UOQ458736:UPB458738 UYM458736:UYX458738 VII458736:VIT458738 VSE458736:VSP458738 WCA458736:WCL458738 WLW458736:WMH458738 WVS458736:WWD458738 JG524272:JR524274 TC524272:TN524274 ACY524272:ADJ524274 AMU524272:ANF524274 AWQ524272:AXB524274 BGM524272:BGX524274 BQI524272:BQT524274 CAE524272:CAP524274 CKA524272:CKL524274 CTW524272:CUH524274 DDS524272:DED524274 DNO524272:DNZ524274 DXK524272:DXV524274 EHG524272:EHR524274 ERC524272:ERN524274 FAY524272:FBJ524274 FKU524272:FLF524274 FUQ524272:FVB524274 GEM524272:GEX524274 GOI524272:GOT524274 GYE524272:GYP524274 HIA524272:HIL524274 HRW524272:HSH524274 IBS524272:ICD524274 ILO524272:ILZ524274 IVK524272:IVV524274 JFG524272:JFR524274 JPC524272:JPN524274 JYY524272:JZJ524274 KIU524272:KJF524274 KSQ524272:KTB524274 LCM524272:LCX524274 LMI524272:LMT524274 LWE524272:LWP524274 MGA524272:MGL524274 MPW524272:MQH524274 MZS524272:NAD524274 NJO524272:NJZ524274 NTK524272:NTV524274 ODG524272:ODR524274 ONC524272:ONN524274 OWY524272:OXJ524274 PGU524272:PHF524274 PQQ524272:PRB524274 QAM524272:QAX524274 QKI524272:QKT524274 QUE524272:QUP524274 REA524272:REL524274 RNW524272:ROH524274 RXS524272:RYD524274 SHO524272:SHZ524274 SRK524272:SRV524274 TBG524272:TBR524274 TLC524272:TLN524274 TUY524272:TVJ524274 UEU524272:UFF524274 UOQ524272:UPB524274 UYM524272:UYX524274 VII524272:VIT524274 VSE524272:VSP524274 WCA524272:WCL524274 WLW524272:WMH524274 WVS524272:WWD524274 JG589808:JR589810 TC589808:TN589810 ACY589808:ADJ589810 AMU589808:ANF589810 AWQ589808:AXB589810 BGM589808:BGX589810 BQI589808:BQT589810 CAE589808:CAP589810 CKA589808:CKL589810 CTW589808:CUH589810 DDS589808:DED589810 DNO589808:DNZ589810 DXK589808:DXV589810 EHG589808:EHR589810 ERC589808:ERN589810 FAY589808:FBJ589810 FKU589808:FLF589810 FUQ589808:FVB589810 GEM589808:GEX589810 GOI589808:GOT589810 GYE589808:GYP589810 HIA589808:HIL589810 HRW589808:HSH589810 IBS589808:ICD589810 ILO589808:ILZ589810 IVK589808:IVV589810 JFG589808:JFR589810 JPC589808:JPN589810 JYY589808:JZJ589810 KIU589808:KJF589810 KSQ589808:KTB589810 LCM589808:LCX589810 LMI589808:LMT589810 LWE589808:LWP589810 MGA589808:MGL589810 MPW589808:MQH589810 MZS589808:NAD589810 NJO589808:NJZ589810 NTK589808:NTV589810 ODG589808:ODR589810 ONC589808:ONN589810 OWY589808:OXJ589810 PGU589808:PHF589810 PQQ589808:PRB589810 QAM589808:QAX589810 QKI589808:QKT589810 QUE589808:QUP589810 REA589808:REL589810 RNW589808:ROH589810 RXS589808:RYD589810 SHO589808:SHZ589810 SRK589808:SRV589810 TBG589808:TBR589810 TLC589808:TLN589810 TUY589808:TVJ589810 UEU589808:UFF589810 UOQ589808:UPB589810 UYM589808:UYX589810 VII589808:VIT589810 VSE589808:VSP589810 WCA589808:WCL589810 WLW589808:WMH589810 WVS589808:WWD589810 JG655344:JR655346 TC655344:TN655346 ACY655344:ADJ655346 AMU655344:ANF655346 AWQ655344:AXB655346 BGM655344:BGX655346 BQI655344:BQT655346 CAE655344:CAP655346 CKA655344:CKL655346 CTW655344:CUH655346 DDS655344:DED655346 DNO655344:DNZ655346 DXK655344:DXV655346 EHG655344:EHR655346 ERC655344:ERN655346 FAY655344:FBJ655346 FKU655344:FLF655346 FUQ655344:FVB655346 GEM655344:GEX655346 GOI655344:GOT655346 GYE655344:GYP655346 HIA655344:HIL655346 HRW655344:HSH655346 IBS655344:ICD655346 ILO655344:ILZ655346 IVK655344:IVV655346 JFG655344:JFR655346 JPC655344:JPN655346 JYY655344:JZJ655346 KIU655344:KJF655346 KSQ655344:KTB655346 LCM655344:LCX655346 LMI655344:LMT655346 LWE655344:LWP655346 MGA655344:MGL655346 MPW655344:MQH655346 MZS655344:NAD655346 NJO655344:NJZ655346 NTK655344:NTV655346 ODG655344:ODR655346 ONC655344:ONN655346 OWY655344:OXJ655346 PGU655344:PHF655346 PQQ655344:PRB655346 QAM655344:QAX655346 QKI655344:QKT655346 QUE655344:QUP655346 REA655344:REL655346 RNW655344:ROH655346 RXS655344:RYD655346 SHO655344:SHZ655346 SRK655344:SRV655346 TBG655344:TBR655346 TLC655344:TLN655346 TUY655344:TVJ655346 UEU655344:UFF655346 UOQ655344:UPB655346 UYM655344:UYX655346 VII655344:VIT655346 VSE655344:VSP655346 WCA655344:WCL655346 WLW655344:WMH655346 WVS655344:WWD655346 JG720880:JR720882 TC720880:TN720882 ACY720880:ADJ720882 AMU720880:ANF720882 AWQ720880:AXB720882 BGM720880:BGX720882 BQI720880:BQT720882 CAE720880:CAP720882 CKA720880:CKL720882 CTW720880:CUH720882 DDS720880:DED720882 DNO720880:DNZ720882 DXK720880:DXV720882 EHG720880:EHR720882 ERC720880:ERN720882 FAY720880:FBJ720882 FKU720880:FLF720882 FUQ720880:FVB720882 GEM720880:GEX720882 GOI720880:GOT720882 GYE720880:GYP720882 HIA720880:HIL720882 HRW720880:HSH720882 IBS720880:ICD720882 ILO720880:ILZ720882 IVK720880:IVV720882 JFG720880:JFR720882 JPC720880:JPN720882 JYY720880:JZJ720882 KIU720880:KJF720882 KSQ720880:KTB720882 LCM720880:LCX720882 LMI720880:LMT720882 LWE720880:LWP720882 MGA720880:MGL720882 MPW720880:MQH720882 MZS720880:NAD720882 NJO720880:NJZ720882 NTK720880:NTV720882 ODG720880:ODR720882 ONC720880:ONN720882 OWY720880:OXJ720882 PGU720880:PHF720882 PQQ720880:PRB720882 QAM720880:QAX720882 QKI720880:QKT720882 QUE720880:QUP720882 REA720880:REL720882 RNW720880:ROH720882 RXS720880:RYD720882 SHO720880:SHZ720882 SRK720880:SRV720882 TBG720880:TBR720882 TLC720880:TLN720882 TUY720880:TVJ720882 UEU720880:UFF720882 UOQ720880:UPB720882 UYM720880:UYX720882 VII720880:VIT720882 VSE720880:VSP720882 WCA720880:WCL720882 WLW720880:WMH720882 WVS720880:WWD720882 JG786416:JR786418 TC786416:TN786418 ACY786416:ADJ786418 AMU786416:ANF786418 AWQ786416:AXB786418 BGM786416:BGX786418 BQI786416:BQT786418 CAE786416:CAP786418 CKA786416:CKL786418 CTW786416:CUH786418 DDS786416:DED786418 DNO786416:DNZ786418 DXK786416:DXV786418 EHG786416:EHR786418 ERC786416:ERN786418 FAY786416:FBJ786418 FKU786416:FLF786418 FUQ786416:FVB786418 GEM786416:GEX786418 GOI786416:GOT786418 GYE786416:GYP786418 HIA786416:HIL786418 HRW786416:HSH786418 IBS786416:ICD786418 ILO786416:ILZ786418 IVK786416:IVV786418 JFG786416:JFR786418 JPC786416:JPN786418 JYY786416:JZJ786418 KIU786416:KJF786418 KSQ786416:KTB786418 LCM786416:LCX786418 LMI786416:LMT786418 LWE786416:LWP786418 MGA786416:MGL786418 MPW786416:MQH786418 MZS786416:NAD786418 NJO786416:NJZ786418 NTK786416:NTV786418 ODG786416:ODR786418 ONC786416:ONN786418 OWY786416:OXJ786418 PGU786416:PHF786418 PQQ786416:PRB786418 QAM786416:QAX786418 QKI786416:QKT786418 QUE786416:QUP786418 REA786416:REL786418 RNW786416:ROH786418 RXS786416:RYD786418 SHO786416:SHZ786418 SRK786416:SRV786418 TBG786416:TBR786418 TLC786416:TLN786418 TUY786416:TVJ786418 UEU786416:UFF786418 UOQ786416:UPB786418 UYM786416:UYX786418 VII786416:VIT786418 VSE786416:VSP786418 WCA786416:WCL786418 WLW786416:WMH786418 WVS786416:WWD786418 JG851952:JR851954 TC851952:TN851954 ACY851952:ADJ851954 AMU851952:ANF851954 AWQ851952:AXB851954 BGM851952:BGX851954 BQI851952:BQT851954 CAE851952:CAP851954 CKA851952:CKL851954 CTW851952:CUH851954 DDS851952:DED851954 DNO851952:DNZ851954 DXK851952:DXV851954 EHG851952:EHR851954 ERC851952:ERN851954 FAY851952:FBJ851954 FKU851952:FLF851954 FUQ851952:FVB851954 GEM851952:GEX851954 GOI851952:GOT851954 GYE851952:GYP851954 HIA851952:HIL851954 HRW851952:HSH851954 IBS851952:ICD851954 ILO851952:ILZ851954 IVK851952:IVV851954 JFG851952:JFR851954 JPC851952:JPN851954 JYY851952:JZJ851954 KIU851952:KJF851954 KSQ851952:KTB851954 LCM851952:LCX851954 LMI851952:LMT851954 LWE851952:LWP851954 MGA851952:MGL851954 MPW851952:MQH851954 MZS851952:NAD851954 NJO851952:NJZ851954 NTK851952:NTV851954 ODG851952:ODR851954 ONC851952:ONN851954 OWY851952:OXJ851954 PGU851952:PHF851954 PQQ851952:PRB851954 QAM851952:QAX851954 QKI851952:QKT851954 QUE851952:QUP851954 REA851952:REL851954 RNW851952:ROH851954 RXS851952:RYD851954 SHO851952:SHZ851954 SRK851952:SRV851954 TBG851952:TBR851954 TLC851952:TLN851954 TUY851952:TVJ851954 UEU851952:UFF851954 UOQ851952:UPB851954 UYM851952:UYX851954 VII851952:VIT851954 VSE851952:VSP851954 WCA851952:WCL851954 WLW851952:WMH851954 WVS851952:WWD851954 JG917488:JR917490 TC917488:TN917490 ACY917488:ADJ917490 AMU917488:ANF917490 AWQ917488:AXB917490 BGM917488:BGX917490 BQI917488:BQT917490 CAE917488:CAP917490 CKA917488:CKL917490 CTW917488:CUH917490 DDS917488:DED917490 DNO917488:DNZ917490 DXK917488:DXV917490 EHG917488:EHR917490 ERC917488:ERN917490 FAY917488:FBJ917490 FKU917488:FLF917490 FUQ917488:FVB917490 GEM917488:GEX917490 GOI917488:GOT917490 GYE917488:GYP917490 HIA917488:HIL917490 HRW917488:HSH917490 IBS917488:ICD917490 ILO917488:ILZ917490 IVK917488:IVV917490 JFG917488:JFR917490 JPC917488:JPN917490 JYY917488:JZJ917490 KIU917488:KJF917490 KSQ917488:KTB917490 LCM917488:LCX917490 LMI917488:LMT917490 LWE917488:LWP917490 MGA917488:MGL917490 MPW917488:MQH917490 MZS917488:NAD917490 NJO917488:NJZ917490 NTK917488:NTV917490 ODG917488:ODR917490 ONC917488:ONN917490 OWY917488:OXJ917490 PGU917488:PHF917490 PQQ917488:PRB917490 QAM917488:QAX917490 QKI917488:QKT917490 QUE917488:QUP917490 REA917488:REL917490 RNW917488:ROH917490 RXS917488:RYD917490 SHO917488:SHZ917490 SRK917488:SRV917490 TBG917488:TBR917490 TLC917488:TLN917490 TUY917488:TVJ917490 UEU917488:UFF917490 UOQ917488:UPB917490 UYM917488:UYX917490 VII917488:VIT917490 VSE917488:VSP917490 WCA917488:WCL917490 WLW917488:WMH917490 WVS917488:WWD917490 JG983024:JR983026 TC983024:TN983026 ACY983024:ADJ983026 AMU983024:ANF983026 AWQ983024:AXB983026 BGM983024:BGX983026 BQI983024:BQT983026 CAE983024:CAP983026 CKA983024:CKL983026 CTW983024:CUH983026 DDS983024:DED983026 DNO983024:DNZ983026 DXK983024:DXV983026 EHG983024:EHR983026 ERC983024:ERN983026 FAY983024:FBJ983026 FKU983024:FLF983026 FUQ983024:FVB983026 GEM983024:GEX983026 GOI983024:GOT983026 GYE983024:GYP983026 HIA983024:HIL983026 HRW983024:HSH983026 IBS983024:ICD983026 ILO983024:ILZ983026 IVK983024:IVV983026 JFG983024:JFR983026 JPC983024:JPN983026 JYY983024:JZJ983026 KIU983024:KJF983026 KSQ983024:KTB983026 LCM983024:LCX983026 LMI983024:LMT983026 LWE983024:LWP983026 MGA983024:MGL983026 MPW983024:MQH983026 MZS983024:NAD983026 NJO983024:NJZ983026 NTK983024:NTV983026 ODG983024:ODR983026 ONC983024:ONN983026 OWY983024:OXJ983026 PGU983024:PHF983026 PQQ983024:PRB983026 QAM983024:QAX983026 QKI983024:QKT983026 QUE983024:QUP983026 REA983024:REL983026 RNW983024:ROH983026 RXS983024:RYD983026 SHO983024:SHZ983026 SRK983024:SRV983026 TBG983024:TBR983026 TLC983024:TLN983026 TUY983024:TVJ983026 UEU983024:UFF983026 UOQ983024:UPB983026 UYM983024:UYX983026 VII983024:VIT983026 VSE983024:VSP983026 WCA983024:WCL983026 WLW983024:WMH983026 WVS983024:WWD983026 WVS983029:WWD983031 JG65525:JR65527 TC65525:TN65527 ACY65525:ADJ65527 AMU65525:ANF65527 AWQ65525:AXB65527 BGM65525:BGX65527 BQI65525:BQT65527 CAE65525:CAP65527 CKA65525:CKL65527 CTW65525:CUH65527 DDS65525:DED65527 DNO65525:DNZ65527 DXK65525:DXV65527 EHG65525:EHR65527 ERC65525:ERN65527 FAY65525:FBJ65527 FKU65525:FLF65527 FUQ65525:FVB65527 GEM65525:GEX65527 GOI65525:GOT65527 GYE65525:GYP65527 HIA65525:HIL65527 HRW65525:HSH65527 IBS65525:ICD65527 ILO65525:ILZ65527 IVK65525:IVV65527 JFG65525:JFR65527 JPC65525:JPN65527 JYY65525:JZJ65527 KIU65525:KJF65527 KSQ65525:KTB65527 LCM65525:LCX65527 LMI65525:LMT65527 LWE65525:LWP65527 MGA65525:MGL65527 MPW65525:MQH65527 MZS65525:NAD65527 NJO65525:NJZ65527 NTK65525:NTV65527 ODG65525:ODR65527 ONC65525:ONN65527 OWY65525:OXJ65527 PGU65525:PHF65527 PQQ65525:PRB65527 QAM65525:QAX65527 QKI65525:QKT65527 QUE65525:QUP65527 REA65525:REL65527 RNW65525:ROH65527 RXS65525:RYD65527 SHO65525:SHZ65527 SRK65525:SRV65527 TBG65525:TBR65527 TLC65525:TLN65527 TUY65525:TVJ65527 UEU65525:UFF65527 UOQ65525:UPB65527 UYM65525:UYX65527 VII65525:VIT65527 VSE65525:VSP65527 WCA65525:WCL65527 WLW65525:WMH65527 WVS65525:WWD65527 JG131061:JR131063 TC131061:TN131063 ACY131061:ADJ131063 AMU131061:ANF131063 AWQ131061:AXB131063 BGM131061:BGX131063 BQI131061:BQT131063 CAE131061:CAP131063 CKA131061:CKL131063 CTW131061:CUH131063 DDS131061:DED131063 DNO131061:DNZ131063 DXK131061:DXV131063 EHG131061:EHR131063 ERC131061:ERN131063 FAY131061:FBJ131063 FKU131061:FLF131063 FUQ131061:FVB131063 GEM131061:GEX131063 GOI131061:GOT131063 GYE131061:GYP131063 HIA131061:HIL131063 HRW131061:HSH131063 IBS131061:ICD131063 ILO131061:ILZ131063 IVK131061:IVV131063 JFG131061:JFR131063 JPC131061:JPN131063 JYY131061:JZJ131063 KIU131061:KJF131063 KSQ131061:KTB131063 LCM131061:LCX131063 LMI131061:LMT131063 LWE131061:LWP131063 MGA131061:MGL131063 MPW131061:MQH131063 MZS131061:NAD131063 NJO131061:NJZ131063 NTK131061:NTV131063 ODG131061:ODR131063 ONC131061:ONN131063 OWY131061:OXJ131063 PGU131061:PHF131063 PQQ131061:PRB131063 QAM131061:QAX131063 QKI131061:QKT131063 QUE131061:QUP131063 REA131061:REL131063 RNW131061:ROH131063 RXS131061:RYD131063 SHO131061:SHZ131063 SRK131061:SRV131063 TBG131061:TBR131063 TLC131061:TLN131063 TUY131061:TVJ131063 UEU131061:UFF131063 UOQ131061:UPB131063 UYM131061:UYX131063 VII131061:VIT131063 VSE131061:VSP131063 WCA131061:WCL131063 WLW131061:WMH131063 WVS131061:WWD131063 JG196597:JR196599 TC196597:TN196599 ACY196597:ADJ196599 AMU196597:ANF196599 AWQ196597:AXB196599 BGM196597:BGX196599 BQI196597:BQT196599 CAE196597:CAP196599 CKA196597:CKL196599 CTW196597:CUH196599 DDS196597:DED196599 DNO196597:DNZ196599 DXK196597:DXV196599 EHG196597:EHR196599 ERC196597:ERN196599 FAY196597:FBJ196599 FKU196597:FLF196599 FUQ196597:FVB196599 GEM196597:GEX196599 GOI196597:GOT196599 GYE196597:GYP196599 HIA196597:HIL196599 HRW196597:HSH196599 IBS196597:ICD196599 ILO196597:ILZ196599 IVK196597:IVV196599 JFG196597:JFR196599 JPC196597:JPN196599 JYY196597:JZJ196599 KIU196597:KJF196599 KSQ196597:KTB196599 LCM196597:LCX196599 LMI196597:LMT196599 LWE196597:LWP196599 MGA196597:MGL196599 MPW196597:MQH196599 MZS196597:NAD196599 NJO196597:NJZ196599 NTK196597:NTV196599 ODG196597:ODR196599 ONC196597:ONN196599 OWY196597:OXJ196599 PGU196597:PHF196599 PQQ196597:PRB196599 QAM196597:QAX196599 QKI196597:QKT196599 QUE196597:QUP196599 REA196597:REL196599 RNW196597:ROH196599 RXS196597:RYD196599 SHO196597:SHZ196599 SRK196597:SRV196599 TBG196597:TBR196599 TLC196597:TLN196599 TUY196597:TVJ196599 UEU196597:UFF196599 UOQ196597:UPB196599 UYM196597:UYX196599 VII196597:VIT196599 VSE196597:VSP196599 WCA196597:WCL196599 WLW196597:WMH196599 WVS196597:WWD196599 JG262133:JR262135 TC262133:TN262135 ACY262133:ADJ262135 AMU262133:ANF262135 AWQ262133:AXB262135 BGM262133:BGX262135 BQI262133:BQT262135 CAE262133:CAP262135 CKA262133:CKL262135 CTW262133:CUH262135 DDS262133:DED262135 DNO262133:DNZ262135 DXK262133:DXV262135 EHG262133:EHR262135 ERC262133:ERN262135 FAY262133:FBJ262135 FKU262133:FLF262135 FUQ262133:FVB262135 GEM262133:GEX262135 GOI262133:GOT262135 GYE262133:GYP262135 HIA262133:HIL262135 HRW262133:HSH262135 IBS262133:ICD262135 ILO262133:ILZ262135 IVK262133:IVV262135 JFG262133:JFR262135 JPC262133:JPN262135 JYY262133:JZJ262135 KIU262133:KJF262135 KSQ262133:KTB262135 LCM262133:LCX262135 LMI262133:LMT262135 LWE262133:LWP262135 MGA262133:MGL262135 MPW262133:MQH262135 MZS262133:NAD262135 NJO262133:NJZ262135 NTK262133:NTV262135 ODG262133:ODR262135 ONC262133:ONN262135 OWY262133:OXJ262135 PGU262133:PHF262135 PQQ262133:PRB262135 QAM262133:QAX262135 QKI262133:QKT262135 QUE262133:QUP262135 REA262133:REL262135 RNW262133:ROH262135 RXS262133:RYD262135 SHO262133:SHZ262135 SRK262133:SRV262135 TBG262133:TBR262135 TLC262133:TLN262135 TUY262133:TVJ262135 UEU262133:UFF262135 UOQ262133:UPB262135 UYM262133:UYX262135 VII262133:VIT262135 VSE262133:VSP262135 WCA262133:WCL262135 WLW262133:WMH262135 WVS262133:WWD262135 JG327669:JR327671 TC327669:TN327671 ACY327669:ADJ327671 AMU327669:ANF327671 AWQ327669:AXB327671 BGM327669:BGX327671 BQI327669:BQT327671 CAE327669:CAP327671 CKA327669:CKL327671 CTW327669:CUH327671 DDS327669:DED327671 DNO327669:DNZ327671 DXK327669:DXV327671 EHG327669:EHR327671 ERC327669:ERN327671 FAY327669:FBJ327671 FKU327669:FLF327671 FUQ327669:FVB327671 GEM327669:GEX327671 GOI327669:GOT327671 GYE327669:GYP327671 HIA327669:HIL327671 HRW327669:HSH327671 IBS327669:ICD327671 ILO327669:ILZ327671 IVK327669:IVV327671 JFG327669:JFR327671 JPC327669:JPN327671 JYY327669:JZJ327671 KIU327669:KJF327671 KSQ327669:KTB327671 LCM327669:LCX327671 LMI327669:LMT327671 LWE327669:LWP327671 MGA327669:MGL327671 MPW327669:MQH327671 MZS327669:NAD327671 NJO327669:NJZ327671 NTK327669:NTV327671 ODG327669:ODR327671 ONC327669:ONN327671 OWY327669:OXJ327671 PGU327669:PHF327671 PQQ327669:PRB327671 QAM327669:QAX327671 QKI327669:QKT327671 QUE327669:QUP327671 REA327669:REL327671 RNW327669:ROH327671 RXS327669:RYD327671 SHO327669:SHZ327671 SRK327669:SRV327671 TBG327669:TBR327671 TLC327669:TLN327671 TUY327669:TVJ327671 UEU327669:UFF327671 UOQ327669:UPB327671 UYM327669:UYX327671 VII327669:VIT327671 VSE327669:VSP327671 WCA327669:WCL327671 WLW327669:WMH327671 WVS327669:WWD327671 JG393205:JR393207 TC393205:TN393207 ACY393205:ADJ393207 AMU393205:ANF393207 AWQ393205:AXB393207 BGM393205:BGX393207 BQI393205:BQT393207 CAE393205:CAP393207 CKA393205:CKL393207 CTW393205:CUH393207 DDS393205:DED393207 DNO393205:DNZ393207 DXK393205:DXV393207 EHG393205:EHR393207 ERC393205:ERN393207 FAY393205:FBJ393207 FKU393205:FLF393207 FUQ393205:FVB393207 GEM393205:GEX393207 GOI393205:GOT393207 GYE393205:GYP393207 HIA393205:HIL393207 HRW393205:HSH393207 IBS393205:ICD393207 ILO393205:ILZ393207 IVK393205:IVV393207 JFG393205:JFR393207 JPC393205:JPN393207 JYY393205:JZJ393207 KIU393205:KJF393207 KSQ393205:KTB393207 LCM393205:LCX393207 LMI393205:LMT393207 LWE393205:LWP393207 MGA393205:MGL393207 MPW393205:MQH393207 MZS393205:NAD393207 NJO393205:NJZ393207 NTK393205:NTV393207 ODG393205:ODR393207 ONC393205:ONN393207 OWY393205:OXJ393207 PGU393205:PHF393207 PQQ393205:PRB393207 QAM393205:QAX393207 QKI393205:QKT393207 QUE393205:QUP393207 REA393205:REL393207 RNW393205:ROH393207 RXS393205:RYD393207 SHO393205:SHZ393207 SRK393205:SRV393207 TBG393205:TBR393207 TLC393205:TLN393207 TUY393205:TVJ393207 UEU393205:UFF393207 UOQ393205:UPB393207 UYM393205:UYX393207 VII393205:VIT393207 VSE393205:VSP393207 WCA393205:WCL393207 WLW393205:WMH393207 WVS393205:WWD393207 JG458741:JR458743 TC458741:TN458743 ACY458741:ADJ458743 AMU458741:ANF458743 AWQ458741:AXB458743 BGM458741:BGX458743 BQI458741:BQT458743 CAE458741:CAP458743 CKA458741:CKL458743 CTW458741:CUH458743 DDS458741:DED458743 DNO458741:DNZ458743 DXK458741:DXV458743 EHG458741:EHR458743 ERC458741:ERN458743 FAY458741:FBJ458743 FKU458741:FLF458743 FUQ458741:FVB458743 GEM458741:GEX458743 GOI458741:GOT458743 GYE458741:GYP458743 HIA458741:HIL458743 HRW458741:HSH458743 IBS458741:ICD458743 ILO458741:ILZ458743 IVK458741:IVV458743 JFG458741:JFR458743 JPC458741:JPN458743 JYY458741:JZJ458743 KIU458741:KJF458743 KSQ458741:KTB458743 LCM458741:LCX458743 LMI458741:LMT458743 LWE458741:LWP458743 MGA458741:MGL458743 MPW458741:MQH458743 MZS458741:NAD458743 NJO458741:NJZ458743 NTK458741:NTV458743 ODG458741:ODR458743 ONC458741:ONN458743 OWY458741:OXJ458743 PGU458741:PHF458743 PQQ458741:PRB458743 QAM458741:QAX458743 QKI458741:QKT458743 QUE458741:QUP458743 REA458741:REL458743 RNW458741:ROH458743 RXS458741:RYD458743 SHO458741:SHZ458743 SRK458741:SRV458743 TBG458741:TBR458743 TLC458741:TLN458743 TUY458741:TVJ458743 UEU458741:UFF458743 UOQ458741:UPB458743 UYM458741:UYX458743 VII458741:VIT458743 VSE458741:VSP458743 WCA458741:WCL458743 WLW458741:WMH458743 WVS458741:WWD458743 JG524277:JR524279 TC524277:TN524279 ACY524277:ADJ524279 AMU524277:ANF524279 AWQ524277:AXB524279 BGM524277:BGX524279 BQI524277:BQT524279 CAE524277:CAP524279 CKA524277:CKL524279 CTW524277:CUH524279 DDS524277:DED524279 DNO524277:DNZ524279 DXK524277:DXV524279 EHG524277:EHR524279 ERC524277:ERN524279 FAY524277:FBJ524279 FKU524277:FLF524279 FUQ524277:FVB524279 GEM524277:GEX524279 GOI524277:GOT524279 GYE524277:GYP524279 HIA524277:HIL524279 HRW524277:HSH524279 IBS524277:ICD524279 ILO524277:ILZ524279 IVK524277:IVV524279 JFG524277:JFR524279 JPC524277:JPN524279 JYY524277:JZJ524279 KIU524277:KJF524279 KSQ524277:KTB524279 LCM524277:LCX524279 LMI524277:LMT524279 LWE524277:LWP524279 MGA524277:MGL524279 MPW524277:MQH524279 MZS524277:NAD524279 NJO524277:NJZ524279 NTK524277:NTV524279 ODG524277:ODR524279 ONC524277:ONN524279 OWY524277:OXJ524279 PGU524277:PHF524279 PQQ524277:PRB524279 QAM524277:QAX524279 QKI524277:QKT524279 QUE524277:QUP524279 REA524277:REL524279 RNW524277:ROH524279 RXS524277:RYD524279 SHO524277:SHZ524279 SRK524277:SRV524279 TBG524277:TBR524279 TLC524277:TLN524279 TUY524277:TVJ524279 UEU524277:UFF524279 UOQ524277:UPB524279 UYM524277:UYX524279 VII524277:VIT524279 VSE524277:VSP524279 WCA524277:WCL524279 WLW524277:WMH524279 WVS524277:WWD524279 JG589813:JR589815 TC589813:TN589815 ACY589813:ADJ589815 AMU589813:ANF589815 AWQ589813:AXB589815 BGM589813:BGX589815 BQI589813:BQT589815 CAE589813:CAP589815 CKA589813:CKL589815 CTW589813:CUH589815 DDS589813:DED589815 DNO589813:DNZ589815 DXK589813:DXV589815 EHG589813:EHR589815 ERC589813:ERN589815 FAY589813:FBJ589815 FKU589813:FLF589815 FUQ589813:FVB589815 GEM589813:GEX589815 GOI589813:GOT589815 GYE589813:GYP589815 HIA589813:HIL589815 HRW589813:HSH589815 IBS589813:ICD589815 ILO589813:ILZ589815 IVK589813:IVV589815 JFG589813:JFR589815 JPC589813:JPN589815 JYY589813:JZJ589815 KIU589813:KJF589815 KSQ589813:KTB589815 LCM589813:LCX589815 LMI589813:LMT589815 LWE589813:LWP589815 MGA589813:MGL589815 MPW589813:MQH589815 MZS589813:NAD589815 NJO589813:NJZ589815 NTK589813:NTV589815 ODG589813:ODR589815 ONC589813:ONN589815 OWY589813:OXJ589815 PGU589813:PHF589815 PQQ589813:PRB589815 QAM589813:QAX589815 QKI589813:QKT589815 QUE589813:QUP589815 REA589813:REL589815 RNW589813:ROH589815 RXS589813:RYD589815 SHO589813:SHZ589815 SRK589813:SRV589815 TBG589813:TBR589815 TLC589813:TLN589815 TUY589813:TVJ589815 UEU589813:UFF589815 UOQ589813:UPB589815 UYM589813:UYX589815 VII589813:VIT589815 VSE589813:VSP589815 WCA589813:WCL589815 WLW589813:WMH589815 WVS589813:WWD589815 JG655349:JR655351 TC655349:TN655351 ACY655349:ADJ655351 AMU655349:ANF655351 AWQ655349:AXB655351 BGM655349:BGX655351 BQI655349:BQT655351 CAE655349:CAP655351 CKA655349:CKL655351 CTW655349:CUH655351 DDS655349:DED655351 DNO655349:DNZ655351 DXK655349:DXV655351 EHG655349:EHR655351 ERC655349:ERN655351 FAY655349:FBJ655351 FKU655349:FLF655351 FUQ655349:FVB655351 GEM655349:GEX655351 GOI655349:GOT655351 GYE655349:GYP655351 HIA655349:HIL655351 HRW655349:HSH655351 IBS655349:ICD655351 ILO655349:ILZ655351 IVK655349:IVV655351 JFG655349:JFR655351 JPC655349:JPN655351 JYY655349:JZJ655351 KIU655349:KJF655351 KSQ655349:KTB655351 LCM655349:LCX655351 LMI655349:LMT655351 LWE655349:LWP655351 MGA655349:MGL655351 MPW655349:MQH655351 MZS655349:NAD655351 NJO655349:NJZ655351 NTK655349:NTV655351 ODG655349:ODR655351 ONC655349:ONN655351 OWY655349:OXJ655351 PGU655349:PHF655351 PQQ655349:PRB655351 QAM655349:QAX655351 QKI655349:QKT655351 QUE655349:QUP655351 REA655349:REL655351 RNW655349:ROH655351 RXS655349:RYD655351 SHO655349:SHZ655351 SRK655349:SRV655351 TBG655349:TBR655351 TLC655349:TLN655351 TUY655349:TVJ655351 UEU655349:UFF655351 UOQ655349:UPB655351 UYM655349:UYX655351 VII655349:VIT655351 VSE655349:VSP655351 WCA655349:WCL655351 WLW655349:WMH655351 WVS655349:WWD655351 JG720885:JR720887 TC720885:TN720887 ACY720885:ADJ720887 AMU720885:ANF720887 AWQ720885:AXB720887 BGM720885:BGX720887 BQI720885:BQT720887 CAE720885:CAP720887 CKA720885:CKL720887 CTW720885:CUH720887 DDS720885:DED720887 DNO720885:DNZ720887 DXK720885:DXV720887 EHG720885:EHR720887 ERC720885:ERN720887 FAY720885:FBJ720887 FKU720885:FLF720887 FUQ720885:FVB720887 GEM720885:GEX720887 GOI720885:GOT720887 GYE720885:GYP720887 HIA720885:HIL720887 HRW720885:HSH720887 IBS720885:ICD720887 ILO720885:ILZ720887 IVK720885:IVV720887 JFG720885:JFR720887 JPC720885:JPN720887 JYY720885:JZJ720887 KIU720885:KJF720887 KSQ720885:KTB720887 LCM720885:LCX720887 LMI720885:LMT720887 LWE720885:LWP720887 MGA720885:MGL720887 MPW720885:MQH720887 MZS720885:NAD720887 NJO720885:NJZ720887 NTK720885:NTV720887 ODG720885:ODR720887 ONC720885:ONN720887 OWY720885:OXJ720887 PGU720885:PHF720887 PQQ720885:PRB720887 QAM720885:QAX720887 QKI720885:QKT720887 QUE720885:QUP720887 REA720885:REL720887 RNW720885:ROH720887 RXS720885:RYD720887 SHO720885:SHZ720887 SRK720885:SRV720887 TBG720885:TBR720887 TLC720885:TLN720887 TUY720885:TVJ720887 UEU720885:UFF720887 UOQ720885:UPB720887 UYM720885:UYX720887 VII720885:VIT720887 VSE720885:VSP720887 WCA720885:WCL720887 WLW720885:WMH720887 WVS720885:WWD720887 JG786421:JR786423 TC786421:TN786423 ACY786421:ADJ786423 AMU786421:ANF786423 AWQ786421:AXB786423 BGM786421:BGX786423 BQI786421:BQT786423 CAE786421:CAP786423 CKA786421:CKL786423 CTW786421:CUH786423 DDS786421:DED786423 DNO786421:DNZ786423 DXK786421:DXV786423 EHG786421:EHR786423 ERC786421:ERN786423 FAY786421:FBJ786423 FKU786421:FLF786423 FUQ786421:FVB786423 GEM786421:GEX786423 GOI786421:GOT786423 GYE786421:GYP786423 HIA786421:HIL786423 HRW786421:HSH786423 IBS786421:ICD786423 ILO786421:ILZ786423 IVK786421:IVV786423 JFG786421:JFR786423 JPC786421:JPN786423 JYY786421:JZJ786423 KIU786421:KJF786423 KSQ786421:KTB786423 LCM786421:LCX786423 LMI786421:LMT786423 LWE786421:LWP786423 MGA786421:MGL786423 MPW786421:MQH786423 MZS786421:NAD786423 NJO786421:NJZ786423 NTK786421:NTV786423 ODG786421:ODR786423 ONC786421:ONN786423 OWY786421:OXJ786423 PGU786421:PHF786423 PQQ786421:PRB786423 QAM786421:QAX786423 QKI786421:QKT786423 QUE786421:QUP786423 REA786421:REL786423 RNW786421:ROH786423 RXS786421:RYD786423 SHO786421:SHZ786423 SRK786421:SRV786423 TBG786421:TBR786423 TLC786421:TLN786423 TUY786421:TVJ786423 UEU786421:UFF786423 UOQ786421:UPB786423 UYM786421:UYX786423 VII786421:VIT786423 VSE786421:VSP786423 WCA786421:WCL786423 WLW786421:WMH786423 WVS786421:WWD786423 JG851957:JR851959 TC851957:TN851959 ACY851957:ADJ851959 AMU851957:ANF851959 AWQ851957:AXB851959 BGM851957:BGX851959 BQI851957:BQT851959 CAE851957:CAP851959 CKA851957:CKL851959 CTW851957:CUH851959 DDS851957:DED851959 DNO851957:DNZ851959 DXK851957:DXV851959 EHG851957:EHR851959 ERC851957:ERN851959 FAY851957:FBJ851959 FKU851957:FLF851959 FUQ851957:FVB851959 GEM851957:GEX851959 GOI851957:GOT851959 GYE851957:GYP851959 HIA851957:HIL851959 HRW851957:HSH851959 IBS851957:ICD851959 ILO851957:ILZ851959 IVK851957:IVV851959 JFG851957:JFR851959 JPC851957:JPN851959 JYY851957:JZJ851959 KIU851957:KJF851959 KSQ851957:KTB851959 LCM851957:LCX851959 LMI851957:LMT851959 LWE851957:LWP851959 MGA851957:MGL851959 MPW851957:MQH851959 MZS851957:NAD851959 NJO851957:NJZ851959 NTK851957:NTV851959 ODG851957:ODR851959 ONC851957:ONN851959 OWY851957:OXJ851959 PGU851957:PHF851959 PQQ851957:PRB851959 QAM851957:QAX851959 QKI851957:QKT851959 QUE851957:QUP851959 REA851957:REL851959 RNW851957:ROH851959 RXS851957:RYD851959 SHO851957:SHZ851959 SRK851957:SRV851959 TBG851957:TBR851959 TLC851957:TLN851959 TUY851957:TVJ851959 UEU851957:UFF851959 UOQ851957:UPB851959 UYM851957:UYX851959 VII851957:VIT851959 VSE851957:VSP851959 WCA851957:WCL851959 WLW851957:WMH851959 WVS851957:WWD851959 JG917493:JR917495 TC917493:TN917495 ACY917493:ADJ917495 AMU917493:ANF917495 AWQ917493:AXB917495 BGM917493:BGX917495 BQI917493:BQT917495 CAE917493:CAP917495 CKA917493:CKL917495 CTW917493:CUH917495 DDS917493:DED917495 DNO917493:DNZ917495 DXK917493:DXV917495 EHG917493:EHR917495 ERC917493:ERN917495 FAY917493:FBJ917495 FKU917493:FLF917495 FUQ917493:FVB917495 GEM917493:GEX917495 GOI917493:GOT917495 GYE917493:GYP917495 HIA917493:HIL917495 HRW917493:HSH917495 IBS917493:ICD917495 ILO917493:ILZ917495 IVK917493:IVV917495 JFG917493:JFR917495 JPC917493:JPN917495 JYY917493:JZJ917495 KIU917493:KJF917495 KSQ917493:KTB917495 LCM917493:LCX917495 LMI917493:LMT917495 LWE917493:LWP917495 MGA917493:MGL917495 MPW917493:MQH917495 MZS917493:NAD917495 NJO917493:NJZ917495 NTK917493:NTV917495 ODG917493:ODR917495 ONC917493:ONN917495 OWY917493:OXJ917495 PGU917493:PHF917495 PQQ917493:PRB917495 QAM917493:QAX917495 QKI917493:QKT917495 QUE917493:QUP917495 REA917493:REL917495 RNW917493:ROH917495 RXS917493:RYD917495 SHO917493:SHZ917495 SRK917493:SRV917495 TBG917493:TBR917495 TLC917493:TLN917495 TUY917493:TVJ917495 UEU917493:UFF917495 UOQ917493:UPB917495 UYM917493:UYX917495 VII917493:VIT917495 VSE917493:VSP917495 WCA917493:WCL917495 WLW917493:WMH917495 WVS917493:WWD917495 JG983029:JR983031 TC983029:TN983031 ACY983029:ADJ983031 AMU983029:ANF983031 AWQ983029:AXB983031 BGM983029:BGX983031 BQI983029:BQT983031 CAE983029:CAP983031 CKA983029:CKL983031 CTW983029:CUH983031 DDS983029:DED983031 DNO983029:DNZ983031 DXK983029:DXV983031 EHG983029:EHR983031 ERC983029:ERN983031 FAY983029:FBJ983031 FKU983029:FLF983031 FUQ983029:FVB983031 GEM983029:GEX983031 GOI983029:GOT983031 GYE983029:GYP983031 HIA983029:HIL983031 HRW983029:HSH983031 IBS983029:ICD983031 ILO983029:ILZ983031 IVK983029:IVV983031 JFG983029:JFR983031 JPC983029:JPN983031 JYY983029:JZJ983031 KIU983029:KJF983031 KSQ983029:KTB983031 LCM983029:LCX983031 LMI983029:LMT983031 LWE983029:LWP983031 MGA983029:MGL983031 MPW983029:MQH983031 MZS983029:NAD983031 NJO983029:NJZ983031 NTK983029:NTV983031 ODG983029:ODR983031 ONC983029:ONN983031 OWY983029:OXJ983031 PGU983029:PHF983031 PQQ983029:PRB983031 QAM983029:QAX983031 QKI983029:QKT983031 QUE983029:QUP983031 REA983029:REL983031 RNW983029:ROH983031 RXS983029:RYD983031 SHO983029:SHZ983031 SRK983029:SRV983031 TBG983029:TBR983031 TLC983029:TLN983031 TUY983029:TVJ983031 UEU983029:UFF983031 UOQ983029:UPB983031 UYM983029:UYX983031 VII983029:VIT983031 VSE983029:VSP983031 WCA983029:WCL983031 WLW983029:WMH983031 Z262128:AJ262130 Z196592:AJ196594 Z131056:AJ131058 Z65520:AJ65522 Z983029:AJ983031 Z917493:AJ917495 Z851957:AJ851959 Z786421:AJ786423 Z720885:AJ720887 Z655349:AJ655351 Z589813:AJ589815 Z524277:AJ524279 Z458741:AJ458743 Z393205:AJ393207 Z327669:AJ327671 Z262133:AJ262135 Z196597:AJ196599 Z131061:AJ131063 Z65525:AJ65527 Z983024:AJ983026 Z917488:AJ917490 Z851952:AJ851954 Z786416:AJ786418 Z720880:AJ720882 Z655344:AJ655346 Z589808:AJ589810 Z524272:AJ524274 Z458736:AJ458738 Z393200:AJ393202 Z327664:AJ327666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0800-000001000000}"/>
    <dataValidation type="list" allowBlank="1" showInputMessage="1" showErrorMessage="1" sqref="Y8:Z45" xr:uid="{00000000-0002-0000-08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1"/>
  <dimension ref="A1:BD44"/>
  <sheetViews>
    <sheetView showGridLines="0" zoomScaleNormal="10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17" customWidth="1"/>
    <col min="2" max="26" width="2.6328125" style="17"/>
    <col min="27" max="27" width="2.6328125" style="17" customWidth="1"/>
    <col min="28" max="29" width="2.6328125" style="17"/>
    <col min="30" max="30" width="4.6328125" style="17" customWidth="1"/>
    <col min="31" max="31" width="2.6328125" style="17" customWidth="1"/>
    <col min="32" max="33" width="2.6328125" style="17"/>
    <col min="34" max="34" width="6.6328125" style="17" customWidth="1"/>
    <col min="35" max="16384" width="2.6328125" style="17"/>
  </cols>
  <sheetData>
    <row r="1" spans="1:56" s="16" customFormat="1" ht="15" customHeight="1" x14ac:dyDescent="0.3">
      <c r="A1" s="144" t="s">
        <v>100</v>
      </c>
      <c r="B1" s="145"/>
      <c r="C1" s="145"/>
      <c r="D1" s="145"/>
      <c r="E1" s="145"/>
      <c r="F1" s="145"/>
      <c r="G1" s="145"/>
      <c r="H1" s="146"/>
      <c r="I1" s="103" t="s">
        <v>98</v>
      </c>
      <c r="J1" s="104"/>
      <c r="K1" s="104"/>
      <c r="L1" s="104"/>
      <c r="M1" s="104"/>
      <c r="N1" s="104"/>
      <c r="O1" s="104"/>
      <c r="P1" s="104"/>
      <c r="Q1" s="105"/>
      <c r="R1" s="103" t="s">
        <v>99</v>
      </c>
      <c r="S1" s="104"/>
      <c r="T1" s="104"/>
      <c r="U1" s="104"/>
      <c r="V1" s="104"/>
      <c r="W1" s="104"/>
      <c r="X1" s="105"/>
      <c r="Y1" s="103" t="s">
        <v>0</v>
      </c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5"/>
      <c r="AP1" s="153" t="s">
        <v>1</v>
      </c>
      <c r="AQ1" s="154"/>
      <c r="AR1" s="154"/>
      <c r="AS1" s="154"/>
      <c r="AT1" s="155"/>
      <c r="AU1" s="153" t="s">
        <v>2</v>
      </c>
      <c r="AV1" s="154"/>
      <c r="AW1" s="154"/>
      <c r="AX1" s="154"/>
      <c r="AY1" s="155"/>
      <c r="AZ1" s="153" t="s">
        <v>3</v>
      </c>
      <c r="BA1" s="154"/>
      <c r="BB1" s="154"/>
      <c r="BC1" s="154"/>
      <c r="BD1" s="155"/>
    </row>
    <row r="2" spans="1:56" s="16" customFormat="1" ht="15" customHeight="1" x14ac:dyDescent="0.3">
      <c r="A2" s="147"/>
      <c r="B2" s="148"/>
      <c r="C2" s="148"/>
      <c r="D2" s="148"/>
      <c r="E2" s="148"/>
      <c r="F2" s="148"/>
      <c r="G2" s="148"/>
      <c r="H2" s="149"/>
      <c r="I2" s="127" t="s">
        <v>97</v>
      </c>
      <c r="J2" s="128"/>
      <c r="K2" s="128"/>
      <c r="L2" s="128"/>
      <c r="M2" s="128"/>
      <c r="N2" s="128"/>
      <c r="O2" s="128"/>
      <c r="P2" s="128"/>
      <c r="Q2" s="129"/>
      <c r="R2" s="127" t="str">
        <f ca="1">VLOOKUP(RIGHT(CELL("filename",A2),LEN(CELL("filename",A2))-FIND("]",CELL("filename",A2))),テーブル一覧!B:AD,22,FALSE)</f>
        <v>D.出荷</v>
      </c>
      <c r="S2" s="128"/>
      <c r="T2" s="128"/>
      <c r="U2" s="128"/>
      <c r="V2" s="128"/>
      <c r="W2" s="128"/>
      <c r="X2" s="129"/>
      <c r="Y2" s="127" t="str">
        <f ca="1">VLOOKUP(RIGHT(CELL("filename",A2),LEN(CELL("filename",A2))-FIND("]",CELL("filename",A2))),テーブル一覧!B:AD,1,FALSE)</f>
        <v>出荷実績明細情報（在庫）</v>
      </c>
      <c r="Z2" s="128"/>
      <c r="AA2" s="128"/>
      <c r="AB2" s="128"/>
      <c r="AC2" s="128"/>
      <c r="AD2" s="128"/>
      <c r="AE2" s="128"/>
      <c r="AF2" s="128"/>
      <c r="AG2" s="128"/>
      <c r="AH2" s="128"/>
      <c r="AI2" s="128"/>
      <c r="AJ2" s="128"/>
      <c r="AK2" s="128"/>
      <c r="AL2" s="128"/>
      <c r="AM2" s="128"/>
      <c r="AN2" s="128"/>
      <c r="AO2" s="129"/>
      <c r="AP2" s="97"/>
      <c r="AQ2" s="98"/>
      <c r="AR2" s="98"/>
      <c r="AS2" s="98"/>
      <c r="AT2" s="99"/>
      <c r="AU2" s="60" t="s">
        <v>188</v>
      </c>
      <c r="AV2" s="61"/>
      <c r="AW2" s="61"/>
      <c r="AX2" s="61"/>
      <c r="AY2" s="62"/>
      <c r="AZ2" s="181" t="s">
        <v>15</v>
      </c>
      <c r="BA2" s="182"/>
      <c r="BB2" s="182"/>
      <c r="BC2" s="182"/>
      <c r="BD2" s="183"/>
    </row>
    <row r="3" spans="1:56" s="16" customFormat="1" ht="15" customHeight="1" x14ac:dyDescent="0.3">
      <c r="A3" s="147"/>
      <c r="B3" s="148"/>
      <c r="C3" s="148"/>
      <c r="D3" s="148"/>
      <c r="E3" s="148"/>
      <c r="F3" s="148"/>
      <c r="G3" s="148"/>
      <c r="H3" s="149"/>
      <c r="I3" s="130"/>
      <c r="J3" s="131"/>
      <c r="K3" s="131"/>
      <c r="L3" s="131"/>
      <c r="M3" s="131"/>
      <c r="N3" s="131"/>
      <c r="O3" s="131"/>
      <c r="P3" s="131"/>
      <c r="Q3" s="132"/>
      <c r="R3" s="130"/>
      <c r="S3" s="131"/>
      <c r="T3" s="131"/>
      <c r="U3" s="131"/>
      <c r="V3" s="131"/>
      <c r="W3" s="131"/>
      <c r="X3" s="132"/>
      <c r="Y3" s="133"/>
      <c r="Z3" s="134"/>
      <c r="AA3" s="134"/>
      <c r="AB3" s="134"/>
      <c r="AC3" s="134"/>
      <c r="AD3" s="134"/>
      <c r="AE3" s="134"/>
      <c r="AF3" s="134"/>
      <c r="AG3" s="134"/>
      <c r="AH3" s="134"/>
      <c r="AI3" s="134"/>
      <c r="AJ3" s="134"/>
      <c r="AK3" s="134"/>
      <c r="AL3" s="134"/>
      <c r="AM3" s="134"/>
      <c r="AN3" s="134"/>
      <c r="AO3" s="135"/>
      <c r="AP3" s="100"/>
      <c r="AQ3" s="101"/>
      <c r="AR3" s="101"/>
      <c r="AS3" s="101"/>
      <c r="AT3" s="102"/>
      <c r="AU3" s="178"/>
      <c r="AV3" s="179"/>
      <c r="AW3" s="179"/>
      <c r="AX3" s="179"/>
      <c r="AY3" s="180"/>
      <c r="AZ3" s="181"/>
      <c r="BA3" s="182"/>
      <c r="BB3" s="182"/>
      <c r="BC3" s="182"/>
      <c r="BD3" s="183"/>
    </row>
    <row r="4" spans="1:56" s="16" customFormat="1" ht="15" customHeight="1" x14ac:dyDescent="0.3">
      <c r="A4" s="150"/>
      <c r="B4" s="151"/>
      <c r="C4" s="151"/>
      <c r="D4" s="151"/>
      <c r="E4" s="151"/>
      <c r="F4" s="151"/>
      <c r="G4" s="151"/>
      <c r="H4" s="152"/>
      <c r="I4" s="133"/>
      <c r="J4" s="134"/>
      <c r="K4" s="134"/>
      <c r="L4" s="134"/>
      <c r="M4" s="134"/>
      <c r="N4" s="134"/>
      <c r="O4" s="134"/>
      <c r="P4" s="134"/>
      <c r="Q4" s="135"/>
      <c r="R4" s="133"/>
      <c r="S4" s="134"/>
      <c r="T4" s="134"/>
      <c r="U4" s="134"/>
      <c r="V4" s="134"/>
      <c r="W4" s="134"/>
      <c r="X4" s="135"/>
      <c r="Y4" s="175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t_shukkajisseki_zaiko_m</v>
      </c>
      <c r="Z4" s="176"/>
      <c r="AA4" s="176"/>
      <c r="AB4" s="176"/>
      <c r="AC4" s="176"/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  <c r="AO4" s="177"/>
      <c r="AP4" s="100"/>
      <c r="AQ4" s="101"/>
      <c r="AR4" s="101"/>
      <c r="AS4" s="101"/>
      <c r="AT4" s="102"/>
      <c r="AU4" s="178"/>
      <c r="AV4" s="179"/>
      <c r="AW4" s="179"/>
      <c r="AX4" s="179"/>
      <c r="AY4" s="180"/>
      <c r="AZ4" s="181"/>
      <c r="BA4" s="182"/>
      <c r="BB4" s="182"/>
      <c r="BC4" s="182"/>
      <c r="BD4" s="183"/>
    </row>
    <row r="6" spans="1:56" ht="15" customHeight="1" x14ac:dyDescent="0.3">
      <c r="A6" s="156" t="s">
        <v>101</v>
      </c>
      <c r="B6" s="158" t="s">
        <v>4</v>
      </c>
      <c r="C6" s="159"/>
      <c r="D6" s="159"/>
      <c r="E6" s="159"/>
      <c r="F6" s="159"/>
      <c r="G6" s="159"/>
      <c r="H6" s="160"/>
      <c r="I6" s="158" t="s">
        <v>5</v>
      </c>
      <c r="J6" s="159"/>
      <c r="K6" s="159"/>
      <c r="L6" s="159"/>
      <c r="M6" s="159"/>
      <c r="N6" s="159"/>
      <c r="O6" s="159"/>
      <c r="P6" s="159"/>
      <c r="Q6" s="160"/>
      <c r="R6" s="158" t="s">
        <v>145</v>
      </c>
      <c r="S6" s="159"/>
      <c r="T6" s="159"/>
      <c r="U6" s="159"/>
      <c r="V6" s="159"/>
      <c r="W6" s="159"/>
      <c r="X6" s="160"/>
      <c r="Y6" s="158" t="s">
        <v>6</v>
      </c>
      <c r="Z6" s="160"/>
      <c r="AA6" s="158" t="s">
        <v>7</v>
      </c>
      <c r="AB6" s="159"/>
      <c r="AC6" s="160"/>
      <c r="AD6" s="164" t="s">
        <v>8</v>
      </c>
      <c r="AE6" s="185" t="s">
        <v>9</v>
      </c>
      <c r="AF6" s="164" t="s">
        <v>10</v>
      </c>
      <c r="AG6" s="164" t="s">
        <v>11</v>
      </c>
      <c r="AH6" s="164" t="s">
        <v>12</v>
      </c>
      <c r="AI6" s="166" t="s">
        <v>13</v>
      </c>
      <c r="AJ6" s="167"/>
      <c r="AK6" s="167"/>
      <c r="AL6" s="167"/>
      <c r="AM6" s="167"/>
      <c r="AN6" s="167"/>
      <c r="AO6" s="167"/>
      <c r="AP6" s="167"/>
      <c r="AQ6" s="167"/>
      <c r="AR6" s="168"/>
      <c r="AS6" s="169" t="s">
        <v>14</v>
      </c>
      <c r="AT6" s="170"/>
      <c r="AU6" s="170"/>
      <c r="AV6" s="170"/>
      <c r="AW6" s="170"/>
      <c r="AX6" s="170"/>
      <c r="AY6" s="170"/>
      <c r="AZ6" s="170"/>
      <c r="BA6" s="170"/>
      <c r="BB6" s="170"/>
      <c r="BC6" s="170"/>
      <c r="BD6" s="171"/>
    </row>
    <row r="7" spans="1:56" ht="15" customHeight="1" x14ac:dyDescent="0.3">
      <c r="A7" s="157"/>
      <c r="B7" s="161"/>
      <c r="C7" s="162"/>
      <c r="D7" s="162"/>
      <c r="E7" s="162"/>
      <c r="F7" s="162"/>
      <c r="G7" s="162"/>
      <c r="H7" s="163"/>
      <c r="I7" s="161"/>
      <c r="J7" s="162"/>
      <c r="K7" s="162"/>
      <c r="L7" s="162"/>
      <c r="M7" s="162"/>
      <c r="N7" s="162"/>
      <c r="O7" s="162"/>
      <c r="P7" s="162"/>
      <c r="Q7" s="163"/>
      <c r="R7" s="161"/>
      <c r="S7" s="162"/>
      <c r="T7" s="162"/>
      <c r="U7" s="162"/>
      <c r="V7" s="162"/>
      <c r="W7" s="162"/>
      <c r="X7" s="163"/>
      <c r="Y7" s="161"/>
      <c r="Z7" s="163"/>
      <c r="AA7" s="161"/>
      <c r="AB7" s="162"/>
      <c r="AC7" s="163"/>
      <c r="AD7" s="165"/>
      <c r="AE7" s="186"/>
      <c r="AF7" s="165"/>
      <c r="AG7" s="165"/>
      <c r="AH7" s="165"/>
      <c r="AI7" s="56">
        <v>1</v>
      </c>
      <c r="AJ7" s="56">
        <v>2</v>
      </c>
      <c r="AK7" s="56">
        <v>3</v>
      </c>
      <c r="AL7" s="56">
        <v>4</v>
      </c>
      <c r="AM7" s="56">
        <v>5</v>
      </c>
      <c r="AN7" s="56">
        <v>6</v>
      </c>
      <c r="AO7" s="56">
        <v>7</v>
      </c>
      <c r="AP7" s="56">
        <v>8</v>
      </c>
      <c r="AQ7" s="56">
        <v>9</v>
      </c>
      <c r="AR7" s="56">
        <v>10</v>
      </c>
      <c r="AS7" s="172"/>
      <c r="AT7" s="173"/>
      <c r="AU7" s="173"/>
      <c r="AV7" s="173"/>
      <c r="AW7" s="173"/>
      <c r="AX7" s="173"/>
      <c r="AY7" s="173"/>
      <c r="AZ7" s="173"/>
      <c r="BA7" s="173"/>
      <c r="BB7" s="173"/>
      <c r="BC7" s="173"/>
      <c r="BD7" s="174"/>
    </row>
    <row r="8" spans="1:56" ht="15" customHeight="1" x14ac:dyDescent="0.3">
      <c r="A8" s="54">
        <f>IF(B8="","",COUNTA($B$8:B8))</f>
        <v>1</v>
      </c>
      <c r="B8" s="18" t="s">
        <v>204</v>
      </c>
      <c r="C8" s="19"/>
      <c r="D8" s="19"/>
      <c r="E8" s="19"/>
      <c r="F8" s="19"/>
      <c r="G8" s="19"/>
      <c r="H8" s="19"/>
      <c r="I8" s="31" t="str">
        <f>VLOOKUP(B8,Sheet1!A:B,2,FALSE)</f>
        <v>shukka_jisseki_no</v>
      </c>
      <c r="J8" s="21"/>
      <c r="K8" s="21"/>
      <c r="L8" s="21"/>
      <c r="M8" s="21"/>
      <c r="N8" s="21"/>
      <c r="O8" s="21"/>
      <c r="P8" s="21"/>
      <c r="Q8" s="21"/>
      <c r="R8" s="18" t="s">
        <v>208</v>
      </c>
      <c r="S8" s="19"/>
      <c r="T8" s="19"/>
      <c r="U8" s="19"/>
      <c r="V8" s="19"/>
      <c r="W8" s="19"/>
      <c r="X8" s="19"/>
      <c r="Y8" s="139" t="s">
        <v>111</v>
      </c>
      <c r="Z8" s="140"/>
      <c r="AA8" s="141" t="s">
        <v>107</v>
      </c>
      <c r="AB8" s="142"/>
      <c r="AC8" s="143"/>
      <c r="AD8" s="25">
        <v>10</v>
      </c>
      <c r="AE8" s="26"/>
      <c r="AF8" s="26" t="s">
        <v>119</v>
      </c>
      <c r="AG8" s="26" t="s">
        <v>85</v>
      </c>
      <c r="AH8" s="26"/>
      <c r="AI8" s="26"/>
      <c r="AJ8" s="26"/>
      <c r="AK8" s="26"/>
      <c r="AL8" s="26"/>
      <c r="AM8" s="26"/>
      <c r="AN8" s="26"/>
      <c r="AO8" s="27"/>
      <c r="AP8" s="27"/>
      <c r="AQ8" s="27"/>
      <c r="AR8" s="27"/>
      <c r="AS8" s="42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68"/>
    </row>
    <row r="9" spans="1:56" ht="15" customHeight="1" x14ac:dyDescent="0.3">
      <c r="A9" s="54">
        <f>IF(B9="","",COUNTA($B$8:B9))</f>
        <v>2</v>
      </c>
      <c r="B9" s="18" t="s">
        <v>150</v>
      </c>
      <c r="C9" s="41"/>
      <c r="D9" s="41"/>
      <c r="E9" s="41"/>
      <c r="F9" s="41"/>
      <c r="G9" s="41"/>
      <c r="H9" s="41"/>
      <c r="I9" s="31" t="str">
        <f>VLOOKUP(B9,Sheet1!A:B,2,FALSE)</f>
        <v>shukka_shiji_no</v>
      </c>
      <c r="J9" s="32"/>
      <c r="K9" s="32"/>
      <c r="L9" s="32"/>
      <c r="M9" s="32"/>
      <c r="N9" s="32"/>
      <c r="O9" s="32"/>
      <c r="P9" s="32"/>
      <c r="Q9" s="32"/>
      <c r="R9" s="18" t="s">
        <v>150</v>
      </c>
      <c r="S9" s="41"/>
      <c r="T9" s="41"/>
      <c r="U9" s="41"/>
      <c r="V9" s="41"/>
      <c r="W9" s="41"/>
      <c r="X9" s="41"/>
      <c r="Y9" s="139" t="s">
        <v>111</v>
      </c>
      <c r="Z9" s="140"/>
      <c r="AA9" s="141" t="s">
        <v>107</v>
      </c>
      <c r="AB9" s="142"/>
      <c r="AC9" s="143"/>
      <c r="AD9" s="25">
        <v>10</v>
      </c>
      <c r="AE9" s="27"/>
      <c r="AF9" s="27">
        <v>2</v>
      </c>
      <c r="AG9" s="27" t="s">
        <v>85</v>
      </c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42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68"/>
    </row>
    <row r="10" spans="1:56" ht="15" customHeight="1" x14ac:dyDescent="0.3">
      <c r="A10" s="54">
        <f>IF(B10="","",COUNTA($B$8:B10))</f>
        <v>3</v>
      </c>
      <c r="B10" s="42" t="s">
        <v>191</v>
      </c>
      <c r="C10" s="41"/>
      <c r="D10" s="41"/>
      <c r="E10" s="41"/>
      <c r="F10" s="41"/>
      <c r="G10" s="41"/>
      <c r="H10" s="41"/>
      <c r="I10" s="31" t="str">
        <f>VLOOKUP(B10,Sheet1!A:B,2,FALSE)</f>
        <v>juchu_meisai_seq</v>
      </c>
      <c r="J10" s="32"/>
      <c r="K10" s="32"/>
      <c r="L10" s="32"/>
      <c r="M10" s="32"/>
      <c r="N10" s="32"/>
      <c r="O10" s="32"/>
      <c r="P10" s="32"/>
      <c r="Q10" s="32"/>
      <c r="R10" s="42" t="s">
        <v>191</v>
      </c>
      <c r="S10" s="41"/>
      <c r="T10" s="41"/>
      <c r="U10" s="41"/>
      <c r="V10" s="41"/>
      <c r="W10" s="41"/>
      <c r="X10" s="41"/>
      <c r="Y10" s="139" t="s">
        <v>108</v>
      </c>
      <c r="Z10" s="140"/>
      <c r="AA10" s="141" t="s">
        <v>110</v>
      </c>
      <c r="AB10" s="142"/>
      <c r="AC10" s="143"/>
      <c r="AD10" s="72">
        <v>3</v>
      </c>
      <c r="AE10" s="27"/>
      <c r="AF10" s="27">
        <v>3</v>
      </c>
      <c r="AG10" s="27" t="s">
        <v>85</v>
      </c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42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68"/>
    </row>
    <row r="11" spans="1:56" ht="15" customHeight="1" x14ac:dyDescent="0.3">
      <c r="A11" s="54">
        <f>IF(B11="","",COUNTA($B$8:B11))</f>
        <v>4</v>
      </c>
      <c r="B11" s="42" t="s">
        <v>192</v>
      </c>
      <c r="C11" s="41"/>
      <c r="D11" s="41"/>
      <c r="E11" s="41"/>
      <c r="F11" s="41"/>
      <c r="G11" s="41"/>
      <c r="H11" s="41"/>
      <c r="I11" s="31" t="str">
        <f>VLOOKUP(B11,Sheet1!A:B,2,FALSE)</f>
        <v>zaiko_meisai_seq</v>
      </c>
      <c r="J11" s="32"/>
      <c r="K11" s="32"/>
      <c r="L11" s="32"/>
      <c r="M11" s="32"/>
      <c r="N11" s="32"/>
      <c r="O11" s="32"/>
      <c r="P11" s="32"/>
      <c r="Q11" s="32"/>
      <c r="R11" s="42" t="s">
        <v>192</v>
      </c>
      <c r="S11" s="19"/>
      <c r="T11" s="19"/>
      <c r="U11" s="19"/>
      <c r="V11" s="19"/>
      <c r="W11" s="19"/>
      <c r="X11" s="19"/>
      <c r="Y11" s="139" t="s">
        <v>108</v>
      </c>
      <c r="Z11" s="140"/>
      <c r="AA11" s="141" t="s">
        <v>110</v>
      </c>
      <c r="AB11" s="142"/>
      <c r="AC11" s="143"/>
      <c r="AD11" s="25">
        <v>3</v>
      </c>
      <c r="AE11" s="27"/>
      <c r="AF11" s="27">
        <v>4</v>
      </c>
      <c r="AG11" s="27" t="s">
        <v>85</v>
      </c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42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68"/>
    </row>
    <row r="12" spans="1:56" ht="15" customHeight="1" x14ac:dyDescent="0.3">
      <c r="A12" s="54">
        <f>IF(B12="","",COUNTA($B$8:B12))</f>
        <v>5</v>
      </c>
      <c r="B12" s="42" t="s">
        <v>168</v>
      </c>
      <c r="C12" s="41"/>
      <c r="D12" s="41"/>
      <c r="E12" s="41"/>
      <c r="F12" s="41"/>
      <c r="G12" s="41"/>
      <c r="H12" s="41"/>
      <c r="I12" s="31" t="str">
        <f>VLOOKUP(B12,Sheet1!A:B,2,FALSE)</f>
        <v>hokan_basho_cd</v>
      </c>
      <c r="J12" s="32"/>
      <c r="K12" s="32"/>
      <c r="L12" s="32"/>
      <c r="M12" s="32"/>
      <c r="N12" s="32"/>
      <c r="O12" s="32"/>
      <c r="P12" s="32"/>
      <c r="Q12" s="32"/>
      <c r="R12" s="42" t="s">
        <v>147</v>
      </c>
      <c r="S12" s="41"/>
      <c r="T12" s="41"/>
      <c r="U12" s="41"/>
      <c r="V12" s="41"/>
      <c r="W12" s="41"/>
      <c r="X12" s="41"/>
      <c r="Y12" s="139" t="s">
        <v>111</v>
      </c>
      <c r="Z12" s="140"/>
      <c r="AA12" s="141" t="s">
        <v>107</v>
      </c>
      <c r="AB12" s="142"/>
      <c r="AC12" s="143"/>
      <c r="AD12" s="72">
        <v>10</v>
      </c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42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68"/>
    </row>
    <row r="13" spans="1:56" ht="15" customHeight="1" x14ac:dyDescent="0.3">
      <c r="A13" s="54">
        <f>IF(B13="","",COUNTA($B$8:B13))</f>
        <v>6</v>
      </c>
      <c r="B13" s="42" t="s">
        <v>1263</v>
      </c>
      <c r="C13" s="41"/>
      <c r="D13" s="41"/>
      <c r="E13" s="41"/>
      <c r="F13" s="41"/>
      <c r="G13" s="41"/>
      <c r="H13" s="41"/>
      <c r="I13" s="31" t="str">
        <f>VLOOKUP(B13,Sheet1!A:B,2,FALSE)</f>
        <v>hokan_basho_nm</v>
      </c>
      <c r="J13" s="32"/>
      <c r="K13" s="32"/>
      <c r="L13" s="32"/>
      <c r="M13" s="32"/>
      <c r="N13" s="32"/>
      <c r="O13" s="32"/>
      <c r="P13" s="32"/>
      <c r="Q13" s="32"/>
      <c r="R13" s="18" t="s">
        <v>140</v>
      </c>
      <c r="S13" s="19"/>
      <c r="T13" s="19"/>
      <c r="U13" s="19"/>
      <c r="V13" s="19"/>
      <c r="W13" s="19"/>
      <c r="X13" s="19"/>
      <c r="Y13" s="139" t="s">
        <v>111</v>
      </c>
      <c r="Z13" s="140"/>
      <c r="AA13" s="141" t="s">
        <v>107</v>
      </c>
      <c r="AB13" s="142"/>
      <c r="AC13" s="143"/>
      <c r="AD13" s="25">
        <v>10</v>
      </c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42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68"/>
    </row>
    <row r="14" spans="1:56" ht="15" customHeight="1" x14ac:dyDescent="0.3">
      <c r="A14" s="54">
        <f>IF(B14="","",COUNTA($B$8:B14))</f>
        <v>7</v>
      </c>
      <c r="B14" s="42" t="s">
        <v>169</v>
      </c>
      <c r="C14" s="41"/>
      <c r="D14" s="41"/>
      <c r="E14" s="41"/>
      <c r="F14" s="41"/>
      <c r="G14" s="41"/>
      <c r="H14" s="41"/>
      <c r="I14" s="31" t="str">
        <f>VLOOKUP(B14,Sheet1!A:B,2,FALSE)</f>
        <v>seihin_lot_no</v>
      </c>
      <c r="J14" s="32"/>
      <c r="K14" s="32"/>
      <c r="L14" s="32"/>
      <c r="M14" s="32"/>
      <c r="N14" s="32"/>
      <c r="O14" s="32"/>
      <c r="P14" s="32"/>
      <c r="Q14" s="32"/>
      <c r="R14" s="42" t="s">
        <v>141</v>
      </c>
      <c r="S14" s="41"/>
      <c r="T14" s="41"/>
      <c r="U14" s="41"/>
      <c r="V14" s="41"/>
      <c r="W14" s="41"/>
      <c r="X14" s="41"/>
      <c r="Y14" s="18" t="s">
        <v>111</v>
      </c>
      <c r="Z14" s="34"/>
      <c r="AA14" s="141" t="s">
        <v>107</v>
      </c>
      <c r="AB14" s="142"/>
      <c r="AC14" s="143"/>
      <c r="AD14" s="72">
        <v>10</v>
      </c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42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68"/>
    </row>
    <row r="15" spans="1:56" ht="15" customHeight="1" x14ac:dyDescent="0.3">
      <c r="A15" s="54">
        <f>IF(B15="","",COUNTA($B$8:B15))</f>
        <v>8</v>
      </c>
      <c r="B15" s="42" t="s">
        <v>142</v>
      </c>
      <c r="C15" s="41"/>
      <c r="D15" s="41"/>
      <c r="E15" s="41"/>
      <c r="F15" s="41"/>
      <c r="G15" s="41"/>
      <c r="H15" s="41"/>
      <c r="I15" s="31" t="str">
        <f>VLOOKUP(B15,Sheet1!A:B,2,FALSE)</f>
        <v>seihin_full_lot_no</v>
      </c>
      <c r="J15" s="32"/>
      <c r="K15" s="32"/>
      <c r="L15" s="32"/>
      <c r="M15" s="32"/>
      <c r="N15" s="32"/>
      <c r="O15" s="32"/>
      <c r="P15" s="32"/>
      <c r="Q15" s="32"/>
      <c r="R15" s="42" t="s">
        <v>142</v>
      </c>
      <c r="S15" s="41"/>
      <c r="T15" s="41"/>
      <c r="U15" s="41"/>
      <c r="V15" s="41"/>
      <c r="W15" s="41"/>
      <c r="X15" s="41"/>
      <c r="Y15" s="18" t="s">
        <v>111</v>
      </c>
      <c r="Z15" s="34"/>
      <c r="AA15" s="141" t="s">
        <v>107</v>
      </c>
      <c r="AB15" s="142"/>
      <c r="AC15" s="143"/>
      <c r="AD15" s="72">
        <v>10</v>
      </c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42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68"/>
    </row>
    <row r="16" spans="1:56" ht="15" customHeight="1" x14ac:dyDescent="0.3">
      <c r="A16" s="54">
        <f>IF(B16="","",COUNTA($B$8:B16))</f>
        <v>9</v>
      </c>
      <c r="B16" s="42" t="s">
        <v>170</v>
      </c>
      <c r="C16" s="41"/>
      <c r="D16" s="41"/>
      <c r="E16" s="41"/>
      <c r="F16" s="41"/>
      <c r="G16" s="41"/>
      <c r="H16" s="41"/>
      <c r="I16" s="31" t="str">
        <f>VLOOKUP(B16,Sheet1!A:B,2,FALSE)</f>
        <v>lot_no_biko</v>
      </c>
      <c r="J16" s="32"/>
      <c r="K16" s="32"/>
      <c r="L16" s="32"/>
      <c r="M16" s="32"/>
      <c r="N16" s="32"/>
      <c r="O16" s="32"/>
      <c r="P16" s="32"/>
      <c r="Q16" s="32"/>
      <c r="R16" s="42" t="s">
        <v>170</v>
      </c>
      <c r="S16" s="41"/>
      <c r="T16" s="41"/>
      <c r="U16" s="41"/>
      <c r="V16" s="41"/>
      <c r="W16" s="41"/>
      <c r="X16" s="41"/>
      <c r="Y16" s="139" t="s">
        <v>111</v>
      </c>
      <c r="Z16" s="140"/>
      <c r="AA16" s="141" t="s">
        <v>107</v>
      </c>
      <c r="AB16" s="142"/>
      <c r="AC16" s="143"/>
      <c r="AD16" s="72">
        <v>30</v>
      </c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42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68"/>
    </row>
    <row r="17" spans="1:56" ht="15" customHeight="1" x14ac:dyDescent="0.3">
      <c r="A17" s="54">
        <f>IF(B17="","",COUNTA($B$8:B17))</f>
        <v>10</v>
      </c>
      <c r="B17" s="42" t="s">
        <v>143</v>
      </c>
      <c r="C17" s="41"/>
      <c r="D17" s="41"/>
      <c r="E17" s="41"/>
      <c r="F17" s="41"/>
      <c r="G17" s="41"/>
      <c r="H17" s="41"/>
      <c r="I17" s="31" t="str">
        <f>VLOOKUP(B17,Sheet1!A:B,2,FALSE)</f>
        <v>pallet_no</v>
      </c>
      <c r="J17" s="32"/>
      <c r="K17" s="32"/>
      <c r="L17" s="32"/>
      <c r="M17" s="32"/>
      <c r="N17" s="32"/>
      <c r="O17" s="32"/>
      <c r="P17" s="32"/>
      <c r="Q17" s="32"/>
      <c r="R17" s="42" t="s">
        <v>143</v>
      </c>
      <c r="S17" s="41"/>
      <c r="T17" s="41"/>
      <c r="U17" s="41"/>
      <c r="V17" s="41"/>
      <c r="W17" s="41"/>
      <c r="X17" s="41"/>
      <c r="Y17" s="18" t="s">
        <v>111</v>
      </c>
      <c r="Z17" s="34"/>
      <c r="AA17" s="141" t="s">
        <v>107</v>
      </c>
      <c r="AB17" s="142"/>
      <c r="AC17" s="143"/>
      <c r="AD17" s="72">
        <v>10</v>
      </c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42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68"/>
    </row>
    <row r="18" spans="1:56" ht="15" customHeight="1" x14ac:dyDescent="0.3">
      <c r="A18" s="54">
        <f>IF(B18="","",COUNTA($B$8:B18))</f>
        <v>11</v>
      </c>
      <c r="B18" s="42" t="s">
        <v>144</v>
      </c>
      <c r="C18" s="41"/>
      <c r="D18" s="41"/>
      <c r="E18" s="41"/>
      <c r="F18" s="41"/>
      <c r="G18" s="41"/>
      <c r="H18" s="41"/>
      <c r="I18" s="31" t="str">
        <f>VLOOKUP(B18,Sheet1!A:B,2,FALSE)</f>
        <v>full_pallet_no</v>
      </c>
      <c r="J18" s="32"/>
      <c r="K18" s="32"/>
      <c r="L18" s="32"/>
      <c r="M18" s="32"/>
      <c r="N18" s="32"/>
      <c r="O18" s="32"/>
      <c r="P18" s="32"/>
      <c r="Q18" s="32"/>
      <c r="R18" s="42" t="s">
        <v>144</v>
      </c>
      <c r="S18" s="41"/>
      <c r="T18" s="41"/>
      <c r="U18" s="41"/>
      <c r="V18" s="41"/>
      <c r="W18" s="41"/>
      <c r="X18" s="41"/>
      <c r="Y18" s="18" t="s">
        <v>111</v>
      </c>
      <c r="Z18" s="34"/>
      <c r="AA18" s="141" t="s">
        <v>107</v>
      </c>
      <c r="AB18" s="142"/>
      <c r="AC18" s="143"/>
      <c r="AD18" s="72">
        <v>10</v>
      </c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42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68"/>
    </row>
    <row r="19" spans="1:56" ht="15" customHeight="1" x14ac:dyDescent="0.3">
      <c r="A19" s="54">
        <f>IF(B19="","",COUNTA($B$8:B19))</f>
        <v>12</v>
      </c>
      <c r="B19" s="42" t="s">
        <v>227</v>
      </c>
      <c r="C19" s="41"/>
      <c r="D19" s="41"/>
      <c r="E19" s="41"/>
      <c r="F19" s="41"/>
      <c r="G19" s="41"/>
      <c r="H19" s="41"/>
      <c r="I19" s="31" t="str">
        <f>VLOOKUP(B19,Sheet1!A:B,2,FALSE)</f>
        <v>shiji_su</v>
      </c>
      <c r="J19" s="32"/>
      <c r="K19" s="32"/>
      <c r="L19" s="32"/>
      <c r="M19" s="32"/>
      <c r="N19" s="32"/>
      <c r="O19" s="32"/>
      <c r="P19" s="32"/>
      <c r="Q19" s="32"/>
      <c r="R19" s="42" t="s">
        <v>229</v>
      </c>
      <c r="S19" s="41"/>
      <c r="T19" s="41"/>
      <c r="U19" s="41"/>
      <c r="V19" s="41"/>
      <c r="W19" s="41"/>
      <c r="X19" s="41"/>
      <c r="Y19" s="18" t="s">
        <v>108</v>
      </c>
      <c r="Z19" s="34"/>
      <c r="AA19" s="141" t="s">
        <v>110</v>
      </c>
      <c r="AB19" s="142"/>
      <c r="AC19" s="143"/>
      <c r="AD19" s="72">
        <v>3</v>
      </c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42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68"/>
    </row>
    <row r="20" spans="1:56" ht="15" customHeight="1" x14ac:dyDescent="0.3">
      <c r="A20" s="54">
        <f>IF(B20="","",COUNTA($B$8:B20))</f>
        <v>13</v>
      </c>
      <c r="B20" s="42" t="s">
        <v>230</v>
      </c>
      <c r="C20" s="41"/>
      <c r="D20" s="41"/>
      <c r="E20" s="41"/>
      <c r="F20" s="41"/>
      <c r="G20" s="41"/>
      <c r="H20" s="41"/>
      <c r="I20" s="31" t="str">
        <f>VLOOKUP(B20,Sheet1!A:B,2,FALSE)</f>
        <v>jisseki_su</v>
      </c>
      <c r="J20" s="32"/>
      <c r="K20" s="32"/>
      <c r="L20" s="32"/>
      <c r="M20" s="32"/>
      <c r="N20" s="32"/>
      <c r="O20" s="32"/>
      <c r="P20" s="32"/>
      <c r="Q20" s="32"/>
      <c r="R20" s="42" t="s">
        <v>230</v>
      </c>
      <c r="S20" s="41"/>
      <c r="T20" s="41"/>
      <c r="U20" s="41"/>
      <c r="V20" s="41"/>
      <c r="W20" s="41"/>
      <c r="X20" s="41"/>
      <c r="Y20" s="18" t="s">
        <v>108</v>
      </c>
      <c r="Z20" s="34"/>
      <c r="AA20" s="141" t="s">
        <v>110</v>
      </c>
      <c r="AB20" s="142"/>
      <c r="AC20" s="143"/>
      <c r="AD20" s="72">
        <v>3</v>
      </c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42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68"/>
    </row>
    <row r="21" spans="1:56" ht="15" customHeight="1" x14ac:dyDescent="0.3">
      <c r="A21" s="71">
        <f>IF(B21="","",COUNTA($B$8:B21))</f>
        <v>14</v>
      </c>
      <c r="B21" s="18" t="s">
        <v>182</v>
      </c>
      <c r="C21" s="19"/>
      <c r="D21" s="19"/>
      <c r="E21" s="19"/>
      <c r="F21" s="19"/>
      <c r="G21" s="19"/>
      <c r="H21" s="22"/>
      <c r="I21" s="31" t="str">
        <f>VLOOKUP(B21,Sheet1!A:B,2,FALSE)</f>
        <v>shukan_busho_cd</v>
      </c>
      <c r="J21" s="21"/>
      <c r="K21" s="21"/>
      <c r="L21" s="21"/>
      <c r="M21" s="21"/>
      <c r="N21" s="21"/>
      <c r="O21" s="21"/>
      <c r="P21" s="21"/>
      <c r="Q21" s="33"/>
      <c r="R21" s="18" t="s">
        <v>184</v>
      </c>
      <c r="S21" s="21"/>
      <c r="T21" s="21"/>
      <c r="U21" s="21"/>
      <c r="V21" s="21"/>
      <c r="W21" s="21"/>
      <c r="X21" s="22"/>
      <c r="Y21" s="139" t="s">
        <v>56</v>
      </c>
      <c r="Z21" s="184"/>
      <c r="AA21" s="141" t="s">
        <v>107</v>
      </c>
      <c r="AB21" s="142"/>
      <c r="AC21" s="143"/>
      <c r="AD21" s="25">
        <v>4</v>
      </c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7"/>
      <c r="AP21" s="27"/>
      <c r="AQ21" s="27"/>
      <c r="AR21" s="27"/>
      <c r="AS21" s="28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70"/>
    </row>
    <row r="22" spans="1:56" ht="15" customHeight="1" x14ac:dyDescent="0.3">
      <c r="A22" s="71">
        <f>IF(B22="","",COUNTA($B$8:B22))</f>
        <v>15</v>
      </c>
      <c r="B22" s="18" t="s">
        <v>183</v>
      </c>
      <c r="C22" s="19"/>
      <c r="D22" s="19"/>
      <c r="E22" s="19"/>
      <c r="F22" s="19"/>
      <c r="G22" s="19"/>
      <c r="H22" s="22"/>
      <c r="I22" s="31" t="str">
        <f>VLOOKUP(B22,Sheet1!A:B,2,FALSE)</f>
        <v>shukan_kotei_cd</v>
      </c>
      <c r="J22" s="21"/>
      <c r="K22" s="21"/>
      <c r="L22" s="21"/>
      <c r="M22" s="21"/>
      <c r="N22" s="21"/>
      <c r="O22" s="21"/>
      <c r="P22" s="21"/>
      <c r="Q22" s="33"/>
      <c r="R22" s="18" t="s">
        <v>183</v>
      </c>
      <c r="S22" s="21"/>
      <c r="T22" s="21"/>
      <c r="U22" s="21"/>
      <c r="V22" s="21"/>
      <c r="W22" s="21"/>
      <c r="X22" s="22"/>
      <c r="Y22" s="139" t="s">
        <v>56</v>
      </c>
      <c r="Z22" s="184"/>
      <c r="AA22" s="141" t="s">
        <v>107</v>
      </c>
      <c r="AB22" s="142"/>
      <c r="AC22" s="143"/>
      <c r="AD22" s="25">
        <v>4</v>
      </c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7"/>
      <c r="AP22" s="27"/>
      <c r="AQ22" s="27"/>
      <c r="AR22" s="27"/>
      <c r="AS22" s="28"/>
      <c r="AT22" s="69"/>
      <c r="AU22" s="69"/>
      <c r="AV22" s="69"/>
      <c r="AW22" s="69"/>
      <c r="AX22" s="69"/>
      <c r="AY22" s="69"/>
      <c r="AZ22" s="69"/>
      <c r="BA22" s="69"/>
      <c r="BB22" s="69"/>
      <c r="BC22" s="69"/>
      <c r="BD22" s="70"/>
    </row>
    <row r="23" spans="1:56" ht="15" customHeight="1" x14ac:dyDescent="0.3">
      <c r="A23" s="54">
        <f>IF(B23="","",COUNTA($B$8:B23))</f>
        <v>16</v>
      </c>
      <c r="B23" s="18" t="s">
        <v>1095</v>
      </c>
      <c r="C23" s="41"/>
      <c r="D23" s="41"/>
      <c r="E23" s="41"/>
      <c r="F23" s="41"/>
      <c r="G23" s="41"/>
      <c r="H23" s="41"/>
      <c r="I23" s="31" t="str">
        <f>VLOOKUP(B23,Sheet1!A:B,2,FALSE)</f>
        <v>insert_func_cd</v>
      </c>
      <c r="J23" s="32"/>
      <c r="K23" s="32"/>
      <c r="L23" s="32"/>
      <c r="M23" s="32"/>
      <c r="N23" s="32"/>
      <c r="O23" s="32"/>
      <c r="P23" s="32"/>
      <c r="Q23" s="32"/>
      <c r="R23" s="18" t="s">
        <v>116</v>
      </c>
      <c r="S23" s="41"/>
      <c r="T23" s="41"/>
      <c r="U23" s="41"/>
      <c r="V23" s="41"/>
      <c r="W23" s="41"/>
      <c r="X23" s="41"/>
      <c r="Y23" s="139" t="s">
        <v>111</v>
      </c>
      <c r="Z23" s="140"/>
      <c r="AA23" s="141" t="s">
        <v>107</v>
      </c>
      <c r="AB23" s="142"/>
      <c r="AC23" s="143"/>
      <c r="AD23" s="25">
        <v>10</v>
      </c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8"/>
      <c r="AT23" s="69"/>
      <c r="AU23" s="69"/>
      <c r="AV23" s="69"/>
      <c r="AW23" s="69"/>
      <c r="AX23" s="69"/>
      <c r="AY23" s="69"/>
      <c r="AZ23" s="69"/>
      <c r="BA23" s="69"/>
      <c r="BB23" s="69"/>
      <c r="BC23" s="69"/>
      <c r="BD23" s="70"/>
    </row>
    <row r="24" spans="1:56" ht="15" customHeight="1" x14ac:dyDescent="0.3">
      <c r="A24" s="54">
        <f>IF(B24="","",COUNTA($B$8:B24))</f>
        <v>17</v>
      </c>
      <c r="B24" s="18" t="s">
        <v>112</v>
      </c>
      <c r="C24" s="41"/>
      <c r="D24" s="41"/>
      <c r="E24" s="41"/>
      <c r="F24" s="41"/>
      <c r="G24" s="41"/>
      <c r="H24" s="41"/>
      <c r="I24" s="31" t="str">
        <f>VLOOKUP(B24,Sheet1!A:B,2,FALSE)</f>
        <v>insert_user_cd</v>
      </c>
      <c r="J24" s="32"/>
      <c r="K24" s="32"/>
      <c r="L24" s="32"/>
      <c r="M24" s="32"/>
      <c r="N24" s="32"/>
      <c r="O24" s="32"/>
      <c r="P24" s="32"/>
      <c r="Q24" s="32"/>
      <c r="R24" s="18" t="s">
        <v>112</v>
      </c>
      <c r="S24" s="41"/>
      <c r="T24" s="41"/>
      <c r="U24" s="41"/>
      <c r="V24" s="41"/>
      <c r="W24" s="41"/>
      <c r="X24" s="41"/>
      <c r="Y24" s="139" t="s">
        <v>111</v>
      </c>
      <c r="Z24" s="140"/>
      <c r="AA24" s="141" t="s">
        <v>107</v>
      </c>
      <c r="AB24" s="142"/>
      <c r="AC24" s="143"/>
      <c r="AD24" s="25">
        <v>10</v>
      </c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8"/>
      <c r="AT24" s="69"/>
      <c r="AU24" s="69"/>
      <c r="AV24" s="69"/>
      <c r="AW24" s="69"/>
      <c r="AX24" s="69"/>
      <c r="AY24" s="69"/>
      <c r="AZ24" s="69"/>
      <c r="BA24" s="69"/>
      <c r="BB24" s="69"/>
      <c r="BC24" s="69"/>
      <c r="BD24" s="70"/>
    </row>
    <row r="25" spans="1:56" ht="15" customHeight="1" x14ac:dyDescent="0.3">
      <c r="A25" s="54">
        <f>IF(B25="","",COUNTA($B$8:B25))</f>
        <v>18</v>
      </c>
      <c r="B25" s="18" t="s">
        <v>113</v>
      </c>
      <c r="C25" s="41"/>
      <c r="D25" s="41"/>
      <c r="E25" s="41"/>
      <c r="F25" s="41"/>
      <c r="G25" s="41"/>
      <c r="H25" s="41"/>
      <c r="I25" s="31" t="str">
        <f>VLOOKUP(B25,Sheet1!A:B,2,FALSE)</f>
        <v>insert_datetime</v>
      </c>
      <c r="J25" s="32"/>
      <c r="K25" s="32"/>
      <c r="L25" s="32"/>
      <c r="M25" s="32"/>
      <c r="N25" s="32"/>
      <c r="O25" s="32"/>
      <c r="P25" s="32"/>
      <c r="Q25" s="32"/>
      <c r="R25" s="18" t="s">
        <v>113</v>
      </c>
      <c r="S25" s="41"/>
      <c r="T25" s="41"/>
      <c r="U25" s="41"/>
      <c r="V25" s="41"/>
      <c r="W25" s="41"/>
      <c r="X25" s="41"/>
      <c r="Y25" s="139" t="s">
        <v>87</v>
      </c>
      <c r="Z25" s="140"/>
      <c r="AA25" s="141" t="s">
        <v>109</v>
      </c>
      <c r="AB25" s="142"/>
      <c r="AC25" s="143"/>
      <c r="AD25" s="55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8"/>
      <c r="AT25" s="69"/>
      <c r="AU25" s="69"/>
      <c r="AV25" s="69"/>
      <c r="AW25" s="69"/>
      <c r="AX25" s="69"/>
      <c r="AY25" s="69"/>
      <c r="AZ25" s="69"/>
      <c r="BA25" s="69"/>
      <c r="BB25" s="69"/>
      <c r="BC25" s="69"/>
      <c r="BD25" s="70"/>
    </row>
    <row r="26" spans="1:56" ht="15" customHeight="1" x14ac:dyDescent="0.3">
      <c r="A26" s="54">
        <f>IF(B26="","",COUNTA($B$8:B26))</f>
        <v>19</v>
      </c>
      <c r="B26" s="18" t="s">
        <v>1094</v>
      </c>
      <c r="C26" s="41"/>
      <c r="D26" s="41"/>
      <c r="E26" s="41"/>
      <c r="F26" s="41"/>
      <c r="G26" s="41"/>
      <c r="H26" s="41"/>
      <c r="I26" s="31" t="str">
        <f>VLOOKUP(B26,Sheet1!A:B,2,FALSE)</f>
        <v>update_func_cd</v>
      </c>
      <c r="J26" s="32"/>
      <c r="K26" s="32"/>
      <c r="L26" s="32"/>
      <c r="M26" s="32"/>
      <c r="N26" s="32"/>
      <c r="O26" s="32"/>
      <c r="P26" s="32"/>
      <c r="Q26" s="32"/>
      <c r="R26" s="18" t="s">
        <v>117</v>
      </c>
      <c r="S26" s="41"/>
      <c r="T26" s="41"/>
      <c r="U26" s="41"/>
      <c r="V26" s="41"/>
      <c r="W26" s="41"/>
      <c r="X26" s="41"/>
      <c r="Y26" s="139" t="s">
        <v>111</v>
      </c>
      <c r="Z26" s="140"/>
      <c r="AA26" s="141" t="s">
        <v>107</v>
      </c>
      <c r="AB26" s="142"/>
      <c r="AC26" s="143"/>
      <c r="AD26" s="25">
        <v>10</v>
      </c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8"/>
      <c r="AT26" s="69"/>
      <c r="AU26" s="69"/>
      <c r="AV26" s="69"/>
      <c r="AW26" s="69"/>
      <c r="AX26" s="69"/>
      <c r="AY26" s="69"/>
      <c r="AZ26" s="69"/>
      <c r="BA26" s="69"/>
      <c r="BB26" s="69"/>
      <c r="BC26" s="69"/>
      <c r="BD26" s="70"/>
    </row>
    <row r="27" spans="1:56" ht="15" customHeight="1" x14ac:dyDescent="0.3">
      <c r="A27" s="54">
        <f>IF(B27="","",COUNTA($B$8:B27))</f>
        <v>20</v>
      </c>
      <c r="B27" s="18" t="s">
        <v>114</v>
      </c>
      <c r="C27" s="19"/>
      <c r="D27" s="19"/>
      <c r="E27" s="19"/>
      <c r="F27" s="19"/>
      <c r="G27" s="19"/>
      <c r="H27" s="19"/>
      <c r="I27" s="31" t="str">
        <f>VLOOKUP(B27,Sheet1!A:B,2,FALSE)</f>
        <v>update_user_cd</v>
      </c>
      <c r="J27" s="21"/>
      <c r="K27" s="21"/>
      <c r="L27" s="21"/>
      <c r="M27" s="21"/>
      <c r="N27" s="21"/>
      <c r="O27" s="21"/>
      <c r="P27" s="21"/>
      <c r="Q27" s="21"/>
      <c r="R27" s="18" t="s">
        <v>114</v>
      </c>
      <c r="S27" s="19"/>
      <c r="T27" s="19"/>
      <c r="U27" s="19"/>
      <c r="V27" s="19"/>
      <c r="W27" s="19"/>
      <c r="X27" s="19"/>
      <c r="Y27" s="139" t="s">
        <v>111</v>
      </c>
      <c r="Z27" s="140"/>
      <c r="AA27" s="141" t="s">
        <v>107</v>
      </c>
      <c r="AB27" s="142"/>
      <c r="AC27" s="143"/>
      <c r="AD27" s="55">
        <v>10</v>
      </c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8"/>
      <c r="AP27" s="38"/>
      <c r="AQ27" s="38"/>
      <c r="AR27" s="38"/>
      <c r="AS27" s="39"/>
      <c r="AT27" s="40"/>
      <c r="AU27" s="69"/>
      <c r="AV27" s="69"/>
      <c r="AW27" s="69"/>
      <c r="AX27" s="69"/>
      <c r="AY27" s="69"/>
      <c r="AZ27" s="69"/>
      <c r="BA27" s="69"/>
      <c r="BB27" s="69"/>
      <c r="BC27" s="69"/>
      <c r="BD27" s="70"/>
    </row>
    <row r="28" spans="1:56" ht="15" customHeight="1" x14ac:dyDescent="0.3">
      <c r="A28" s="54">
        <f>IF(B28="","",COUNTA($B$8:B28))</f>
        <v>21</v>
      </c>
      <c r="B28" s="18" t="s">
        <v>115</v>
      </c>
      <c r="C28" s="19"/>
      <c r="D28" s="19"/>
      <c r="E28" s="19"/>
      <c r="F28" s="19"/>
      <c r="G28" s="19"/>
      <c r="H28" s="19"/>
      <c r="I28" s="31" t="str">
        <f>VLOOKUP(B28,Sheet1!A:B,2,FALSE)</f>
        <v>update_datetime</v>
      </c>
      <c r="J28" s="21"/>
      <c r="K28" s="21"/>
      <c r="L28" s="21"/>
      <c r="M28" s="21"/>
      <c r="N28" s="21"/>
      <c r="O28" s="21"/>
      <c r="P28" s="21"/>
      <c r="Q28" s="21"/>
      <c r="R28" s="18" t="s">
        <v>115</v>
      </c>
      <c r="S28" s="19"/>
      <c r="T28" s="19"/>
      <c r="U28" s="19"/>
      <c r="V28" s="19"/>
      <c r="W28" s="19"/>
      <c r="X28" s="19"/>
      <c r="Y28" s="139" t="s">
        <v>87</v>
      </c>
      <c r="Z28" s="140"/>
      <c r="AA28" s="141" t="s">
        <v>109</v>
      </c>
      <c r="AB28" s="142"/>
      <c r="AC28" s="143"/>
      <c r="AD28" s="55"/>
      <c r="AE28" s="37"/>
      <c r="AF28" s="37"/>
      <c r="AG28" s="37"/>
      <c r="AH28" s="37"/>
      <c r="AI28" s="37"/>
      <c r="AJ28" s="37"/>
      <c r="AK28" s="37"/>
      <c r="AL28" s="37"/>
      <c r="AM28" s="37"/>
      <c r="AN28" s="37"/>
      <c r="AO28" s="38"/>
      <c r="AP28" s="38"/>
      <c r="AQ28" s="38"/>
      <c r="AR28" s="38"/>
      <c r="AS28" s="39"/>
      <c r="AT28" s="40"/>
      <c r="AU28" s="69"/>
      <c r="AV28" s="69"/>
      <c r="AW28" s="69"/>
      <c r="AX28" s="69"/>
      <c r="AY28" s="69"/>
      <c r="AZ28" s="69"/>
      <c r="BA28" s="69"/>
      <c r="BB28" s="69"/>
      <c r="BC28" s="69"/>
      <c r="BD28" s="70"/>
    </row>
    <row r="29" spans="1:56" ht="15" customHeight="1" x14ac:dyDescent="0.3">
      <c r="A29" s="54" t="str">
        <f>IF(B29="","",COUNTA($B$8:B29))</f>
        <v/>
      </c>
      <c r="B29" s="42"/>
      <c r="C29" s="41"/>
      <c r="D29" s="41"/>
      <c r="E29" s="41"/>
      <c r="F29" s="41"/>
      <c r="G29" s="41"/>
      <c r="H29" s="41"/>
      <c r="I29" s="42"/>
      <c r="J29" s="32"/>
      <c r="K29" s="32"/>
      <c r="L29" s="32"/>
      <c r="M29" s="32"/>
      <c r="N29" s="32"/>
      <c r="O29" s="32"/>
      <c r="P29" s="32"/>
      <c r="Q29" s="32"/>
      <c r="R29" s="42"/>
      <c r="S29" s="41"/>
      <c r="T29" s="41"/>
      <c r="U29" s="41"/>
      <c r="V29" s="41"/>
      <c r="W29" s="41"/>
      <c r="X29" s="41"/>
      <c r="Y29" s="139"/>
      <c r="Z29" s="140"/>
      <c r="AA29" s="141"/>
      <c r="AB29" s="142"/>
      <c r="AC29" s="143"/>
      <c r="AD29" s="72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42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68"/>
    </row>
    <row r="30" spans="1:56" ht="15" customHeight="1" x14ac:dyDescent="0.3">
      <c r="A30" s="54" t="str">
        <f>IF(B30="","",COUNTA($B$8:B30))</f>
        <v/>
      </c>
      <c r="B30" s="42"/>
      <c r="C30" s="41"/>
      <c r="D30" s="41"/>
      <c r="E30" s="41"/>
      <c r="F30" s="41"/>
      <c r="G30" s="41"/>
      <c r="H30" s="41"/>
      <c r="I30" s="42"/>
      <c r="J30" s="32"/>
      <c r="K30" s="32"/>
      <c r="L30" s="32"/>
      <c r="M30" s="32"/>
      <c r="N30" s="32"/>
      <c r="O30" s="32"/>
      <c r="P30" s="32"/>
      <c r="Q30" s="32"/>
      <c r="R30" s="42"/>
      <c r="S30" s="41"/>
      <c r="T30" s="41"/>
      <c r="U30" s="41"/>
      <c r="V30" s="41"/>
      <c r="W30" s="41"/>
      <c r="X30" s="41"/>
      <c r="Y30" s="139"/>
      <c r="Z30" s="140"/>
      <c r="AA30" s="141"/>
      <c r="AB30" s="142"/>
      <c r="AC30" s="143"/>
      <c r="AD30" s="72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42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68"/>
    </row>
    <row r="31" spans="1:56" ht="15" customHeight="1" x14ac:dyDescent="0.3">
      <c r="A31" s="54" t="str">
        <f>IF(B31="","",COUNTA($B$8:B31))</f>
        <v/>
      </c>
      <c r="B31" s="42"/>
      <c r="C31" s="41"/>
      <c r="D31" s="41"/>
      <c r="E31" s="41"/>
      <c r="F31" s="41"/>
      <c r="G31" s="41"/>
      <c r="H31" s="41"/>
      <c r="I31" s="42"/>
      <c r="J31" s="32"/>
      <c r="K31" s="32"/>
      <c r="L31" s="32"/>
      <c r="M31" s="32"/>
      <c r="N31" s="32"/>
      <c r="O31" s="32"/>
      <c r="P31" s="32"/>
      <c r="Q31" s="32"/>
      <c r="R31" s="42"/>
      <c r="S31" s="41"/>
      <c r="T31" s="41"/>
      <c r="U31" s="41"/>
      <c r="V31" s="41"/>
      <c r="W31" s="41"/>
      <c r="X31" s="41"/>
      <c r="Y31" s="139"/>
      <c r="Z31" s="140"/>
      <c r="AA31" s="141"/>
      <c r="AB31" s="142"/>
      <c r="AC31" s="143"/>
      <c r="AD31" s="72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42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68"/>
    </row>
    <row r="32" spans="1:56" ht="15" customHeight="1" x14ac:dyDescent="0.3">
      <c r="A32" s="54" t="str">
        <f>IF(B32="","",COUNTA($B$8:B32))</f>
        <v/>
      </c>
      <c r="B32" s="42"/>
      <c r="C32" s="41"/>
      <c r="D32" s="41"/>
      <c r="E32" s="41"/>
      <c r="F32" s="41"/>
      <c r="G32" s="41"/>
      <c r="H32" s="41"/>
      <c r="I32" s="42"/>
      <c r="J32" s="32"/>
      <c r="K32" s="32"/>
      <c r="L32" s="32"/>
      <c r="M32" s="32"/>
      <c r="N32" s="32"/>
      <c r="O32" s="32"/>
      <c r="P32" s="32"/>
      <c r="Q32" s="32"/>
      <c r="R32" s="42"/>
      <c r="S32" s="41"/>
      <c r="T32" s="41"/>
      <c r="U32" s="41"/>
      <c r="V32" s="41"/>
      <c r="W32" s="41"/>
      <c r="X32" s="41"/>
      <c r="Y32" s="139"/>
      <c r="Z32" s="140"/>
      <c r="AA32" s="141"/>
      <c r="AB32" s="142"/>
      <c r="AC32" s="143"/>
      <c r="AD32" s="72"/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42"/>
      <c r="AT32" s="43"/>
      <c r="AU32" s="43"/>
      <c r="AV32" s="43"/>
      <c r="AW32" s="43"/>
      <c r="AX32" s="43"/>
      <c r="AY32" s="43"/>
      <c r="AZ32" s="43"/>
      <c r="BA32" s="43"/>
      <c r="BB32" s="43"/>
      <c r="BC32" s="43"/>
      <c r="BD32" s="68"/>
    </row>
    <row r="33" spans="1:56" ht="15" customHeight="1" x14ac:dyDescent="0.3">
      <c r="A33" s="54" t="str">
        <f>IF(B33="","",COUNTA($B$8:B33))</f>
        <v/>
      </c>
      <c r="B33" s="42"/>
      <c r="C33" s="41"/>
      <c r="D33" s="41"/>
      <c r="E33" s="41"/>
      <c r="F33" s="41"/>
      <c r="G33" s="41"/>
      <c r="H33" s="41"/>
      <c r="I33" s="42"/>
      <c r="J33" s="32"/>
      <c r="K33" s="32"/>
      <c r="L33" s="32"/>
      <c r="M33" s="32"/>
      <c r="N33" s="32"/>
      <c r="O33" s="32"/>
      <c r="P33" s="32"/>
      <c r="Q33" s="32"/>
      <c r="R33" s="42"/>
      <c r="S33" s="41"/>
      <c r="T33" s="41"/>
      <c r="U33" s="41"/>
      <c r="V33" s="41"/>
      <c r="W33" s="41"/>
      <c r="X33" s="41"/>
      <c r="Y33" s="139"/>
      <c r="Z33" s="140"/>
      <c r="AA33" s="141"/>
      <c r="AB33" s="142"/>
      <c r="AC33" s="143"/>
      <c r="AD33" s="72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42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68"/>
    </row>
    <row r="34" spans="1:56" ht="15" customHeight="1" x14ac:dyDescent="0.3">
      <c r="A34" s="54" t="str">
        <f>IF(B34="","",COUNTA($B$8:B34))</f>
        <v/>
      </c>
      <c r="B34" s="42"/>
      <c r="C34" s="41"/>
      <c r="D34" s="41"/>
      <c r="E34" s="41"/>
      <c r="F34" s="41"/>
      <c r="G34" s="41"/>
      <c r="H34" s="41"/>
      <c r="I34" s="42"/>
      <c r="J34" s="32"/>
      <c r="K34" s="32"/>
      <c r="L34" s="32"/>
      <c r="M34" s="32"/>
      <c r="N34" s="32"/>
      <c r="O34" s="32"/>
      <c r="P34" s="32"/>
      <c r="Q34" s="32"/>
      <c r="R34" s="42"/>
      <c r="S34" s="41"/>
      <c r="T34" s="41"/>
      <c r="U34" s="41"/>
      <c r="V34" s="41"/>
      <c r="W34" s="41"/>
      <c r="X34" s="41"/>
      <c r="Y34" s="139"/>
      <c r="Z34" s="140"/>
      <c r="AA34" s="141"/>
      <c r="AB34" s="142"/>
      <c r="AC34" s="143"/>
      <c r="AD34" s="72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42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68"/>
    </row>
    <row r="35" spans="1:56" ht="15" customHeight="1" x14ac:dyDescent="0.3">
      <c r="A35" s="54" t="str">
        <f>IF(B35="","",COUNTA($B$8:B35))</f>
        <v/>
      </c>
      <c r="B35" s="42"/>
      <c r="C35" s="41"/>
      <c r="D35" s="41"/>
      <c r="E35" s="41"/>
      <c r="F35" s="41"/>
      <c r="G35" s="41"/>
      <c r="H35" s="41"/>
      <c r="I35" s="42"/>
      <c r="J35" s="32"/>
      <c r="K35" s="32"/>
      <c r="L35" s="32"/>
      <c r="M35" s="32"/>
      <c r="N35" s="32"/>
      <c r="O35" s="32"/>
      <c r="P35" s="32"/>
      <c r="Q35" s="32"/>
      <c r="R35" s="42"/>
      <c r="S35" s="41"/>
      <c r="T35" s="41"/>
      <c r="U35" s="41"/>
      <c r="V35" s="41"/>
      <c r="W35" s="41"/>
      <c r="X35" s="41"/>
      <c r="Y35" s="139"/>
      <c r="Z35" s="140"/>
      <c r="AA35" s="141"/>
      <c r="AB35" s="142"/>
      <c r="AC35" s="143"/>
      <c r="AD35" s="72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42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68"/>
    </row>
    <row r="36" spans="1:56" ht="15" customHeight="1" x14ac:dyDescent="0.3">
      <c r="A36" s="54" t="str">
        <f>IF(B36="","",COUNTA($B$8:B36))</f>
        <v/>
      </c>
      <c r="B36" s="42"/>
      <c r="C36" s="41"/>
      <c r="D36" s="41"/>
      <c r="E36" s="41"/>
      <c r="F36" s="41"/>
      <c r="G36" s="41"/>
      <c r="H36" s="41"/>
      <c r="I36" s="42"/>
      <c r="J36" s="32"/>
      <c r="K36" s="32"/>
      <c r="L36" s="32"/>
      <c r="M36" s="32"/>
      <c r="N36" s="32"/>
      <c r="O36" s="32"/>
      <c r="P36" s="32"/>
      <c r="Q36" s="32"/>
      <c r="R36" s="42"/>
      <c r="S36" s="41"/>
      <c r="T36" s="41"/>
      <c r="U36" s="41"/>
      <c r="V36" s="41"/>
      <c r="W36" s="41"/>
      <c r="X36" s="41"/>
      <c r="Y36" s="139"/>
      <c r="Z36" s="140"/>
      <c r="AA36" s="141"/>
      <c r="AB36" s="142"/>
      <c r="AC36" s="143"/>
      <c r="AD36" s="72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42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68"/>
    </row>
    <row r="37" spans="1:56" ht="15" customHeight="1" x14ac:dyDescent="0.3">
      <c r="A37" s="54" t="str">
        <f>IF(B37="","",COUNTA($B$8:B37))</f>
        <v/>
      </c>
      <c r="B37" s="42"/>
      <c r="C37" s="41"/>
      <c r="D37" s="41"/>
      <c r="E37" s="41"/>
      <c r="F37" s="41"/>
      <c r="G37" s="41"/>
      <c r="H37" s="41"/>
      <c r="I37" s="42"/>
      <c r="J37" s="32"/>
      <c r="K37" s="32"/>
      <c r="L37" s="32"/>
      <c r="M37" s="32"/>
      <c r="N37" s="32"/>
      <c r="O37" s="32"/>
      <c r="P37" s="32"/>
      <c r="Q37" s="32"/>
      <c r="R37" s="42"/>
      <c r="S37" s="41"/>
      <c r="T37" s="41"/>
      <c r="U37" s="41"/>
      <c r="V37" s="41"/>
      <c r="W37" s="41"/>
      <c r="X37" s="41"/>
      <c r="Y37" s="139"/>
      <c r="Z37" s="140"/>
      <c r="AA37" s="141"/>
      <c r="AB37" s="142"/>
      <c r="AC37" s="143"/>
      <c r="AD37" s="72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42"/>
      <c r="AT37" s="43"/>
      <c r="AU37" s="43"/>
      <c r="AV37" s="43"/>
      <c r="AW37" s="43"/>
      <c r="AX37" s="43"/>
      <c r="AY37" s="43"/>
      <c r="AZ37" s="43"/>
      <c r="BA37" s="43"/>
      <c r="BB37" s="43"/>
      <c r="BC37" s="43"/>
      <c r="BD37" s="68"/>
    </row>
    <row r="38" spans="1:56" ht="15" customHeight="1" x14ac:dyDescent="0.3">
      <c r="A38" s="54" t="str">
        <f>IF(B38="","",COUNTA($B$8:B38))</f>
        <v/>
      </c>
      <c r="B38" s="42"/>
      <c r="C38" s="41"/>
      <c r="D38" s="41"/>
      <c r="E38" s="41"/>
      <c r="F38" s="41"/>
      <c r="G38" s="41"/>
      <c r="H38" s="41"/>
      <c r="I38" s="42"/>
      <c r="J38" s="32"/>
      <c r="K38" s="32"/>
      <c r="L38" s="32"/>
      <c r="M38" s="32"/>
      <c r="N38" s="32"/>
      <c r="O38" s="32"/>
      <c r="P38" s="32"/>
      <c r="Q38" s="32"/>
      <c r="R38" s="42"/>
      <c r="S38" s="41"/>
      <c r="T38" s="41"/>
      <c r="U38" s="41"/>
      <c r="V38" s="41"/>
      <c r="W38" s="41"/>
      <c r="X38" s="41"/>
      <c r="Y38" s="139"/>
      <c r="Z38" s="140"/>
      <c r="AA38" s="141"/>
      <c r="AB38" s="142"/>
      <c r="AC38" s="143"/>
      <c r="AD38" s="72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42"/>
      <c r="AT38" s="43"/>
      <c r="AU38" s="43"/>
      <c r="AV38" s="43"/>
      <c r="AW38" s="43"/>
      <c r="AX38" s="43"/>
      <c r="AY38" s="43"/>
      <c r="AZ38" s="43"/>
      <c r="BA38" s="43"/>
      <c r="BB38" s="43"/>
      <c r="BC38" s="43"/>
      <c r="BD38" s="68"/>
    </row>
    <row r="39" spans="1:56" ht="15" customHeight="1" x14ac:dyDescent="0.3">
      <c r="A39" s="54" t="str">
        <f>IF(B39="","",COUNTA($B$8:B39))</f>
        <v/>
      </c>
      <c r="B39" s="42"/>
      <c r="C39" s="41"/>
      <c r="D39" s="41"/>
      <c r="E39" s="41"/>
      <c r="F39" s="41"/>
      <c r="G39" s="41"/>
      <c r="H39" s="41"/>
      <c r="I39" s="42"/>
      <c r="J39" s="32"/>
      <c r="K39" s="32"/>
      <c r="L39" s="32"/>
      <c r="M39" s="32"/>
      <c r="N39" s="32"/>
      <c r="O39" s="32"/>
      <c r="P39" s="32"/>
      <c r="Q39" s="32"/>
      <c r="R39" s="42"/>
      <c r="S39" s="41"/>
      <c r="T39" s="41"/>
      <c r="U39" s="41"/>
      <c r="V39" s="41"/>
      <c r="W39" s="41"/>
      <c r="X39" s="41"/>
      <c r="Y39" s="139"/>
      <c r="Z39" s="140"/>
      <c r="AA39" s="141"/>
      <c r="AB39" s="142"/>
      <c r="AC39" s="143"/>
      <c r="AD39" s="72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42"/>
      <c r="AT39" s="43"/>
      <c r="AU39" s="43"/>
      <c r="AV39" s="43"/>
      <c r="AW39" s="43"/>
      <c r="AX39" s="43"/>
      <c r="AY39" s="43"/>
      <c r="AZ39" s="43"/>
      <c r="BA39" s="43"/>
      <c r="BB39" s="43"/>
      <c r="BC39" s="43"/>
      <c r="BD39" s="68"/>
    </row>
    <row r="40" spans="1:56" ht="15" customHeight="1" x14ac:dyDescent="0.3">
      <c r="A40" s="54" t="str">
        <f>IF(B40="","",COUNTA($B$8:B40))</f>
        <v/>
      </c>
      <c r="B40" s="42"/>
      <c r="C40" s="41"/>
      <c r="D40" s="41"/>
      <c r="E40" s="41"/>
      <c r="F40" s="41"/>
      <c r="G40" s="41"/>
      <c r="H40" s="41"/>
      <c r="I40" s="42"/>
      <c r="J40" s="32"/>
      <c r="K40" s="32"/>
      <c r="L40" s="32"/>
      <c r="M40" s="32"/>
      <c r="N40" s="32"/>
      <c r="O40" s="32"/>
      <c r="P40" s="32"/>
      <c r="Q40" s="32"/>
      <c r="R40" s="42"/>
      <c r="S40" s="41"/>
      <c r="T40" s="41"/>
      <c r="U40" s="41"/>
      <c r="V40" s="41"/>
      <c r="W40" s="41"/>
      <c r="X40" s="41"/>
      <c r="Y40" s="139"/>
      <c r="Z40" s="140"/>
      <c r="AA40" s="141"/>
      <c r="AB40" s="142"/>
      <c r="AC40" s="143"/>
      <c r="AD40" s="72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42"/>
      <c r="AT40" s="43"/>
      <c r="AU40" s="43"/>
      <c r="AV40" s="43"/>
      <c r="AW40" s="43"/>
      <c r="AX40" s="43"/>
      <c r="AY40" s="43"/>
      <c r="AZ40" s="43"/>
      <c r="BA40" s="43"/>
      <c r="BB40" s="43"/>
      <c r="BC40" s="43"/>
      <c r="BD40" s="68"/>
    </row>
    <row r="41" spans="1:56" ht="15" customHeight="1" x14ac:dyDescent="0.3">
      <c r="A41" s="54" t="str">
        <f>IF(B41="","",COUNTA($B$8:B41))</f>
        <v/>
      </c>
      <c r="B41" s="42"/>
      <c r="C41" s="41"/>
      <c r="D41" s="41"/>
      <c r="E41" s="41"/>
      <c r="F41" s="41"/>
      <c r="G41" s="41"/>
      <c r="H41" s="41"/>
      <c r="I41" s="42"/>
      <c r="J41" s="32"/>
      <c r="K41" s="32"/>
      <c r="L41" s="32"/>
      <c r="M41" s="32"/>
      <c r="N41" s="32"/>
      <c r="O41" s="32"/>
      <c r="P41" s="32"/>
      <c r="Q41" s="32"/>
      <c r="R41" s="42"/>
      <c r="S41" s="41"/>
      <c r="T41" s="41"/>
      <c r="U41" s="41"/>
      <c r="V41" s="41"/>
      <c r="W41" s="41"/>
      <c r="X41" s="41"/>
      <c r="Y41" s="139"/>
      <c r="Z41" s="140"/>
      <c r="AA41" s="141"/>
      <c r="AB41" s="142"/>
      <c r="AC41" s="143"/>
      <c r="AD41" s="72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42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68"/>
    </row>
    <row r="42" spans="1:56" ht="15" customHeight="1" x14ac:dyDescent="0.3">
      <c r="A42" s="54" t="str">
        <f>IF(B42="","",COUNTA($B$8:B42))</f>
        <v/>
      </c>
      <c r="B42" s="42"/>
      <c r="C42" s="41"/>
      <c r="D42" s="41"/>
      <c r="E42" s="41"/>
      <c r="F42" s="41"/>
      <c r="G42" s="41"/>
      <c r="H42" s="41"/>
      <c r="I42" s="42"/>
      <c r="J42" s="32"/>
      <c r="K42" s="32"/>
      <c r="L42" s="32"/>
      <c r="M42" s="32"/>
      <c r="N42" s="32"/>
      <c r="O42" s="32"/>
      <c r="P42" s="32"/>
      <c r="Q42" s="32"/>
      <c r="R42" s="42"/>
      <c r="S42" s="41"/>
      <c r="T42" s="41"/>
      <c r="U42" s="41"/>
      <c r="V42" s="41"/>
      <c r="W42" s="41"/>
      <c r="X42" s="41"/>
      <c r="Y42" s="139"/>
      <c r="Z42" s="140"/>
      <c r="AA42" s="141"/>
      <c r="AB42" s="142"/>
      <c r="AC42" s="143"/>
      <c r="AD42" s="72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42"/>
      <c r="AT42" s="43"/>
      <c r="AU42" s="43"/>
      <c r="AV42" s="43"/>
      <c r="AW42" s="43"/>
      <c r="AX42" s="43"/>
      <c r="AY42" s="43"/>
      <c r="AZ42" s="43"/>
      <c r="BA42" s="43"/>
      <c r="BB42" s="43"/>
      <c r="BC42" s="43"/>
      <c r="BD42" s="68"/>
    </row>
    <row r="43" spans="1:56" ht="15" customHeight="1" x14ac:dyDescent="0.3">
      <c r="A43" s="54" t="str">
        <f>IF(B43="","",COUNTA($B$8:B43))</f>
        <v/>
      </c>
      <c r="B43" s="42"/>
      <c r="C43" s="41"/>
      <c r="D43" s="41"/>
      <c r="E43" s="41"/>
      <c r="F43" s="41"/>
      <c r="G43" s="41"/>
      <c r="H43" s="41"/>
      <c r="I43" s="42"/>
      <c r="J43" s="32"/>
      <c r="K43" s="32"/>
      <c r="L43" s="32"/>
      <c r="M43" s="32"/>
      <c r="N43" s="32"/>
      <c r="O43" s="32"/>
      <c r="P43" s="32"/>
      <c r="Q43" s="32"/>
      <c r="R43" s="42"/>
      <c r="S43" s="41"/>
      <c r="T43" s="41"/>
      <c r="U43" s="41"/>
      <c r="V43" s="41"/>
      <c r="W43" s="41"/>
      <c r="X43" s="41"/>
      <c r="Y43" s="139"/>
      <c r="Z43" s="140"/>
      <c r="AA43" s="141"/>
      <c r="AB43" s="142"/>
      <c r="AC43" s="143"/>
      <c r="AD43" s="72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42"/>
      <c r="AT43" s="43"/>
      <c r="AU43" s="43"/>
      <c r="AV43" s="43"/>
      <c r="AW43" s="43"/>
      <c r="AX43" s="43"/>
      <c r="AY43" s="43"/>
      <c r="AZ43" s="43"/>
      <c r="BA43" s="43"/>
      <c r="BB43" s="43"/>
      <c r="BC43" s="43"/>
      <c r="BD43" s="68"/>
    </row>
    <row r="44" spans="1:56" ht="15" customHeight="1" x14ac:dyDescent="0.3">
      <c r="A44" s="54" t="str">
        <f>IF(B44="","",COUNTA($B$8:B44))</f>
        <v/>
      </c>
      <c r="B44" s="28"/>
      <c r="C44" s="41"/>
      <c r="D44" s="41"/>
      <c r="E44" s="41"/>
      <c r="F44" s="41"/>
      <c r="G44" s="41"/>
      <c r="H44" s="41"/>
      <c r="I44" s="20"/>
      <c r="J44" s="32"/>
      <c r="K44" s="32"/>
      <c r="L44" s="32"/>
      <c r="M44" s="32"/>
      <c r="N44" s="32"/>
      <c r="O44" s="32"/>
      <c r="P44" s="32"/>
      <c r="Q44" s="32"/>
      <c r="R44" s="28"/>
      <c r="S44" s="41"/>
      <c r="T44" s="41"/>
      <c r="U44" s="41"/>
      <c r="V44" s="41"/>
      <c r="W44" s="41"/>
      <c r="X44" s="41"/>
      <c r="Y44" s="139"/>
      <c r="Z44" s="140"/>
      <c r="AA44" s="141"/>
      <c r="AB44" s="142"/>
      <c r="AC44" s="143"/>
      <c r="AD44" s="55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8"/>
      <c r="AT44" s="69"/>
      <c r="AU44" s="69"/>
      <c r="AV44" s="69"/>
      <c r="AW44" s="69"/>
      <c r="AX44" s="69"/>
      <c r="AY44" s="69"/>
      <c r="AZ44" s="69"/>
      <c r="BA44" s="69"/>
      <c r="BB44" s="69"/>
      <c r="BC44" s="69"/>
      <c r="BD44" s="70"/>
    </row>
  </sheetData>
  <mergeCells count="100">
    <mergeCell ref="Y37:Z37"/>
    <mergeCell ref="AA37:AC37"/>
    <mergeCell ref="Y38:Z38"/>
    <mergeCell ref="AA38:AC38"/>
    <mergeCell ref="Y39:Z39"/>
    <mergeCell ref="AA39:AC39"/>
    <mergeCell ref="Y34:Z34"/>
    <mergeCell ref="AA34:AC34"/>
    <mergeCell ref="Y35:Z35"/>
    <mergeCell ref="AA35:AC35"/>
    <mergeCell ref="Y36:Z36"/>
    <mergeCell ref="AA36:AC36"/>
    <mergeCell ref="Y43:Z43"/>
    <mergeCell ref="AA43:AC43"/>
    <mergeCell ref="Y44:Z44"/>
    <mergeCell ref="AA44:AC44"/>
    <mergeCell ref="Y40:Z40"/>
    <mergeCell ref="AA40:AC40"/>
    <mergeCell ref="Y41:Z41"/>
    <mergeCell ref="AA41:AC41"/>
    <mergeCell ref="Y42:Z42"/>
    <mergeCell ref="AA42:AC42"/>
    <mergeCell ref="Y31:Z31"/>
    <mergeCell ref="AA31:AC31"/>
    <mergeCell ref="Y32:Z32"/>
    <mergeCell ref="AA32:AC32"/>
    <mergeCell ref="Y33:Z33"/>
    <mergeCell ref="AA33:AC33"/>
    <mergeCell ref="Y28:Z28"/>
    <mergeCell ref="AA28:AC28"/>
    <mergeCell ref="Y29:Z29"/>
    <mergeCell ref="AA29:AC29"/>
    <mergeCell ref="Y30:Z30"/>
    <mergeCell ref="AA30:AC30"/>
    <mergeCell ref="Y25:Z25"/>
    <mergeCell ref="AA25:AC25"/>
    <mergeCell ref="Y26:Z26"/>
    <mergeCell ref="AA26:AC26"/>
    <mergeCell ref="Y27:Z27"/>
    <mergeCell ref="AA27:AC27"/>
    <mergeCell ref="Y22:Z22"/>
    <mergeCell ref="AA22:AC22"/>
    <mergeCell ref="Y23:Z23"/>
    <mergeCell ref="AA23:AC23"/>
    <mergeCell ref="Y24:Z24"/>
    <mergeCell ref="AA24:AC24"/>
    <mergeCell ref="AA17:AC17"/>
    <mergeCell ref="AA18:AC18"/>
    <mergeCell ref="AA19:AC19"/>
    <mergeCell ref="Y21:Z21"/>
    <mergeCell ref="AA21:AC21"/>
    <mergeCell ref="AA20:AC20"/>
    <mergeCell ref="Y13:Z13"/>
    <mergeCell ref="AA13:AC13"/>
    <mergeCell ref="AA14:AC14"/>
    <mergeCell ref="AA15:AC15"/>
    <mergeCell ref="Y16:Z16"/>
    <mergeCell ref="AA16:AC16"/>
    <mergeCell ref="Y10:Z10"/>
    <mergeCell ref="AA10:AC10"/>
    <mergeCell ref="AS6:BD7"/>
    <mergeCell ref="Y8:Z8"/>
    <mergeCell ref="AA8:AC8"/>
    <mergeCell ref="AZ4:BD4"/>
    <mergeCell ref="Y11:Z11"/>
    <mergeCell ref="AA11:AC11"/>
    <mergeCell ref="Y12:Z12"/>
    <mergeCell ref="AA12:AC12"/>
    <mergeCell ref="AG6:AG7"/>
    <mergeCell ref="AH6:AH7"/>
    <mergeCell ref="AI6:AR6"/>
    <mergeCell ref="Y9:Z9"/>
    <mergeCell ref="AA9:AC9"/>
    <mergeCell ref="AA6:AC7"/>
    <mergeCell ref="AD6:AD7"/>
    <mergeCell ref="AE6:AE7"/>
    <mergeCell ref="AF6:AF7"/>
    <mergeCell ref="AP4:AT4"/>
    <mergeCell ref="AU4:AY4"/>
    <mergeCell ref="A6:A7"/>
    <mergeCell ref="B6:H7"/>
    <mergeCell ref="I6:Q7"/>
    <mergeCell ref="R6:X7"/>
    <mergeCell ref="Y6:Z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</mergeCells>
  <phoneticPr fontId="4"/>
  <dataValidations count="3">
    <dataValidation imeMode="hiragana" allowBlank="1" showInputMessage="1" showErrorMessage="1" sqref="JG65519:JR65521 TC65519:TN65521 ACY65519:ADJ65521 AMU65519:ANF65521 AWQ65519:AXB65521 BGM65519:BGX65521 BQI65519:BQT65521 CAE65519:CAP65521 CKA65519:CKL65521 CTW65519:CUH65521 DDS65519:DED65521 DNO65519:DNZ65521 DXK65519:DXV65521 EHG65519:EHR65521 ERC65519:ERN65521 FAY65519:FBJ65521 FKU65519:FLF65521 FUQ65519:FVB65521 GEM65519:GEX65521 GOI65519:GOT65521 GYE65519:GYP65521 HIA65519:HIL65521 HRW65519:HSH65521 IBS65519:ICD65521 ILO65519:ILZ65521 IVK65519:IVV65521 JFG65519:JFR65521 JPC65519:JPN65521 JYY65519:JZJ65521 KIU65519:KJF65521 KSQ65519:KTB65521 LCM65519:LCX65521 LMI65519:LMT65521 LWE65519:LWP65521 MGA65519:MGL65521 MPW65519:MQH65521 MZS65519:NAD65521 NJO65519:NJZ65521 NTK65519:NTV65521 ODG65519:ODR65521 ONC65519:ONN65521 OWY65519:OXJ65521 PGU65519:PHF65521 PQQ65519:PRB65521 QAM65519:QAX65521 QKI65519:QKT65521 QUE65519:QUP65521 REA65519:REL65521 RNW65519:ROH65521 RXS65519:RYD65521 SHO65519:SHZ65521 SRK65519:SRV65521 TBG65519:TBR65521 TLC65519:TLN65521 TUY65519:TVJ65521 UEU65519:UFF65521 UOQ65519:UPB65521 UYM65519:UYX65521 VII65519:VIT65521 VSE65519:VSP65521 WCA65519:WCL65521 WLW65519:WMH65521 WVS65519:WWD65521 JG131055:JR131057 TC131055:TN131057 ACY131055:ADJ131057 AMU131055:ANF131057 AWQ131055:AXB131057 BGM131055:BGX131057 BQI131055:BQT131057 CAE131055:CAP131057 CKA131055:CKL131057 CTW131055:CUH131057 DDS131055:DED131057 DNO131055:DNZ131057 DXK131055:DXV131057 EHG131055:EHR131057 ERC131055:ERN131057 FAY131055:FBJ131057 FKU131055:FLF131057 FUQ131055:FVB131057 GEM131055:GEX131057 GOI131055:GOT131057 GYE131055:GYP131057 HIA131055:HIL131057 HRW131055:HSH131057 IBS131055:ICD131057 ILO131055:ILZ131057 IVK131055:IVV131057 JFG131055:JFR131057 JPC131055:JPN131057 JYY131055:JZJ131057 KIU131055:KJF131057 KSQ131055:KTB131057 LCM131055:LCX131057 LMI131055:LMT131057 LWE131055:LWP131057 MGA131055:MGL131057 MPW131055:MQH131057 MZS131055:NAD131057 NJO131055:NJZ131057 NTK131055:NTV131057 ODG131055:ODR131057 ONC131055:ONN131057 OWY131055:OXJ131057 PGU131055:PHF131057 PQQ131055:PRB131057 QAM131055:QAX131057 QKI131055:QKT131057 QUE131055:QUP131057 REA131055:REL131057 RNW131055:ROH131057 RXS131055:RYD131057 SHO131055:SHZ131057 SRK131055:SRV131057 TBG131055:TBR131057 TLC131055:TLN131057 TUY131055:TVJ131057 UEU131055:UFF131057 UOQ131055:UPB131057 UYM131055:UYX131057 VII131055:VIT131057 VSE131055:VSP131057 WCA131055:WCL131057 WLW131055:WMH131057 WVS131055:WWD131057 JG196591:JR196593 TC196591:TN196593 ACY196591:ADJ196593 AMU196591:ANF196593 AWQ196591:AXB196593 BGM196591:BGX196593 BQI196591:BQT196593 CAE196591:CAP196593 CKA196591:CKL196593 CTW196591:CUH196593 DDS196591:DED196593 DNO196591:DNZ196593 DXK196591:DXV196593 EHG196591:EHR196593 ERC196591:ERN196593 FAY196591:FBJ196593 FKU196591:FLF196593 FUQ196591:FVB196593 GEM196591:GEX196593 GOI196591:GOT196593 GYE196591:GYP196593 HIA196591:HIL196593 HRW196591:HSH196593 IBS196591:ICD196593 ILO196591:ILZ196593 IVK196591:IVV196593 JFG196591:JFR196593 JPC196591:JPN196593 JYY196591:JZJ196593 KIU196591:KJF196593 KSQ196591:KTB196593 LCM196591:LCX196593 LMI196591:LMT196593 LWE196591:LWP196593 MGA196591:MGL196593 MPW196591:MQH196593 MZS196591:NAD196593 NJO196591:NJZ196593 NTK196591:NTV196593 ODG196591:ODR196593 ONC196591:ONN196593 OWY196591:OXJ196593 PGU196591:PHF196593 PQQ196591:PRB196593 QAM196591:QAX196593 QKI196591:QKT196593 QUE196591:QUP196593 REA196591:REL196593 RNW196591:ROH196593 RXS196591:RYD196593 SHO196591:SHZ196593 SRK196591:SRV196593 TBG196591:TBR196593 TLC196591:TLN196593 TUY196591:TVJ196593 UEU196591:UFF196593 UOQ196591:UPB196593 UYM196591:UYX196593 VII196591:VIT196593 VSE196591:VSP196593 WCA196591:WCL196593 WLW196591:WMH196593 WVS196591:WWD196593 JG262127:JR262129 TC262127:TN262129 ACY262127:ADJ262129 AMU262127:ANF262129 AWQ262127:AXB262129 BGM262127:BGX262129 BQI262127:BQT262129 CAE262127:CAP262129 CKA262127:CKL262129 CTW262127:CUH262129 DDS262127:DED262129 DNO262127:DNZ262129 DXK262127:DXV262129 EHG262127:EHR262129 ERC262127:ERN262129 FAY262127:FBJ262129 FKU262127:FLF262129 FUQ262127:FVB262129 GEM262127:GEX262129 GOI262127:GOT262129 GYE262127:GYP262129 HIA262127:HIL262129 HRW262127:HSH262129 IBS262127:ICD262129 ILO262127:ILZ262129 IVK262127:IVV262129 JFG262127:JFR262129 JPC262127:JPN262129 JYY262127:JZJ262129 KIU262127:KJF262129 KSQ262127:KTB262129 LCM262127:LCX262129 LMI262127:LMT262129 LWE262127:LWP262129 MGA262127:MGL262129 MPW262127:MQH262129 MZS262127:NAD262129 NJO262127:NJZ262129 NTK262127:NTV262129 ODG262127:ODR262129 ONC262127:ONN262129 OWY262127:OXJ262129 PGU262127:PHF262129 PQQ262127:PRB262129 QAM262127:QAX262129 QKI262127:QKT262129 QUE262127:QUP262129 REA262127:REL262129 RNW262127:ROH262129 RXS262127:RYD262129 SHO262127:SHZ262129 SRK262127:SRV262129 TBG262127:TBR262129 TLC262127:TLN262129 TUY262127:TVJ262129 UEU262127:UFF262129 UOQ262127:UPB262129 UYM262127:UYX262129 VII262127:VIT262129 VSE262127:VSP262129 WCA262127:WCL262129 WLW262127:WMH262129 WVS262127:WWD262129 JG327663:JR327665 TC327663:TN327665 ACY327663:ADJ327665 AMU327663:ANF327665 AWQ327663:AXB327665 BGM327663:BGX327665 BQI327663:BQT327665 CAE327663:CAP327665 CKA327663:CKL327665 CTW327663:CUH327665 DDS327663:DED327665 DNO327663:DNZ327665 DXK327663:DXV327665 EHG327663:EHR327665 ERC327663:ERN327665 FAY327663:FBJ327665 FKU327663:FLF327665 FUQ327663:FVB327665 GEM327663:GEX327665 GOI327663:GOT327665 GYE327663:GYP327665 HIA327663:HIL327665 HRW327663:HSH327665 IBS327663:ICD327665 ILO327663:ILZ327665 IVK327663:IVV327665 JFG327663:JFR327665 JPC327663:JPN327665 JYY327663:JZJ327665 KIU327663:KJF327665 KSQ327663:KTB327665 LCM327663:LCX327665 LMI327663:LMT327665 LWE327663:LWP327665 MGA327663:MGL327665 MPW327663:MQH327665 MZS327663:NAD327665 NJO327663:NJZ327665 NTK327663:NTV327665 ODG327663:ODR327665 ONC327663:ONN327665 OWY327663:OXJ327665 PGU327663:PHF327665 PQQ327663:PRB327665 QAM327663:QAX327665 QKI327663:QKT327665 QUE327663:QUP327665 REA327663:REL327665 RNW327663:ROH327665 RXS327663:RYD327665 SHO327663:SHZ327665 SRK327663:SRV327665 TBG327663:TBR327665 TLC327663:TLN327665 TUY327663:TVJ327665 UEU327663:UFF327665 UOQ327663:UPB327665 UYM327663:UYX327665 VII327663:VIT327665 VSE327663:VSP327665 WCA327663:WCL327665 WLW327663:WMH327665 WVS327663:WWD327665 JG393199:JR393201 TC393199:TN393201 ACY393199:ADJ393201 AMU393199:ANF393201 AWQ393199:AXB393201 BGM393199:BGX393201 BQI393199:BQT393201 CAE393199:CAP393201 CKA393199:CKL393201 CTW393199:CUH393201 DDS393199:DED393201 DNO393199:DNZ393201 DXK393199:DXV393201 EHG393199:EHR393201 ERC393199:ERN393201 FAY393199:FBJ393201 FKU393199:FLF393201 FUQ393199:FVB393201 GEM393199:GEX393201 GOI393199:GOT393201 GYE393199:GYP393201 HIA393199:HIL393201 HRW393199:HSH393201 IBS393199:ICD393201 ILO393199:ILZ393201 IVK393199:IVV393201 JFG393199:JFR393201 JPC393199:JPN393201 JYY393199:JZJ393201 KIU393199:KJF393201 KSQ393199:KTB393201 LCM393199:LCX393201 LMI393199:LMT393201 LWE393199:LWP393201 MGA393199:MGL393201 MPW393199:MQH393201 MZS393199:NAD393201 NJO393199:NJZ393201 NTK393199:NTV393201 ODG393199:ODR393201 ONC393199:ONN393201 OWY393199:OXJ393201 PGU393199:PHF393201 PQQ393199:PRB393201 QAM393199:QAX393201 QKI393199:QKT393201 QUE393199:QUP393201 REA393199:REL393201 RNW393199:ROH393201 RXS393199:RYD393201 SHO393199:SHZ393201 SRK393199:SRV393201 TBG393199:TBR393201 TLC393199:TLN393201 TUY393199:TVJ393201 UEU393199:UFF393201 UOQ393199:UPB393201 UYM393199:UYX393201 VII393199:VIT393201 VSE393199:VSP393201 WCA393199:WCL393201 WLW393199:WMH393201 WVS393199:WWD393201 JG458735:JR458737 TC458735:TN458737 ACY458735:ADJ458737 AMU458735:ANF458737 AWQ458735:AXB458737 BGM458735:BGX458737 BQI458735:BQT458737 CAE458735:CAP458737 CKA458735:CKL458737 CTW458735:CUH458737 DDS458735:DED458737 DNO458735:DNZ458737 DXK458735:DXV458737 EHG458735:EHR458737 ERC458735:ERN458737 FAY458735:FBJ458737 FKU458735:FLF458737 FUQ458735:FVB458737 GEM458735:GEX458737 GOI458735:GOT458737 GYE458735:GYP458737 HIA458735:HIL458737 HRW458735:HSH458737 IBS458735:ICD458737 ILO458735:ILZ458737 IVK458735:IVV458737 JFG458735:JFR458737 JPC458735:JPN458737 JYY458735:JZJ458737 KIU458735:KJF458737 KSQ458735:KTB458737 LCM458735:LCX458737 LMI458735:LMT458737 LWE458735:LWP458737 MGA458735:MGL458737 MPW458735:MQH458737 MZS458735:NAD458737 NJO458735:NJZ458737 NTK458735:NTV458737 ODG458735:ODR458737 ONC458735:ONN458737 OWY458735:OXJ458737 PGU458735:PHF458737 PQQ458735:PRB458737 QAM458735:QAX458737 QKI458735:QKT458737 QUE458735:QUP458737 REA458735:REL458737 RNW458735:ROH458737 RXS458735:RYD458737 SHO458735:SHZ458737 SRK458735:SRV458737 TBG458735:TBR458737 TLC458735:TLN458737 TUY458735:TVJ458737 UEU458735:UFF458737 UOQ458735:UPB458737 UYM458735:UYX458737 VII458735:VIT458737 VSE458735:VSP458737 WCA458735:WCL458737 WLW458735:WMH458737 WVS458735:WWD458737 JG524271:JR524273 TC524271:TN524273 ACY524271:ADJ524273 AMU524271:ANF524273 AWQ524271:AXB524273 BGM524271:BGX524273 BQI524271:BQT524273 CAE524271:CAP524273 CKA524271:CKL524273 CTW524271:CUH524273 DDS524271:DED524273 DNO524271:DNZ524273 DXK524271:DXV524273 EHG524271:EHR524273 ERC524271:ERN524273 FAY524271:FBJ524273 FKU524271:FLF524273 FUQ524271:FVB524273 GEM524271:GEX524273 GOI524271:GOT524273 GYE524271:GYP524273 HIA524271:HIL524273 HRW524271:HSH524273 IBS524271:ICD524273 ILO524271:ILZ524273 IVK524271:IVV524273 JFG524271:JFR524273 JPC524271:JPN524273 JYY524271:JZJ524273 KIU524271:KJF524273 KSQ524271:KTB524273 LCM524271:LCX524273 LMI524271:LMT524273 LWE524271:LWP524273 MGA524271:MGL524273 MPW524271:MQH524273 MZS524271:NAD524273 NJO524271:NJZ524273 NTK524271:NTV524273 ODG524271:ODR524273 ONC524271:ONN524273 OWY524271:OXJ524273 PGU524271:PHF524273 PQQ524271:PRB524273 QAM524271:QAX524273 QKI524271:QKT524273 QUE524271:QUP524273 REA524271:REL524273 RNW524271:ROH524273 RXS524271:RYD524273 SHO524271:SHZ524273 SRK524271:SRV524273 TBG524271:TBR524273 TLC524271:TLN524273 TUY524271:TVJ524273 UEU524271:UFF524273 UOQ524271:UPB524273 UYM524271:UYX524273 VII524271:VIT524273 VSE524271:VSP524273 WCA524271:WCL524273 WLW524271:WMH524273 WVS524271:WWD524273 JG589807:JR589809 TC589807:TN589809 ACY589807:ADJ589809 AMU589807:ANF589809 AWQ589807:AXB589809 BGM589807:BGX589809 BQI589807:BQT589809 CAE589807:CAP589809 CKA589807:CKL589809 CTW589807:CUH589809 DDS589807:DED589809 DNO589807:DNZ589809 DXK589807:DXV589809 EHG589807:EHR589809 ERC589807:ERN589809 FAY589807:FBJ589809 FKU589807:FLF589809 FUQ589807:FVB589809 GEM589807:GEX589809 GOI589807:GOT589809 GYE589807:GYP589809 HIA589807:HIL589809 HRW589807:HSH589809 IBS589807:ICD589809 ILO589807:ILZ589809 IVK589807:IVV589809 JFG589807:JFR589809 JPC589807:JPN589809 JYY589807:JZJ589809 KIU589807:KJF589809 KSQ589807:KTB589809 LCM589807:LCX589809 LMI589807:LMT589809 LWE589807:LWP589809 MGA589807:MGL589809 MPW589807:MQH589809 MZS589807:NAD589809 NJO589807:NJZ589809 NTK589807:NTV589809 ODG589807:ODR589809 ONC589807:ONN589809 OWY589807:OXJ589809 PGU589807:PHF589809 PQQ589807:PRB589809 QAM589807:QAX589809 QKI589807:QKT589809 QUE589807:QUP589809 REA589807:REL589809 RNW589807:ROH589809 RXS589807:RYD589809 SHO589807:SHZ589809 SRK589807:SRV589809 TBG589807:TBR589809 TLC589807:TLN589809 TUY589807:TVJ589809 UEU589807:UFF589809 UOQ589807:UPB589809 UYM589807:UYX589809 VII589807:VIT589809 VSE589807:VSP589809 WCA589807:WCL589809 WLW589807:WMH589809 WVS589807:WWD589809 JG655343:JR655345 TC655343:TN655345 ACY655343:ADJ655345 AMU655343:ANF655345 AWQ655343:AXB655345 BGM655343:BGX655345 BQI655343:BQT655345 CAE655343:CAP655345 CKA655343:CKL655345 CTW655343:CUH655345 DDS655343:DED655345 DNO655343:DNZ655345 DXK655343:DXV655345 EHG655343:EHR655345 ERC655343:ERN655345 FAY655343:FBJ655345 FKU655343:FLF655345 FUQ655343:FVB655345 GEM655343:GEX655345 GOI655343:GOT655345 GYE655343:GYP655345 HIA655343:HIL655345 HRW655343:HSH655345 IBS655343:ICD655345 ILO655343:ILZ655345 IVK655343:IVV655345 JFG655343:JFR655345 JPC655343:JPN655345 JYY655343:JZJ655345 KIU655343:KJF655345 KSQ655343:KTB655345 LCM655343:LCX655345 LMI655343:LMT655345 LWE655343:LWP655345 MGA655343:MGL655345 MPW655343:MQH655345 MZS655343:NAD655345 NJO655343:NJZ655345 NTK655343:NTV655345 ODG655343:ODR655345 ONC655343:ONN655345 OWY655343:OXJ655345 PGU655343:PHF655345 PQQ655343:PRB655345 QAM655343:QAX655345 QKI655343:QKT655345 QUE655343:QUP655345 REA655343:REL655345 RNW655343:ROH655345 RXS655343:RYD655345 SHO655343:SHZ655345 SRK655343:SRV655345 TBG655343:TBR655345 TLC655343:TLN655345 TUY655343:TVJ655345 UEU655343:UFF655345 UOQ655343:UPB655345 UYM655343:UYX655345 VII655343:VIT655345 VSE655343:VSP655345 WCA655343:WCL655345 WLW655343:WMH655345 WVS655343:WWD655345 JG720879:JR720881 TC720879:TN720881 ACY720879:ADJ720881 AMU720879:ANF720881 AWQ720879:AXB720881 BGM720879:BGX720881 BQI720879:BQT720881 CAE720879:CAP720881 CKA720879:CKL720881 CTW720879:CUH720881 DDS720879:DED720881 DNO720879:DNZ720881 DXK720879:DXV720881 EHG720879:EHR720881 ERC720879:ERN720881 FAY720879:FBJ720881 FKU720879:FLF720881 FUQ720879:FVB720881 GEM720879:GEX720881 GOI720879:GOT720881 GYE720879:GYP720881 HIA720879:HIL720881 HRW720879:HSH720881 IBS720879:ICD720881 ILO720879:ILZ720881 IVK720879:IVV720881 JFG720879:JFR720881 JPC720879:JPN720881 JYY720879:JZJ720881 KIU720879:KJF720881 KSQ720879:KTB720881 LCM720879:LCX720881 LMI720879:LMT720881 LWE720879:LWP720881 MGA720879:MGL720881 MPW720879:MQH720881 MZS720879:NAD720881 NJO720879:NJZ720881 NTK720879:NTV720881 ODG720879:ODR720881 ONC720879:ONN720881 OWY720879:OXJ720881 PGU720879:PHF720881 PQQ720879:PRB720881 QAM720879:QAX720881 QKI720879:QKT720881 QUE720879:QUP720881 REA720879:REL720881 RNW720879:ROH720881 RXS720879:RYD720881 SHO720879:SHZ720881 SRK720879:SRV720881 TBG720879:TBR720881 TLC720879:TLN720881 TUY720879:TVJ720881 UEU720879:UFF720881 UOQ720879:UPB720881 UYM720879:UYX720881 VII720879:VIT720881 VSE720879:VSP720881 WCA720879:WCL720881 WLW720879:WMH720881 WVS720879:WWD720881 JG786415:JR786417 TC786415:TN786417 ACY786415:ADJ786417 AMU786415:ANF786417 AWQ786415:AXB786417 BGM786415:BGX786417 BQI786415:BQT786417 CAE786415:CAP786417 CKA786415:CKL786417 CTW786415:CUH786417 DDS786415:DED786417 DNO786415:DNZ786417 DXK786415:DXV786417 EHG786415:EHR786417 ERC786415:ERN786417 FAY786415:FBJ786417 FKU786415:FLF786417 FUQ786415:FVB786417 GEM786415:GEX786417 GOI786415:GOT786417 GYE786415:GYP786417 HIA786415:HIL786417 HRW786415:HSH786417 IBS786415:ICD786417 ILO786415:ILZ786417 IVK786415:IVV786417 JFG786415:JFR786417 JPC786415:JPN786417 JYY786415:JZJ786417 KIU786415:KJF786417 KSQ786415:KTB786417 LCM786415:LCX786417 LMI786415:LMT786417 LWE786415:LWP786417 MGA786415:MGL786417 MPW786415:MQH786417 MZS786415:NAD786417 NJO786415:NJZ786417 NTK786415:NTV786417 ODG786415:ODR786417 ONC786415:ONN786417 OWY786415:OXJ786417 PGU786415:PHF786417 PQQ786415:PRB786417 QAM786415:QAX786417 QKI786415:QKT786417 QUE786415:QUP786417 REA786415:REL786417 RNW786415:ROH786417 RXS786415:RYD786417 SHO786415:SHZ786417 SRK786415:SRV786417 TBG786415:TBR786417 TLC786415:TLN786417 TUY786415:TVJ786417 UEU786415:UFF786417 UOQ786415:UPB786417 UYM786415:UYX786417 VII786415:VIT786417 VSE786415:VSP786417 WCA786415:WCL786417 WLW786415:WMH786417 WVS786415:WWD786417 JG851951:JR851953 TC851951:TN851953 ACY851951:ADJ851953 AMU851951:ANF851953 AWQ851951:AXB851953 BGM851951:BGX851953 BQI851951:BQT851953 CAE851951:CAP851953 CKA851951:CKL851953 CTW851951:CUH851953 DDS851951:DED851953 DNO851951:DNZ851953 DXK851951:DXV851953 EHG851951:EHR851953 ERC851951:ERN851953 FAY851951:FBJ851953 FKU851951:FLF851953 FUQ851951:FVB851953 GEM851951:GEX851953 GOI851951:GOT851953 GYE851951:GYP851953 HIA851951:HIL851953 HRW851951:HSH851953 IBS851951:ICD851953 ILO851951:ILZ851953 IVK851951:IVV851953 JFG851951:JFR851953 JPC851951:JPN851953 JYY851951:JZJ851953 KIU851951:KJF851953 KSQ851951:KTB851953 LCM851951:LCX851953 LMI851951:LMT851953 LWE851951:LWP851953 MGA851951:MGL851953 MPW851951:MQH851953 MZS851951:NAD851953 NJO851951:NJZ851953 NTK851951:NTV851953 ODG851951:ODR851953 ONC851951:ONN851953 OWY851951:OXJ851953 PGU851951:PHF851953 PQQ851951:PRB851953 QAM851951:QAX851953 QKI851951:QKT851953 QUE851951:QUP851953 REA851951:REL851953 RNW851951:ROH851953 RXS851951:RYD851953 SHO851951:SHZ851953 SRK851951:SRV851953 TBG851951:TBR851953 TLC851951:TLN851953 TUY851951:TVJ851953 UEU851951:UFF851953 UOQ851951:UPB851953 UYM851951:UYX851953 VII851951:VIT851953 VSE851951:VSP851953 WCA851951:WCL851953 WLW851951:WMH851953 WVS851951:WWD851953 JG917487:JR917489 TC917487:TN917489 ACY917487:ADJ917489 AMU917487:ANF917489 AWQ917487:AXB917489 BGM917487:BGX917489 BQI917487:BQT917489 CAE917487:CAP917489 CKA917487:CKL917489 CTW917487:CUH917489 DDS917487:DED917489 DNO917487:DNZ917489 DXK917487:DXV917489 EHG917487:EHR917489 ERC917487:ERN917489 FAY917487:FBJ917489 FKU917487:FLF917489 FUQ917487:FVB917489 GEM917487:GEX917489 GOI917487:GOT917489 GYE917487:GYP917489 HIA917487:HIL917489 HRW917487:HSH917489 IBS917487:ICD917489 ILO917487:ILZ917489 IVK917487:IVV917489 JFG917487:JFR917489 JPC917487:JPN917489 JYY917487:JZJ917489 KIU917487:KJF917489 KSQ917487:KTB917489 LCM917487:LCX917489 LMI917487:LMT917489 LWE917487:LWP917489 MGA917487:MGL917489 MPW917487:MQH917489 MZS917487:NAD917489 NJO917487:NJZ917489 NTK917487:NTV917489 ODG917487:ODR917489 ONC917487:ONN917489 OWY917487:OXJ917489 PGU917487:PHF917489 PQQ917487:PRB917489 QAM917487:QAX917489 QKI917487:QKT917489 QUE917487:QUP917489 REA917487:REL917489 RNW917487:ROH917489 RXS917487:RYD917489 SHO917487:SHZ917489 SRK917487:SRV917489 TBG917487:TBR917489 TLC917487:TLN917489 TUY917487:TVJ917489 UEU917487:UFF917489 UOQ917487:UPB917489 UYM917487:UYX917489 VII917487:VIT917489 VSE917487:VSP917489 WCA917487:WCL917489 WLW917487:WMH917489 WVS917487:WWD917489 JG983023:JR983025 TC983023:TN983025 ACY983023:ADJ983025 AMU983023:ANF983025 AWQ983023:AXB983025 BGM983023:BGX983025 BQI983023:BQT983025 CAE983023:CAP983025 CKA983023:CKL983025 CTW983023:CUH983025 DDS983023:DED983025 DNO983023:DNZ983025 DXK983023:DXV983025 EHG983023:EHR983025 ERC983023:ERN983025 FAY983023:FBJ983025 FKU983023:FLF983025 FUQ983023:FVB983025 GEM983023:GEX983025 GOI983023:GOT983025 GYE983023:GYP983025 HIA983023:HIL983025 HRW983023:HSH983025 IBS983023:ICD983025 ILO983023:ILZ983025 IVK983023:IVV983025 JFG983023:JFR983025 JPC983023:JPN983025 JYY983023:JZJ983025 KIU983023:KJF983025 KSQ983023:KTB983025 LCM983023:LCX983025 LMI983023:LMT983025 LWE983023:LWP983025 MGA983023:MGL983025 MPW983023:MQH983025 MZS983023:NAD983025 NJO983023:NJZ983025 NTK983023:NTV983025 ODG983023:ODR983025 ONC983023:ONN983025 OWY983023:OXJ983025 PGU983023:PHF983025 PQQ983023:PRB983025 QAM983023:QAX983025 QKI983023:QKT983025 QUE983023:QUP983025 REA983023:REL983025 RNW983023:ROH983025 RXS983023:RYD983025 SHO983023:SHZ983025 SRK983023:SRV983025 TBG983023:TBR983025 TLC983023:TLN983025 TUY983023:TVJ983025 UEU983023:UFF983025 UOQ983023:UPB983025 UYM983023:UYX983025 VII983023:VIT983025 VSE983023:VSP983025 WCA983023:WCL983025 WLW983023:WMH983025 WVS983023:WWD983025 WVS983028:WWD983030 JG65524:JR65526 TC65524:TN65526 ACY65524:ADJ65526 AMU65524:ANF65526 AWQ65524:AXB65526 BGM65524:BGX65526 BQI65524:BQT65526 CAE65524:CAP65526 CKA65524:CKL65526 CTW65524:CUH65526 DDS65524:DED65526 DNO65524:DNZ65526 DXK65524:DXV65526 EHG65524:EHR65526 ERC65524:ERN65526 FAY65524:FBJ65526 FKU65524:FLF65526 FUQ65524:FVB65526 GEM65524:GEX65526 GOI65524:GOT65526 GYE65524:GYP65526 HIA65524:HIL65526 HRW65524:HSH65526 IBS65524:ICD65526 ILO65524:ILZ65526 IVK65524:IVV65526 JFG65524:JFR65526 JPC65524:JPN65526 JYY65524:JZJ65526 KIU65524:KJF65526 KSQ65524:KTB65526 LCM65524:LCX65526 LMI65524:LMT65526 LWE65524:LWP65526 MGA65524:MGL65526 MPW65524:MQH65526 MZS65524:NAD65526 NJO65524:NJZ65526 NTK65524:NTV65526 ODG65524:ODR65526 ONC65524:ONN65526 OWY65524:OXJ65526 PGU65524:PHF65526 PQQ65524:PRB65526 QAM65524:QAX65526 QKI65524:QKT65526 QUE65524:QUP65526 REA65524:REL65526 RNW65524:ROH65526 RXS65524:RYD65526 SHO65524:SHZ65526 SRK65524:SRV65526 TBG65524:TBR65526 TLC65524:TLN65526 TUY65524:TVJ65526 UEU65524:UFF65526 UOQ65524:UPB65526 UYM65524:UYX65526 VII65524:VIT65526 VSE65524:VSP65526 WCA65524:WCL65526 WLW65524:WMH65526 WVS65524:WWD65526 JG131060:JR131062 TC131060:TN131062 ACY131060:ADJ131062 AMU131060:ANF131062 AWQ131060:AXB131062 BGM131060:BGX131062 BQI131060:BQT131062 CAE131060:CAP131062 CKA131060:CKL131062 CTW131060:CUH131062 DDS131060:DED131062 DNO131060:DNZ131062 DXK131060:DXV131062 EHG131060:EHR131062 ERC131060:ERN131062 FAY131060:FBJ131062 FKU131060:FLF131062 FUQ131060:FVB131062 GEM131060:GEX131062 GOI131060:GOT131062 GYE131060:GYP131062 HIA131060:HIL131062 HRW131060:HSH131062 IBS131060:ICD131062 ILO131060:ILZ131062 IVK131060:IVV131062 JFG131060:JFR131062 JPC131060:JPN131062 JYY131060:JZJ131062 KIU131060:KJF131062 KSQ131060:KTB131062 LCM131060:LCX131062 LMI131060:LMT131062 LWE131060:LWP131062 MGA131060:MGL131062 MPW131060:MQH131062 MZS131060:NAD131062 NJO131060:NJZ131062 NTK131060:NTV131062 ODG131060:ODR131062 ONC131060:ONN131062 OWY131060:OXJ131062 PGU131060:PHF131062 PQQ131060:PRB131062 QAM131060:QAX131062 QKI131060:QKT131062 QUE131060:QUP131062 REA131060:REL131062 RNW131060:ROH131062 RXS131060:RYD131062 SHO131060:SHZ131062 SRK131060:SRV131062 TBG131060:TBR131062 TLC131060:TLN131062 TUY131060:TVJ131062 UEU131060:UFF131062 UOQ131060:UPB131062 UYM131060:UYX131062 VII131060:VIT131062 VSE131060:VSP131062 WCA131060:WCL131062 WLW131060:WMH131062 WVS131060:WWD131062 JG196596:JR196598 TC196596:TN196598 ACY196596:ADJ196598 AMU196596:ANF196598 AWQ196596:AXB196598 BGM196596:BGX196598 BQI196596:BQT196598 CAE196596:CAP196598 CKA196596:CKL196598 CTW196596:CUH196598 DDS196596:DED196598 DNO196596:DNZ196598 DXK196596:DXV196598 EHG196596:EHR196598 ERC196596:ERN196598 FAY196596:FBJ196598 FKU196596:FLF196598 FUQ196596:FVB196598 GEM196596:GEX196598 GOI196596:GOT196598 GYE196596:GYP196598 HIA196596:HIL196598 HRW196596:HSH196598 IBS196596:ICD196598 ILO196596:ILZ196598 IVK196596:IVV196598 JFG196596:JFR196598 JPC196596:JPN196598 JYY196596:JZJ196598 KIU196596:KJF196598 KSQ196596:KTB196598 LCM196596:LCX196598 LMI196596:LMT196598 LWE196596:LWP196598 MGA196596:MGL196598 MPW196596:MQH196598 MZS196596:NAD196598 NJO196596:NJZ196598 NTK196596:NTV196598 ODG196596:ODR196598 ONC196596:ONN196598 OWY196596:OXJ196598 PGU196596:PHF196598 PQQ196596:PRB196598 QAM196596:QAX196598 QKI196596:QKT196598 QUE196596:QUP196598 REA196596:REL196598 RNW196596:ROH196598 RXS196596:RYD196598 SHO196596:SHZ196598 SRK196596:SRV196598 TBG196596:TBR196598 TLC196596:TLN196598 TUY196596:TVJ196598 UEU196596:UFF196598 UOQ196596:UPB196598 UYM196596:UYX196598 VII196596:VIT196598 VSE196596:VSP196598 WCA196596:WCL196598 WLW196596:WMH196598 WVS196596:WWD196598 JG262132:JR262134 TC262132:TN262134 ACY262132:ADJ262134 AMU262132:ANF262134 AWQ262132:AXB262134 BGM262132:BGX262134 BQI262132:BQT262134 CAE262132:CAP262134 CKA262132:CKL262134 CTW262132:CUH262134 DDS262132:DED262134 DNO262132:DNZ262134 DXK262132:DXV262134 EHG262132:EHR262134 ERC262132:ERN262134 FAY262132:FBJ262134 FKU262132:FLF262134 FUQ262132:FVB262134 GEM262132:GEX262134 GOI262132:GOT262134 GYE262132:GYP262134 HIA262132:HIL262134 HRW262132:HSH262134 IBS262132:ICD262134 ILO262132:ILZ262134 IVK262132:IVV262134 JFG262132:JFR262134 JPC262132:JPN262134 JYY262132:JZJ262134 KIU262132:KJF262134 KSQ262132:KTB262134 LCM262132:LCX262134 LMI262132:LMT262134 LWE262132:LWP262134 MGA262132:MGL262134 MPW262132:MQH262134 MZS262132:NAD262134 NJO262132:NJZ262134 NTK262132:NTV262134 ODG262132:ODR262134 ONC262132:ONN262134 OWY262132:OXJ262134 PGU262132:PHF262134 PQQ262132:PRB262134 QAM262132:QAX262134 QKI262132:QKT262134 QUE262132:QUP262134 REA262132:REL262134 RNW262132:ROH262134 RXS262132:RYD262134 SHO262132:SHZ262134 SRK262132:SRV262134 TBG262132:TBR262134 TLC262132:TLN262134 TUY262132:TVJ262134 UEU262132:UFF262134 UOQ262132:UPB262134 UYM262132:UYX262134 VII262132:VIT262134 VSE262132:VSP262134 WCA262132:WCL262134 WLW262132:WMH262134 WVS262132:WWD262134 JG327668:JR327670 TC327668:TN327670 ACY327668:ADJ327670 AMU327668:ANF327670 AWQ327668:AXB327670 BGM327668:BGX327670 BQI327668:BQT327670 CAE327668:CAP327670 CKA327668:CKL327670 CTW327668:CUH327670 DDS327668:DED327670 DNO327668:DNZ327670 DXK327668:DXV327670 EHG327668:EHR327670 ERC327668:ERN327670 FAY327668:FBJ327670 FKU327668:FLF327670 FUQ327668:FVB327670 GEM327668:GEX327670 GOI327668:GOT327670 GYE327668:GYP327670 HIA327668:HIL327670 HRW327668:HSH327670 IBS327668:ICD327670 ILO327668:ILZ327670 IVK327668:IVV327670 JFG327668:JFR327670 JPC327668:JPN327670 JYY327668:JZJ327670 KIU327668:KJF327670 KSQ327668:KTB327670 LCM327668:LCX327670 LMI327668:LMT327670 LWE327668:LWP327670 MGA327668:MGL327670 MPW327668:MQH327670 MZS327668:NAD327670 NJO327668:NJZ327670 NTK327668:NTV327670 ODG327668:ODR327670 ONC327668:ONN327670 OWY327668:OXJ327670 PGU327668:PHF327670 PQQ327668:PRB327670 QAM327668:QAX327670 QKI327668:QKT327670 QUE327668:QUP327670 REA327668:REL327670 RNW327668:ROH327670 RXS327668:RYD327670 SHO327668:SHZ327670 SRK327668:SRV327670 TBG327668:TBR327670 TLC327668:TLN327670 TUY327668:TVJ327670 UEU327668:UFF327670 UOQ327668:UPB327670 UYM327668:UYX327670 VII327668:VIT327670 VSE327668:VSP327670 WCA327668:WCL327670 WLW327668:WMH327670 WVS327668:WWD327670 JG393204:JR393206 TC393204:TN393206 ACY393204:ADJ393206 AMU393204:ANF393206 AWQ393204:AXB393206 BGM393204:BGX393206 BQI393204:BQT393206 CAE393204:CAP393206 CKA393204:CKL393206 CTW393204:CUH393206 DDS393204:DED393206 DNO393204:DNZ393206 DXK393204:DXV393206 EHG393204:EHR393206 ERC393204:ERN393206 FAY393204:FBJ393206 FKU393204:FLF393206 FUQ393204:FVB393206 GEM393204:GEX393206 GOI393204:GOT393206 GYE393204:GYP393206 HIA393204:HIL393206 HRW393204:HSH393206 IBS393204:ICD393206 ILO393204:ILZ393206 IVK393204:IVV393206 JFG393204:JFR393206 JPC393204:JPN393206 JYY393204:JZJ393206 KIU393204:KJF393206 KSQ393204:KTB393206 LCM393204:LCX393206 LMI393204:LMT393206 LWE393204:LWP393206 MGA393204:MGL393206 MPW393204:MQH393206 MZS393204:NAD393206 NJO393204:NJZ393206 NTK393204:NTV393206 ODG393204:ODR393206 ONC393204:ONN393206 OWY393204:OXJ393206 PGU393204:PHF393206 PQQ393204:PRB393206 QAM393204:QAX393206 QKI393204:QKT393206 QUE393204:QUP393206 REA393204:REL393206 RNW393204:ROH393206 RXS393204:RYD393206 SHO393204:SHZ393206 SRK393204:SRV393206 TBG393204:TBR393206 TLC393204:TLN393206 TUY393204:TVJ393206 UEU393204:UFF393206 UOQ393204:UPB393206 UYM393204:UYX393206 VII393204:VIT393206 VSE393204:VSP393206 WCA393204:WCL393206 WLW393204:WMH393206 WVS393204:WWD393206 JG458740:JR458742 TC458740:TN458742 ACY458740:ADJ458742 AMU458740:ANF458742 AWQ458740:AXB458742 BGM458740:BGX458742 BQI458740:BQT458742 CAE458740:CAP458742 CKA458740:CKL458742 CTW458740:CUH458742 DDS458740:DED458742 DNO458740:DNZ458742 DXK458740:DXV458742 EHG458740:EHR458742 ERC458740:ERN458742 FAY458740:FBJ458742 FKU458740:FLF458742 FUQ458740:FVB458742 GEM458740:GEX458742 GOI458740:GOT458742 GYE458740:GYP458742 HIA458740:HIL458742 HRW458740:HSH458742 IBS458740:ICD458742 ILO458740:ILZ458742 IVK458740:IVV458742 JFG458740:JFR458742 JPC458740:JPN458742 JYY458740:JZJ458742 KIU458740:KJF458742 KSQ458740:KTB458742 LCM458740:LCX458742 LMI458740:LMT458742 LWE458740:LWP458742 MGA458740:MGL458742 MPW458740:MQH458742 MZS458740:NAD458742 NJO458740:NJZ458742 NTK458740:NTV458742 ODG458740:ODR458742 ONC458740:ONN458742 OWY458740:OXJ458742 PGU458740:PHF458742 PQQ458740:PRB458742 QAM458740:QAX458742 QKI458740:QKT458742 QUE458740:QUP458742 REA458740:REL458742 RNW458740:ROH458742 RXS458740:RYD458742 SHO458740:SHZ458742 SRK458740:SRV458742 TBG458740:TBR458742 TLC458740:TLN458742 TUY458740:TVJ458742 UEU458740:UFF458742 UOQ458740:UPB458742 UYM458740:UYX458742 VII458740:VIT458742 VSE458740:VSP458742 WCA458740:WCL458742 WLW458740:WMH458742 WVS458740:WWD458742 JG524276:JR524278 TC524276:TN524278 ACY524276:ADJ524278 AMU524276:ANF524278 AWQ524276:AXB524278 BGM524276:BGX524278 BQI524276:BQT524278 CAE524276:CAP524278 CKA524276:CKL524278 CTW524276:CUH524278 DDS524276:DED524278 DNO524276:DNZ524278 DXK524276:DXV524278 EHG524276:EHR524278 ERC524276:ERN524278 FAY524276:FBJ524278 FKU524276:FLF524278 FUQ524276:FVB524278 GEM524276:GEX524278 GOI524276:GOT524278 GYE524276:GYP524278 HIA524276:HIL524278 HRW524276:HSH524278 IBS524276:ICD524278 ILO524276:ILZ524278 IVK524276:IVV524278 JFG524276:JFR524278 JPC524276:JPN524278 JYY524276:JZJ524278 KIU524276:KJF524278 KSQ524276:KTB524278 LCM524276:LCX524278 LMI524276:LMT524278 LWE524276:LWP524278 MGA524276:MGL524278 MPW524276:MQH524278 MZS524276:NAD524278 NJO524276:NJZ524278 NTK524276:NTV524278 ODG524276:ODR524278 ONC524276:ONN524278 OWY524276:OXJ524278 PGU524276:PHF524278 PQQ524276:PRB524278 QAM524276:QAX524278 QKI524276:QKT524278 QUE524276:QUP524278 REA524276:REL524278 RNW524276:ROH524278 RXS524276:RYD524278 SHO524276:SHZ524278 SRK524276:SRV524278 TBG524276:TBR524278 TLC524276:TLN524278 TUY524276:TVJ524278 UEU524276:UFF524278 UOQ524276:UPB524278 UYM524276:UYX524278 VII524276:VIT524278 VSE524276:VSP524278 WCA524276:WCL524278 WLW524276:WMH524278 WVS524276:WWD524278 JG589812:JR589814 TC589812:TN589814 ACY589812:ADJ589814 AMU589812:ANF589814 AWQ589812:AXB589814 BGM589812:BGX589814 BQI589812:BQT589814 CAE589812:CAP589814 CKA589812:CKL589814 CTW589812:CUH589814 DDS589812:DED589814 DNO589812:DNZ589814 DXK589812:DXV589814 EHG589812:EHR589814 ERC589812:ERN589814 FAY589812:FBJ589814 FKU589812:FLF589814 FUQ589812:FVB589814 GEM589812:GEX589814 GOI589812:GOT589814 GYE589812:GYP589814 HIA589812:HIL589814 HRW589812:HSH589814 IBS589812:ICD589814 ILO589812:ILZ589814 IVK589812:IVV589814 JFG589812:JFR589814 JPC589812:JPN589814 JYY589812:JZJ589814 KIU589812:KJF589814 KSQ589812:KTB589814 LCM589812:LCX589814 LMI589812:LMT589814 LWE589812:LWP589814 MGA589812:MGL589814 MPW589812:MQH589814 MZS589812:NAD589814 NJO589812:NJZ589814 NTK589812:NTV589814 ODG589812:ODR589814 ONC589812:ONN589814 OWY589812:OXJ589814 PGU589812:PHF589814 PQQ589812:PRB589814 QAM589812:QAX589814 QKI589812:QKT589814 QUE589812:QUP589814 REA589812:REL589814 RNW589812:ROH589814 RXS589812:RYD589814 SHO589812:SHZ589814 SRK589812:SRV589814 TBG589812:TBR589814 TLC589812:TLN589814 TUY589812:TVJ589814 UEU589812:UFF589814 UOQ589812:UPB589814 UYM589812:UYX589814 VII589812:VIT589814 VSE589812:VSP589814 WCA589812:WCL589814 WLW589812:WMH589814 WVS589812:WWD589814 JG655348:JR655350 TC655348:TN655350 ACY655348:ADJ655350 AMU655348:ANF655350 AWQ655348:AXB655350 BGM655348:BGX655350 BQI655348:BQT655350 CAE655348:CAP655350 CKA655348:CKL655350 CTW655348:CUH655350 DDS655348:DED655350 DNO655348:DNZ655350 DXK655348:DXV655350 EHG655348:EHR655350 ERC655348:ERN655350 FAY655348:FBJ655350 FKU655348:FLF655350 FUQ655348:FVB655350 GEM655348:GEX655350 GOI655348:GOT655350 GYE655348:GYP655350 HIA655348:HIL655350 HRW655348:HSH655350 IBS655348:ICD655350 ILO655348:ILZ655350 IVK655348:IVV655350 JFG655348:JFR655350 JPC655348:JPN655350 JYY655348:JZJ655350 KIU655348:KJF655350 KSQ655348:KTB655350 LCM655348:LCX655350 LMI655348:LMT655350 LWE655348:LWP655350 MGA655348:MGL655350 MPW655348:MQH655350 MZS655348:NAD655350 NJO655348:NJZ655350 NTK655348:NTV655350 ODG655348:ODR655350 ONC655348:ONN655350 OWY655348:OXJ655350 PGU655348:PHF655350 PQQ655348:PRB655350 QAM655348:QAX655350 QKI655348:QKT655350 QUE655348:QUP655350 REA655348:REL655350 RNW655348:ROH655350 RXS655348:RYD655350 SHO655348:SHZ655350 SRK655348:SRV655350 TBG655348:TBR655350 TLC655348:TLN655350 TUY655348:TVJ655350 UEU655348:UFF655350 UOQ655348:UPB655350 UYM655348:UYX655350 VII655348:VIT655350 VSE655348:VSP655350 WCA655348:WCL655350 WLW655348:WMH655350 WVS655348:WWD655350 JG720884:JR720886 TC720884:TN720886 ACY720884:ADJ720886 AMU720884:ANF720886 AWQ720884:AXB720886 BGM720884:BGX720886 BQI720884:BQT720886 CAE720884:CAP720886 CKA720884:CKL720886 CTW720884:CUH720886 DDS720884:DED720886 DNO720884:DNZ720886 DXK720884:DXV720886 EHG720884:EHR720886 ERC720884:ERN720886 FAY720884:FBJ720886 FKU720884:FLF720886 FUQ720884:FVB720886 GEM720884:GEX720886 GOI720884:GOT720886 GYE720884:GYP720886 HIA720884:HIL720886 HRW720884:HSH720886 IBS720884:ICD720886 ILO720884:ILZ720886 IVK720884:IVV720886 JFG720884:JFR720886 JPC720884:JPN720886 JYY720884:JZJ720886 KIU720884:KJF720886 KSQ720884:KTB720886 LCM720884:LCX720886 LMI720884:LMT720886 LWE720884:LWP720886 MGA720884:MGL720886 MPW720884:MQH720886 MZS720884:NAD720886 NJO720884:NJZ720886 NTK720884:NTV720886 ODG720884:ODR720886 ONC720884:ONN720886 OWY720884:OXJ720886 PGU720884:PHF720886 PQQ720884:PRB720886 QAM720884:QAX720886 QKI720884:QKT720886 QUE720884:QUP720886 REA720884:REL720886 RNW720884:ROH720886 RXS720884:RYD720886 SHO720884:SHZ720886 SRK720884:SRV720886 TBG720884:TBR720886 TLC720884:TLN720886 TUY720884:TVJ720886 UEU720884:UFF720886 UOQ720884:UPB720886 UYM720884:UYX720886 VII720884:VIT720886 VSE720884:VSP720886 WCA720884:WCL720886 WLW720884:WMH720886 WVS720884:WWD720886 JG786420:JR786422 TC786420:TN786422 ACY786420:ADJ786422 AMU786420:ANF786422 AWQ786420:AXB786422 BGM786420:BGX786422 BQI786420:BQT786422 CAE786420:CAP786422 CKA786420:CKL786422 CTW786420:CUH786422 DDS786420:DED786422 DNO786420:DNZ786422 DXK786420:DXV786422 EHG786420:EHR786422 ERC786420:ERN786422 FAY786420:FBJ786422 FKU786420:FLF786422 FUQ786420:FVB786422 GEM786420:GEX786422 GOI786420:GOT786422 GYE786420:GYP786422 HIA786420:HIL786422 HRW786420:HSH786422 IBS786420:ICD786422 ILO786420:ILZ786422 IVK786420:IVV786422 JFG786420:JFR786422 JPC786420:JPN786422 JYY786420:JZJ786422 KIU786420:KJF786422 KSQ786420:KTB786422 LCM786420:LCX786422 LMI786420:LMT786422 LWE786420:LWP786422 MGA786420:MGL786422 MPW786420:MQH786422 MZS786420:NAD786422 NJO786420:NJZ786422 NTK786420:NTV786422 ODG786420:ODR786422 ONC786420:ONN786422 OWY786420:OXJ786422 PGU786420:PHF786422 PQQ786420:PRB786422 QAM786420:QAX786422 QKI786420:QKT786422 QUE786420:QUP786422 REA786420:REL786422 RNW786420:ROH786422 RXS786420:RYD786422 SHO786420:SHZ786422 SRK786420:SRV786422 TBG786420:TBR786422 TLC786420:TLN786422 TUY786420:TVJ786422 UEU786420:UFF786422 UOQ786420:UPB786422 UYM786420:UYX786422 VII786420:VIT786422 VSE786420:VSP786422 WCA786420:WCL786422 WLW786420:WMH786422 WVS786420:WWD786422 JG851956:JR851958 TC851956:TN851958 ACY851956:ADJ851958 AMU851956:ANF851958 AWQ851956:AXB851958 BGM851956:BGX851958 BQI851956:BQT851958 CAE851956:CAP851958 CKA851956:CKL851958 CTW851956:CUH851958 DDS851956:DED851958 DNO851956:DNZ851958 DXK851956:DXV851958 EHG851956:EHR851958 ERC851956:ERN851958 FAY851956:FBJ851958 FKU851956:FLF851958 FUQ851956:FVB851958 GEM851956:GEX851958 GOI851956:GOT851958 GYE851956:GYP851958 HIA851956:HIL851958 HRW851956:HSH851958 IBS851956:ICD851958 ILO851956:ILZ851958 IVK851956:IVV851958 JFG851956:JFR851958 JPC851956:JPN851958 JYY851956:JZJ851958 KIU851956:KJF851958 KSQ851956:KTB851958 LCM851956:LCX851958 LMI851956:LMT851958 LWE851956:LWP851958 MGA851956:MGL851958 MPW851956:MQH851958 MZS851956:NAD851958 NJO851956:NJZ851958 NTK851956:NTV851958 ODG851956:ODR851958 ONC851956:ONN851958 OWY851956:OXJ851958 PGU851956:PHF851958 PQQ851956:PRB851958 QAM851956:QAX851958 QKI851956:QKT851958 QUE851956:QUP851958 REA851956:REL851958 RNW851956:ROH851958 RXS851956:RYD851958 SHO851956:SHZ851958 SRK851956:SRV851958 TBG851956:TBR851958 TLC851956:TLN851958 TUY851956:TVJ851958 UEU851956:UFF851958 UOQ851956:UPB851958 UYM851956:UYX851958 VII851956:VIT851958 VSE851956:VSP851958 WCA851956:WCL851958 WLW851956:WMH851958 WVS851956:WWD851958 JG917492:JR917494 TC917492:TN917494 ACY917492:ADJ917494 AMU917492:ANF917494 AWQ917492:AXB917494 BGM917492:BGX917494 BQI917492:BQT917494 CAE917492:CAP917494 CKA917492:CKL917494 CTW917492:CUH917494 DDS917492:DED917494 DNO917492:DNZ917494 DXK917492:DXV917494 EHG917492:EHR917494 ERC917492:ERN917494 FAY917492:FBJ917494 FKU917492:FLF917494 FUQ917492:FVB917494 GEM917492:GEX917494 GOI917492:GOT917494 GYE917492:GYP917494 HIA917492:HIL917494 HRW917492:HSH917494 IBS917492:ICD917494 ILO917492:ILZ917494 IVK917492:IVV917494 JFG917492:JFR917494 JPC917492:JPN917494 JYY917492:JZJ917494 KIU917492:KJF917494 KSQ917492:KTB917494 LCM917492:LCX917494 LMI917492:LMT917494 LWE917492:LWP917494 MGA917492:MGL917494 MPW917492:MQH917494 MZS917492:NAD917494 NJO917492:NJZ917494 NTK917492:NTV917494 ODG917492:ODR917494 ONC917492:ONN917494 OWY917492:OXJ917494 PGU917492:PHF917494 PQQ917492:PRB917494 QAM917492:QAX917494 QKI917492:QKT917494 QUE917492:QUP917494 REA917492:REL917494 RNW917492:ROH917494 RXS917492:RYD917494 SHO917492:SHZ917494 SRK917492:SRV917494 TBG917492:TBR917494 TLC917492:TLN917494 TUY917492:TVJ917494 UEU917492:UFF917494 UOQ917492:UPB917494 UYM917492:UYX917494 VII917492:VIT917494 VSE917492:VSP917494 WCA917492:WCL917494 WLW917492:WMH917494 WVS917492:WWD917494 JG983028:JR983030 TC983028:TN983030 ACY983028:ADJ983030 AMU983028:ANF983030 AWQ983028:AXB983030 BGM983028:BGX983030 BQI983028:BQT983030 CAE983028:CAP983030 CKA983028:CKL983030 CTW983028:CUH983030 DDS983028:DED983030 DNO983028:DNZ983030 DXK983028:DXV983030 EHG983028:EHR983030 ERC983028:ERN983030 FAY983028:FBJ983030 FKU983028:FLF983030 FUQ983028:FVB983030 GEM983028:GEX983030 GOI983028:GOT983030 GYE983028:GYP983030 HIA983028:HIL983030 HRW983028:HSH983030 IBS983028:ICD983030 ILO983028:ILZ983030 IVK983028:IVV983030 JFG983028:JFR983030 JPC983028:JPN983030 JYY983028:JZJ983030 KIU983028:KJF983030 KSQ983028:KTB983030 LCM983028:LCX983030 LMI983028:LMT983030 LWE983028:LWP983030 MGA983028:MGL983030 MPW983028:MQH983030 MZS983028:NAD983030 NJO983028:NJZ983030 NTK983028:NTV983030 ODG983028:ODR983030 ONC983028:ONN983030 OWY983028:OXJ983030 PGU983028:PHF983030 PQQ983028:PRB983030 QAM983028:QAX983030 QKI983028:QKT983030 QUE983028:QUP983030 REA983028:REL983030 RNW983028:ROH983030 RXS983028:RYD983030 SHO983028:SHZ983030 SRK983028:SRV983030 TBG983028:TBR983030 TLC983028:TLN983030 TUY983028:TVJ983030 UEU983028:UFF983030 UOQ983028:UPB983030 UYM983028:UYX983030 VII983028:VIT983030 VSE983028:VSP983030 WCA983028:WCL983030 WLW983028:WMH983030 Z262127:AJ262129 Z196591:AJ196593 Z131055:AJ131057 Z65519:AJ65521 Z983028:AJ983030 Z917492:AJ917494 Z851956:AJ851958 Z786420:AJ786422 Z720884:AJ720886 Z655348:AJ655350 Z589812:AJ589814 Z524276:AJ524278 Z458740:AJ458742 Z393204:AJ393206 Z327668:AJ327670 Z262132:AJ262134 Z196596:AJ196598 Z131060:AJ131062 Z65524:AJ65526 Z983023:AJ983025 Z917487:AJ917489 Z851951:AJ851953 Z786415:AJ786417 Z720879:AJ720881 Z655343:AJ655345 Z589807:AJ589809 Z524271:AJ524273 Z458735:AJ458737 Z393199:AJ393201 Z327663:AJ327665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0900-000000000000}"/>
    <dataValidation type="list" allowBlank="1" showInputMessage="1" showErrorMessage="1" sqref="AA21:AC22 AA8:AA20 AA23:AA44" xr:uid="{00000000-0002-0000-0900-000001000000}">
      <formula1>"datetime,int,numeric,varchar,nvarchar"</formula1>
    </dataValidation>
    <dataValidation type="list" allowBlank="1" showInputMessage="1" showErrorMessage="1" sqref="Y8:Z44" xr:uid="{00000000-0002-0000-09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2"/>
  <dimension ref="A1:BD44"/>
  <sheetViews>
    <sheetView showGridLines="0" zoomScaleNormal="100" zoomScaleSheetLayoutView="100" workbookViewId="0">
      <selection activeCell="I8" sqref="I8:I16"/>
    </sheetView>
  </sheetViews>
  <sheetFormatPr defaultColWidth="2.6328125" defaultRowHeight="15" customHeight="1" x14ac:dyDescent="0.3"/>
  <cols>
    <col min="1" max="1" width="4.6328125" style="17" customWidth="1"/>
    <col min="2" max="26" width="2.6328125" style="17"/>
    <col min="27" max="27" width="2.6328125" style="17" customWidth="1"/>
    <col min="28" max="29" width="2.6328125" style="17"/>
    <col min="30" max="30" width="4.6328125" style="17" customWidth="1"/>
    <col min="31" max="31" width="2.6328125" style="17" customWidth="1"/>
    <col min="32" max="33" width="2.6328125" style="17"/>
    <col min="34" max="34" width="6.6328125" style="17" customWidth="1"/>
    <col min="35" max="16384" width="2.6328125" style="17"/>
  </cols>
  <sheetData>
    <row r="1" spans="1:56" s="16" customFormat="1" ht="15" customHeight="1" x14ac:dyDescent="0.3">
      <c r="A1" s="144" t="s">
        <v>100</v>
      </c>
      <c r="B1" s="145"/>
      <c r="C1" s="145"/>
      <c r="D1" s="145"/>
      <c r="E1" s="145"/>
      <c r="F1" s="145"/>
      <c r="G1" s="145"/>
      <c r="H1" s="146"/>
      <c r="I1" s="103" t="s">
        <v>98</v>
      </c>
      <c r="J1" s="104"/>
      <c r="K1" s="104"/>
      <c r="L1" s="104"/>
      <c r="M1" s="104"/>
      <c r="N1" s="104"/>
      <c r="O1" s="104"/>
      <c r="P1" s="104"/>
      <c r="Q1" s="105"/>
      <c r="R1" s="103" t="s">
        <v>99</v>
      </c>
      <c r="S1" s="104"/>
      <c r="T1" s="104"/>
      <c r="U1" s="104"/>
      <c r="V1" s="104"/>
      <c r="W1" s="104"/>
      <c r="X1" s="105"/>
      <c r="Y1" s="103" t="s">
        <v>0</v>
      </c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5"/>
      <c r="AP1" s="153" t="s">
        <v>1</v>
      </c>
      <c r="AQ1" s="154"/>
      <c r="AR1" s="154"/>
      <c r="AS1" s="154"/>
      <c r="AT1" s="155"/>
      <c r="AU1" s="153" t="s">
        <v>2</v>
      </c>
      <c r="AV1" s="154"/>
      <c r="AW1" s="154"/>
      <c r="AX1" s="154"/>
      <c r="AY1" s="155"/>
      <c r="AZ1" s="153" t="s">
        <v>3</v>
      </c>
      <c r="BA1" s="154"/>
      <c r="BB1" s="154"/>
      <c r="BC1" s="154"/>
      <c r="BD1" s="155"/>
    </row>
    <row r="2" spans="1:56" s="16" customFormat="1" ht="15" customHeight="1" x14ac:dyDescent="0.3">
      <c r="A2" s="147"/>
      <c r="B2" s="148"/>
      <c r="C2" s="148"/>
      <c r="D2" s="148"/>
      <c r="E2" s="148"/>
      <c r="F2" s="148"/>
      <c r="G2" s="148"/>
      <c r="H2" s="149"/>
      <c r="I2" s="127" t="s">
        <v>97</v>
      </c>
      <c r="J2" s="128"/>
      <c r="K2" s="128"/>
      <c r="L2" s="128"/>
      <c r="M2" s="128"/>
      <c r="N2" s="128"/>
      <c r="O2" s="128"/>
      <c r="P2" s="128"/>
      <c r="Q2" s="129"/>
      <c r="R2" s="127" t="str">
        <f ca="1">VLOOKUP(RIGHT(CELL("filename",A2),LEN(CELL("filename",A2))-FIND("]",CELL("filename",A2))),テーブル一覧!B:AD,22,FALSE)</f>
        <v>D.出荷</v>
      </c>
      <c r="S2" s="128"/>
      <c r="T2" s="128"/>
      <c r="U2" s="128"/>
      <c r="V2" s="128"/>
      <c r="W2" s="128"/>
      <c r="X2" s="129"/>
      <c r="Y2" s="127" t="str">
        <f ca="1">VLOOKUP(RIGHT(CELL("filename",A2),LEN(CELL("filename",A2))-FIND("]",CELL("filename",A2))),テーブル一覧!B:AD,1,FALSE)</f>
        <v>出荷実績明細情報（ロット№）</v>
      </c>
      <c r="Z2" s="128"/>
      <c r="AA2" s="128"/>
      <c r="AB2" s="128"/>
      <c r="AC2" s="128"/>
      <c r="AD2" s="128"/>
      <c r="AE2" s="128"/>
      <c r="AF2" s="128"/>
      <c r="AG2" s="128"/>
      <c r="AH2" s="128"/>
      <c r="AI2" s="128"/>
      <c r="AJ2" s="128"/>
      <c r="AK2" s="128"/>
      <c r="AL2" s="128"/>
      <c r="AM2" s="128"/>
      <c r="AN2" s="128"/>
      <c r="AO2" s="129"/>
      <c r="AP2" s="97"/>
      <c r="AQ2" s="98"/>
      <c r="AR2" s="98"/>
      <c r="AS2" s="98"/>
      <c r="AT2" s="99"/>
      <c r="AU2" s="60" t="s">
        <v>188</v>
      </c>
      <c r="AV2" s="61"/>
      <c r="AW2" s="61"/>
      <c r="AX2" s="61"/>
      <c r="AY2" s="62"/>
      <c r="AZ2" s="181" t="s">
        <v>15</v>
      </c>
      <c r="BA2" s="182"/>
      <c r="BB2" s="182"/>
      <c r="BC2" s="182"/>
      <c r="BD2" s="183"/>
    </row>
    <row r="3" spans="1:56" s="16" customFormat="1" ht="15" customHeight="1" x14ac:dyDescent="0.3">
      <c r="A3" s="147"/>
      <c r="B3" s="148"/>
      <c r="C3" s="148"/>
      <c r="D3" s="148"/>
      <c r="E3" s="148"/>
      <c r="F3" s="148"/>
      <c r="G3" s="148"/>
      <c r="H3" s="149"/>
      <c r="I3" s="130"/>
      <c r="J3" s="131"/>
      <c r="K3" s="131"/>
      <c r="L3" s="131"/>
      <c r="M3" s="131"/>
      <c r="N3" s="131"/>
      <c r="O3" s="131"/>
      <c r="P3" s="131"/>
      <c r="Q3" s="132"/>
      <c r="R3" s="130"/>
      <c r="S3" s="131"/>
      <c r="T3" s="131"/>
      <c r="U3" s="131"/>
      <c r="V3" s="131"/>
      <c r="W3" s="131"/>
      <c r="X3" s="132"/>
      <c r="Y3" s="133"/>
      <c r="Z3" s="134"/>
      <c r="AA3" s="134"/>
      <c r="AB3" s="134"/>
      <c r="AC3" s="134"/>
      <c r="AD3" s="134"/>
      <c r="AE3" s="134"/>
      <c r="AF3" s="134"/>
      <c r="AG3" s="134"/>
      <c r="AH3" s="134"/>
      <c r="AI3" s="134"/>
      <c r="AJ3" s="134"/>
      <c r="AK3" s="134"/>
      <c r="AL3" s="134"/>
      <c r="AM3" s="134"/>
      <c r="AN3" s="134"/>
      <c r="AO3" s="135"/>
      <c r="AP3" s="100"/>
      <c r="AQ3" s="101"/>
      <c r="AR3" s="101"/>
      <c r="AS3" s="101"/>
      <c r="AT3" s="102"/>
      <c r="AU3" s="178"/>
      <c r="AV3" s="179"/>
      <c r="AW3" s="179"/>
      <c r="AX3" s="179"/>
      <c r="AY3" s="180"/>
      <c r="AZ3" s="181"/>
      <c r="BA3" s="182"/>
      <c r="BB3" s="182"/>
      <c r="BC3" s="182"/>
      <c r="BD3" s="183"/>
    </row>
    <row r="4" spans="1:56" s="16" customFormat="1" ht="15" customHeight="1" x14ac:dyDescent="0.3">
      <c r="A4" s="150"/>
      <c r="B4" s="151"/>
      <c r="C4" s="151"/>
      <c r="D4" s="151"/>
      <c r="E4" s="151"/>
      <c r="F4" s="151"/>
      <c r="G4" s="151"/>
      <c r="H4" s="152"/>
      <c r="I4" s="133"/>
      <c r="J4" s="134"/>
      <c r="K4" s="134"/>
      <c r="L4" s="134"/>
      <c r="M4" s="134"/>
      <c r="N4" s="134"/>
      <c r="O4" s="134"/>
      <c r="P4" s="134"/>
      <c r="Q4" s="135"/>
      <c r="R4" s="133"/>
      <c r="S4" s="134"/>
      <c r="T4" s="134"/>
      <c r="U4" s="134"/>
      <c r="V4" s="134"/>
      <c r="W4" s="134"/>
      <c r="X4" s="135"/>
      <c r="Y4" s="175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t_shukkajisseki_lotno_m</v>
      </c>
      <c r="Z4" s="176"/>
      <c r="AA4" s="176"/>
      <c r="AB4" s="176"/>
      <c r="AC4" s="176"/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  <c r="AO4" s="177"/>
      <c r="AP4" s="100"/>
      <c r="AQ4" s="101"/>
      <c r="AR4" s="101"/>
      <c r="AS4" s="101"/>
      <c r="AT4" s="102"/>
      <c r="AU4" s="178"/>
      <c r="AV4" s="179"/>
      <c r="AW4" s="179"/>
      <c r="AX4" s="179"/>
      <c r="AY4" s="180"/>
      <c r="AZ4" s="181"/>
      <c r="BA4" s="182"/>
      <c r="BB4" s="182"/>
      <c r="BC4" s="182"/>
      <c r="BD4" s="183"/>
    </row>
    <row r="6" spans="1:56" ht="15" customHeight="1" x14ac:dyDescent="0.3">
      <c r="A6" s="156" t="s">
        <v>101</v>
      </c>
      <c r="B6" s="158" t="s">
        <v>4</v>
      </c>
      <c r="C6" s="159"/>
      <c r="D6" s="159"/>
      <c r="E6" s="159"/>
      <c r="F6" s="159"/>
      <c r="G6" s="159"/>
      <c r="H6" s="160"/>
      <c r="I6" s="158" t="s">
        <v>5</v>
      </c>
      <c r="J6" s="159"/>
      <c r="K6" s="159"/>
      <c r="L6" s="159"/>
      <c r="M6" s="159"/>
      <c r="N6" s="159"/>
      <c r="O6" s="159"/>
      <c r="P6" s="159"/>
      <c r="Q6" s="160"/>
      <c r="R6" s="158" t="s">
        <v>145</v>
      </c>
      <c r="S6" s="159"/>
      <c r="T6" s="159"/>
      <c r="U6" s="159"/>
      <c r="V6" s="159"/>
      <c r="W6" s="159"/>
      <c r="X6" s="160"/>
      <c r="Y6" s="158" t="s">
        <v>6</v>
      </c>
      <c r="Z6" s="160"/>
      <c r="AA6" s="158" t="s">
        <v>7</v>
      </c>
      <c r="AB6" s="159"/>
      <c r="AC6" s="160"/>
      <c r="AD6" s="164" t="s">
        <v>8</v>
      </c>
      <c r="AE6" s="185" t="s">
        <v>9</v>
      </c>
      <c r="AF6" s="164" t="s">
        <v>10</v>
      </c>
      <c r="AG6" s="164" t="s">
        <v>11</v>
      </c>
      <c r="AH6" s="164" t="s">
        <v>12</v>
      </c>
      <c r="AI6" s="166" t="s">
        <v>13</v>
      </c>
      <c r="AJ6" s="167"/>
      <c r="AK6" s="167"/>
      <c r="AL6" s="167"/>
      <c r="AM6" s="167"/>
      <c r="AN6" s="167"/>
      <c r="AO6" s="167"/>
      <c r="AP6" s="167"/>
      <c r="AQ6" s="167"/>
      <c r="AR6" s="168"/>
      <c r="AS6" s="169" t="s">
        <v>14</v>
      </c>
      <c r="AT6" s="170"/>
      <c r="AU6" s="170"/>
      <c r="AV6" s="170"/>
      <c r="AW6" s="170"/>
      <c r="AX6" s="170"/>
      <c r="AY6" s="170"/>
      <c r="AZ6" s="170"/>
      <c r="BA6" s="170"/>
      <c r="BB6" s="170"/>
      <c r="BC6" s="170"/>
      <c r="BD6" s="171"/>
    </row>
    <row r="7" spans="1:56" ht="15" customHeight="1" x14ac:dyDescent="0.3">
      <c r="A7" s="157"/>
      <c r="B7" s="161"/>
      <c r="C7" s="162"/>
      <c r="D7" s="162"/>
      <c r="E7" s="162"/>
      <c r="F7" s="162"/>
      <c r="G7" s="162"/>
      <c r="H7" s="163"/>
      <c r="I7" s="161"/>
      <c r="J7" s="162"/>
      <c r="K7" s="162"/>
      <c r="L7" s="162"/>
      <c r="M7" s="162"/>
      <c r="N7" s="162"/>
      <c r="O7" s="162"/>
      <c r="P7" s="162"/>
      <c r="Q7" s="163"/>
      <c r="R7" s="161"/>
      <c r="S7" s="162"/>
      <c r="T7" s="162"/>
      <c r="U7" s="162"/>
      <c r="V7" s="162"/>
      <c r="W7" s="162"/>
      <c r="X7" s="163"/>
      <c r="Y7" s="161"/>
      <c r="Z7" s="163"/>
      <c r="AA7" s="161"/>
      <c r="AB7" s="162"/>
      <c r="AC7" s="163"/>
      <c r="AD7" s="165"/>
      <c r="AE7" s="186"/>
      <c r="AF7" s="165"/>
      <c r="AG7" s="165"/>
      <c r="AH7" s="165"/>
      <c r="AI7" s="56">
        <v>1</v>
      </c>
      <c r="AJ7" s="56">
        <v>2</v>
      </c>
      <c r="AK7" s="56">
        <v>3</v>
      </c>
      <c r="AL7" s="56">
        <v>4</v>
      </c>
      <c r="AM7" s="56">
        <v>5</v>
      </c>
      <c r="AN7" s="56">
        <v>6</v>
      </c>
      <c r="AO7" s="56">
        <v>7</v>
      </c>
      <c r="AP7" s="56">
        <v>8</v>
      </c>
      <c r="AQ7" s="56">
        <v>9</v>
      </c>
      <c r="AR7" s="56">
        <v>10</v>
      </c>
      <c r="AS7" s="172"/>
      <c r="AT7" s="173"/>
      <c r="AU7" s="173"/>
      <c r="AV7" s="173"/>
      <c r="AW7" s="173"/>
      <c r="AX7" s="173"/>
      <c r="AY7" s="173"/>
      <c r="AZ7" s="173"/>
      <c r="BA7" s="173"/>
      <c r="BB7" s="173"/>
      <c r="BC7" s="173"/>
      <c r="BD7" s="174"/>
    </row>
    <row r="8" spans="1:56" ht="15" customHeight="1" x14ac:dyDescent="0.3">
      <c r="A8" s="54">
        <f>IF(B8="","",COUNTA($B$8:B8))</f>
        <v>1</v>
      </c>
      <c r="B8" s="18" t="s">
        <v>204</v>
      </c>
      <c r="C8" s="19"/>
      <c r="D8" s="19"/>
      <c r="E8" s="19"/>
      <c r="F8" s="19"/>
      <c r="G8" s="19"/>
      <c r="H8" s="19"/>
      <c r="I8" s="31" t="str">
        <f>VLOOKUP(B8,Sheet1!A:B,2,FALSE)</f>
        <v>shukka_jisseki_no</v>
      </c>
      <c r="J8" s="21"/>
      <c r="K8" s="21"/>
      <c r="L8" s="21"/>
      <c r="M8" s="21"/>
      <c r="N8" s="21"/>
      <c r="O8" s="21"/>
      <c r="P8" s="21"/>
      <c r="Q8" s="21"/>
      <c r="R8" s="18" t="s">
        <v>208</v>
      </c>
      <c r="S8" s="19"/>
      <c r="T8" s="19"/>
      <c r="U8" s="19"/>
      <c r="V8" s="19"/>
      <c r="W8" s="19"/>
      <c r="X8" s="19"/>
      <c r="Y8" s="139" t="s">
        <v>111</v>
      </c>
      <c r="Z8" s="140"/>
      <c r="AA8" s="141" t="s">
        <v>107</v>
      </c>
      <c r="AB8" s="142"/>
      <c r="AC8" s="143"/>
      <c r="AD8" s="25">
        <v>10</v>
      </c>
      <c r="AE8" s="26"/>
      <c r="AF8" s="26" t="s">
        <v>119</v>
      </c>
      <c r="AG8" s="26" t="s">
        <v>85</v>
      </c>
      <c r="AH8" s="26"/>
      <c r="AI8" s="26"/>
      <c r="AJ8" s="26"/>
      <c r="AK8" s="26"/>
      <c r="AL8" s="26"/>
      <c r="AM8" s="26"/>
      <c r="AN8" s="26"/>
      <c r="AO8" s="27"/>
      <c r="AP8" s="27"/>
      <c r="AQ8" s="27"/>
      <c r="AR8" s="27"/>
      <c r="AS8" s="42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68"/>
    </row>
    <row r="9" spans="1:56" ht="15" customHeight="1" x14ac:dyDescent="0.3">
      <c r="A9" s="54">
        <f>IF(B9="","",COUNTA($B$8:B9))</f>
        <v>2</v>
      </c>
      <c r="B9" s="18" t="s">
        <v>150</v>
      </c>
      <c r="C9" s="19"/>
      <c r="D9" s="19"/>
      <c r="E9" s="19"/>
      <c r="F9" s="19"/>
      <c r="G9" s="19"/>
      <c r="H9" s="19"/>
      <c r="I9" s="31" t="str">
        <f>VLOOKUP(B9,Sheet1!A:B,2,FALSE)</f>
        <v>shukka_shiji_no</v>
      </c>
      <c r="J9" s="21"/>
      <c r="K9" s="21"/>
      <c r="L9" s="21"/>
      <c r="M9" s="21"/>
      <c r="N9" s="21"/>
      <c r="O9" s="21"/>
      <c r="P9" s="21"/>
      <c r="Q9" s="21"/>
      <c r="R9" s="18" t="s">
        <v>150</v>
      </c>
      <c r="S9" s="19"/>
      <c r="T9" s="19"/>
      <c r="U9" s="19"/>
      <c r="V9" s="19"/>
      <c r="W9" s="19"/>
      <c r="X9" s="19"/>
      <c r="Y9" s="139" t="s">
        <v>111</v>
      </c>
      <c r="Z9" s="140"/>
      <c r="AA9" s="141" t="s">
        <v>107</v>
      </c>
      <c r="AB9" s="142"/>
      <c r="AC9" s="143"/>
      <c r="AD9" s="25">
        <v>10</v>
      </c>
      <c r="AE9" s="26"/>
      <c r="AF9" s="26" t="s">
        <v>205</v>
      </c>
      <c r="AG9" s="26" t="s">
        <v>85</v>
      </c>
      <c r="AH9" s="26"/>
      <c r="AI9" s="26"/>
      <c r="AJ9" s="26"/>
      <c r="AK9" s="26"/>
      <c r="AL9" s="26"/>
      <c r="AM9" s="26"/>
      <c r="AN9" s="26"/>
      <c r="AO9" s="27"/>
      <c r="AP9" s="27"/>
      <c r="AQ9" s="27"/>
      <c r="AR9" s="27"/>
      <c r="AS9" s="42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68"/>
    </row>
    <row r="10" spans="1:56" ht="15" customHeight="1" x14ac:dyDescent="0.3">
      <c r="A10" s="54">
        <f>IF(B10="","",COUNTA($B$8:B10))</f>
        <v>3</v>
      </c>
      <c r="B10" s="42" t="s">
        <v>191</v>
      </c>
      <c r="C10" s="41"/>
      <c r="D10" s="41"/>
      <c r="E10" s="41"/>
      <c r="F10" s="41"/>
      <c r="G10" s="41"/>
      <c r="H10" s="41"/>
      <c r="I10" s="31" t="str">
        <f>VLOOKUP(B10,Sheet1!A:B,2,FALSE)</f>
        <v>juchu_meisai_seq</v>
      </c>
      <c r="J10" s="32"/>
      <c r="K10" s="32"/>
      <c r="L10" s="32"/>
      <c r="M10" s="32"/>
      <c r="N10" s="32"/>
      <c r="O10" s="32"/>
      <c r="P10" s="32"/>
      <c r="Q10" s="32"/>
      <c r="R10" s="42" t="s">
        <v>191</v>
      </c>
      <c r="S10" s="41"/>
      <c r="T10" s="41"/>
      <c r="U10" s="41"/>
      <c r="V10" s="41"/>
      <c r="W10" s="41"/>
      <c r="X10" s="41"/>
      <c r="Y10" s="139" t="s">
        <v>108</v>
      </c>
      <c r="Z10" s="140"/>
      <c r="AA10" s="141" t="s">
        <v>110</v>
      </c>
      <c r="AB10" s="142"/>
      <c r="AC10" s="143"/>
      <c r="AD10" s="72">
        <v>3</v>
      </c>
      <c r="AE10" s="27"/>
      <c r="AF10" s="27">
        <v>3</v>
      </c>
      <c r="AG10" s="27" t="s">
        <v>85</v>
      </c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42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68"/>
    </row>
    <row r="11" spans="1:56" ht="15" customHeight="1" x14ac:dyDescent="0.3">
      <c r="A11" s="54">
        <f>IF(B11="","",COUNTA($B$8:B11))</f>
        <v>4</v>
      </c>
      <c r="B11" s="42" t="s">
        <v>209</v>
      </c>
      <c r="C11" s="41"/>
      <c r="D11" s="41"/>
      <c r="E11" s="41"/>
      <c r="F11" s="41"/>
      <c r="G11" s="41"/>
      <c r="H11" s="41"/>
      <c r="I11" s="31" t="str">
        <f>VLOOKUP(B11,Sheet1!A:B,2,FALSE)</f>
        <v>lot_meisai_seq</v>
      </c>
      <c r="J11" s="32"/>
      <c r="K11" s="32"/>
      <c r="L11" s="32"/>
      <c r="M11" s="32"/>
      <c r="N11" s="32"/>
      <c r="O11" s="32"/>
      <c r="P11" s="32"/>
      <c r="Q11" s="32"/>
      <c r="R11" s="42" t="s">
        <v>209</v>
      </c>
      <c r="S11" s="19"/>
      <c r="T11" s="19"/>
      <c r="U11" s="19"/>
      <c r="V11" s="19"/>
      <c r="W11" s="19"/>
      <c r="X11" s="19"/>
      <c r="Y11" s="139" t="s">
        <v>108</v>
      </c>
      <c r="Z11" s="140"/>
      <c r="AA11" s="141" t="s">
        <v>110</v>
      </c>
      <c r="AB11" s="142"/>
      <c r="AC11" s="143"/>
      <c r="AD11" s="25">
        <v>3</v>
      </c>
      <c r="AE11" s="27"/>
      <c r="AF11" s="27">
        <v>4</v>
      </c>
      <c r="AG11" s="27" t="s">
        <v>85</v>
      </c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42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68"/>
    </row>
    <row r="12" spans="1:56" ht="15" customHeight="1" x14ac:dyDescent="0.3">
      <c r="A12" s="54">
        <f>IF(B12="","",COUNTA($B$8:B12))</f>
        <v>5</v>
      </c>
      <c r="B12" s="42" t="s">
        <v>142</v>
      </c>
      <c r="C12" s="41"/>
      <c r="D12" s="41"/>
      <c r="E12" s="41"/>
      <c r="F12" s="41"/>
      <c r="G12" s="41"/>
      <c r="H12" s="41"/>
      <c r="I12" s="31" t="str">
        <f>VLOOKUP(B12,Sheet1!A:B,2,FALSE)</f>
        <v>seihin_full_lot_no</v>
      </c>
      <c r="J12" s="32"/>
      <c r="K12" s="32"/>
      <c r="L12" s="32"/>
      <c r="M12" s="32"/>
      <c r="N12" s="32"/>
      <c r="O12" s="32"/>
      <c r="P12" s="32"/>
      <c r="Q12" s="32"/>
      <c r="R12" s="42" t="s">
        <v>142</v>
      </c>
      <c r="S12" s="41"/>
      <c r="T12" s="41"/>
      <c r="U12" s="41"/>
      <c r="V12" s="41"/>
      <c r="W12" s="41"/>
      <c r="X12" s="41"/>
      <c r="Y12" s="18" t="s">
        <v>111</v>
      </c>
      <c r="Z12" s="34"/>
      <c r="AA12" s="141" t="s">
        <v>107</v>
      </c>
      <c r="AB12" s="142"/>
      <c r="AC12" s="143"/>
      <c r="AD12" s="72">
        <v>10</v>
      </c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42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68"/>
    </row>
    <row r="13" spans="1:56" ht="15" customHeight="1" x14ac:dyDescent="0.3">
      <c r="A13" s="54">
        <f>IF(B13="","",COUNTA($B$8:B13))</f>
        <v>6</v>
      </c>
      <c r="B13" s="42" t="s">
        <v>143</v>
      </c>
      <c r="C13" s="41"/>
      <c r="D13" s="41"/>
      <c r="E13" s="41"/>
      <c r="F13" s="41"/>
      <c r="G13" s="41"/>
      <c r="H13" s="41"/>
      <c r="I13" s="31" t="str">
        <f>VLOOKUP(B13,Sheet1!A:B,2,FALSE)</f>
        <v>pallet_no</v>
      </c>
      <c r="J13" s="32"/>
      <c r="K13" s="32"/>
      <c r="L13" s="32"/>
      <c r="M13" s="32"/>
      <c r="N13" s="32"/>
      <c r="O13" s="32"/>
      <c r="P13" s="32"/>
      <c r="Q13" s="32"/>
      <c r="R13" s="42" t="s">
        <v>143</v>
      </c>
      <c r="S13" s="41"/>
      <c r="T13" s="41"/>
      <c r="U13" s="41"/>
      <c r="V13" s="41"/>
      <c r="W13" s="41"/>
      <c r="X13" s="41"/>
      <c r="Y13" s="18" t="s">
        <v>111</v>
      </c>
      <c r="Z13" s="34"/>
      <c r="AA13" s="141" t="s">
        <v>107</v>
      </c>
      <c r="AB13" s="142"/>
      <c r="AC13" s="143"/>
      <c r="AD13" s="72">
        <v>10</v>
      </c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42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68"/>
    </row>
    <row r="14" spans="1:56" ht="15" customHeight="1" x14ac:dyDescent="0.3">
      <c r="A14" s="54">
        <f>IF(B14="","",COUNTA($B$8:B14))</f>
        <v>7</v>
      </c>
      <c r="B14" s="18" t="s">
        <v>182</v>
      </c>
      <c r="C14" s="19"/>
      <c r="D14" s="19"/>
      <c r="E14" s="19"/>
      <c r="F14" s="19"/>
      <c r="G14" s="19"/>
      <c r="H14" s="22"/>
      <c r="I14" s="31" t="str">
        <f>VLOOKUP(B14,Sheet1!A:B,2,FALSE)</f>
        <v>shukan_busho_cd</v>
      </c>
      <c r="J14" s="21"/>
      <c r="K14" s="21"/>
      <c r="L14" s="21"/>
      <c r="M14" s="21"/>
      <c r="N14" s="21"/>
      <c r="O14" s="21"/>
      <c r="P14" s="21"/>
      <c r="Q14" s="33"/>
      <c r="R14" s="18" t="s">
        <v>184</v>
      </c>
      <c r="S14" s="21"/>
      <c r="T14" s="21"/>
      <c r="U14" s="21"/>
      <c r="V14" s="21"/>
      <c r="W14" s="21"/>
      <c r="X14" s="22"/>
      <c r="Y14" s="139" t="s">
        <v>56</v>
      </c>
      <c r="Z14" s="184"/>
      <c r="AA14" s="141" t="s">
        <v>107</v>
      </c>
      <c r="AB14" s="142"/>
      <c r="AC14" s="143"/>
      <c r="AD14" s="25">
        <v>4</v>
      </c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7"/>
      <c r="AP14" s="27"/>
      <c r="AQ14" s="27"/>
      <c r="AR14" s="27"/>
      <c r="AS14" s="28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70"/>
    </row>
    <row r="15" spans="1:56" ht="15" customHeight="1" x14ac:dyDescent="0.3">
      <c r="A15" s="54">
        <f>IF(B15="","",COUNTA($B$8:B15))</f>
        <v>8</v>
      </c>
      <c r="B15" s="18" t="s">
        <v>183</v>
      </c>
      <c r="C15" s="19"/>
      <c r="D15" s="19"/>
      <c r="E15" s="19"/>
      <c r="F15" s="19"/>
      <c r="G15" s="19"/>
      <c r="H15" s="22"/>
      <c r="I15" s="31" t="str">
        <f>VLOOKUP(B15,Sheet1!A:B,2,FALSE)</f>
        <v>shukan_kotei_cd</v>
      </c>
      <c r="J15" s="21"/>
      <c r="K15" s="21"/>
      <c r="L15" s="21"/>
      <c r="M15" s="21"/>
      <c r="N15" s="21"/>
      <c r="O15" s="21"/>
      <c r="P15" s="21"/>
      <c r="Q15" s="33"/>
      <c r="R15" s="18" t="s">
        <v>183</v>
      </c>
      <c r="S15" s="21"/>
      <c r="T15" s="21"/>
      <c r="U15" s="21"/>
      <c r="V15" s="21"/>
      <c r="W15" s="21"/>
      <c r="X15" s="22"/>
      <c r="Y15" s="139" t="s">
        <v>56</v>
      </c>
      <c r="Z15" s="184"/>
      <c r="AA15" s="141" t="s">
        <v>107</v>
      </c>
      <c r="AB15" s="142"/>
      <c r="AC15" s="143"/>
      <c r="AD15" s="25">
        <v>4</v>
      </c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7"/>
      <c r="AP15" s="27"/>
      <c r="AQ15" s="27"/>
      <c r="AR15" s="27"/>
      <c r="AS15" s="28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70"/>
    </row>
    <row r="16" spans="1:56" ht="15" customHeight="1" x14ac:dyDescent="0.3">
      <c r="A16" s="54">
        <f>IF(B16="","",COUNTA($B$8:B16))</f>
        <v>9</v>
      </c>
      <c r="B16" s="18" t="s">
        <v>1095</v>
      </c>
      <c r="C16" s="41"/>
      <c r="D16" s="41"/>
      <c r="E16" s="41"/>
      <c r="F16" s="41"/>
      <c r="G16" s="41"/>
      <c r="H16" s="41"/>
      <c r="I16" s="31" t="str">
        <f>VLOOKUP(B16,Sheet1!A:B,2,FALSE)</f>
        <v>insert_func_cd</v>
      </c>
      <c r="J16" s="32"/>
      <c r="K16" s="32"/>
      <c r="L16" s="32"/>
      <c r="M16" s="32"/>
      <c r="N16" s="32"/>
      <c r="O16" s="32"/>
      <c r="P16" s="32"/>
      <c r="Q16" s="32"/>
      <c r="R16" s="18" t="s">
        <v>116</v>
      </c>
      <c r="S16" s="41"/>
      <c r="T16" s="41"/>
      <c r="U16" s="41"/>
      <c r="V16" s="41"/>
      <c r="W16" s="41"/>
      <c r="X16" s="41"/>
      <c r="Y16" s="139" t="s">
        <v>111</v>
      </c>
      <c r="Z16" s="140"/>
      <c r="AA16" s="141" t="s">
        <v>107</v>
      </c>
      <c r="AB16" s="142"/>
      <c r="AC16" s="143"/>
      <c r="AD16" s="25">
        <v>10</v>
      </c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8"/>
      <c r="AT16" s="69"/>
      <c r="AU16" s="69"/>
      <c r="AV16" s="69"/>
      <c r="AW16" s="69"/>
      <c r="AX16" s="69"/>
      <c r="AY16" s="69"/>
      <c r="AZ16" s="69"/>
      <c r="BA16" s="69"/>
      <c r="BB16" s="69"/>
      <c r="BC16" s="69"/>
      <c r="BD16" s="70"/>
    </row>
    <row r="17" spans="1:56" ht="15" customHeight="1" x14ac:dyDescent="0.3">
      <c r="A17" s="54">
        <f>IF(B17="","",COUNTA($B$8:B17))</f>
        <v>10</v>
      </c>
      <c r="B17" s="18" t="s">
        <v>112</v>
      </c>
      <c r="C17" s="41"/>
      <c r="D17" s="41"/>
      <c r="E17" s="41"/>
      <c r="F17" s="41"/>
      <c r="G17" s="41"/>
      <c r="H17" s="41"/>
      <c r="I17" s="31" t="str">
        <f>VLOOKUP(B17,Sheet1!A:B,2,FALSE)</f>
        <v>insert_user_cd</v>
      </c>
      <c r="J17" s="32"/>
      <c r="K17" s="32"/>
      <c r="L17" s="32"/>
      <c r="M17" s="32"/>
      <c r="N17" s="32"/>
      <c r="O17" s="32"/>
      <c r="P17" s="32"/>
      <c r="Q17" s="32"/>
      <c r="R17" s="18" t="s">
        <v>112</v>
      </c>
      <c r="S17" s="41"/>
      <c r="T17" s="41"/>
      <c r="U17" s="41"/>
      <c r="V17" s="41"/>
      <c r="W17" s="41"/>
      <c r="X17" s="41"/>
      <c r="Y17" s="139" t="s">
        <v>111</v>
      </c>
      <c r="Z17" s="140"/>
      <c r="AA17" s="141" t="s">
        <v>107</v>
      </c>
      <c r="AB17" s="142"/>
      <c r="AC17" s="143"/>
      <c r="AD17" s="25">
        <v>10</v>
      </c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8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70"/>
    </row>
    <row r="18" spans="1:56" ht="15" customHeight="1" x14ac:dyDescent="0.3">
      <c r="A18" s="54">
        <f>IF(B18="","",COUNTA($B$8:B18))</f>
        <v>11</v>
      </c>
      <c r="B18" s="18" t="s">
        <v>113</v>
      </c>
      <c r="C18" s="41"/>
      <c r="D18" s="41"/>
      <c r="E18" s="41"/>
      <c r="F18" s="41"/>
      <c r="G18" s="41"/>
      <c r="H18" s="41"/>
      <c r="I18" s="31" t="str">
        <f>VLOOKUP(B18,Sheet1!A:B,2,FALSE)</f>
        <v>insert_datetime</v>
      </c>
      <c r="J18" s="32"/>
      <c r="K18" s="32"/>
      <c r="L18" s="32"/>
      <c r="M18" s="32"/>
      <c r="N18" s="32"/>
      <c r="O18" s="32"/>
      <c r="P18" s="32"/>
      <c r="Q18" s="32"/>
      <c r="R18" s="18" t="s">
        <v>113</v>
      </c>
      <c r="S18" s="41"/>
      <c r="T18" s="41"/>
      <c r="U18" s="41"/>
      <c r="V18" s="41"/>
      <c r="W18" s="41"/>
      <c r="X18" s="41"/>
      <c r="Y18" s="139" t="s">
        <v>87</v>
      </c>
      <c r="Z18" s="140"/>
      <c r="AA18" s="141" t="s">
        <v>109</v>
      </c>
      <c r="AB18" s="142"/>
      <c r="AC18" s="143"/>
      <c r="AD18" s="55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8"/>
      <c r="AT18" s="69"/>
      <c r="AU18" s="69"/>
      <c r="AV18" s="69"/>
      <c r="AW18" s="69"/>
      <c r="AX18" s="69"/>
      <c r="AY18" s="69"/>
      <c r="AZ18" s="69"/>
      <c r="BA18" s="69"/>
      <c r="BB18" s="69"/>
      <c r="BC18" s="69"/>
      <c r="BD18" s="70"/>
    </row>
    <row r="19" spans="1:56" ht="15" customHeight="1" x14ac:dyDescent="0.3">
      <c r="A19" s="54">
        <f>IF(B19="","",COUNTA($B$8:B19))</f>
        <v>12</v>
      </c>
      <c r="B19" s="18" t="s">
        <v>1094</v>
      </c>
      <c r="C19" s="41"/>
      <c r="D19" s="41"/>
      <c r="E19" s="41"/>
      <c r="F19" s="41"/>
      <c r="G19" s="41"/>
      <c r="H19" s="41"/>
      <c r="I19" s="31" t="str">
        <f>VLOOKUP(B19,Sheet1!A:B,2,FALSE)</f>
        <v>update_func_cd</v>
      </c>
      <c r="J19" s="32"/>
      <c r="K19" s="32"/>
      <c r="L19" s="32"/>
      <c r="M19" s="32"/>
      <c r="N19" s="32"/>
      <c r="O19" s="32"/>
      <c r="P19" s="32"/>
      <c r="Q19" s="32"/>
      <c r="R19" s="18" t="s">
        <v>117</v>
      </c>
      <c r="S19" s="41"/>
      <c r="T19" s="41"/>
      <c r="U19" s="41"/>
      <c r="V19" s="41"/>
      <c r="W19" s="41"/>
      <c r="X19" s="41"/>
      <c r="Y19" s="139" t="s">
        <v>111</v>
      </c>
      <c r="Z19" s="140"/>
      <c r="AA19" s="141" t="s">
        <v>107</v>
      </c>
      <c r="AB19" s="142"/>
      <c r="AC19" s="143"/>
      <c r="AD19" s="25">
        <v>10</v>
      </c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8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70"/>
    </row>
    <row r="20" spans="1:56" ht="15" customHeight="1" x14ac:dyDescent="0.3">
      <c r="A20" s="54">
        <f>IF(B20="","",COUNTA($B$8:B20))</f>
        <v>13</v>
      </c>
      <c r="B20" s="18" t="s">
        <v>114</v>
      </c>
      <c r="C20" s="19"/>
      <c r="D20" s="19"/>
      <c r="E20" s="19"/>
      <c r="F20" s="19"/>
      <c r="G20" s="19"/>
      <c r="H20" s="19"/>
      <c r="I20" s="31" t="str">
        <f>VLOOKUP(B20,Sheet1!A:B,2,FALSE)</f>
        <v>update_user_cd</v>
      </c>
      <c r="J20" s="21"/>
      <c r="K20" s="21"/>
      <c r="L20" s="21"/>
      <c r="M20" s="21"/>
      <c r="N20" s="21"/>
      <c r="O20" s="21"/>
      <c r="P20" s="21"/>
      <c r="Q20" s="21"/>
      <c r="R20" s="18" t="s">
        <v>114</v>
      </c>
      <c r="S20" s="19"/>
      <c r="T20" s="19"/>
      <c r="U20" s="19"/>
      <c r="V20" s="19"/>
      <c r="W20" s="19"/>
      <c r="X20" s="19"/>
      <c r="Y20" s="139" t="s">
        <v>111</v>
      </c>
      <c r="Z20" s="140"/>
      <c r="AA20" s="141" t="s">
        <v>107</v>
      </c>
      <c r="AB20" s="142"/>
      <c r="AC20" s="143"/>
      <c r="AD20" s="55">
        <v>10</v>
      </c>
      <c r="AE20" s="37"/>
      <c r="AF20" s="37"/>
      <c r="AG20" s="37"/>
      <c r="AH20" s="37"/>
      <c r="AI20" s="37"/>
      <c r="AJ20" s="37"/>
      <c r="AK20" s="37"/>
      <c r="AL20" s="37"/>
      <c r="AM20" s="37"/>
      <c r="AN20" s="37"/>
      <c r="AO20" s="38"/>
      <c r="AP20" s="38"/>
      <c r="AQ20" s="38"/>
      <c r="AR20" s="38"/>
      <c r="AS20" s="39"/>
      <c r="AT20" s="40"/>
      <c r="AU20" s="69"/>
      <c r="AV20" s="69"/>
      <c r="AW20" s="69"/>
      <c r="AX20" s="69"/>
      <c r="AY20" s="69"/>
      <c r="AZ20" s="69"/>
      <c r="BA20" s="69"/>
      <c r="BB20" s="69"/>
      <c r="BC20" s="69"/>
      <c r="BD20" s="70"/>
    </row>
    <row r="21" spans="1:56" ht="15" customHeight="1" x14ac:dyDescent="0.3">
      <c r="A21" s="54">
        <f>IF(B21="","",COUNTA($B$8:B21))</f>
        <v>14</v>
      </c>
      <c r="B21" s="18" t="s">
        <v>115</v>
      </c>
      <c r="C21" s="19"/>
      <c r="D21" s="19"/>
      <c r="E21" s="19"/>
      <c r="F21" s="19"/>
      <c r="G21" s="19"/>
      <c r="H21" s="19"/>
      <c r="I21" s="31" t="str">
        <f>VLOOKUP(B21,Sheet1!A:B,2,FALSE)</f>
        <v>update_datetime</v>
      </c>
      <c r="J21" s="21"/>
      <c r="K21" s="21"/>
      <c r="L21" s="21"/>
      <c r="M21" s="21"/>
      <c r="N21" s="21"/>
      <c r="O21" s="21"/>
      <c r="P21" s="21"/>
      <c r="Q21" s="21"/>
      <c r="R21" s="18" t="s">
        <v>115</v>
      </c>
      <c r="S21" s="19"/>
      <c r="T21" s="19"/>
      <c r="U21" s="19"/>
      <c r="V21" s="19"/>
      <c r="W21" s="19"/>
      <c r="X21" s="19"/>
      <c r="Y21" s="139" t="s">
        <v>87</v>
      </c>
      <c r="Z21" s="140"/>
      <c r="AA21" s="141" t="s">
        <v>109</v>
      </c>
      <c r="AB21" s="142"/>
      <c r="AC21" s="143"/>
      <c r="AD21" s="55"/>
      <c r="AE21" s="37"/>
      <c r="AF21" s="37"/>
      <c r="AG21" s="37"/>
      <c r="AH21" s="37"/>
      <c r="AI21" s="37"/>
      <c r="AJ21" s="37"/>
      <c r="AK21" s="37"/>
      <c r="AL21" s="37"/>
      <c r="AM21" s="37"/>
      <c r="AN21" s="37"/>
      <c r="AO21" s="38"/>
      <c r="AP21" s="38"/>
      <c r="AQ21" s="38"/>
      <c r="AR21" s="38"/>
      <c r="AS21" s="39"/>
      <c r="AT21" s="40"/>
      <c r="AU21" s="69"/>
      <c r="AV21" s="69"/>
      <c r="AW21" s="69"/>
      <c r="AX21" s="69"/>
      <c r="AY21" s="69"/>
      <c r="AZ21" s="69"/>
      <c r="BA21" s="69"/>
      <c r="BB21" s="69"/>
      <c r="BC21" s="69"/>
      <c r="BD21" s="70"/>
    </row>
    <row r="22" spans="1:56" ht="15" customHeight="1" x14ac:dyDescent="0.3">
      <c r="A22" s="54" t="str">
        <f>IF(B22="","",COUNTA($B$8:B22))</f>
        <v/>
      </c>
      <c r="B22" s="42"/>
      <c r="C22" s="41"/>
      <c r="D22" s="41"/>
      <c r="E22" s="41"/>
      <c r="F22" s="41"/>
      <c r="G22" s="41"/>
      <c r="H22" s="41"/>
      <c r="I22" s="42"/>
      <c r="J22" s="32"/>
      <c r="K22" s="32"/>
      <c r="L22" s="32"/>
      <c r="M22" s="32"/>
      <c r="N22" s="32"/>
      <c r="O22" s="32"/>
      <c r="P22" s="32"/>
      <c r="Q22" s="32"/>
      <c r="R22" s="42"/>
      <c r="S22" s="41"/>
      <c r="T22" s="41"/>
      <c r="U22" s="41"/>
      <c r="V22" s="41"/>
      <c r="W22" s="41"/>
      <c r="X22" s="41"/>
      <c r="Y22" s="139"/>
      <c r="Z22" s="140"/>
      <c r="AA22" s="141"/>
      <c r="AB22" s="142"/>
      <c r="AC22" s="143"/>
      <c r="AD22" s="72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42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68"/>
    </row>
    <row r="23" spans="1:56" ht="15" customHeight="1" x14ac:dyDescent="0.3">
      <c r="A23" s="54" t="str">
        <f>IF(B23="","",COUNTA($B$8:B23))</f>
        <v/>
      </c>
      <c r="B23" s="42"/>
      <c r="C23" s="41"/>
      <c r="D23" s="41"/>
      <c r="E23" s="41"/>
      <c r="F23" s="41"/>
      <c r="G23" s="41"/>
      <c r="H23" s="41"/>
      <c r="I23" s="42"/>
      <c r="J23" s="32"/>
      <c r="K23" s="32"/>
      <c r="L23" s="32"/>
      <c r="M23" s="32"/>
      <c r="N23" s="32"/>
      <c r="O23" s="32"/>
      <c r="P23" s="32"/>
      <c r="Q23" s="32"/>
      <c r="R23" s="42"/>
      <c r="S23" s="41"/>
      <c r="T23" s="41"/>
      <c r="U23" s="41"/>
      <c r="V23" s="41"/>
      <c r="W23" s="41"/>
      <c r="X23" s="41"/>
      <c r="Y23" s="139"/>
      <c r="Z23" s="140"/>
      <c r="AA23" s="141"/>
      <c r="AB23" s="142"/>
      <c r="AC23" s="143"/>
      <c r="AD23" s="72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42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68"/>
    </row>
    <row r="24" spans="1:56" ht="15" customHeight="1" x14ac:dyDescent="0.3">
      <c r="A24" s="54" t="str">
        <f>IF(B24="","",COUNTA($B$8:B24))</f>
        <v/>
      </c>
      <c r="B24" s="42"/>
      <c r="C24" s="41"/>
      <c r="D24" s="41"/>
      <c r="E24" s="41"/>
      <c r="F24" s="41"/>
      <c r="G24" s="41"/>
      <c r="H24" s="41"/>
      <c r="I24" s="42"/>
      <c r="J24" s="32"/>
      <c r="K24" s="32"/>
      <c r="L24" s="32"/>
      <c r="M24" s="32"/>
      <c r="N24" s="32"/>
      <c r="O24" s="32"/>
      <c r="P24" s="32"/>
      <c r="Q24" s="32"/>
      <c r="R24" s="42"/>
      <c r="S24" s="41"/>
      <c r="T24" s="41"/>
      <c r="U24" s="41"/>
      <c r="V24" s="41"/>
      <c r="W24" s="41"/>
      <c r="X24" s="41"/>
      <c r="Y24" s="139"/>
      <c r="Z24" s="140"/>
      <c r="AA24" s="141"/>
      <c r="AB24" s="142"/>
      <c r="AC24" s="143"/>
      <c r="AD24" s="72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42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68"/>
    </row>
    <row r="25" spans="1:56" ht="15" customHeight="1" x14ac:dyDescent="0.3">
      <c r="A25" s="54" t="str">
        <f>IF(B25="","",COUNTA($B$8:B25))</f>
        <v/>
      </c>
      <c r="B25" s="42"/>
      <c r="C25" s="41"/>
      <c r="D25" s="41"/>
      <c r="E25" s="41"/>
      <c r="F25" s="41"/>
      <c r="G25" s="41"/>
      <c r="H25" s="41"/>
      <c r="I25" s="42"/>
      <c r="J25" s="32"/>
      <c r="K25" s="32"/>
      <c r="L25" s="32"/>
      <c r="M25" s="32"/>
      <c r="N25" s="32"/>
      <c r="O25" s="32"/>
      <c r="P25" s="32"/>
      <c r="Q25" s="32"/>
      <c r="R25" s="42"/>
      <c r="S25" s="41"/>
      <c r="T25" s="41"/>
      <c r="U25" s="41"/>
      <c r="V25" s="41"/>
      <c r="W25" s="41"/>
      <c r="X25" s="41"/>
      <c r="Y25" s="139"/>
      <c r="Z25" s="140"/>
      <c r="AA25" s="141"/>
      <c r="AB25" s="142"/>
      <c r="AC25" s="143"/>
      <c r="AD25" s="72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42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68"/>
    </row>
    <row r="26" spans="1:56" ht="15" customHeight="1" x14ac:dyDescent="0.3">
      <c r="A26" s="54" t="str">
        <f>IF(B26="","",COUNTA($B$8:B26))</f>
        <v/>
      </c>
      <c r="B26" s="42"/>
      <c r="C26" s="41"/>
      <c r="D26" s="41"/>
      <c r="E26" s="41"/>
      <c r="F26" s="41"/>
      <c r="G26" s="41"/>
      <c r="H26" s="41"/>
      <c r="I26" s="42"/>
      <c r="J26" s="32"/>
      <c r="K26" s="32"/>
      <c r="L26" s="32"/>
      <c r="M26" s="32"/>
      <c r="N26" s="32"/>
      <c r="O26" s="32"/>
      <c r="P26" s="32"/>
      <c r="Q26" s="32"/>
      <c r="R26" s="42"/>
      <c r="S26" s="41"/>
      <c r="T26" s="41"/>
      <c r="U26" s="41"/>
      <c r="V26" s="41"/>
      <c r="W26" s="41"/>
      <c r="X26" s="41"/>
      <c r="Y26" s="139"/>
      <c r="Z26" s="140"/>
      <c r="AA26" s="141"/>
      <c r="AB26" s="142"/>
      <c r="AC26" s="143"/>
      <c r="AD26" s="72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42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68"/>
    </row>
    <row r="27" spans="1:56" ht="15" customHeight="1" x14ac:dyDescent="0.3">
      <c r="A27" s="54" t="str">
        <f>IF(B27="","",COUNTA($B$8:B27))</f>
        <v/>
      </c>
      <c r="B27" s="42"/>
      <c r="C27" s="41"/>
      <c r="D27" s="41"/>
      <c r="E27" s="41"/>
      <c r="F27" s="41"/>
      <c r="G27" s="41"/>
      <c r="H27" s="41"/>
      <c r="I27" s="42"/>
      <c r="J27" s="32"/>
      <c r="K27" s="32"/>
      <c r="L27" s="32"/>
      <c r="M27" s="32"/>
      <c r="N27" s="32"/>
      <c r="O27" s="32"/>
      <c r="P27" s="32"/>
      <c r="Q27" s="32"/>
      <c r="R27" s="42"/>
      <c r="S27" s="41"/>
      <c r="T27" s="41"/>
      <c r="U27" s="41"/>
      <c r="V27" s="41"/>
      <c r="W27" s="41"/>
      <c r="X27" s="41"/>
      <c r="Y27" s="139"/>
      <c r="Z27" s="140"/>
      <c r="AA27" s="141"/>
      <c r="AB27" s="142"/>
      <c r="AC27" s="143"/>
      <c r="AD27" s="72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42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68"/>
    </row>
    <row r="28" spans="1:56" ht="15" customHeight="1" x14ac:dyDescent="0.3">
      <c r="A28" s="54" t="str">
        <f>IF(B28="","",COUNTA($B$8:B28))</f>
        <v/>
      </c>
      <c r="B28" s="42"/>
      <c r="C28" s="41"/>
      <c r="D28" s="41"/>
      <c r="E28" s="41"/>
      <c r="F28" s="41"/>
      <c r="G28" s="41"/>
      <c r="H28" s="41"/>
      <c r="I28" s="42"/>
      <c r="J28" s="32"/>
      <c r="K28" s="32"/>
      <c r="L28" s="32"/>
      <c r="M28" s="32"/>
      <c r="N28" s="32"/>
      <c r="O28" s="32"/>
      <c r="P28" s="32"/>
      <c r="Q28" s="32"/>
      <c r="R28" s="42"/>
      <c r="S28" s="41"/>
      <c r="T28" s="41"/>
      <c r="U28" s="41"/>
      <c r="V28" s="41"/>
      <c r="W28" s="41"/>
      <c r="X28" s="41"/>
      <c r="Y28" s="139"/>
      <c r="Z28" s="140"/>
      <c r="AA28" s="141"/>
      <c r="AB28" s="142"/>
      <c r="AC28" s="143"/>
      <c r="AD28" s="72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42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68"/>
    </row>
    <row r="29" spans="1:56" ht="15" customHeight="1" x14ac:dyDescent="0.3">
      <c r="A29" s="54" t="str">
        <f>IF(B29="","",COUNTA($B$8:B29))</f>
        <v/>
      </c>
      <c r="B29" s="42"/>
      <c r="C29" s="41"/>
      <c r="D29" s="41"/>
      <c r="E29" s="41"/>
      <c r="F29" s="41"/>
      <c r="G29" s="41"/>
      <c r="H29" s="41"/>
      <c r="I29" s="42"/>
      <c r="J29" s="32"/>
      <c r="K29" s="32"/>
      <c r="L29" s="32"/>
      <c r="M29" s="32"/>
      <c r="N29" s="32"/>
      <c r="O29" s="32"/>
      <c r="P29" s="32"/>
      <c r="Q29" s="32"/>
      <c r="R29" s="42"/>
      <c r="S29" s="41"/>
      <c r="T29" s="41"/>
      <c r="U29" s="41"/>
      <c r="V29" s="41"/>
      <c r="W29" s="41"/>
      <c r="X29" s="41"/>
      <c r="Y29" s="139"/>
      <c r="Z29" s="140"/>
      <c r="AA29" s="141"/>
      <c r="AB29" s="142"/>
      <c r="AC29" s="143"/>
      <c r="AD29" s="72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42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68"/>
    </row>
    <row r="30" spans="1:56" ht="15" customHeight="1" x14ac:dyDescent="0.3">
      <c r="A30" s="54" t="str">
        <f>IF(B30="","",COUNTA($B$8:B30))</f>
        <v/>
      </c>
      <c r="B30" s="42"/>
      <c r="C30" s="41"/>
      <c r="D30" s="41"/>
      <c r="E30" s="41"/>
      <c r="F30" s="41"/>
      <c r="G30" s="41"/>
      <c r="H30" s="41"/>
      <c r="I30" s="42"/>
      <c r="J30" s="32"/>
      <c r="K30" s="32"/>
      <c r="L30" s="32"/>
      <c r="M30" s="32"/>
      <c r="N30" s="32"/>
      <c r="O30" s="32"/>
      <c r="P30" s="32"/>
      <c r="Q30" s="32"/>
      <c r="R30" s="42"/>
      <c r="S30" s="41"/>
      <c r="T30" s="41"/>
      <c r="U30" s="41"/>
      <c r="V30" s="41"/>
      <c r="W30" s="41"/>
      <c r="X30" s="41"/>
      <c r="Y30" s="139"/>
      <c r="Z30" s="140"/>
      <c r="AA30" s="141"/>
      <c r="AB30" s="142"/>
      <c r="AC30" s="143"/>
      <c r="AD30" s="72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42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68"/>
    </row>
    <row r="31" spans="1:56" ht="15" customHeight="1" x14ac:dyDescent="0.3">
      <c r="A31" s="54" t="str">
        <f>IF(B31="","",COUNTA($B$8:B31))</f>
        <v/>
      </c>
      <c r="B31" s="42"/>
      <c r="C31" s="41"/>
      <c r="D31" s="41"/>
      <c r="E31" s="41"/>
      <c r="F31" s="41"/>
      <c r="G31" s="41"/>
      <c r="H31" s="41"/>
      <c r="I31" s="42"/>
      <c r="J31" s="32"/>
      <c r="K31" s="32"/>
      <c r="L31" s="32"/>
      <c r="M31" s="32"/>
      <c r="N31" s="32"/>
      <c r="O31" s="32"/>
      <c r="P31" s="32"/>
      <c r="Q31" s="32"/>
      <c r="R31" s="42"/>
      <c r="S31" s="41"/>
      <c r="T31" s="41"/>
      <c r="U31" s="41"/>
      <c r="V31" s="41"/>
      <c r="W31" s="41"/>
      <c r="X31" s="41"/>
      <c r="Y31" s="139"/>
      <c r="Z31" s="140"/>
      <c r="AA31" s="141"/>
      <c r="AB31" s="142"/>
      <c r="AC31" s="143"/>
      <c r="AD31" s="72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42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68"/>
    </row>
    <row r="32" spans="1:56" ht="15" customHeight="1" x14ac:dyDescent="0.3">
      <c r="A32" s="54" t="str">
        <f>IF(B32="","",COUNTA($B$8:B32))</f>
        <v/>
      </c>
      <c r="B32" s="42"/>
      <c r="C32" s="41"/>
      <c r="D32" s="41"/>
      <c r="E32" s="41"/>
      <c r="F32" s="41"/>
      <c r="G32" s="41"/>
      <c r="H32" s="41"/>
      <c r="I32" s="42"/>
      <c r="J32" s="32"/>
      <c r="K32" s="32"/>
      <c r="L32" s="32"/>
      <c r="M32" s="32"/>
      <c r="N32" s="32"/>
      <c r="O32" s="32"/>
      <c r="P32" s="32"/>
      <c r="Q32" s="32"/>
      <c r="R32" s="42"/>
      <c r="S32" s="41"/>
      <c r="T32" s="41"/>
      <c r="U32" s="41"/>
      <c r="V32" s="41"/>
      <c r="W32" s="41"/>
      <c r="X32" s="41"/>
      <c r="Y32" s="139"/>
      <c r="Z32" s="140"/>
      <c r="AA32" s="141"/>
      <c r="AB32" s="142"/>
      <c r="AC32" s="143"/>
      <c r="AD32" s="72"/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42"/>
      <c r="AT32" s="43"/>
      <c r="AU32" s="43"/>
      <c r="AV32" s="43"/>
      <c r="AW32" s="43"/>
      <c r="AX32" s="43"/>
      <c r="AY32" s="43"/>
      <c r="AZ32" s="43"/>
      <c r="BA32" s="43"/>
      <c r="BB32" s="43"/>
      <c r="BC32" s="43"/>
      <c r="BD32" s="68"/>
    </row>
    <row r="33" spans="1:56" ht="15" customHeight="1" x14ac:dyDescent="0.3">
      <c r="A33" s="54" t="str">
        <f>IF(B33="","",COUNTA($B$8:B33))</f>
        <v/>
      </c>
      <c r="B33" s="42"/>
      <c r="C33" s="41"/>
      <c r="D33" s="41"/>
      <c r="E33" s="41"/>
      <c r="F33" s="41"/>
      <c r="G33" s="41"/>
      <c r="H33" s="41"/>
      <c r="I33" s="42"/>
      <c r="J33" s="32"/>
      <c r="K33" s="32"/>
      <c r="L33" s="32"/>
      <c r="M33" s="32"/>
      <c r="N33" s="32"/>
      <c r="O33" s="32"/>
      <c r="P33" s="32"/>
      <c r="Q33" s="32"/>
      <c r="R33" s="42"/>
      <c r="S33" s="41"/>
      <c r="T33" s="41"/>
      <c r="U33" s="41"/>
      <c r="V33" s="41"/>
      <c r="W33" s="41"/>
      <c r="X33" s="41"/>
      <c r="Y33" s="139"/>
      <c r="Z33" s="140"/>
      <c r="AA33" s="141"/>
      <c r="AB33" s="142"/>
      <c r="AC33" s="143"/>
      <c r="AD33" s="72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42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68"/>
    </row>
    <row r="34" spans="1:56" ht="15" customHeight="1" x14ac:dyDescent="0.3">
      <c r="A34" s="54" t="str">
        <f>IF(B34="","",COUNTA($B$8:B34))</f>
        <v/>
      </c>
      <c r="B34" s="42"/>
      <c r="C34" s="41"/>
      <c r="D34" s="41"/>
      <c r="E34" s="41"/>
      <c r="F34" s="41"/>
      <c r="G34" s="41"/>
      <c r="H34" s="41"/>
      <c r="I34" s="42"/>
      <c r="J34" s="32"/>
      <c r="K34" s="32"/>
      <c r="L34" s="32"/>
      <c r="M34" s="32"/>
      <c r="N34" s="32"/>
      <c r="O34" s="32"/>
      <c r="P34" s="32"/>
      <c r="Q34" s="32"/>
      <c r="R34" s="42"/>
      <c r="S34" s="41"/>
      <c r="T34" s="41"/>
      <c r="U34" s="41"/>
      <c r="V34" s="41"/>
      <c r="W34" s="41"/>
      <c r="X34" s="41"/>
      <c r="Y34" s="139"/>
      <c r="Z34" s="140"/>
      <c r="AA34" s="141"/>
      <c r="AB34" s="142"/>
      <c r="AC34" s="143"/>
      <c r="AD34" s="72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42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68"/>
    </row>
    <row r="35" spans="1:56" ht="15" customHeight="1" x14ac:dyDescent="0.3">
      <c r="A35" s="54" t="str">
        <f>IF(B35="","",COUNTA($B$8:B35))</f>
        <v/>
      </c>
      <c r="B35" s="42"/>
      <c r="C35" s="41"/>
      <c r="D35" s="41"/>
      <c r="E35" s="41"/>
      <c r="F35" s="41"/>
      <c r="G35" s="41"/>
      <c r="H35" s="41"/>
      <c r="I35" s="42"/>
      <c r="J35" s="32"/>
      <c r="K35" s="32"/>
      <c r="L35" s="32"/>
      <c r="M35" s="32"/>
      <c r="N35" s="32"/>
      <c r="O35" s="32"/>
      <c r="P35" s="32"/>
      <c r="Q35" s="32"/>
      <c r="R35" s="42"/>
      <c r="S35" s="41"/>
      <c r="T35" s="41"/>
      <c r="U35" s="41"/>
      <c r="V35" s="41"/>
      <c r="W35" s="41"/>
      <c r="X35" s="41"/>
      <c r="Y35" s="139"/>
      <c r="Z35" s="140"/>
      <c r="AA35" s="141"/>
      <c r="AB35" s="142"/>
      <c r="AC35" s="143"/>
      <c r="AD35" s="72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42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68"/>
    </row>
    <row r="36" spans="1:56" ht="15" customHeight="1" x14ac:dyDescent="0.3">
      <c r="A36" s="54" t="str">
        <f>IF(B36="","",COUNTA($B$8:B36))</f>
        <v/>
      </c>
      <c r="B36" s="42"/>
      <c r="C36" s="41"/>
      <c r="D36" s="41"/>
      <c r="E36" s="41"/>
      <c r="F36" s="41"/>
      <c r="G36" s="41"/>
      <c r="H36" s="41"/>
      <c r="I36" s="42"/>
      <c r="J36" s="32"/>
      <c r="K36" s="32"/>
      <c r="L36" s="32"/>
      <c r="M36" s="32"/>
      <c r="N36" s="32"/>
      <c r="O36" s="32"/>
      <c r="P36" s="32"/>
      <c r="Q36" s="32"/>
      <c r="R36" s="42"/>
      <c r="S36" s="41"/>
      <c r="T36" s="41"/>
      <c r="U36" s="41"/>
      <c r="V36" s="41"/>
      <c r="W36" s="41"/>
      <c r="X36" s="41"/>
      <c r="Y36" s="139"/>
      <c r="Z36" s="140"/>
      <c r="AA36" s="141"/>
      <c r="AB36" s="142"/>
      <c r="AC36" s="143"/>
      <c r="AD36" s="72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42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68"/>
    </row>
    <row r="37" spans="1:56" ht="15" customHeight="1" x14ac:dyDescent="0.3">
      <c r="A37" s="54" t="str">
        <f>IF(B37="","",COUNTA($B$8:B37))</f>
        <v/>
      </c>
      <c r="B37" s="42"/>
      <c r="C37" s="41"/>
      <c r="D37" s="41"/>
      <c r="E37" s="41"/>
      <c r="F37" s="41"/>
      <c r="G37" s="41"/>
      <c r="H37" s="41"/>
      <c r="I37" s="42"/>
      <c r="J37" s="32"/>
      <c r="K37" s="32"/>
      <c r="L37" s="32"/>
      <c r="M37" s="32"/>
      <c r="N37" s="32"/>
      <c r="O37" s="32"/>
      <c r="P37" s="32"/>
      <c r="Q37" s="32"/>
      <c r="R37" s="42"/>
      <c r="S37" s="41"/>
      <c r="T37" s="41"/>
      <c r="U37" s="41"/>
      <c r="V37" s="41"/>
      <c r="W37" s="41"/>
      <c r="X37" s="41"/>
      <c r="Y37" s="139"/>
      <c r="Z37" s="140"/>
      <c r="AA37" s="141"/>
      <c r="AB37" s="142"/>
      <c r="AC37" s="143"/>
      <c r="AD37" s="72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42"/>
      <c r="AT37" s="43"/>
      <c r="AU37" s="43"/>
      <c r="AV37" s="43"/>
      <c r="AW37" s="43"/>
      <c r="AX37" s="43"/>
      <c r="AY37" s="43"/>
      <c r="AZ37" s="43"/>
      <c r="BA37" s="43"/>
      <c r="BB37" s="43"/>
      <c r="BC37" s="43"/>
      <c r="BD37" s="68"/>
    </row>
    <row r="38" spans="1:56" ht="15" customHeight="1" x14ac:dyDescent="0.3">
      <c r="A38" s="54" t="str">
        <f>IF(B38="","",COUNTA($B$8:B38))</f>
        <v/>
      </c>
      <c r="B38" s="42"/>
      <c r="C38" s="41"/>
      <c r="D38" s="41"/>
      <c r="E38" s="41"/>
      <c r="F38" s="41"/>
      <c r="G38" s="41"/>
      <c r="H38" s="41"/>
      <c r="I38" s="42"/>
      <c r="J38" s="32"/>
      <c r="K38" s="32"/>
      <c r="L38" s="32"/>
      <c r="M38" s="32"/>
      <c r="N38" s="32"/>
      <c r="O38" s="32"/>
      <c r="P38" s="32"/>
      <c r="Q38" s="32"/>
      <c r="R38" s="42"/>
      <c r="S38" s="41"/>
      <c r="T38" s="41"/>
      <c r="U38" s="41"/>
      <c r="V38" s="41"/>
      <c r="W38" s="41"/>
      <c r="X38" s="41"/>
      <c r="Y38" s="139"/>
      <c r="Z38" s="140"/>
      <c r="AA38" s="141"/>
      <c r="AB38" s="142"/>
      <c r="AC38" s="143"/>
      <c r="AD38" s="72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42"/>
      <c r="AT38" s="43"/>
      <c r="AU38" s="43"/>
      <c r="AV38" s="43"/>
      <c r="AW38" s="43"/>
      <c r="AX38" s="43"/>
      <c r="AY38" s="43"/>
      <c r="AZ38" s="43"/>
      <c r="BA38" s="43"/>
      <c r="BB38" s="43"/>
      <c r="BC38" s="43"/>
      <c r="BD38" s="68"/>
    </row>
    <row r="39" spans="1:56" ht="15" customHeight="1" x14ac:dyDescent="0.3">
      <c r="A39" s="54" t="str">
        <f>IF(B39="","",COUNTA($B$8:B39))</f>
        <v/>
      </c>
      <c r="B39" s="42"/>
      <c r="C39" s="41"/>
      <c r="D39" s="41"/>
      <c r="E39" s="41"/>
      <c r="F39" s="41"/>
      <c r="G39" s="41"/>
      <c r="H39" s="41"/>
      <c r="I39" s="42"/>
      <c r="J39" s="32"/>
      <c r="K39" s="32"/>
      <c r="L39" s="32"/>
      <c r="M39" s="32"/>
      <c r="N39" s="32"/>
      <c r="O39" s="32"/>
      <c r="P39" s="32"/>
      <c r="Q39" s="32"/>
      <c r="R39" s="42"/>
      <c r="S39" s="41"/>
      <c r="T39" s="41"/>
      <c r="U39" s="41"/>
      <c r="V39" s="41"/>
      <c r="W39" s="41"/>
      <c r="X39" s="41"/>
      <c r="Y39" s="139"/>
      <c r="Z39" s="140"/>
      <c r="AA39" s="141"/>
      <c r="AB39" s="142"/>
      <c r="AC39" s="143"/>
      <c r="AD39" s="72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42"/>
      <c r="AT39" s="43"/>
      <c r="AU39" s="43"/>
      <c r="AV39" s="43"/>
      <c r="AW39" s="43"/>
      <c r="AX39" s="43"/>
      <c r="AY39" s="43"/>
      <c r="AZ39" s="43"/>
      <c r="BA39" s="43"/>
      <c r="BB39" s="43"/>
      <c r="BC39" s="43"/>
      <c r="BD39" s="68"/>
    </row>
    <row r="40" spans="1:56" ht="15" customHeight="1" x14ac:dyDescent="0.3">
      <c r="A40" s="54" t="str">
        <f>IF(B40="","",COUNTA($B$8:B40))</f>
        <v/>
      </c>
      <c r="B40" s="42"/>
      <c r="C40" s="41"/>
      <c r="D40" s="41"/>
      <c r="E40" s="41"/>
      <c r="F40" s="41"/>
      <c r="G40" s="41"/>
      <c r="H40" s="41"/>
      <c r="I40" s="42"/>
      <c r="J40" s="32"/>
      <c r="K40" s="32"/>
      <c r="L40" s="32"/>
      <c r="M40" s="32"/>
      <c r="N40" s="32"/>
      <c r="O40" s="32"/>
      <c r="P40" s="32"/>
      <c r="Q40" s="32"/>
      <c r="R40" s="42"/>
      <c r="S40" s="41"/>
      <c r="T40" s="41"/>
      <c r="U40" s="41"/>
      <c r="V40" s="41"/>
      <c r="W40" s="41"/>
      <c r="X40" s="41"/>
      <c r="Y40" s="139"/>
      <c r="Z40" s="140"/>
      <c r="AA40" s="141"/>
      <c r="AB40" s="142"/>
      <c r="AC40" s="143"/>
      <c r="AD40" s="72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42"/>
      <c r="AT40" s="43"/>
      <c r="AU40" s="43"/>
      <c r="AV40" s="43"/>
      <c r="AW40" s="43"/>
      <c r="AX40" s="43"/>
      <c r="AY40" s="43"/>
      <c r="AZ40" s="43"/>
      <c r="BA40" s="43"/>
      <c r="BB40" s="43"/>
      <c r="BC40" s="43"/>
      <c r="BD40" s="68"/>
    </row>
    <row r="41" spans="1:56" ht="15" customHeight="1" x14ac:dyDescent="0.3">
      <c r="A41" s="54" t="str">
        <f>IF(B41="","",COUNTA($B$8:B41))</f>
        <v/>
      </c>
      <c r="B41" s="42"/>
      <c r="C41" s="41"/>
      <c r="D41" s="41"/>
      <c r="E41" s="41"/>
      <c r="F41" s="41"/>
      <c r="G41" s="41"/>
      <c r="H41" s="41"/>
      <c r="I41" s="42"/>
      <c r="J41" s="32"/>
      <c r="K41" s="32"/>
      <c r="L41" s="32"/>
      <c r="M41" s="32"/>
      <c r="N41" s="32"/>
      <c r="O41" s="32"/>
      <c r="P41" s="32"/>
      <c r="Q41" s="32"/>
      <c r="R41" s="42"/>
      <c r="S41" s="41"/>
      <c r="T41" s="41"/>
      <c r="U41" s="41"/>
      <c r="V41" s="41"/>
      <c r="W41" s="41"/>
      <c r="X41" s="41"/>
      <c r="Y41" s="139"/>
      <c r="Z41" s="140"/>
      <c r="AA41" s="141"/>
      <c r="AB41" s="142"/>
      <c r="AC41" s="143"/>
      <c r="AD41" s="72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42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68"/>
    </row>
    <row r="42" spans="1:56" ht="15" customHeight="1" x14ac:dyDescent="0.3">
      <c r="A42" s="54" t="str">
        <f>IF(B42="","",COUNTA($B$8:B42))</f>
        <v/>
      </c>
      <c r="B42" s="42"/>
      <c r="C42" s="41"/>
      <c r="D42" s="41"/>
      <c r="E42" s="41"/>
      <c r="F42" s="41"/>
      <c r="G42" s="41"/>
      <c r="H42" s="41"/>
      <c r="I42" s="42"/>
      <c r="J42" s="32"/>
      <c r="K42" s="32"/>
      <c r="L42" s="32"/>
      <c r="M42" s="32"/>
      <c r="N42" s="32"/>
      <c r="O42" s="32"/>
      <c r="P42" s="32"/>
      <c r="Q42" s="32"/>
      <c r="R42" s="42"/>
      <c r="S42" s="41"/>
      <c r="T42" s="41"/>
      <c r="U42" s="41"/>
      <c r="V42" s="41"/>
      <c r="W42" s="41"/>
      <c r="X42" s="41"/>
      <c r="Y42" s="139"/>
      <c r="Z42" s="140"/>
      <c r="AA42" s="141"/>
      <c r="AB42" s="142"/>
      <c r="AC42" s="143"/>
      <c r="AD42" s="72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42"/>
      <c r="AT42" s="43"/>
      <c r="AU42" s="43"/>
      <c r="AV42" s="43"/>
      <c r="AW42" s="43"/>
      <c r="AX42" s="43"/>
      <c r="AY42" s="43"/>
      <c r="AZ42" s="43"/>
      <c r="BA42" s="43"/>
      <c r="BB42" s="43"/>
      <c r="BC42" s="43"/>
      <c r="BD42" s="68"/>
    </row>
    <row r="43" spans="1:56" ht="15" customHeight="1" x14ac:dyDescent="0.3">
      <c r="A43" s="54" t="str">
        <f>IF(B43="","",COUNTA($B$8:B43))</f>
        <v/>
      </c>
      <c r="B43" s="42"/>
      <c r="C43" s="41"/>
      <c r="D43" s="41"/>
      <c r="E43" s="41"/>
      <c r="F43" s="41"/>
      <c r="G43" s="41"/>
      <c r="H43" s="41"/>
      <c r="I43" s="42"/>
      <c r="J43" s="32"/>
      <c r="K43" s="32"/>
      <c r="L43" s="32"/>
      <c r="M43" s="32"/>
      <c r="N43" s="32"/>
      <c r="O43" s="32"/>
      <c r="P43" s="32"/>
      <c r="Q43" s="32"/>
      <c r="R43" s="42"/>
      <c r="S43" s="41"/>
      <c r="T43" s="41"/>
      <c r="U43" s="41"/>
      <c r="V43" s="41"/>
      <c r="W43" s="41"/>
      <c r="X43" s="41"/>
      <c r="Y43" s="139"/>
      <c r="Z43" s="140"/>
      <c r="AA43" s="141"/>
      <c r="AB43" s="142"/>
      <c r="AC43" s="143"/>
      <c r="AD43" s="72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42"/>
      <c r="AT43" s="43"/>
      <c r="AU43" s="43"/>
      <c r="AV43" s="43"/>
      <c r="AW43" s="43"/>
      <c r="AX43" s="43"/>
      <c r="AY43" s="43"/>
      <c r="AZ43" s="43"/>
      <c r="BA43" s="43"/>
      <c r="BB43" s="43"/>
      <c r="BC43" s="43"/>
      <c r="BD43" s="68"/>
    </row>
    <row r="44" spans="1:56" ht="15" customHeight="1" x14ac:dyDescent="0.3">
      <c r="A44" s="54" t="str">
        <f>IF(B44="","",COUNTA($B$8:B44))</f>
        <v/>
      </c>
      <c r="B44" s="28"/>
      <c r="C44" s="41"/>
      <c r="D44" s="41"/>
      <c r="E44" s="41"/>
      <c r="F44" s="41"/>
      <c r="G44" s="41"/>
      <c r="H44" s="41"/>
      <c r="I44" s="20"/>
      <c r="J44" s="32"/>
      <c r="K44" s="32"/>
      <c r="L44" s="32"/>
      <c r="M44" s="32"/>
      <c r="N44" s="32"/>
      <c r="O44" s="32"/>
      <c r="P44" s="32"/>
      <c r="Q44" s="32"/>
      <c r="R44" s="28"/>
      <c r="S44" s="41"/>
      <c r="T44" s="41"/>
      <c r="U44" s="41"/>
      <c r="V44" s="41"/>
      <c r="W44" s="41"/>
      <c r="X44" s="41"/>
      <c r="Y44" s="139"/>
      <c r="Z44" s="140"/>
      <c r="AA44" s="141"/>
      <c r="AB44" s="142"/>
      <c r="AC44" s="143"/>
      <c r="AD44" s="55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8"/>
      <c r="AT44" s="69"/>
      <c r="AU44" s="69"/>
      <c r="AV44" s="69"/>
      <c r="AW44" s="69"/>
      <c r="AX44" s="69"/>
      <c r="AY44" s="69"/>
      <c r="AZ44" s="69"/>
      <c r="BA44" s="69"/>
      <c r="BB44" s="69"/>
      <c r="BC44" s="69"/>
      <c r="BD44" s="70"/>
    </row>
  </sheetData>
  <mergeCells count="104"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H6:AH7"/>
    <mergeCell ref="AI6:AR6"/>
    <mergeCell ref="AS6:BD7"/>
    <mergeCell ref="Y9:Z9"/>
    <mergeCell ref="AA9:AC9"/>
    <mergeCell ref="Y8:Z8"/>
    <mergeCell ref="AA8:AC8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A13:AC13"/>
    <mergeCell ref="Y14:Z14"/>
    <mergeCell ref="AA14:AC14"/>
    <mergeCell ref="AA12:AC12"/>
    <mergeCell ref="Y10:Z10"/>
    <mergeCell ref="AA10:AC10"/>
    <mergeCell ref="Y11:Z11"/>
    <mergeCell ref="AA11:AC11"/>
    <mergeCell ref="AG6:AG7"/>
    <mergeCell ref="Y18:Z18"/>
    <mergeCell ref="AA18:AC18"/>
    <mergeCell ref="Y19:Z19"/>
    <mergeCell ref="AA19:AC19"/>
    <mergeCell ref="Y20:Z20"/>
    <mergeCell ref="AA20:AC20"/>
    <mergeCell ref="Y15:Z15"/>
    <mergeCell ref="AA15:AC15"/>
    <mergeCell ref="Y16:Z16"/>
    <mergeCell ref="AA16:AC16"/>
    <mergeCell ref="Y17:Z17"/>
    <mergeCell ref="AA17:AC17"/>
    <mergeCell ref="Y24:Z24"/>
    <mergeCell ref="AA24:AC24"/>
    <mergeCell ref="Y25:Z25"/>
    <mergeCell ref="AA25:AC25"/>
    <mergeCell ref="Y26:Z26"/>
    <mergeCell ref="AA26:AC26"/>
    <mergeCell ref="Y21:Z21"/>
    <mergeCell ref="AA21:AC21"/>
    <mergeCell ref="Y22:Z22"/>
    <mergeCell ref="AA22:AC22"/>
    <mergeCell ref="Y23:Z23"/>
    <mergeCell ref="AA23:AC23"/>
    <mergeCell ref="Y30:Z30"/>
    <mergeCell ref="AA30:AC30"/>
    <mergeCell ref="Y31:Z31"/>
    <mergeCell ref="AA31:AC31"/>
    <mergeCell ref="Y32:Z32"/>
    <mergeCell ref="AA32:AC32"/>
    <mergeCell ref="Y27:Z27"/>
    <mergeCell ref="AA27:AC27"/>
    <mergeCell ref="Y28:Z28"/>
    <mergeCell ref="AA28:AC28"/>
    <mergeCell ref="Y29:Z29"/>
    <mergeCell ref="AA29:AC29"/>
    <mergeCell ref="Y44:Z44"/>
    <mergeCell ref="AA44:AC44"/>
    <mergeCell ref="Y38:Z38"/>
    <mergeCell ref="AA38:AC38"/>
    <mergeCell ref="Y39:Z39"/>
    <mergeCell ref="AA39:AC39"/>
    <mergeCell ref="Y33:Z33"/>
    <mergeCell ref="AA33:AC33"/>
    <mergeCell ref="Y34:Z34"/>
    <mergeCell ref="AA34:AC34"/>
    <mergeCell ref="Y35:Z35"/>
    <mergeCell ref="AA35:AC35"/>
    <mergeCell ref="Y43:Z43"/>
    <mergeCell ref="AA43:AC43"/>
    <mergeCell ref="Y40:Z40"/>
    <mergeCell ref="AA40:AC40"/>
    <mergeCell ref="Y41:Z41"/>
    <mergeCell ref="AA41:AC41"/>
    <mergeCell ref="Y42:Z42"/>
    <mergeCell ref="AA42:AC42"/>
    <mergeCell ref="Y36:Z36"/>
    <mergeCell ref="AA36:AC36"/>
    <mergeCell ref="Y37:Z37"/>
    <mergeCell ref="AA37:AC37"/>
  </mergeCells>
  <phoneticPr fontId="4"/>
  <dataValidations count="3">
    <dataValidation imeMode="hiragana" allowBlank="1" showInputMessage="1" showErrorMessage="1" sqref="JG65519:JR65521 TC65519:TN65521 ACY65519:ADJ65521 AMU65519:ANF65521 AWQ65519:AXB65521 BGM65519:BGX65521 BQI65519:BQT65521 CAE65519:CAP65521 CKA65519:CKL65521 CTW65519:CUH65521 DDS65519:DED65521 DNO65519:DNZ65521 DXK65519:DXV65521 EHG65519:EHR65521 ERC65519:ERN65521 FAY65519:FBJ65521 FKU65519:FLF65521 FUQ65519:FVB65521 GEM65519:GEX65521 GOI65519:GOT65521 GYE65519:GYP65521 HIA65519:HIL65521 HRW65519:HSH65521 IBS65519:ICD65521 ILO65519:ILZ65521 IVK65519:IVV65521 JFG65519:JFR65521 JPC65519:JPN65521 JYY65519:JZJ65521 KIU65519:KJF65521 KSQ65519:KTB65521 LCM65519:LCX65521 LMI65519:LMT65521 LWE65519:LWP65521 MGA65519:MGL65521 MPW65519:MQH65521 MZS65519:NAD65521 NJO65519:NJZ65521 NTK65519:NTV65521 ODG65519:ODR65521 ONC65519:ONN65521 OWY65519:OXJ65521 PGU65519:PHF65521 PQQ65519:PRB65521 QAM65519:QAX65521 QKI65519:QKT65521 QUE65519:QUP65521 REA65519:REL65521 RNW65519:ROH65521 RXS65519:RYD65521 SHO65519:SHZ65521 SRK65519:SRV65521 TBG65519:TBR65521 TLC65519:TLN65521 TUY65519:TVJ65521 UEU65519:UFF65521 UOQ65519:UPB65521 UYM65519:UYX65521 VII65519:VIT65521 VSE65519:VSP65521 WCA65519:WCL65521 WLW65519:WMH65521 WVS65519:WWD65521 JG131055:JR131057 TC131055:TN131057 ACY131055:ADJ131057 AMU131055:ANF131057 AWQ131055:AXB131057 BGM131055:BGX131057 BQI131055:BQT131057 CAE131055:CAP131057 CKA131055:CKL131057 CTW131055:CUH131057 DDS131055:DED131057 DNO131055:DNZ131057 DXK131055:DXV131057 EHG131055:EHR131057 ERC131055:ERN131057 FAY131055:FBJ131057 FKU131055:FLF131057 FUQ131055:FVB131057 GEM131055:GEX131057 GOI131055:GOT131057 GYE131055:GYP131057 HIA131055:HIL131057 HRW131055:HSH131057 IBS131055:ICD131057 ILO131055:ILZ131057 IVK131055:IVV131057 JFG131055:JFR131057 JPC131055:JPN131057 JYY131055:JZJ131057 KIU131055:KJF131057 KSQ131055:KTB131057 LCM131055:LCX131057 LMI131055:LMT131057 LWE131055:LWP131057 MGA131055:MGL131057 MPW131055:MQH131057 MZS131055:NAD131057 NJO131055:NJZ131057 NTK131055:NTV131057 ODG131055:ODR131057 ONC131055:ONN131057 OWY131055:OXJ131057 PGU131055:PHF131057 PQQ131055:PRB131057 QAM131055:QAX131057 QKI131055:QKT131057 QUE131055:QUP131057 REA131055:REL131057 RNW131055:ROH131057 RXS131055:RYD131057 SHO131055:SHZ131057 SRK131055:SRV131057 TBG131055:TBR131057 TLC131055:TLN131057 TUY131055:TVJ131057 UEU131055:UFF131057 UOQ131055:UPB131057 UYM131055:UYX131057 VII131055:VIT131057 VSE131055:VSP131057 WCA131055:WCL131057 WLW131055:WMH131057 WVS131055:WWD131057 JG196591:JR196593 TC196591:TN196593 ACY196591:ADJ196593 AMU196591:ANF196593 AWQ196591:AXB196593 BGM196591:BGX196593 BQI196591:BQT196593 CAE196591:CAP196593 CKA196591:CKL196593 CTW196591:CUH196593 DDS196591:DED196593 DNO196591:DNZ196593 DXK196591:DXV196593 EHG196591:EHR196593 ERC196591:ERN196593 FAY196591:FBJ196593 FKU196591:FLF196593 FUQ196591:FVB196593 GEM196591:GEX196593 GOI196591:GOT196593 GYE196591:GYP196593 HIA196591:HIL196593 HRW196591:HSH196593 IBS196591:ICD196593 ILO196591:ILZ196593 IVK196591:IVV196593 JFG196591:JFR196593 JPC196591:JPN196593 JYY196591:JZJ196593 KIU196591:KJF196593 KSQ196591:KTB196593 LCM196591:LCX196593 LMI196591:LMT196593 LWE196591:LWP196593 MGA196591:MGL196593 MPW196591:MQH196593 MZS196591:NAD196593 NJO196591:NJZ196593 NTK196591:NTV196593 ODG196591:ODR196593 ONC196591:ONN196593 OWY196591:OXJ196593 PGU196591:PHF196593 PQQ196591:PRB196593 QAM196591:QAX196593 QKI196591:QKT196593 QUE196591:QUP196593 REA196591:REL196593 RNW196591:ROH196593 RXS196591:RYD196593 SHO196591:SHZ196593 SRK196591:SRV196593 TBG196591:TBR196593 TLC196591:TLN196593 TUY196591:TVJ196593 UEU196591:UFF196593 UOQ196591:UPB196593 UYM196591:UYX196593 VII196591:VIT196593 VSE196591:VSP196593 WCA196591:WCL196593 WLW196591:WMH196593 WVS196591:WWD196593 JG262127:JR262129 TC262127:TN262129 ACY262127:ADJ262129 AMU262127:ANF262129 AWQ262127:AXB262129 BGM262127:BGX262129 BQI262127:BQT262129 CAE262127:CAP262129 CKA262127:CKL262129 CTW262127:CUH262129 DDS262127:DED262129 DNO262127:DNZ262129 DXK262127:DXV262129 EHG262127:EHR262129 ERC262127:ERN262129 FAY262127:FBJ262129 FKU262127:FLF262129 FUQ262127:FVB262129 GEM262127:GEX262129 GOI262127:GOT262129 GYE262127:GYP262129 HIA262127:HIL262129 HRW262127:HSH262129 IBS262127:ICD262129 ILO262127:ILZ262129 IVK262127:IVV262129 JFG262127:JFR262129 JPC262127:JPN262129 JYY262127:JZJ262129 KIU262127:KJF262129 KSQ262127:KTB262129 LCM262127:LCX262129 LMI262127:LMT262129 LWE262127:LWP262129 MGA262127:MGL262129 MPW262127:MQH262129 MZS262127:NAD262129 NJO262127:NJZ262129 NTK262127:NTV262129 ODG262127:ODR262129 ONC262127:ONN262129 OWY262127:OXJ262129 PGU262127:PHF262129 PQQ262127:PRB262129 QAM262127:QAX262129 QKI262127:QKT262129 QUE262127:QUP262129 REA262127:REL262129 RNW262127:ROH262129 RXS262127:RYD262129 SHO262127:SHZ262129 SRK262127:SRV262129 TBG262127:TBR262129 TLC262127:TLN262129 TUY262127:TVJ262129 UEU262127:UFF262129 UOQ262127:UPB262129 UYM262127:UYX262129 VII262127:VIT262129 VSE262127:VSP262129 WCA262127:WCL262129 WLW262127:WMH262129 WVS262127:WWD262129 JG327663:JR327665 TC327663:TN327665 ACY327663:ADJ327665 AMU327663:ANF327665 AWQ327663:AXB327665 BGM327663:BGX327665 BQI327663:BQT327665 CAE327663:CAP327665 CKA327663:CKL327665 CTW327663:CUH327665 DDS327663:DED327665 DNO327663:DNZ327665 DXK327663:DXV327665 EHG327663:EHR327665 ERC327663:ERN327665 FAY327663:FBJ327665 FKU327663:FLF327665 FUQ327663:FVB327665 GEM327663:GEX327665 GOI327663:GOT327665 GYE327663:GYP327665 HIA327663:HIL327665 HRW327663:HSH327665 IBS327663:ICD327665 ILO327663:ILZ327665 IVK327663:IVV327665 JFG327663:JFR327665 JPC327663:JPN327665 JYY327663:JZJ327665 KIU327663:KJF327665 KSQ327663:KTB327665 LCM327663:LCX327665 LMI327663:LMT327665 LWE327663:LWP327665 MGA327663:MGL327665 MPW327663:MQH327665 MZS327663:NAD327665 NJO327663:NJZ327665 NTK327663:NTV327665 ODG327663:ODR327665 ONC327663:ONN327665 OWY327663:OXJ327665 PGU327663:PHF327665 PQQ327663:PRB327665 QAM327663:QAX327665 QKI327663:QKT327665 QUE327663:QUP327665 REA327663:REL327665 RNW327663:ROH327665 RXS327663:RYD327665 SHO327663:SHZ327665 SRK327663:SRV327665 TBG327663:TBR327665 TLC327663:TLN327665 TUY327663:TVJ327665 UEU327663:UFF327665 UOQ327663:UPB327665 UYM327663:UYX327665 VII327663:VIT327665 VSE327663:VSP327665 WCA327663:WCL327665 WLW327663:WMH327665 WVS327663:WWD327665 JG393199:JR393201 TC393199:TN393201 ACY393199:ADJ393201 AMU393199:ANF393201 AWQ393199:AXB393201 BGM393199:BGX393201 BQI393199:BQT393201 CAE393199:CAP393201 CKA393199:CKL393201 CTW393199:CUH393201 DDS393199:DED393201 DNO393199:DNZ393201 DXK393199:DXV393201 EHG393199:EHR393201 ERC393199:ERN393201 FAY393199:FBJ393201 FKU393199:FLF393201 FUQ393199:FVB393201 GEM393199:GEX393201 GOI393199:GOT393201 GYE393199:GYP393201 HIA393199:HIL393201 HRW393199:HSH393201 IBS393199:ICD393201 ILO393199:ILZ393201 IVK393199:IVV393201 JFG393199:JFR393201 JPC393199:JPN393201 JYY393199:JZJ393201 KIU393199:KJF393201 KSQ393199:KTB393201 LCM393199:LCX393201 LMI393199:LMT393201 LWE393199:LWP393201 MGA393199:MGL393201 MPW393199:MQH393201 MZS393199:NAD393201 NJO393199:NJZ393201 NTK393199:NTV393201 ODG393199:ODR393201 ONC393199:ONN393201 OWY393199:OXJ393201 PGU393199:PHF393201 PQQ393199:PRB393201 QAM393199:QAX393201 QKI393199:QKT393201 QUE393199:QUP393201 REA393199:REL393201 RNW393199:ROH393201 RXS393199:RYD393201 SHO393199:SHZ393201 SRK393199:SRV393201 TBG393199:TBR393201 TLC393199:TLN393201 TUY393199:TVJ393201 UEU393199:UFF393201 UOQ393199:UPB393201 UYM393199:UYX393201 VII393199:VIT393201 VSE393199:VSP393201 WCA393199:WCL393201 WLW393199:WMH393201 WVS393199:WWD393201 JG458735:JR458737 TC458735:TN458737 ACY458735:ADJ458737 AMU458735:ANF458737 AWQ458735:AXB458737 BGM458735:BGX458737 BQI458735:BQT458737 CAE458735:CAP458737 CKA458735:CKL458737 CTW458735:CUH458737 DDS458735:DED458737 DNO458735:DNZ458737 DXK458735:DXV458737 EHG458735:EHR458737 ERC458735:ERN458737 FAY458735:FBJ458737 FKU458735:FLF458737 FUQ458735:FVB458737 GEM458735:GEX458737 GOI458735:GOT458737 GYE458735:GYP458737 HIA458735:HIL458737 HRW458735:HSH458737 IBS458735:ICD458737 ILO458735:ILZ458737 IVK458735:IVV458737 JFG458735:JFR458737 JPC458735:JPN458737 JYY458735:JZJ458737 KIU458735:KJF458737 KSQ458735:KTB458737 LCM458735:LCX458737 LMI458735:LMT458737 LWE458735:LWP458737 MGA458735:MGL458737 MPW458735:MQH458737 MZS458735:NAD458737 NJO458735:NJZ458737 NTK458735:NTV458737 ODG458735:ODR458737 ONC458735:ONN458737 OWY458735:OXJ458737 PGU458735:PHF458737 PQQ458735:PRB458737 QAM458735:QAX458737 QKI458735:QKT458737 QUE458735:QUP458737 REA458735:REL458737 RNW458735:ROH458737 RXS458735:RYD458737 SHO458735:SHZ458737 SRK458735:SRV458737 TBG458735:TBR458737 TLC458735:TLN458737 TUY458735:TVJ458737 UEU458735:UFF458737 UOQ458735:UPB458737 UYM458735:UYX458737 VII458735:VIT458737 VSE458735:VSP458737 WCA458735:WCL458737 WLW458735:WMH458737 WVS458735:WWD458737 JG524271:JR524273 TC524271:TN524273 ACY524271:ADJ524273 AMU524271:ANF524273 AWQ524271:AXB524273 BGM524271:BGX524273 BQI524271:BQT524273 CAE524271:CAP524273 CKA524271:CKL524273 CTW524271:CUH524273 DDS524271:DED524273 DNO524271:DNZ524273 DXK524271:DXV524273 EHG524271:EHR524273 ERC524271:ERN524273 FAY524271:FBJ524273 FKU524271:FLF524273 FUQ524271:FVB524273 GEM524271:GEX524273 GOI524271:GOT524273 GYE524271:GYP524273 HIA524271:HIL524273 HRW524271:HSH524273 IBS524271:ICD524273 ILO524271:ILZ524273 IVK524271:IVV524273 JFG524271:JFR524273 JPC524271:JPN524273 JYY524271:JZJ524273 KIU524271:KJF524273 KSQ524271:KTB524273 LCM524271:LCX524273 LMI524271:LMT524273 LWE524271:LWP524273 MGA524271:MGL524273 MPW524271:MQH524273 MZS524271:NAD524273 NJO524271:NJZ524273 NTK524271:NTV524273 ODG524271:ODR524273 ONC524271:ONN524273 OWY524271:OXJ524273 PGU524271:PHF524273 PQQ524271:PRB524273 QAM524271:QAX524273 QKI524271:QKT524273 QUE524271:QUP524273 REA524271:REL524273 RNW524271:ROH524273 RXS524271:RYD524273 SHO524271:SHZ524273 SRK524271:SRV524273 TBG524271:TBR524273 TLC524271:TLN524273 TUY524271:TVJ524273 UEU524271:UFF524273 UOQ524271:UPB524273 UYM524271:UYX524273 VII524271:VIT524273 VSE524271:VSP524273 WCA524271:WCL524273 WLW524271:WMH524273 WVS524271:WWD524273 JG589807:JR589809 TC589807:TN589809 ACY589807:ADJ589809 AMU589807:ANF589809 AWQ589807:AXB589809 BGM589807:BGX589809 BQI589807:BQT589809 CAE589807:CAP589809 CKA589807:CKL589809 CTW589807:CUH589809 DDS589807:DED589809 DNO589807:DNZ589809 DXK589807:DXV589809 EHG589807:EHR589809 ERC589807:ERN589809 FAY589807:FBJ589809 FKU589807:FLF589809 FUQ589807:FVB589809 GEM589807:GEX589809 GOI589807:GOT589809 GYE589807:GYP589809 HIA589807:HIL589809 HRW589807:HSH589809 IBS589807:ICD589809 ILO589807:ILZ589809 IVK589807:IVV589809 JFG589807:JFR589809 JPC589807:JPN589809 JYY589807:JZJ589809 KIU589807:KJF589809 KSQ589807:KTB589809 LCM589807:LCX589809 LMI589807:LMT589809 LWE589807:LWP589809 MGA589807:MGL589809 MPW589807:MQH589809 MZS589807:NAD589809 NJO589807:NJZ589809 NTK589807:NTV589809 ODG589807:ODR589809 ONC589807:ONN589809 OWY589807:OXJ589809 PGU589807:PHF589809 PQQ589807:PRB589809 QAM589807:QAX589809 QKI589807:QKT589809 QUE589807:QUP589809 REA589807:REL589809 RNW589807:ROH589809 RXS589807:RYD589809 SHO589807:SHZ589809 SRK589807:SRV589809 TBG589807:TBR589809 TLC589807:TLN589809 TUY589807:TVJ589809 UEU589807:UFF589809 UOQ589807:UPB589809 UYM589807:UYX589809 VII589807:VIT589809 VSE589807:VSP589809 WCA589807:WCL589809 WLW589807:WMH589809 WVS589807:WWD589809 JG655343:JR655345 TC655343:TN655345 ACY655343:ADJ655345 AMU655343:ANF655345 AWQ655343:AXB655345 BGM655343:BGX655345 BQI655343:BQT655345 CAE655343:CAP655345 CKA655343:CKL655345 CTW655343:CUH655345 DDS655343:DED655345 DNO655343:DNZ655345 DXK655343:DXV655345 EHG655343:EHR655345 ERC655343:ERN655345 FAY655343:FBJ655345 FKU655343:FLF655345 FUQ655343:FVB655345 GEM655343:GEX655345 GOI655343:GOT655345 GYE655343:GYP655345 HIA655343:HIL655345 HRW655343:HSH655345 IBS655343:ICD655345 ILO655343:ILZ655345 IVK655343:IVV655345 JFG655343:JFR655345 JPC655343:JPN655345 JYY655343:JZJ655345 KIU655343:KJF655345 KSQ655343:KTB655345 LCM655343:LCX655345 LMI655343:LMT655345 LWE655343:LWP655345 MGA655343:MGL655345 MPW655343:MQH655345 MZS655343:NAD655345 NJO655343:NJZ655345 NTK655343:NTV655345 ODG655343:ODR655345 ONC655343:ONN655345 OWY655343:OXJ655345 PGU655343:PHF655345 PQQ655343:PRB655345 QAM655343:QAX655345 QKI655343:QKT655345 QUE655343:QUP655345 REA655343:REL655345 RNW655343:ROH655345 RXS655343:RYD655345 SHO655343:SHZ655345 SRK655343:SRV655345 TBG655343:TBR655345 TLC655343:TLN655345 TUY655343:TVJ655345 UEU655343:UFF655345 UOQ655343:UPB655345 UYM655343:UYX655345 VII655343:VIT655345 VSE655343:VSP655345 WCA655343:WCL655345 WLW655343:WMH655345 WVS655343:WWD655345 JG720879:JR720881 TC720879:TN720881 ACY720879:ADJ720881 AMU720879:ANF720881 AWQ720879:AXB720881 BGM720879:BGX720881 BQI720879:BQT720881 CAE720879:CAP720881 CKA720879:CKL720881 CTW720879:CUH720881 DDS720879:DED720881 DNO720879:DNZ720881 DXK720879:DXV720881 EHG720879:EHR720881 ERC720879:ERN720881 FAY720879:FBJ720881 FKU720879:FLF720881 FUQ720879:FVB720881 GEM720879:GEX720881 GOI720879:GOT720881 GYE720879:GYP720881 HIA720879:HIL720881 HRW720879:HSH720881 IBS720879:ICD720881 ILO720879:ILZ720881 IVK720879:IVV720881 JFG720879:JFR720881 JPC720879:JPN720881 JYY720879:JZJ720881 KIU720879:KJF720881 KSQ720879:KTB720881 LCM720879:LCX720881 LMI720879:LMT720881 LWE720879:LWP720881 MGA720879:MGL720881 MPW720879:MQH720881 MZS720879:NAD720881 NJO720879:NJZ720881 NTK720879:NTV720881 ODG720879:ODR720881 ONC720879:ONN720881 OWY720879:OXJ720881 PGU720879:PHF720881 PQQ720879:PRB720881 QAM720879:QAX720881 QKI720879:QKT720881 QUE720879:QUP720881 REA720879:REL720881 RNW720879:ROH720881 RXS720879:RYD720881 SHO720879:SHZ720881 SRK720879:SRV720881 TBG720879:TBR720881 TLC720879:TLN720881 TUY720879:TVJ720881 UEU720879:UFF720881 UOQ720879:UPB720881 UYM720879:UYX720881 VII720879:VIT720881 VSE720879:VSP720881 WCA720879:WCL720881 WLW720879:WMH720881 WVS720879:WWD720881 JG786415:JR786417 TC786415:TN786417 ACY786415:ADJ786417 AMU786415:ANF786417 AWQ786415:AXB786417 BGM786415:BGX786417 BQI786415:BQT786417 CAE786415:CAP786417 CKA786415:CKL786417 CTW786415:CUH786417 DDS786415:DED786417 DNO786415:DNZ786417 DXK786415:DXV786417 EHG786415:EHR786417 ERC786415:ERN786417 FAY786415:FBJ786417 FKU786415:FLF786417 FUQ786415:FVB786417 GEM786415:GEX786417 GOI786415:GOT786417 GYE786415:GYP786417 HIA786415:HIL786417 HRW786415:HSH786417 IBS786415:ICD786417 ILO786415:ILZ786417 IVK786415:IVV786417 JFG786415:JFR786417 JPC786415:JPN786417 JYY786415:JZJ786417 KIU786415:KJF786417 KSQ786415:KTB786417 LCM786415:LCX786417 LMI786415:LMT786417 LWE786415:LWP786417 MGA786415:MGL786417 MPW786415:MQH786417 MZS786415:NAD786417 NJO786415:NJZ786417 NTK786415:NTV786417 ODG786415:ODR786417 ONC786415:ONN786417 OWY786415:OXJ786417 PGU786415:PHF786417 PQQ786415:PRB786417 QAM786415:QAX786417 QKI786415:QKT786417 QUE786415:QUP786417 REA786415:REL786417 RNW786415:ROH786417 RXS786415:RYD786417 SHO786415:SHZ786417 SRK786415:SRV786417 TBG786415:TBR786417 TLC786415:TLN786417 TUY786415:TVJ786417 UEU786415:UFF786417 UOQ786415:UPB786417 UYM786415:UYX786417 VII786415:VIT786417 VSE786415:VSP786417 WCA786415:WCL786417 WLW786415:WMH786417 WVS786415:WWD786417 JG851951:JR851953 TC851951:TN851953 ACY851951:ADJ851953 AMU851951:ANF851953 AWQ851951:AXB851953 BGM851951:BGX851953 BQI851951:BQT851953 CAE851951:CAP851953 CKA851951:CKL851953 CTW851951:CUH851953 DDS851951:DED851953 DNO851951:DNZ851953 DXK851951:DXV851953 EHG851951:EHR851953 ERC851951:ERN851953 FAY851951:FBJ851953 FKU851951:FLF851953 FUQ851951:FVB851953 GEM851951:GEX851953 GOI851951:GOT851953 GYE851951:GYP851953 HIA851951:HIL851953 HRW851951:HSH851953 IBS851951:ICD851953 ILO851951:ILZ851953 IVK851951:IVV851953 JFG851951:JFR851953 JPC851951:JPN851953 JYY851951:JZJ851953 KIU851951:KJF851953 KSQ851951:KTB851953 LCM851951:LCX851953 LMI851951:LMT851953 LWE851951:LWP851953 MGA851951:MGL851953 MPW851951:MQH851953 MZS851951:NAD851953 NJO851951:NJZ851953 NTK851951:NTV851953 ODG851951:ODR851953 ONC851951:ONN851953 OWY851951:OXJ851953 PGU851951:PHF851953 PQQ851951:PRB851953 QAM851951:QAX851953 QKI851951:QKT851953 QUE851951:QUP851953 REA851951:REL851953 RNW851951:ROH851953 RXS851951:RYD851953 SHO851951:SHZ851953 SRK851951:SRV851953 TBG851951:TBR851953 TLC851951:TLN851953 TUY851951:TVJ851953 UEU851951:UFF851953 UOQ851951:UPB851953 UYM851951:UYX851953 VII851951:VIT851953 VSE851951:VSP851953 WCA851951:WCL851953 WLW851951:WMH851953 WVS851951:WWD851953 JG917487:JR917489 TC917487:TN917489 ACY917487:ADJ917489 AMU917487:ANF917489 AWQ917487:AXB917489 BGM917487:BGX917489 BQI917487:BQT917489 CAE917487:CAP917489 CKA917487:CKL917489 CTW917487:CUH917489 DDS917487:DED917489 DNO917487:DNZ917489 DXK917487:DXV917489 EHG917487:EHR917489 ERC917487:ERN917489 FAY917487:FBJ917489 FKU917487:FLF917489 FUQ917487:FVB917489 GEM917487:GEX917489 GOI917487:GOT917489 GYE917487:GYP917489 HIA917487:HIL917489 HRW917487:HSH917489 IBS917487:ICD917489 ILO917487:ILZ917489 IVK917487:IVV917489 JFG917487:JFR917489 JPC917487:JPN917489 JYY917487:JZJ917489 KIU917487:KJF917489 KSQ917487:KTB917489 LCM917487:LCX917489 LMI917487:LMT917489 LWE917487:LWP917489 MGA917487:MGL917489 MPW917487:MQH917489 MZS917487:NAD917489 NJO917487:NJZ917489 NTK917487:NTV917489 ODG917487:ODR917489 ONC917487:ONN917489 OWY917487:OXJ917489 PGU917487:PHF917489 PQQ917487:PRB917489 QAM917487:QAX917489 QKI917487:QKT917489 QUE917487:QUP917489 REA917487:REL917489 RNW917487:ROH917489 RXS917487:RYD917489 SHO917487:SHZ917489 SRK917487:SRV917489 TBG917487:TBR917489 TLC917487:TLN917489 TUY917487:TVJ917489 UEU917487:UFF917489 UOQ917487:UPB917489 UYM917487:UYX917489 VII917487:VIT917489 VSE917487:VSP917489 WCA917487:WCL917489 WLW917487:WMH917489 WVS917487:WWD917489 JG983023:JR983025 TC983023:TN983025 ACY983023:ADJ983025 AMU983023:ANF983025 AWQ983023:AXB983025 BGM983023:BGX983025 BQI983023:BQT983025 CAE983023:CAP983025 CKA983023:CKL983025 CTW983023:CUH983025 DDS983023:DED983025 DNO983023:DNZ983025 DXK983023:DXV983025 EHG983023:EHR983025 ERC983023:ERN983025 FAY983023:FBJ983025 FKU983023:FLF983025 FUQ983023:FVB983025 GEM983023:GEX983025 GOI983023:GOT983025 GYE983023:GYP983025 HIA983023:HIL983025 HRW983023:HSH983025 IBS983023:ICD983025 ILO983023:ILZ983025 IVK983023:IVV983025 JFG983023:JFR983025 JPC983023:JPN983025 JYY983023:JZJ983025 KIU983023:KJF983025 KSQ983023:KTB983025 LCM983023:LCX983025 LMI983023:LMT983025 LWE983023:LWP983025 MGA983023:MGL983025 MPW983023:MQH983025 MZS983023:NAD983025 NJO983023:NJZ983025 NTK983023:NTV983025 ODG983023:ODR983025 ONC983023:ONN983025 OWY983023:OXJ983025 PGU983023:PHF983025 PQQ983023:PRB983025 QAM983023:QAX983025 QKI983023:QKT983025 QUE983023:QUP983025 REA983023:REL983025 RNW983023:ROH983025 RXS983023:RYD983025 SHO983023:SHZ983025 SRK983023:SRV983025 TBG983023:TBR983025 TLC983023:TLN983025 TUY983023:TVJ983025 UEU983023:UFF983025 UOQ983023:UPB983025 UYM983023:UYX983025 VII983023:VIT983025 VSE983023:VSP983025 WCA983023:WCL983025 WLW983023:WMH983025 WVS983023:WWD983025 WVS983028:WWD983030 JG65524:JR65526 TC65524:TN65526 ACY65524:ADJ65526 AMU65524:ANF65526 AWQ65524:AXB65526 BGM65524:BGX65526 BQI65524:BQT65526 CAE65524:CAP65526 CKA65524:CKL65526 CTW65524:CUH65526 DDS65524:DED65526 DNO65524:DNZ65526 DXK65524:DXV65526 EHG65524:EHR65526 ERC65524:ERN65526 FAY65524:FBJ65526 FKU65524:FLF65526 FUQ65524:FVB65526 GEM65524:GEX65526 GOI65524:GOT65526 GYE65524:GYP65526 HIA65524:HIL65526 HRW65524:HSH65526 IBS65524:ICD65526 ILO65524:ILZ65526 IVK65524:IVV65526 JFG65524:JFR65526 JPC65524:JPN65526 JYY65524:JZJ65526 KIU65524:KJF65526 KSQ65524:KTB65526 LCM65524:LCX65526 LMI65524:LMT65526 LWE65524:LWP65526 MGA65524:MGL65526 MPW65524:MQH65526 MZS65524:NAD65526 NJO65524:NJZ65526 NTK65524:NTV65526 ODG65524:ODR65526 ONC65524:ONN65526 OWY65524:OXJ65526 PGU65524:PHF65526 PQQ65524:PRB65526 QAM65524:QAX65526 QKI65524:QKT65526 QUE65524:QUP65526 REA65524:REL65526 RNW65524:ROH65526 RXS65524:RYD65526 SHO65524:SHZ65526 SRK65524:SRV65526 TBG65524:TBR65526 TLC65524:TLN65526 TUY65524:TVJ65526 UEU65524:UFF65526 UOQ65524:UPB65526 UYM65524:UYX65526 VII65524:VIT65526 VSE65524:VSP65526 WCA65524:WCL65526 WLW65524:WMH65526 WVS65524:WWD65526 JG131060:JR131062 TC131060:TN131062 ACY131060:ADJ131062 AMU131060:ANF131062 AWQ131060:AXB131062 BGM131060:BGX131062 BQI131060:BQT131062 CAE131060:CAP131062 CKA131060:CKL131062 CTW131060:CUH131062 DDS131060:DED131062 DNO131060:DNZ131062 DXK131060:DXV131062 EHG131060:EHR131062 ERC131060:ERN131062 FAY131060:FBJ131062 FKU131060:FLF131062 FUQ131060:FVB131062 GEM131060:GEX131062 GOI131060:GOT131062 GYE131060:GYP131062 HIA131060:HIL131062 HRW131060:HSH131062 IBS131060:ICD131062 ILO131060:ILZ131062 IVK131060:IVV131062 JFG131060:JFR131062 JPC131060:JPN131062 JYY131060:JZJ131062 KIU131060:KJF131062 KSQ131060:KTB131062 LCM131060:LCX131062 LMI131060:LMT131062 LWE131060:LWP131062 MGA131060:MGL131062 MPW131060:MQH131062 MZS131060:NAD131062 NJO131060:NJZ131062 NTK131060:NTV131062 ODG131060:ODR131062 ONC131060:ONN131062 OWY131060:OXJ131062 PGU131060:PHF131062 PQQ131060:PRB131062 QAM131060:QAX131062 QKI131060:QKT131062 QUE131060:QUP131062 REA131060:REL131062 RNW131060:ROH131062 RXS131060:RYD131062 SHO131060:SHZ131062 SRK131060:SRV131062 TBG131060:TBR131062 TLC131060:TLN131062 TUY131060:TVJ131062 UEU131060:UFF131062 UOQ131060:UPB131062 UYM131060:UYX131062 VII131060:VIT131062 VSE131060:VSP131062 WCA131060:WCL131062 WLW131060:WMH131062 WVS131060:WWD131062 JG196596:JR196598 TC196596:TN196598 ACY196596:ADJ196598 AMU196596:ANF196598 AWQ196596:AXB196598 BGM196596:BGX196598 BQI196596:BQT196598 CAE196596:CAP196598 CKA196596:CKL196598 CTW196596:CUH196598 DDS196596:DED196598 DNO196596:DNZ196598 DXK196596:DXV196598 EHG196596:EHR196598 ERC196596:ERN196598 FAY196596:FBJ196598 FKU196596:FLF196598 FUQ196596:FVB196598 GEM196596:GEX196598 GOI196596:GOT196598 GYE196596:GYP196598 HIA196596:HIL196598 HRW196596:HSH196598 IBS196596:ICD196598 ILO196596:ILZ196598 IVK196596:IVV196598 JFG196596:JFR196598 JPC196596:JPN196598 JYY196596:JZJ196598 KIU196596:KJF196598 KSQ196596:KTB196598 LCM196596:LCX196598 LMI196596:LMT196598 LWE196596:LWP196598 MGA196596:MGL196598 MPW196596:MQH196598 MZS196596:NAD196598 NJO196596:NJZ196598 NTK196596:NTV196598 ODG196596:ODR196598 ONC196596:ONN196598 OWY196596:OXJ196598 PGU196596:PHF196598 PQQ196596:PRB196598 QAM196596:QAX196598 QKI196596:QKT196598 QUE196596:QUP196598 REA196596:REL196598 RNW196596:ROH196598 RXS196596:RYD196598 SHO196596:SHZ196598 SRK196596:SRV196598 TBG196596:TBR196598 TLC196596:TLN196598 TUY196596:TVJ196598 UEU196596:UFF196598 UOQ196596:UPB196598 UYM196596:UYX196598 VII196596:VIT196598 VSE196596:VSP196598 WCA196596:WCL196598 WLW196596:WMH196598 WVS196596:WWD196598 JG262132:JR262134 TC262132:TN262134 ACY262132:ADJ262134 AMU262132:ANF262134 AWQ262132:AXB262134 BGM262132:BGX262134 BQI262132:BQT262134 CAE262132:CAP262134 CKA262132:CKL262134 CTW262132:CUH262134 DDS262132:DED262134 DNO262132:DNZ262134 DXK262132:DXV262134 EHG262132:EHR262134 ERC262132:ERN262134 FAY262132:FBJ262134 FKU262132:FLF262134 FUQ262132:FVB262134 GEM262132:GEX262134 GOI262132:GOT262134 GYE262132:GYP262134 HIA262132:HIL262134 HRW262132:HSH262134 IBS262132:ICD262134 ILO262132:ILZ262134 IVK262132:IVV262134 JFG262132:JFR262134 JPC262132:JPN262134 JYY262132:JZJ262134 KIU262132:KJF262134 KSQ262132:KTB262134 LCM262132:LCX262134 LMI262132:LMT262134 LWE262132:LWP262134 MGA262132:MGL262134 MPW262132:MQH262134 MZS262132:NAD262134 NJO262132:NJZ262134 NTK262132:NTV262134 ODG262132:ODR262134 ONC262132:ONN262134 OWY262132:OXJ262134 PGU262132:PHF262134 PQQ262132:PRB262134 QAM262132:QAX262134 QKI262132:QKT262134 QUE262132:QUP262134 REA262132:REL262134 RNW262132:ROH262134 RXS262132:RYD262134 SHO262132:SHZ262134 SRK262132:SRV262134 TBG262132:TBR262134 TLC262132:TLN262134 TUY262132:TVJ262134 UEU262132:UFF262134 UOQ262132:UPB262134 UYM262132:UYX262134 VII262132:VIT262134 VSE262132:VSP262134 WCA262132:WCL262134 WLW262132:WMH262134 WVS262132:WWD262134 JG327668:JR327670 TC327668:TN327670 ACY327668:ADJ327670 AMU327668:ANF327670 AWQ327668:AXB327670 BGM327668:BGX327670 BQI327668:BQT327670 CAE327668:CAP327670 CKA327668:CKL327670 CTW327668:CUH327670 DDS327668:DED327670 DNO327668:DNZ327670 DXK327668:DXV327670 EHG327668:EHR327670 ERC327668:ERN327670 FAY327668:FBJ327670 FKU327668:FLF327670 FUQ327668:FVB327670 GEM327668:GEX327670 GOI327668:GOT327670 GYE327668:GYP327670 HIA327668:HIL327670 HRW327668:HSH327670 IBS327668:ICD327670 ILO327668:ILZ327670 IVK327668:IVV327670 JFG327668:JFR327670 JPC327668:JPN327670 JYY327668:JZJ327670 KIU327668:KJF327670 KSQ327668:KTB327670 LCM327668:LCX327670 LMI327668:LMT327670 LWE327668:LWP327670 MGA327668:MGL327670 MPW327668:MQH327670 MZS327668:NAD327670 NJO327668:NJZ327670 NTK327668:NTV327670 ODG327668:ODR327670 ONC327668:ONN327670 OWY327668:OXJ327670 PGU327668:PHF327670 PQQ327668:PRB327670 QAM327668:QAX327670 QKI327668:QKT327670 QUE327668:QUP327670 REA327668:REL327670 RNW327668:ROH327670 RXS327668:RYD327670 SHO327668:SHZ327670 SRK327668:SRV327670 TBG327668:TBR327670 TLC327668:TLN327670 TUY327668:TVJ327670 UEU327668:UFF327670 UOQ327668:UPB327670 UYM327668:UYX327670 VII327668:VIT327670 VSE327668:VSP327670 WCA327668:WCL327670 WLW327668:WMH327670 WVS327668:WWD327670 JG393204:JR393206 TC393204:TN393206 ACY393204:ADJ393206 AMU393204:ANF393206 AWQ393204:AXB393206 BGM393204:BGX393206 BQI393204:BQT393206 CAE393204:CAP393206 CKA393204:CKL393206 CTW393204:CUH393206 DDS393204:DED393206 DNO393204:DNZ393206 DXK393204:DXV393206 EHG393204:EHR393206 ERC393204:ERN393206 FAY393204:FBJ393206 FKU393204:FLF393206 FUQ393204:FVB393206 GEM393204:GEX393206 GOI393204:GOT393206 GYE393204:GYP393206 HIA393204:HIL393206 HRW393204:HSH393206 IBS393204:ICD393206 ILO393204:ILZ393206 IVK393204:IVV393206 JFG393204:JFR393206 JPC393204:JPN393206 JYY393204:JZJ393206 KIU393204:KJF393206 KSQ393204:KTB393206 LCM393204:LCX393206 LMI393204:LMT393206 LWE393204:LWP393206 MGA393204:MGL393206 MPW393204:MQH393206 MZS393204:NAD393206 NJO393204:NJZ393206 NTK393204:NTV393206 ODG393204:ODR393206 ONC393204:ONN393206 OWY393204:OXJ393206 PGU393204:PHF393206 PQQ393204:PRB393206 QAM393204:QAX393206 QKI393204:QKT393206 QUE393204:QUP393206 REA393204:REL393206 RNW393204:ROH393206 RXS393204:RYD393206 SHO393204:SHZ393206 SRK393204:SRV393206 TBG393204:TBR393206 TLC393204:TLN393206 TUY393204:TVJ393206 UEU393204:UFF393206 UOQ393204:UPB393206 UYM393204:UYX393206 VII393204:VIT393206 VSE393204:VSP393206 WCA393204:WCL393206 WLW393204:WMH393206 WVS393204:WWD393206 JG458740:JR458742 TC458740:TN458742 ACY458740:ADJ458742 AMU458740:ANF458742 AWQ458740:AXB458742 BGM458740:BGX458742 BQI458740:BQT458742 CAE458740:CAP458742 CKA458740:CKL458742 CTW458740:CUH458742 DDS458740:DED458742 DNO458740:DNZ458742 DXK458740:DXV458742 EHG458740:EHR458742 ERC458740:ERN458742 FAY458740:FBJ458742 FKU458740:FLF458742 FUQ458740:FVB458742 GEM458740:GEX458742 GOI458740:GOT458742 GYE458740:GYP458742 HIA458740:HIL458742 HRW458740:HSH458742 IBS458740:ICD458742 ILO458740:ILZ458742 IVK458740:IVV458742 JFG458740:JFR458742 JPC458740:JPN458742 JYY458740:JZJ458742 KIU458740:KJF458742 KSQ458740:KTB458742 LCM458740:LCX458742 LMI458740:LMT458742 LWE458740:LWP458742 MGA458740:MGL458742 MPW458740:MQH458742 MZS458740:NAD458742 NJO458740:NJZ458742 NTK458740:NTV458742 ODG458740:ODR458742 ONC458740:ONN458742 OWY458740:OXJ458742 PGU458740:PHF458742 PQQ458740:PRB458742 QAM458740:QAX458742 QKI458740:QKT458742 QUE458740:QUP458742 REA458740:REL458742 RNW458740:ROH458742 RXS458740:RYD458742 SHO458740:SHZ458742 SRK458740:SRV458742 TBG458740:TBR458742 TLC458740:TLN458742 TUY458740:TVJ458742 UEU458740:UFF458742 UOQ458740:UPB458742 UYM458740:UYX458742 VII458740:VIT458742 VSE458740:VSP458742 WCA458740:WCL458742 WLW458740:WMH458742 WVS458740:WWD458742 JG524276:JR524278 TC524276:TN524278 ACY524276:ADJ524278 AMU524276:ANF524278 AWQ524276:AXB524278 BGM524276:BGX524278 BQI524276:BQT524278 CAE524276:CAP524278 CKA524276:CKL524278 CTW524276:CUH524278 DDS524276:DED524278 DNO524276:DNZ524278 DXK524276:DXV524278 EHG524276:EHR524278 ERC524276:ERN524278 FAY524276:FBJ524278 FKU524276:FLF524278 FUQ524276:FVB524278 GEM524276:GEX524278 GOI524276:GOT524278 GYE524276:GYP524278 HIA524276:HIL524278 HRW524276:HSH524278 IBS524276:ICD524278 ILO524276:ILZ524278 IVK524276:IVV524278 JFG524276:JFR524278 JPC524276:JPN524278 JYY524276:JZJ524278 KIU524276:KJF524278 KSQ524276:KTB524278 LCM524276:LCX524278 LMI524276:LMT524278 LWE524276:LWP524278 MGA524276:MGL524278 MPW524276:MQH524278 MZS524276:NAD524278 NJO524276:NJZ524278 NTK524276:NTV524278 ODG524276:ODR524278 ONC524276:ONN524278 OWY524276:OXJ524278 PGU524276:PHF524278 PQQ524276:PRB524278 QAM524276:QAX524278 QKI524276:QKT524278 QUE524276:QUP524278 REA524276:REL524278 RNW524276:ROH524278 RXS524276:RYD524278 SHO524276:SHZ524278 SRK524276:SRV524278 TBG524276:TBR524278 TLC524276:TLN524278 TUY524276:TVJ524278 UEU524276:UFF524278 UOQ524276:UPB524278 UYM524276:UYX524278 VII524276:VIT524278 VSE524276:VSP524278 WCA524276:WCL524278 WLW524276:WMH524278 WVS524276:WWD524278 JG589812:JR589814 TC589812:TN589814 ACY589812:ADJ589814 AMU589812:ANF589814 AWQ589812:AXB589814 BGM589812:BGX589814 BQI589812:BQT589814 CAE589812:CAP589814 CKA589812:CKL589814 CTW589812:CUH589814 DDS589812:DED589814 DNO589812:DNZ589814 DXK589812:DXV589814 EHG589812:EHR589814 ERC589812:ERN589814 FAY589812:FBJ589814 FKU589812:FLF589814 FUQ589812:FVB589814 GEM589812:GEX589814 GOI589812:GOT589814 GYE589812:GYP589814 HIA589812:HIL589814 HRW589812:HSH589814 IBS589812:ICD589814 ILO589812:ILZ589814 IVK589812:IVV589814 JFG589812:JFR589814 JPC589812:JPN589814 JYY589812:JZJ589814 KIU589812:KJF589814 KSQ589812:KTB589814 LCM589812:LCX589814 LMI589812:LMT589814 LWE589812:LWP589814 MGA589812:MGL589814 MPW589812:MQH589814 MZS589812:NAD589814 NJO589812:NJZ589814 NTK589812:NTV589814 ODG589812:ODR589814 ONC589812:ONN589814 OWY589812:OXJ589814 PGU589812:PHF589814 PQQ589812:PRB589814 QAM589812:QAX589814 QKI589812:QKT589814 QUE589812:QUP589814 REA589812:REL589814 RNW589812:ROH589814 RXS589812:RYD589814 SHO589812:SHZ589814 SRK589812:SRV589814 TBG589812:TBR589814 TLC589812:TLN589814 TUY589812:TVJ589814 UEU589812:UFF589814 UOQ589812:UPB589814 UYM589812:UYX589814 VII589812:VIT589814 VSE589812:VSP589814 WCA589812:WCL589814 WLW589812:WMH589814 WVS589812:WWD589814 JG655348:JR655350 TC655348:TN655350 ACY655348:ADJ655350 AMU655348:ANF655350 AWQ655348:AXB655350 BGM655348:BGX655350 BQI655348:BQT655350 CAE655348:CAP655350 CKA655348:CKL655350 CTW655348:CUH655350 DDS655348:DED655350 DNO655348:DNZ655350 DXK655348:DXV655350 EHG655348:EHR655350 ERC655348:ERN655350 FAY655348:FBJ655350 FKU655348:FLF655350 FUQ655348:FVB655350 GEM655348:GEX655350 GOI655348:GOT655350 GYE655348:GYP655350 HIA655348:HIL655350 HRW655348:HSH655350 IBS655348:ICD655350 ILO655348:ILZ655350 IVK655348:IVV655350 JFG655348:JFR655350 JPC655348:JPN655350 JYY655348:JZJ655350 KIU655348:KJF655350 KSQ655348:KTB655350 LCM655348:LCX655350 LMI655348:LMT655350 LWE655348:LWP655350 MGA655348:MGL655350 MPW655348:MQH655350 MZS655348:NAD655350 NJO655348:NJZ655350 NTK655348:NTV655350 ODG655348:ODR655350 ONC655348:ONN655350 OWY655348:OXJ655350 PGU655348:PHF655350 PQQ655348:PRB655350 QAM655348:QAX655350 QKI655348:QKT655350 QUE655348:QUP655350 REA655348:REL655350 RNW655348:ROH655350 RXS655348:RYD655350 SHO655348:SHZ655350 SRK655348:SRV655350 TBG655348:TBR655350 TLC655348:TLN655350 TUY655348:TVJ655350 UEU655348:UFF655350 UOQ655348:UPB655350 UYM655348:UYX655350 VII655348:VIT655350 VSE655348:VSP655350 WCA655348:WCL655350 WLW655348:WMH655350 WVS655348:WWD655350 JG720884:JR720886 TC720884:TN720886 ACY720884:ADJ720886 AMU720884:ANF720886 AWQ720884:AXB720886 BGM720884:BGX720886 BQI720884:BQT720886 CAE720884:CAP720886 CKA720884:CKL720886 CTW720884:CUH720886 DDS720884:DED720886 DNO720884:DNZ720886 DXK720884:DXV720886 EHG720884:EHR720886 ERC720884:ERN720886 FAY720884:FBJ720886 FKU720884:FLF720886 FUQ720884:FVB720886 GEM720884:GEX720886 GOI720884:GOT720886 GYE720884:GYP720886 HIA720884:HIL720886 HRW720884:HSH720886 IBS720884:ICD720886 ILO720884:ILZ720886 IVK720884:IVV720886 JFG720884:JFR720886 JPC720884:JPN720886 JYY720884:JZJ720886 KIU720884:KJF720886 KSQ720884:KTB720886 LCM720884:LCX720886 LMI720884:LMT720886 LWE720884:LWP720886 MGA720884:MGL720886 MPW720884:MQH720886 MZS720884:NAD720886 NJO720884:NJZ720886 NTK720884:NTV720886 ODG720884:ODR720886 ONC720884:ONN720886 OWY720884:OXJ720886 PGU720884:PHF720886 PQQ720884:PRB720886 QAM720884:QAX720886 QKI720884:QKT720886 QUE720884:QUP720886 REA720884:REL720886 RNW720884:ROH720886 RXS720884:RYD720886 SHO720884:SHZ720886 SRK720884:SRV720886 TBG720884:TBR720886 TLC720884:TLN720886 TUY720884:TVJ720886 UEU720884:UFF720886 UOQ720884:UPB720886 UYM720884:UYX720886 VII720884:VIT720886 VSE720884:VSP720886 WCA720884:WCL720886 WLW720884:WMH720886 WVS720884:WWD720886 JG786420:JR786422 TC786420:TN786422 ACY786420:ADJ786422 AMU786420:ANF786422 AWQ786420:AXB786422 BGM786420:BGX786422 BQI786420:BQT786422 CAE786420:CAP786422 CKA786420:CKL786422 CTW786420:CUH786422 DDS786420:DED786422 DNO786420:DNZ786422 DXK786420:DXV786422 EHG786420:EHR786422 ERC786420:ERN786422 FAY786420:FBJ786422 FKU786420:FLF786422 FUQ786420:FVB786422 GEM786420:GEX786422 GOI786420:GOT786422 GYE786420:GYP786422 HIA786420:HIL786422 HRW786420:HSH786422 IBS786420:ICD786422 ILO786420:ILZ786422 IVK786420:IVV786422 JFG786420:JFR786422 JPC786420:JPN786422 JYY786420:JZJ786422 KIU786420:KJF786422 KSQ786420:KTB786422 LCM786420:LCX786422 LMI786420:LMT786422 LWE786420:LWP786422 MGA786420:MGL786422 MPW786420:MQH786422 MZS786420:NAD786422 NJO786420:NJZ786422 NTK786420:NTV786422 ODG786420:ODR786422 ONC786420:ONN786422 OWY786420:OXJ786422 PGU786420:PHF786422 PQQ786420:PRB786422 QAM786420:QAX786422 QKI786420:QKT786422 QUE786420:QUP786422 REA786420:REL786422 RNW786420:ROH786422 RXS786420:RYD786422 SHO786420:SHZ786422 SRK786420:SRV786422 TBG786420:TBR786422 TLC786420:TLN786422 TUY786420:TVJ786422 UEU786420:UFF786422 UOQ786420:UPB786422 UYM786420:UYX786422 VII786420:VIT786422 VSE786420:VSP786422 WCA786420:WCL786422 WLW786420:WMH786422 WVS786420:WWD786422 JG851956:JR851958 TC851956:TN851958 ACY851956:ADJ851958 AMU851956:ANF851958 AWQ851956:AXB851958 BGM851956:BGX851958 BQI851956:BQT851958 CAE851956:CAP851958 CKA851956:CKL851958 CTW851956:CUH851958 DDS851956:DED851958 DNO851956:DNZ851958 DXK851956:DXV851958 EHG851956:EHR851958 ERC851956:ERN851958 FAY851956:FBJ851958 FKU851956:FLF851958 FUQ851956:FVB851958 GEM851956:GEX851958 GOI851956:GOT851958 GYE851956:GYP851958 HIA851956:HIL851958 HRW851956:HSH851958 IBS851956:ICD851958 ILO851956:ILZ851958 IVK851956:IVV851958 JFG851956:JFR851958 JPC851956:JPN851958 JYY851956:JZJ851958 KIU851956:KJF851958 KSQ851956:KTB851958 LCM851956:LCX851958 LMI851956:LMT851958 LWE851956:LWP851958 MGA851956:MGL851958 MPW851956:MQH851958 MZS851956:NAD851958 NJO851956:NJZ851958 NTK851956:NTV851958 ODG851956:ODR851958 ONC851956:ONN851958 OWY851956:OXJ851958 PGU851956:PHF851958 PQQ851956:PRB851958 QAM851956:QAX851958 QKI851956:QKT851958 QUE851956:QUP851958 REA851956:REL851958 RNW851956:ROH851958 RXS851956:RYD851958 SHO851956:SHZ851958 SRK851956:SRV851958 TBG851956:TBR851958 TLC851956:TLN851958 TUY851956:TVJ851958 UEU851956:UFF851958 UOQ851956:UPB851958 UYM851956:UYX851958 VII851956:VIT851958 VSE851956:VSP851958 WCA851956:WCL851958 WLW851956:WMH851958 WVS851956:WWD851958 JG917492:JR917494 TC917492:TN917494 ACY917492:ADJ917494 AMU917492:ANF917494 AWQ917492:AXB917494 BGM917492:BGX917494 BQI917492:BQT917494 CAE917492:CAP917494 CKA917492:CKL917494 CTW917492:CUH917494 DDS917492:DED917494 DNO917492:DNZ917494 DXK917492:DXV917494 EHG917492:EHR917494 ERC917492:ERN917494 FAY917492:FBJ917494 FKU917492:FLF917494 FUQ917492:FVB917494 GEM917492:GEX917494 GOI917492:GOT917494 GYE917492:GYP917494 HIA917492:HIL917494 HRW917492:HSH917494 IBS917492:ICD917494 ILO917492:ILZ917494 IVK917492:IVV917494 JFG917492:JFR917494 JPC917492:JPN917494 JYY917492:JZJ917494 KIU917492:KJF917494 KSQ917492:KTB917494 LCM917492:LCX917494 LMI917492:LMT917494 LWE917492:LWP917494 MGA917492:MGL917494 MPW917492:MQH917494 MZS917492:NAD917494 NJO917492:NJZ917494 NTK917492:NTV917494 ODG917492:ODR917494 ONC917492:ONN917494 OWY917492:OXJ917494 PGU917492:PHF917494 PQQ917492:PRB917494 QAM917492:QAX917494 QKI917492:QKT917494 QUE917492:QUP917494 REA917492:REL917494 RNW917492:ROH917494 RXS917492:RYD917494 SHO917492:SHZ917494 SRK917492:SRV917494 TBG917492:TBR917494 TLC917492:TLN917494 TUY917492:TVJ917494 UEU917492:UFF917494 UOQ917492:UPB917494 UYM917492:UYX917494 VII917492:VIT917494 VSE917492:VSP917494 WCA917492:WCL917494 WLW917492:WMH917494 WVS917492:WWD917494 JG983028:JR983030 TC983028:TN983030 ACY983028:ADJ983030 AMU983028:ANF983030 AWQ983028:AXB983030 BGM983028:BGX983030 BQI983028:BQT983030 CAE983028:CAP983030 CKA983028:CKL983030 CTW983028:CUH983030 DDS983028:DED983030 DNO983028:DNZ983030 DXK983028:DXV983030 EHG983028:EHR983030 ERC983028:ERN983030 FAY983028:FBJ983030 FKU983028:FLF983030 FUQ983028:FVB983030 GEM983028:GEX983030 GOI983028:GOT983030 GYE983028:GYP983030 HIA983028:HIL983030 HRW983028:HSH983030 IBS983028:ICD983030 ILO983028:ILZ983030 IVK983028:IVV983030 JFG983028:JFR983030 JPC983028:JPN983030 JYY983028:JZJ983030 KIU983028:KJF983030 KSQ983028:KTB983030 LCM983028:LCX983030 LMI983028:LMT983030 LWE983028:LWP983030 MGA983028:MGL983030 MPW983028:MQH983030 MZS983028:NAD983030 NJO983028:NJZ983030 NTK983028:NTV983030 ODG983028:ODR983030 ONC983028:ONN983030 OWY983028:OXJ983030 PGU983028:PHF983030 PQQ983028:PRB983030 QAM983028:QAX983030 QKI983028:QKT983030 QUE983028:QUP983030 REA983028:REL983030 RNW983028:ROH983030 RXS983028:RYD983030 SHO983028:SHZ983030 SRK983028:SRV983030 TBG983028:TBR983030 TLC983028:TLN983030 TUY983028:TVJ983030 UEU983028:UFF983030 UOQ983028:UPB983030 UYM983028:UYX983030 VII983028:VIT983030 VSE983028:VSP983030 WCA983028:WCL983030 WLW983028:WMH983030 Z262127:AJ262129 Z196591:AJ196593 Z131055:AJ131057 Z65519:AJ65521 Z983028:AJ983030 Z917492:AJ917494 Z851956:AJ851958 Z786420:AJ786422 Z720884:AJ720886 Z655348:AJ655350 Z589812:AJ589814 Z524276:AJ524278 Z458740:AJ458742 Z393204:AJ393206 Z327668:AJ327670 Z262132:AJ262134 Z196596:AJ196598 Z131060:AJ131062 Z65524:AJ65526 Z983023:AJ983025 Z917487:AJ917489 Z851951:AJ851953 Z786415:AJ786417 Z720879:AJ720881 Z655343:AJ655345 Z589807:AJ589809 Z524271:AJ524273 Z458735:AJ458737 Z393199:AJ393201 Z327663:AJ327665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0A00-000000000000}"/>
    <dataValidation type="list" allowBlank="1" showInputMessage="1" showErrorMessage="1" sqref="AA14:AC15 AA8:AA13 AA16:AA44" xr:uid="{00000000-0002-0000-0A00-000001000000}">
      <formula1>"datetime,int,numeric,varchar,nvarchar"</formula1>
    </dataValidation>
    <dataValidation type="list" allowBlank="1" showInputMessage="1" showErrorMessage="1" sqref="Y8:Z44" xr:uid="{00000000-0002-0000-0A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6"/>
  <dimension ref="A1:BD44"/>
  <sheetViews>
    <sheetView showGridLines="0" zoomScaleNormal="10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17" customWidth="1"/>
    <col min="2" max="26" width="2.6328125" style="17"/>
    <col min="27" max="27" width="2.6328125" style="17" customWidth="1"/>
    <col min="28" max="29" width="2.6328125" style="17"/>
    <col min="30" max="30" width="4.6328125" style="17" customWidth="1"/>
    <col min="31" max="31" width="2.6328125" style="17" customWidth="1"/>
    <col min="32" max="33" width="2.6328125" style="17"/>
    <col min="34" max="34" width="6.6328125" style="17" customWidth="1"/>
    <col min="35" max="16384" width="2.6328125" style="17"/>
  </cols>
  <sheetData>
    <row r="1" spans="1:56" s="16" customFormat="1" ht="15" customHeight="1" x14ac:dyDescent="0.3">
      <c r="A1" s="144" t="s">
        <v>100</v>
      </c>
      <c r="B1" s="145"/>
      <c r="C1" s="145"/>
      <c r="D1" s="145"/>
      <c r="E1" s="145"/>
      <c r="F1" s="145"/>
      <c r="G1" s="145"/>
      <c r="H1" s="146"/>
      <c r="I1" s="103" t="s">
        <v>98</v>
      </c>
      <c r="J1" s="104"/>
      <c r="K1" s="104"/>
      <c r="L1" s="104"/>
      <c r="M1" s="104"/>
      <c r="N1" s="104"/>
      <c r="O1" s="104"/>
      <c r="P1" s="104"/>
      <c r="Q1" s="105"/>
      <c r="R1" s="103" t="s">
        <v>99</v>
      </c>
      <c r="S1" s="104"/>
      <c r="T1" s="104"/>
      <c r="U1" s="104"/>
      <c r="V1" s="104"/>
      <c r="W1" s="104"/>
      <c r="X1" s="105"/>
      <c r="Y1" s="103" t="s">
        <v>0</v>
      </c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5"/>
      <c r="AP1" s="153" t="s">
        <v>1</v>
      </c>
      <c r="AQ1" s="154"/>
      <c r="AR1" s="154"/>
      <c r="AS1" s="154"/>
      <c r="AT1" s="155"/>
      <c r="AU1" s="153" t="s">
        <v>2</v>
      </c>
      <c r="AV1" s="154"/>
      <c r="AW1" s="154"/>
      <c r="AX1" s="154"/>
      <c r="AY1" s="155"/>
      <c r="AZ1" s="153" t="s">
        <v>3</v>
      </c>
      <c r="BA1" s="154"/>
      <c r="BB1" s="154"/>
      <c r="BC1" s="154"/>
      <c r="BD1" s="155"/>
    </row>
    <row r="2" spans="1:56" s="16" customFormat="1" ht="15" customHeight="1" x14ac:dyDescent="0.3">
      <c r="A2" s="147"/>
      <c r="B2" s="148"/>
      <c r="C2" s="148"/>
      <c r="D2" s="148"/>
      <c r="E2" s="148"/>
      <c r="F2" s="148"/>
      <c r="G2" s="148"/>
      <c r="H2" s="149"/>
      <c r="I2" s="127" t="s">
        <v>97</v>
      </c>
      <c r="J2" s="128"/>
      <c r="K2" s="128"/>
      <c r="L2" s="128"/>
      <c r="M2" s="128"/>
      <c r="N2" s="128"/>
      <c r="O2" s="128"/>
      <c r="P2" s="128"/>
      <c r="Q2" s="129"/>
      <c r="R2" s="127" t="str">
        <f ca="1">VLOOKUP(RIGHT(CELL("filename",A2),LEN(CELL("filename",A2))-FIND("]",CELL("filename",A2))),テーブル一覧!B:AD,22,FALSE)</f>
        <v>D.出荷</v>
      </c>
      <c r="S2" s="128"/>
      <c r="T2" s="128"/>
      <c r="U2" s="128"/>
      <c r="V2" s="128"/>
      <c r="W2" s="128"/>
      <c r="X2" s="129"/>
      <c r="Y2" s="127" t="str">
        <f ca="1">VLOOKUP(RIGHT(CELL("filename",A2),LEN(CELL("filename",A2))-FIND("]",CELL("filename",A2))),テーブル一覧!B:AD,1,FALSE)</f>
        <v>積込場所グループ情報</v>
      </c>
      <c r="Z2" s="128"/>
      <c r="AA2" s="128"/>
      <c r="AB2" s="128"/>
      <c r="AC2" s="128"/>
      <c r="AD2" s="128"/>
      <c r="AE2" s="128"/>
      <c r="AF2" s="128"/>
      <c r="AG2" s="128"/>
      <c r="AH2" s="128"/>
      <c r="AI2" s="128"/>
      <c r="AJ2" s="128"/>
      <c r="AK2" s="128"/>
      <c r="AL2" s="128"/>
      <c r="AM2" s="128"/>
      <c r="AN2" s="128"/>
      <c r="AO2" s="129"/>
      <c r="AP2" s="97"/>
      <c r="AQ2" s="98"/>
      <c r="AR2" s="98"/>
      <c r="AS2" s="98"/>
      <c r="AT2" s="99"/>
      <c r="AU2" s="60" t="s">
        <v>188</v>
      </c>
      <c r="AV2" s="61"/>
      <c r="AW2" s="61"/>
      <c r="AX2" s="61"/>
      <c r="AY2" s="62"/>
      <c r="AZ2" s="181" t="s">
        <v>15</v>
      </c>
      <c r="BA2" s="182"/>
      <c r="BB2" s="182"/>
      <c r="BC2" s="182"/>
      <c r="BD2" s="183"/>
    </row>
    <row r="3" spans="1:56" s="16" customFormat="1" ht="15" customHeight="1" x14ac:dyDescent="0.3">
      <c r="A3" s="147"/>
      <c r="B3" s="148"/>
      <c r="C3" s="148"/>
      <c r="D3" s="148"/>
      <c r="E3" s="148"/>
      <c r="F3" s="148"/>
      <c r="G3" s="148"/>
      <c r="H3" s="149"/>
      <c r="I3" s="130"/>
      <c r="J3" s="131"/>
      <c r="K3" s="131"/>
      <c r="L3" s="131"/>
      <c r="M3" s="131"/>
      <c r="N3" s="131"/>
      <c r="O3" s="131"/>
      <c r="P3" s="131"/>
      <c r="Q3" s="132"/>
      <c r="R3" s="130"/>
      <c r="S3" s="131"/>
      <c r="T3" s="131"/>
      <c r="U3" s="131"/>
      <c r="V3" s="131"/>
      <c r="W3" s="131"/>
      <c r="X3" s="132"/>
      <c r="Y3" s="133"/>
      <c r="Z3" s="134"/>
      <c r="AA3" s="134"/>
      <c r="AB3" s="134"/>
      <c r="AC3" s="134"/>
      <c r="AD3" s="134"/>
      <c r="AE3" s="134"/>
      <c r="AF3" s="134"/>
      <c r="AG3" s="134"/>
      <c r="AH3" s="134"/>
      <c r="AI3" s="134"/>
      <c r="AJ3" s="134"/>
      <c r="AK3" s="134"/>
      <c r="AL3" s="134"/>
      <c r="AM3" s="134"/>
      <c r="AN3" s="134"/>
      <c r="AO3" s="135"/>
      <c r="AP3" s="100"/>
      <c r="AQ3" s="101"/>
      <c r="AR3" s="101"/>
      <c r="AS3" s="101"/>
      <c r="AT3" s="102"/>
      <c r="AU3" s="178"/>
      <c r="AV3" s="179"/>
      <c r="AW3" s="179"/>
      <c r="AX3" s="179"/>
      <c r="AY3" s="180"/>
      <c r="AZ3" s="181"/>
      <c r="BA3" s="182"/>
      <c r="BB3" s="182"/>
      <c r="BC3" s="182"/>
      <c r="BD3" s="183"/>
    </row>
    <row r="4" spans="1:56" s="16" customFormat="1" ht="15" customHeight="1" x14ac:dyDescent="0.3">
      <c r="A4" s="150"/>
      <c r="B4" s="151"/>
      <c r="C4" s="151"/>
      <c r="D4" s="151"/>
      <c r="E4" s="151"/>
      <c r="F4" s="151"/>
      <c r="G4" s="151"/>
      <c r="H4" s="152"/>
      <c r="I4" s="133"/>
      <c r="J4" s="134"/>
      <c r="K4" s="134"/>
      <c r="L4" s="134"/>
      <c r="M4" s="134"/>
      <c r="N4" s="134"/>
      <c r="O4" s="134"/>
      <c r="P4" s="134"/>
      <c r="Q4" s="135"/>
      <c r="R4" s="133"/>
      <c r="S4" s="134"/>
      <c r="T4" s="134"/>
      <c r="U4" s="134"/>
      <c r="V4" s="134"/>
      <c r="W4" s="134"/>
      <c r="X4" s="135"/>
      <c r="Y4" s="175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t_tsumikomi_basho_grp</v>
      </c>
      <c r="Z4" s="176"/>
      <c r="AA4" s="176"/>
      <c r="AB4" s="176"/>
      <c r="AC4" s="176"/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  <c r="AO4" s="177"/>
      <c r="AP4" s="100"/>
      <c r="AQ4" s="101"/>
      <c r="AR4" s="101"/>
      <c r="AS4" s="101"/>
      <c r="AT4" s="102"/>
      <c r="AU4" s="178"/>
      <c r="AV4" s="179"/>
      <c r="AW4" s="179"/>
      <c r="AX4" s="179"/>
      <c r="AY4" s="180"/>
      <c r="AZ4" s="181"/>
      <c r="BA4" s="182"/>
      <c r="BB4" s="182"/>
      <c r="BC4" s="182"/>
      <c r="BD4" s="183"/>
    </row>
    <row r="6" spans="1:56" ht="15" customHeight="1" x14ac:dyDescent="0.3">
      <c r="A6" s="156" t="s">
        <v>101</v>
      </c>
      <c r="B6" s="158" t="s">
        <v>4</v>
      </c>
      <c r="C6" s="159"/>
      <c r="D6" s="159"/>
      <c r="E6" s="159"/>
      <c r="F6" s="159"/>
      <c r="G6" s="159"/>
      <c r="H6" s="160"/>
      <c r="I6" s="158" t="s">
        <v>5</v>
      </c>
      <c r="J6" s="159"/>
      <c r="K6" s="159"/>
      <c r="L6" s="159"/>
      <c r="M6" s="159"/>
      <c r="N6" s="159"/>
      <c r="O6" s="159"/>
      <c r="P6" s="159"/>
      <c r="Q6" s="160"/>
      <c r="R6" s="158" t="s">
        <v>145</v>
      </c>
      <c r="S6" s="159"/>
      <c r="T6" s="159"/>
      <c r="U6" s="159"/>
      <c r="V6" s="159"/>
      <c r="W6" s="159"/>
      <c r="X6" s="160"/>
      <c r="Y6" s="158" t="s">
        <v>6</v>
      </c>
      <c r="Z6" s="160"/>
      <c r="AA6" s="158" t="s">
        <v>7</v>
      </c>
      <c r="AB6" s="159"/>
      <c r="AC6" s="160"/>
      <c r="AD6" s="164" t="s">
        <v>8</v>
      </c>
      <c r="AE6" s="185" t="s">
        <v>9</v>
      </c>
      <c r="AF6" s="164" t="s">
        <v>10</v>
      </c>
      <c r="AG6" s="164" t="s">
        <v>11</v>
      </c>
      <c r="AH6" s="164" t="s">
        <v>12</v>
      </c>
      <c r="AI6" s="166" t="s">
        <v>13</v>
      </c>
      <c r="AJ6" s="167"/>
      <c r="AK6" s="167"/>
      <c r="AL6" s="167"/>
      <c r="AM6" s="167"/>
      <c r="AN6" s="167"/>
      <c r="AO6" s="167"/>
      <c r="AP6" s="167"/>
      <c r="AQ6" s="167"/>
      <c r="AR6" s="168"/>
      <c r="AS6" s="169" t="s">
        <v>14</v>
      </c>
      <c r="AT6" s="170"/>
      <c r="AU6" s="170"/>
      <c r="AV6" s="170"/>
      <c r="AW6" s="170"/>
      <c r="AX6" s="170"/>
      <c r="AY6" s="170"/>
      <c r="AZ6" s="170"/>
      <c r="BA6" s="170"/>
      <c r="BB6" s="170"/>
      <c r="BC6" s="170"/>
      <c r="BD6" s="171"/>
    </row>
    <row r="7" spans="1:56" ht="15" customHeight="1" x14ac:dyDescent="0.3">
      <c r="A7" s="157"/>
      <c r="B7" s="161"/>
      <c r="C7" s="162"/>
      <c r="D7" s="162"/>
      <c r="E7" s="162"/>
      <c r="F7" s="162"/>
      <c r="G7" s="162"/>
      <c r="H7" s="163"/>
      <c r="I7" s="161"/>
      <c r="J7" s="162"/>
      <c r="K7" s="162"/>
      <c r="L7" s="162"/>
      <c r="M7" s="162"/>
      <c r="N7" s="162"/>
      <c r="O7" s="162"/>
      <c r="P7" s="162"/>
      <c r="Q7" s="163"/>
      <c r="R7" s="161"/>
      <c r="S7" s="162"/>
      <c r="T7" s="162"/>
      <c r="U7" s="162"/>
      <c r="V7" s="162"/>
      <c r="W7" s="162"/>
      <c r="X7" s="163"/>
      <c r="Y7" s="161"/>
      <c r="Z7" s="163"/>
      <c r="AA7" s="161"/>
      <c r="AB7" s="162"/>
      <c r="AC7" s="163"/>
      <c r="AD7" s="165"/>
      <c r="AE7" s="186"/>
      <c r="AF7" s="165"/>
      <c r="AG7" s="165"/>
      <c r="AH7" s="165"/>
      <c r="AI7" s="56">
        <v>1</v>
      </c>
      <c r="AJ7" s="56">
        <v>2</v>
      </c>
      <c r="AK7" s="56">
        <v>3</v>
      </c>
      <c r="AL7" s="56">
        <v>4</v>
      </c>
      <c r="AM7" s="56">
        <v>5</v>
      </c>
      <c r="AN7" s="56">
        <v>6</v>
      </c>
      <c r="AO7" s="56">
        <v>7</v>
      </c>
      <c r="AP7" s="56">
        <v>8</v>
      </c>
      <c r="AQ7" s="56">
        <v>9</v>
      </c>
      <c r="AR7" s="56">
        <v>10</v>
      </c>
      <c r="AS7" s="172"/>
      <c r="AT7" s="173"/>
      <c r="AU7" s="173"/>
      <c r="AV7" s="173"/>
      <c r="AW7" s="173"/>
      <c r="AX7" s="173"/>
      <c r="AY7" s="173"/>
      <c r="AZ7" s="173"/>
      <c r="BA7" s="173"/>
      <c r="BB7" s="173"/>
      <c r="BC7" s="173"/>
      <c r="BD7" s="174"/>
    </row>
    <row r="8" spans="1:56" ht="15" customHeight="1" x14ac:dyDescent="0.3">
      <c r="A8" s="54">
        <f>IF(B8="","",COUNTA($B$8:B8))</f>
        <v>1</v>
      </c>
      <c r="B8" s="18" t="s">
        <v>1096</v>
      </c>
      <c r="C8" s="19"/>
      <c r="D8" s="19"/>
      <c r="E8" s="19"/>
      <c r="F8" s="19"/>
      <c r="G8" s="19"/>
      <c r="H8" s="19"/>
      <c r="I8" s="31" t="str">
        <f>VLOOKUP(B8,Sheet1!A:B,2,FALSE)</f>
        <v>tsumikomi_basho_group_cd</v>
      </c>
      <c r="J8" s="21"/>
      <c r="K8" s="21"/>
      <c r="L8" s="21"/>
      <c r="M8" s="21"/>
      <c r="N8" s="21"/>
      <c r="O8" s="21"/>
      <c r="P8" s="21"/>
      <c r="Q8" s="21"/>
      <c r="R8" s="18" t="s">
        <v>1096</v>
      </c>
      <c r="S8" s="19"/>
      <c r="T8" s="19"/>
      <c r="U8" s="19"/>
      <c r="V8" s="19"/>
      <c r="W8" s="19"/>
      <c r="X8" s="19"/>
      <c r="Y8" s="139" t="s">
        <v>111</v>
      </c>
      <c r="Z8" s="140"/>
      <c r="AA8" s="141" t="s">
        <v>107</v>
      </c>
      <c r="AB8" s="142"/>
      <c r="AC8" s="143"/>
      <c r="AD8" s="25">
        <v>10</v>
      </c>
      <c r="AE8" s="26"/>
      <c r="AF8" s="26" t="s">
        <v>119</v>
      </c>
      <c r="AG8" s="26" t="s">
        <v>85</v>
      </c>
      <c r="AH8" s="26"/>
      <c r="AI8" s="26"/>
      <c r="AJ8" s="26"/>
      <c r="AK8" s="26"/>
      <c r="AL8" s="26"/>
      <c r="AM8" s="26"/>
      <c r="AN8" s="26"/>
      <c r="AO8" s="27"/>
      <c r="AP8" s="27"/>
      <c r="AQ8" s="27"/>
      <c r="AR8" s="27"/>
      <c r="AS8" s="42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68"/>
    </row>
    <row r="9" spans="1:56" ht="15" customHeight="1" x14ac:dyDescent="0.3">
      <c r="A9" s="54">
        <f>IF(B9="","",COUNTA($B$8:B9))</f>
        <v>2</v>
      </c>
      <c r="B9" s="42" t="s">
        <v>1100</v>
      </c>
      <c r="C9" s="41"/>
      <c r="D9" s="41"/>
      <c r="E9" s="41"/>
      <c r="F9" s="41"/>
      <c r="G9" s="41"/>
      <c r="H9" s="41"/>
      <c r="I9" s="31" t="str">
        <f>VLOOKUP(B9,Sheet1!A:B,2,FALSE)</f>
        <v>tsumikomi_basho_group_nm</v>
      </c>
      <c r="J9" s="32"/>
      <c r="K9" s="32"/>
      <c r="L9" s="32"/>
      <c r="M9" s="32"/>
      <c r="N9" s="32"/>
      <c r="O9" s="32"/>
      <c r="P9" s="32"/>
      <c r="Q9" s="32"/>
      <c r="R9" s="42" t="s">
        <v>1100</v>
      </c>
      <c r="S9" s="41"/>
      <c r="T9" s="41"/>
      <c r="U9" s="41"/>
      <c r="V9" s="41"/>
      <c r="W9" s="41"/>
      <c r="X9" s="41"/>
      <c r="Y9" s="139" t="s">
        <v>111</v>
      </c>
      <c r="Z9" s="140"/>
      <c r="AA9" s="141" t="s">
        <v>107</v>
      </c>
      <c r="AB9" s="142"/>
      <c r="AC9" s="143"/>
      <c r="AD9" s="72">
        <v>30</v>
      </c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42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68"/>
    </row>
    <row r="10" spans="1:56" ht="15" customHeight="1" x14ac:dyDescent="0.3">
      <c r="A10" s="54">
        <f>IF(B10="","",COUNTA($B$8:B10))</f>
        <v>3</v>
      </c>
      <c r="B10" s="42" t="s">
        <v>608</v>
      </c>
      <c r="C10" s="41"/>
      <c r="D10" s="41"/>
      <c r="E10" s="41"/>
      <c r="F10" s="41"/>
      <c r="G10" s="41"/>
      <c r="H10" s="41"/>
      <c r="I10" s="31" t="str">
        <f>VLOOKUP(B10,Sheet1!A:B,2,FALSE)</f>
        <v>biko</v>
      </c>
      <c r="J10" s="32"/>
      <c r="K10" s="32"/>
      <c r="L10" s="32"/>
      <c r="M10" s="32"/>
      <c r="N10" s="32"/>
      <c r="O10" s="32"/>
      <c r="P10" s="32"/>
      <c r="Q10" s="32"/>
      <c r="R10" s="42" t="s">
        <v>608</v>
      </c>
      <c r="S10" s="41"/>
      <c r="T10" s="41"/>
      <c r="U10" s="41"/>
      <c r="V10" s="41"/>
      <c r="W10" s="41"/>
      <c r="X10" s="41"/>
      <c r="Y10" s="139" t="s">
        <v>111</v>
      </c>
      <c r="Z10" s="140"/>
      <c r="AA10" s="141" t="s">
        <v>107</v>
      </c>
      <c r="AB10" s="142"/>
      <c r="AC10" s="143"/>
      <c r="AD10" s="72">
        <v>500</v>
      </c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42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68"/>
    </row>
    <row r="11" spans="1:56" ht="15" customHeight="1" x14ac:dyDescent="0.3">
      <c r="A11" s="54">
        <f>IF(B11="","",COUNTA($B$8:B11))</f>
        <v>4</v>
      </c>
      <c r="B11" s="18" t="s">
        <v>1099</v>
      </c>
      <c r="C11" s="19"/>
      <c r="D11" s="19"/>
      <c r="E11" s="19"/>
      <c r="F11" s="19"/>
      <c r="G11" s="19"/>
      <c r="H11" s="22"/>
      <c r="I11" s="31" t="str">
        <f>VLOOKUP(B11,Sheet1!A:B,2,FALSE)</f>
        <v>shukan_busho_cd</v>
      </c>
      <c r="J11" s="21"/>
      <c r="K11" s="21"/>
      <c r="L11" s="21"/>
      <c r="M11" s="21"/>
      <c r="N11" s="21"/>
      <c r="O11" s="21"/>
      <c r="P11" s="21"/>
      <c r="Q11" s="33"/>
      <c r="R11" s="18" t="s">
        <v>1099</v>
      </c>
      <c r="S11" s="21"/>
      <c r="T11" s="21"/>
      <c r="U11" s="21"/>
      <c r="V11" s="21"/>
      <c r="W11" s="21"/>
      <c r="X11" s="22"/>
      <c r="Y11" s="139" t="s">
        <v>56</v>
      </c>
      <c r="Z11" s="184"/>
      <c r="AA11" s="141" t="s">
        <v>107</v>
      </c>
      <c r="AB11" s="142"/>
      <c r="AC11" s="143"/>
      <c r="AD11" s="25">
        <v>4</v>
      </c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7"/>
      <c r="AP11" s="27"/>
      <c r="AQ11" s="27"/>
      <c r="AR11" s="27"/>
      <c r="AS11" s="28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70"/>
    </row>
    <row r="12" spans="1:56" ht="15" customHeight="1" x14ac:dyDescent="0.3">
      <c r="A12" s="54">
        <f>IF(B12="","",COUNTA($B$8:B12))</f>
        <v>5</v>
      </c>
      <c r="B12" s="18" t="s">
        <v>183</v>
      </c>
      <c r="C12" s="19"/>
      <c r="D12" s="19"/>
      <c r="E12" s="19"/>
      <c r="F12" s="19"/>
      <c r="G12" s="19"/>
      <c r="H12" s="22"/>
      <c r="I12" s="31" t="str">
        <f>VLOOKUP(B12,Sheet1!A:B,2,FALSE)</f>
        <v>shukan_kotei_cd</v>
      </c>
      <c r="J12" s="21"/>
      <c r="K12" s="21"/>
      <c r="L12" s="21"/>
      <c r="M12" s="21"/>
      <c r="N12" s="21"/>
      <c r="O12" s="21"/>
      <c r="P12" s="21"/>
      <c r="Q12" s="33"/>
      <c r="R12" s="18" t="s">
        <v>183</v>
      </c>
      <c r="S12" s="21"/>
      <c r="T12" s="21"/>
      <c r="U12" s="21"/>
      <c r="V12" s="21"/>
      <c r="W12" s="21"/>
      <c r="X12" s="22"/>
      <c r="Y12" s="139" t="s">
        <v>56</v>
      </c>
      <c r="Z12" s="184"/>
      <c r="AA12" s="141" t="s">
        <v>107</v>
      </c>
      <c r="AB12" s="142"/>
      <c r="AC12" s="143"/>
      <c r="AD12" s="25">
        <v>4</v>
      </c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7"/>
      <c r="AP12" s="27"/>
      <c r="AQ12" s="27"/>
      <c r="AR12" s="27"/>
      <c r="AS12" s="28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70"/>
    </row>
    <row r="13" spans="1:56" ht="15" customHeight="1" x14ac:dyDescent="0.3">
      <c r="A13" s="54">
        <f>IF(B13="","",COUNTA($B$8:B13))</f>
        <v>6</v>
      </c>
      <c r="B13" s="18" t="s">
        <v>1095</v>
      </c>
      <c r="C13" s="41"/>
      <c r="D13" s="41"/>
      <c r="E13" s="41"/>
      <c r="F13" s="41"/>
      <c r="G13" s="41"/>
      <c r="H13" s="41"/>
      <c r="I13" s="31" t="str">
        <f>VLOOKUP(B13,Sheet1!A:B,2,FALSE)</f>
        <v>insert_func_cd</v>
      </c>
      <c r="J13" s="32"/>
      <c r="K13" s="32"/>
      <c r="L13" s="32"/>
      <c r="M13" s="32"/>
      <c r="N13" s="32"/>
      <c r="O13" s="32"/>
      <c r="P13" s="32"/>
      <c r="Q13" s="32"/>
      <c r="R13" s="18" t="s">
        <v>1095</v>
      </c>
      <c r="S13" s="41"/>
      <c r="T13" s="41"/>
      <c r="U13" s="41"/>
      <c r="V13" s="41"/>
      <c r="W13" s="41"/>
      <c r="X13" s="41"/>
      <c r="Y13" s="139" t="s">
        <v>111</v>
      </c>
      <c r="Z13" s="140"/>
      <c r="AA13" s="141" t="s">
        <v>107</v>
      </c>
      <c r="AB13" s="142"/>
      <c r="AC13" s="143"/>
      <c r="AD13" s="25">
        <v>10</v>
      </c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8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70"/>
    </row>
    <row r="14" spans="1:56" ht="15" customHeight="1" x14ac:dyDescent="0.3">
      <c r="A14" s="54">
        <f>IF(B14="","",COUNTA($B$8:B14))</f>
        <v>7</v>
      </c>
      <c r="B14" s="18" t="s">
        <v>112</v>
      </c>
      <c r="C14" s="41"/>
      <c r="D14" s="41"/>
      <c r="E14" s="41"/>
      <c r="F14" s="41"/>
      <c r="G14" s="41"/>
      <c r="H14" s="41"/>
      <c r="I14" s="31" t="str">
        <f>VLOOKUP(B14,Sheet1!A:B,2,FALSE)</f>
        <v>insert_user_cd</v>
      </c>
      <c r="J14" s="32"/>
      <c r="K14" s="32"/>
      <c r="L14" s="32"/>
      <c r="M14" s="32"/>
      <c r="N14" s="32"/>
      <c r="O14" s="32"/>
      <c r="P14" s="32"/>
      <c r="Q14" s="32"/>
      <c r="R14" s="18" t="s">
        <v>112</v>
      </c>
      <c r="S14" s="41"/>
      <c r="T14" s="41"/>
      <c r="U14" s="41"/>
      <c r="V14" s="41"/>
      <c r="W14" s="41"/>
      <c r="X14" s="41"/>
      <c r="Y14" s="139" t="s">
        <v>111</v>
      </c>
      <c r="Z14" s="140"/>
      <c r="AA14" s="141" t="s">
        <v>107</v>
      </c>
      <c r="AB14" s="142"/>
      <c r="AC14" s="143"/>
      <c r="AD14" s="25">
        <v>10</v>
      </c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8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70"/>
    </row>
    <row r="15" spans="1:56" ht="15" customHeight="1" x14ac:dyDescent="0.3">
      <c r="A15" s="54">
        <f>IF(B15="","",COUNTA($B$8:B15))</f>
        <v>8</v>
      </c>
      <c r="B15" s="18" t="s">
        <v>113</v>
      </c>
      <c r="C15" s="41"/>
      <c r="D15" s="41"/>
      <c r="E15" s="41"/>
      <c r="F15" s="41"/>
      <c r="G15" s="41"/>
      <c r="H15" s="41"/>
      <c r="I15" s="31" t="str">
        <f>VLOOKUP(B15,Sheet1!A:B,2,FALSE)</f>
        <v>insert_datetime</v>
      </c>
      <c r="J15" s="32"/>
      <c r="K15" s="32"/>
      <c r="L15" s="32"/>
      <c r="M15" s="32"/>
      <c r="N15" s="32"/>
      <c r="O15" s="32"/>
      <c r="P15" s="32"/>
      <c r="Q15" s="32"/>
      <c r="R15" s="18" t="s">
        <v>113</v>
      </c>
      <c r="S15" s="41"/>
      <c r="T15" s="41"/>
      <c r="U15" s="41"/>
      <c r="V15" s="41"/>
      <c r="W15" s="41"/>
      <c r="X15" s="41"/>
      <c r="Y15" s="139" t="s">
        <v>87</v>
      </c>
      <c r="Z15" s="140"/>
      <c r="AA15" s="141" t="s">
        <v>109</v>
      </c>
      <c r="AB15" s="142"/>
      <c r="AC15" s="143"/>
      <c r="AD15" s="55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8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70"/>
    </row>
    <row r="16" spans="1:56" ht="15" customHeight="1" x14ac:dyDescent="0.3">
      <c r="A16" s="54">
        <f>IF(B16="","",COUNTA($B$8:B16))</f>
        <v>9</v>
      </c>
      <c r="B16" s="18" t="s">
        <v>1094</v>
      </c>
      <c r="C16" s="41"/>
      <c r="D16" s="41"/>
      <c r="E16" s="41"/>
      <c r="F16" s="41"/>
      <c r="G16" s="41"/>
      <c r="H16" s="41"/>
      <c r="I16" s="31" t="str">
        <f>VLOOKUP(B16,Sheet1!A:B,2,FALSE)</f>
        <v>update_func_cd</v>
      </c>
      <c r="J16" s="32"/>
      <c r="K16" s="32"/>
      <c r="L16" s="32"/>
      <c r="M16" s="32"/>
      <c r="N16" s="32"/>
      <c r="O16" s="32"/>
      <c r="P16" s="32"/>
      <c r="Q16" s="32"/>
      <c r="R16" s="18" t="s">
        <v>1094</v>
      </c>
      <c r="S16" s="41"/>
      <c r="T16" s="41"/>
      <c r="U16" s="41"/>
      <c r="V16" s="41"/>
      <c r="W16" s="41"/>
      <c r="X16" s="41"/>
      <c r="Y16" s="139" t="s">
        <v>111</v>
      </c>
      <c r="Z16" s="140"/>
      <c r="AA16" s="141" t="s">
        <v>107</v>
      </c>
      <c r="AB16" s="142"/>
      <c r="AC16" s="143"/>
      <c r="AD16" s="25">
        <v>10</v>
      </c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8"/>
      <c r="AT16" s="69"/>
      <c r="AU16" s="69"/>
      <c r="AV16" s="69"/>
      <c r="AW16" s="69"/>
      <c r="AX16" s="69"/>
      <c r="AY16" s="69"/>
      <c r="AZ16" s="69"/>
      <c r="BA16" s="69"/>
      <c r="BB16" s="69"/>
      <c r="BC16" s="69"/>
      <c r="BD16" s="70"/>
    </row>
    <row r="17" spans="1:56" ht="15" customHeight="1" x14ac:dyDescent="0.3">
      <c r="A17" s="54">
        <f>IF(B17="","",COUNTA($B$8:B17))</f>
        <v>10</v>
      </c>
      <c r="B17" s="18" t="s">
        <v>114</v>
      </c>
      <c r="C17" s="19"/>
      <c r="D17" s="19"/>
      <c r="E17" s="19"/>
      <c r="F17" s="19"/>
      <c r="G17" s="19"/>
      <c r="H17" s="19"/>
      <c r="I17" s="31" t="str">
        <f>VLOOKUP(B17,Sheet1!A:B,2,FALSE)</f>
        <v>update_user_cd</v>
      </c>
      <c r="J17" s="21"/>
      <c r="K17" s="21"/>
      <c r="L17" s="21"/>
      <c r="M17" s="21"/>
      <c r="N17" s="21"/>
      <c r="O17" s="21"/>
      <c r="P17" s="21"/>
      <c r="Q17" s="21"/>
      <c r="R17" s="18" t="s">
        <v>114</v>
      </c>
      <c r="S17" s="19"/>
      <c r="T17" s="19"/>
      <c r="U17" s="19"/>
      <c r="V17" s="19"/>
      <c r="W17" s="19"/>
      <c r="X17" s="19"/>
      <c r="Y17" s="139" t="s">
        <v>111</v>
      </c>
      <c r="Z17" s="140"/>
      <c r="AA17" s="141" t="s">
        <v>107</v>
      </c>
      <c r="AB17" s="142"/>
      <c r="AC17" s="143"/>
      <c r="AD17" s="55">
        <v>10</v>
      </c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8"/>
      <c r="AP17" s="38"/>
      <c r="AQ17" s="38"/>
      <c r="AR17" s="38"/>
      <c r="AS17" s="39"/>
      <c r="AT17" s="40"/>
      <c r="AU17" s="69"/>
      <c r="AV17" s="69"/>
      <c r="AW17" s="69"/>
      <c r="AX17" s="69"/>
      <c r="AY17" s="69"/>
      <c r="AZ17" s="69"/>
      <c r="BA17" s="69"/>
      <c r="BB17" s="69"/>
      <c r="BC17" s="69"/>
      <c r="BD17" s="70"/>
    </row>
    <row r="18" spans="1:56" ht="15" customHeight="1" x14ac:dyDescent="0.3">
      <c r="A18" s="54">
        <f>IF(B18="","",COUNTA($B$8:B18))</f>
        <v>11</v>
      </c>
      <c r="B18" s="18" t="s">
        <v>115</v>
      </c>
      <c r="C18" s="19"/>
      <c r="D18" s="19"/>
      <c r="E18" s="19"/>
      <c r="F18" s="19"/>
      <c r="G18" s="19"/>
      <c r="H18" s="19"/>
      <c r="I18" s="31" t="str">
        <f>VLOOKUP(B18,Sheet1!A:B,2,FALSE)</f>
        <v>update_datetime</v>
      </c>
      <c r="J18" s="21"/>
      <c r="K18" s="21"/>
      <c r="L18" s="21"/>
      <c r="M18" s="21"/>
      <c r="N18" s="21"/>
      <c r="O18" s="21"/>
      <c r="P18" s="21"/>
      <c r="Q18" s="21"/>
      <c r="R18" s="18" t="s">
        <v>115</v>
      </c>
      <c r="S18" s="19"/>
      <c r="T18" s="19"/>
      <c r="U18" s="19"/>
      <c r="V18" s="19"/>
      <c r="W18" s="19"/>
      <c r="X18" s="19"/>
      <c r="Y18" s="139" t="s">
        <v>87</v>
      </c>
      <c r="Z18" s="140"/>
      <c r="AA18" s="141" t="s">
        <v>109</v>
      </c>
      <c r="AB18" s="142"/>
      <c r="AC18" s="143"/>
      <c r="AD18" s="55"/>
      <c r="AE18" s="37"/>
      <c r="AF18" s="37"/>
      <c r="AG18" s="37"/>
      <c r="AH18" s="37"/>
      <c r="AI18" s="37"/>
      <c r="AJ18" s="37"/>
      <c r="AK18" s="37"/>
      <c r="AL18" s="37"/>
      <c r="AM18" s="37"/>
      <c r="AN18" s="37"/>
      <c r="AO18" s="38"/>
      <c r="AP18" s="38"/>
      <c r="AQ18" s="38"/>
      <c r="AR18" s="38"/>
      <c r="AS18" s="39"/>
      <c r="AT18" s="40"/>
      <c r="AU18" s="69"/>
      <c r="AV18" s="69"/>
      <c r="AW18" s="69"/>
      <c r="AX18" s="69"/>
      <c r="AY18" s="69"/>
      <c r="AZ18" s="69"/>
      <c r="BA18" s="69"/>
      <c r="BB18" s="69"/>
      <c r="BC18" s="69"/>
      <c r="BD18" s="70"/>
    </row>
    <row r="19" spans="1:56" ht="15" customHeight="1" x14ac:dyDescent="0.3">
      <c r="A19" s="54" t="str">
        <f>IF(B19="","",COUNTA($B$8:B19))</f>
        <v/>
      </c>
      <c r="B19" s="42"/>
      <c r="C19" s="41"/>
      <c r="D19" s="41"/>
      <c r="E19" s="41"/>
      <c r="F19" s="41"/>
      <c r="G19" s="41"/>
      <c r="H19" s="41"/>
      <c r="I19" s="31"/>
      <c r="J19" s="32"/>
      <c r="K19" s="32"/>
      <c r="L19" s="32"/>
      <c r="M19" s="32"/>
      <c r="N19" s="32"/>
      <c r="O19" s="32"/>
      <c r="P19" s="32"/>
      <c r="Q19" s="32"/>
      <c r="R19" s="42"/>
      <c r="S19" s="19"/>
      <c r="T19" s="19"/>
      <c r="U19" s="19"/>
      <c r="V19" s="19"/>
      <c r="W19" s="19"/>
      <c r="X19" s="19"/>
      <c r="Y19" s="139"/>
      <c r="Z19" s="140"/>
      <c r="AA19" s="141"/>
      <c r="AB19" s="142"/>
      <c r="AC19" s="143"/>
      <c r="AD19" s="25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42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68"/>
    </row>
    <row r="20" spans="1:56" ht="15" customHeight="1" x14ac:dyDescent="0.3">
      <c r="A20" s="54" t="str">
        <f>IF(B20="","",COUNTA($B$8:B20))</f>
        <v/>
      </c>
      <c r="B20" s="42"/>
      <c r="C20" s="41"/>
      <c r="D20" s="41"/>
      <c r="E20" s="41"/>
      <c r="F20" s="41"/>
      <c r="G20" s="41"/>
      <c r="H20" s="41"/>
      <c r="I20" s="31"/>
      <c r="J20" s="32"/>
      <c r="K20" s="32"/>
      <c r="L20" s="32"/>
      <c r="M20" s="32"/>
      <c r="N20" s="32"/>
      <c r="O20" s="32"/>
      <c r="P20" s="32"/>
      <c r="Q20" s="32"/>
      <c r="R20" s="42"/>
      <c r="S20" s="41"/>
      <c r="T20" s="41"/>
      <c r="U20" s="41"/>
      <c r="V20" s="41"/>
      <c r="W20" s="41"/>
      <c r="X20" s="41"/>
      <c r="Y20" s="18"/>
      <c r="Z20" s="34"/>
      <c r="AA20" s="141"/>
      <c r="AB20" s="142"/>
      <c r="AC20" s="143"/>
      <c r="AD20" s="72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42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68"/>
    </row>
    <row r="21" spans="1:56" ht="15" customHeight="1" x14ac:dyDescent="0.3">
      <c r="A21" s="54" t="str">
        <f>IF(B21="","",COUNTA($B$8:B21))</f>
        <v/>
      </c>
      <c r="B21" s="42"/>
      <c r="C21" s="41"/>
      <c r="D21" s="41"/>
      <c r="E21" s="41"/>
      <c r="F21" s="41"/>
      <c r="G21" s="41"/>
      <c r="H21" s="41"/>
      <c r="I21" s="31"/>
      <c r="J21" s="32"/>
      <c r="K21" s="32"/>
      <c r="L21" s="32"/>
      <c r="M21" s="32"/>
      <c r="N21" s="32"/>
      <c r="O21" s="32"/>
      <c r="P21" s="32"/>
      <c r="Q21" s="32"/>
      <c r="R21" s="42"/>
      <c r="S21" s="41"/>
      <c r="T21" s="41"/>
      <c r="U21" s="41"/>
      <c r="V21" s="41"/>
      <c r="W21" s="41"/>
      <c r="X21" s="41"/>
      <c r="Y21" s="18"/>
      <c r="Z21" s="34"/>
      <c r="AA21" s="141"/>
      <c r="AB21" s="142"/>
      <c r="AC21" s="143"/>
      <c r="AD21" s="72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42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68"/>
    </row>
    <row r="22" spans="1:56" ht="15" customHeight="1" x14ac:dyDescent="0.3">
      <c r="A22" s="54" t="str">
        <f>IF(B22="","",COUNTA($B$8:B22))</f>
        <v/>
      </c>
      <c r="B22" s="42"/>
      <c r="C22" s="41"/>
      <c r="D22" s="41"/>
      <c r="E22" s="41"/>
      <c r="F22" s="41"/>
      <c r="G22" s="41"/>
      <c r="H22" s="41"/>
      <c r="I22" s="42"/>
      <c r="J22" s="32"/>
      <c r="K22" s="32"/>
      <c r="L22" s="32"/>
      <c r="M22" s="32"/>
      <c r="N22" s="32"/>
      <c r="O22" s="32"/>
      <c r="P22" s="32"/>
      <c r="Q22" s="32"/>
      <c r="R22" s="42"/>
      <c r="S22" s="41"/>
      <c r="T22" s="41"/>
      <c r="U22" s="41"/>
      <c r="V22" s="41"/>
      <c r="W22" s="41"/>
      <c r="X22" s="41"/>
      <c r="Y22" s="139"/>
      <c r="Z22" s="140"/>
      <c r="AA22" s="141"/>
      <c r="AB22" s="142"/>
      <c r="AC22" s="143"/>
      <c r="AD22" s="72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42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68"/>
    </row>
    <row r="23" spans="1:56" ht="15" customHeight="1" x14ac:dyDescent="0.3">
      <c r="A23" s="54" t="str">
        <f>IF(B23="","",COUNTA($B$8:B23))</f>
        <v/>
      </c>
      <c r="B23" s="42"/>
      <c r="C23" s="41"/>
      <c r="D23" s="41"/>
      <c r="E23" s="41"/>
      <c r="F23" s="41"/>
      <c r="G23" s="41"/>
      <c r="H23" s="41"/>
      <c r="I23" s="42"/>
      <c r="J23" s="32"/>
      <c r="K23" s="32"/>
      <c r="L23" s="32"/>
      <c r="M23" s="32"/>
      <c r="N23" s="32"/>
      <c r="O23" s="32"/>
      <c r="P23" s="32"/>
      <c r="Q23" s="32"/>
      <c r="R23" s="42"/>
      <c r="S23" s="41"/>
      <c r="T23" s="41"/>
      <c r="U23" s="41"/>
      <c r="V23" s="41"/>
      <c r="W23" s="41"/>
      <c r="X23" s="41"/>
      <c r="Y23" s="139"/>
      <c r="Z23" s="140"/>
      <c r="AA23" s="141"/>
      <c r="AB23" s="142"/>
      <c r="AC23" s="143"/>
      <c r="AD23" s="72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42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68"/>
    </row>
    <row r="24" spans="1:56" ht="15" customHeight="1" x14ac:dyDescent="0.3">
      <c r="A24" s="54" t="str">
        <f>IF(B24="","",COUNTA($B$8:B24))</f>
        <v/>
      </c>
      <c r="B24" s="42"/>
      <c r="C24" s="41"/>
      <c r="D24" s="41"/>
      <c r="E24" s="41"/>
      <c r="F24" s="41"/>
      <c r="G24" s="41"/>
      <c r="H24" s="41"/>
      <c r="I24" s="42"/>
      <c r="J24" s="32"/>
      <c r="K24" s="32"/>
      <c r="L24" s="32"/>
      <c r="M24" s="32"/>
      <c r="N24" s="32"/>
      <c r="O24" s="32"/>
      <c r="P24" s="32"/>
      <c r="Q24" s="32"/>
      <c r="R24" s="42"/>
      <c r="S24" s="41"/>
      <c r="T24" s="41"/>
      <c r="U24" s="41"/>
      <c r="V24" s="41"/>
      <c r="W24" s="41"/>
      <c r="X24" s="41"/>
      <c r="Y24" s="139"/>
      <c r="Z24" s="140"/>
      <c r="AA24" s="141"/>
      <c r="AB24" s="142"/>
      <c r="AC24" s="143"/>
      <c r="AD24" s="72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42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68"/>
    </row>
    <row r="25" spans="1:56" ht="15" customHeight="1" x14ac:dyDescent="0.3">
      <c r="A25" s="54" t="str">
        <f>IF(B25="","",COUNTA($B$8:B25))</f>
        <v/>
      </c>
      <c r="B25" s="42"/>
      <c r="C25" s="41"/>
      <c r="D25" s="41"/>
      <c r="E25" s="41"/>
      <c r="F25" s="41"/>
      <c r="G25" s="41"/>
      <c r="H25" s="41"/>
      <c r="I25" s="42"/>
      <c r="J25" s="32"/>
      <c r="K25" s="32"/>
      <c r="L25" s="32"/>
      <c r="M25" s="32"/>
      <c r="N25" s="32"/>
      <c r="O25" s="32"/>
      <c r="P25" s="32"/>
      <c r="Q25" s="32"/>
      <c r="R25" s="42"/>
      <c r="S25" s="41"/>
      <c r="T25" s="41"/>
      <c r="U25" s="41"/>
      <c r="V25" s="41"/>
      <c r="W25" s="41"/>
      <c r="X25" s="41"/>
      <c r="Y25" s="139"/>
      <c r="Z25" s="140"/>
      <c r="AA25" s="141"/>
      <c r="AB25" s="142"/>
      <c r="AC25" s="143"/>
      <c r="AD25" s="72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42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68"/>
    </row>
    <row r="26" spans="1:56" ht="15" customHeight="1" x14ac:dyDescent="0.3">
      <c r="A26" s="54" t="str">
        <f>IF(B26="","",COUNTA($B$8:B26))</f>
        <v/>
      </c>
      <c r="B26" s="42"/>
      <c r="C26" s="41"/>
      <c r="D26" s="41"/>
      <c r="E26" s="41"/>
      <c r="F26" s="41"/>
      <c r="G26" s="41"/>
      <c r="H26" s="41"/>
      <c r="I26" s="42"/>
      <c r="J26" s="32"/>
      <c r="K26" s="32"/>
      <c r="L26" s="32"/>
      <c r="M26" s="32"/>
      <c r="N26" s="32"/>
      <c r="O26" s="32"/>
      <c r="P26" s="32"/>
      <c r="Q26" s="32"/>
      <c r="R26" s="42"/>
      <c r="S26" s="41"/>
      <c r="T26" s="41"/>
      <c r="U26" s="41"/>
      <c r="V26" s="41"/>
      <c r="W26" s="41"/>
      <c r="X26" s="41"/>
      <c r="Y26" s="139"/>
      <c r="Z26" s="140"/>
      <c r="AA26" s="141"/>
      <c r="AB26" s="142"/>
      <c r="AC26" s="143"/>
      <c r="AD26" s="72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42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68"/>
    </row>
    <row r="27" spans="1:56" ht="15" customHeight="1" x14ac:dyDescent="0.3">
      <c r="A27" s="54" t="str">
        <f>IF(B27="","",COUNTA($B$8:B27))</f>
        <v/>
      </c>
      <c r="B27" s="42"/>
      <c r="C27" s="41"/>
      <c r="D27" s="41"/>
      <c r="E27" s="41"/>
      <c r="F27" s="41"/>
      <c r="G27" s="41"/>
      <c r="H27" s="41"/>
      <c r="I27" s="42"/>
      <c r="J27" s="32"/>
      <c r="K27" s="32"/>
      <c r="L27" s="32"/>
      <c r="M27" s="32"/>
      <c r="N27" s="32"/>
      <c r="O27" s="32"/>
      <c r="P27" s="32"/>
      <c r="Q27" s="32"/>
      <c r="R27" s="42"/>
      <c r="S27" s="41"/>
      <c r="T27" s="41"/>
      <c r="U27" s="41"/>
      <c r="V27" s="41"/>
      <c r="W27" s="41"/>
      <c r="X27" s="41"/>
      <c r="Y27" s="139"/>
      <c r="Z27" s="140"/>
      <c r="AA27" s="141"/>
      <c r="AB27" s="142"/>
      <c r="AC27" s="143"/>
      <c r="AD27" s="72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42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68"/>
    </row>
    <row r="28" spans="1:56" ht="15" customHeight="1" x14ac:dyDescent="0.3">
      <c r="A28" s="54" t="str">
        <f>IF(B28="","",COUNTA($B$8:B28))</f>
        <v/>
      </c>
      <c r="B28" s="42"/>
      <c r="C28" s="41"/>
      <c r="D28" s="41"/>
      <c r="E28" s="41"/>
      <c r="F28" s="41"/>
      <c r="G28" s="41"/>
      <c r="H28" s="41"/>
      <c r="I28" s="42"/>
      <c r="J28" s="32"/>
      <c r="K28" s="32"/>
      <c r="L28" s="32"/>
      <c r="M28" s="32"/>
      <c r="N28" s="32"/>
      <c r="O28" s="32"/>
      <c r="P28" s="32"/>
      <c r="Q28" s="32"/>
      <c r="R28" s="42"/>
      <c r="S28" s="41"/>
      <c r="T28" s="41"/>
      <c r="U28" s="41"/>
      <c r="V28" s="41"/>
      <c r="W28" s="41"/>
      <c r="X28" s="41"/>
      <c r="Y28" s="139"/>
      <c r="Z28" s="140"/>
      <c r="AA28" s="141"/>
      <c r="AB28" s="142"/>
      <c r="AC28" s="143"/>
      <c r="AD28" s="72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42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68"/>
    </row>
    <row r="29" spans="1:56" ht="15" customHeight="1" x14ac:dyDescent="0.3">
      <c r="A29" s="54" t="str">
        <f>IF(B29="","",COUNTA($B$8:B29))</f>
        <v/>
      </c>
      <c r="B29" s="42"/>
      <c r="C29" s="41"/>
      <c r="D29" s="41"/>
      <c r="E29" s="41"/>
      <c r="F29" s="41"/>
      <c r="G29" s="41"/>
      <c r="H29" s="41"/>
      <c r="I29" s="42"/>
      <c r="J29" s="32"/>
      <c r="K29" s="32"/>
      <c r="L29" s="32"/>
      <c r="M29" s="32"/>
      <c r="N29" s="32"/>
      <c r="O29" s="32"/>
      <c r="P29" s="32"/>
      <c r="Q29" s="32"/>
      <c r="R29" s="42"/>
      <c r="S29" s="41"/>
      <c r="T29" s="41"/>
      <c r="U29" s="41"/>
      <c r="V29" s="41"/>
      <c r="W29" s="41"/>
      <c r="X29" s="41"/>
      <c r="Y29" s="139"/>
      <c r="Z29" s="140"/>
      <c r="AA29" s="141"/>
      <c r="AB29" s="142"/>
      <c r="AC29" s="143"/>
      <c r="AD29" s="72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42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68"/>
    </row>
    <row r="30" spans="1:56" ht="15" customHeight="1" x14ac:dyDescent="0.3">
      <c r="A30" s="54" t="str">
        <f>IF(B30="","",COUNTA($B$8:B30))</f>
        <v/>
      </c>
      <c r="B30" s="42"/>
      <c r="C30" s="41"/>
      <c r="D30" s="41"/>
      <c r="E30" s="41"/>
      <c r="F30" s="41"/>
      <c r="G30" s="41"/>
      <c r="H30" s="41"/>
      <c r="I30" s="42"/>
      <c r="J30" s="32"/>
      <c r="K30" s="32"/>
      <c r="L30" s="32"/>
      <c r="M30" s="32"/>
      <c r="N30" s="32"/>
      <c r="O30" s="32"/>
      <c r="P30" s="32"/>
      <c r="Q30" s="32"/>
      <c r="R30" s="42"/>
      <c r="S30" s="41"/>
      <c r="T30" s="41"/>
      <c r="U30" s="41"/>
      <c r="V30" s="41"/>
      <c r="W30" s="41"/>
      <c r="X30" s="41"/>
      <c r="Y30" s="139"/>
      <c r="Z30" s="140"/>
      <c r="AA30" s="141"/>
      <c r="AB30" s="142"/>
      <c r="AC30" s="143"/>
      <c r="AD30" s="72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42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68"/>
    </row>
    <row r="31" spans="1:56" ht="15" customHeight="1" x14ac:dyDescent="0.3">
      <c r="A31" s="54" t="str">
        <f>IF(B31="","",COUNTA($B$8:B31))</f>
        <v/>
      </c>
      <c r="B31" s="42"/>
      <c r="C31" s="41"/>
      <c r="D31" s="41"/>
      <c r="E31" s="41"/>
      <c r="F31" s="41"/>
      <c r="G31" s="41"/>
      <c r="H31" s="41"/>
      <c r="I31" s="42"/>
      <c r="J31" s="32"/>
      <c r="K31" s="32"/>
      <c r="L31" s="32"/>
      <c r="M31" s="32"/>
      <c r="N31" s="32"/>
      <c r="O31" s="32"/>
      <c r="P31" s="32"/>
      <c r="Q31" s="32"/>
      <c r="R31" s="42"/>
      <c r="S31" s="41"/>
      <c r="T31" s="41"/>
      <c r="U31" s="41"/>
      <c r="V31" s="41"/>
      <c r="W31" s="41"/>
      <c r="X31" s="41"/>
      <c r="Y31" s="139"/>
      <c r="Z31" s="140"/>
      <c r="AA31" s="141"/>
      <c r="AB31" s="142"/>
      <c r="AC31" s="143"/>
      <c r="AD31" s="72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42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68"/>
    </row>
    <row r="32" spans="1:56" ht="15" customHeight="1" x14ac:dyDescent="0.3">
      <c r="A32" s="54" t="str">
        <f>IF(B32="","",COUNTA($B$8:B32))</f>
        <v/>
      </c>
      <c r="B32" s="42"/>
      <c r="C32" s="41"/>
      <c r="D32" s="41"/>
      <c r="E32" s="41"/>
      <c r="F32" s="41"/>
      <c r="G32" s="41"/>
      <c r="H32" s="41"/>
      <c r="I32" s="42"/>
      <c r="J32" s="32"/>
      <c r="K32" s="32"/>
      <c r="L32" s="32"/>
      <c r="M32" s="32"/>
      <c r="N32" s="32"/>
      <c r="O32" s="32"/>
      <c r="P32" s="32"/>
      <c r="Q32" s="32"/>
      <c r="R32" s="42"/>
      <c r="S32" s="41"/>
      <c r="T32" s="41"/>
      <c r="U32" s="41"/>
      <c r="V32" s="41"/>
      <c r="W32" s="41"/>
      <c r="X32" s="41"/>
      <c r="Y32" s="139"/>
      <c r="Z32" s="140"/>
      <c r="AA32" s="141"/>
      <c r="AB32" s="142"/>
      <c r="AC32" s="143"/>
      <c r="AD32" s="72"/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42"/>
      <c r="AT32" s="43"/>
      <c r="AU32" s="43"/>
      <c r="AV32" s="43"/>
      <c r="AW32" s="43"/>
      <c r="AX32" s="43"/>
      <c r="AY32" s="43"/>
      <c r="AZ32" s="43"/>
      <c r="BA32" s="43"/>
      <c r="BB32" s="43"/>
      <c r="BC32" s="43"/>
      <c r="BD32" s="68"/>
    </row>
    <row r="33" spans="1:56" ht="15" customHeight="1" x14ac:dyDescent="0.3">
      <c r="A33" s="54" t="str">
        <f>IF(B33="","",COUNTA($B$8:B33))</f>
        <v/>
      </c>
      <c r="B33" s="42"/>
      <c r="C33" s="41"/>
      <c r="D33" s="41"/>
      <c r="E33" s="41"/>
      <c r="F33" s="41"/>
      <c r="G33" s="41"/>
      <c r="H33" s="41"/>
      <c r="I33" s="42"/>
      <c r="J33" s="32"/>
      <c r="K33" s="32"/>
      <c r="L33" s="32"/>
      <c r="M33" s="32"/>
      <c r="N33" s="32"/>
      <c r="O33" s="32"/>
      <c r="P33" s="32"/>
      <c r="Q33" s="32"/>
      <c r="R33" s="42"/>
      <c r="S33" s="41"/>
      <c r="T33" s="41"/>
      <c r="U33" s="41"/>
      <c r="V33" s="41"/>
      <c r="W33" s="41"/>
      <c r="X33" s="41"/>
      <c r="Y33" s="139"/>
      <c r="Z33" s="140"/>
      <c r="AA33" s="141"/>
      <c r="AB33" s="142"/>
      <c r="AC33" s="143"/>
      <c r="AD33" s="72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42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68"/>
    </row>
    <row r="34" spans="1:56" ht="15" customHeight="1" x14ac:dyDescent="0.3">
      <c r="A34" s="54" t="str">
        <f>IF(B34="","",COUNTA($B$8:B34))</f>
        <v/>
      </c>
      <c r="B34" s="42"/>
      <c r="C34" s="41"/>
      <c r="D34" s="41"/>
      <c r="E34" s="41"/>
      <c r="F34" s="41"/>
      <c r="G34" s="41"/>
      <c r="H34" s="41"/>
      <c r="I34" s="42"/>
      <c r="J34" s="32"/>
      <c r="K34" s="32"/>
      <c r="L34" s="32"/>
      <c r="M34" s="32"/>
      <c r="N34" s="32"/>
      <c r="O34" s="32"/>
      <c r="P34" s="32"/>
      <c r="Q34" s="32"/>
      <c r="R34" s="42"/>
      <c r="S34" s="41"/>
      <c r="T34" s="41"/>
      <c r="U34" s="41"/>
      <c r="V34" s="41"/>
      <c r="W34" s="41"/>
      <c r="X34" s="41"/>
      <c r="Y34" s="139"/>
      <c r="Z34" s="140"/>
      <c r="AA34" s="141"/>
      <c r="AB34" s="142"/>
      <c r="AC34" s="143"/>
      <c r="AD34" s="72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42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68"/>
    </row>
    <row r="35" spans="1:56" ht="15" customHeight="1" x14ac:dyDescent="0.3">
      <c r="A35" s="54" t="str">
        <f>IF(B35="","",COUNTA($B$8:B35))</f>
        <v/>
      </c>
      <c r="B35" s="42"/>
      <c r="C35" s="41"/>
      <c r="D35" s="41"/>
      <c r="E35" s="41"/>
      <c r="F35" s="41"/>
      <c r="G35" s="41"/>
      <c r="H35" s="41"/>
      <c r="I35" s="42"/>
      <c r="J35" s="32"/>
      <c r="K35" s="32"/>
      <c r="L35" s="32"/>
      <c r="M35" s="32"/>
      <c r="N35" s="32"/>
      <c r="O35" s="32"/>
      <c r="P35" s="32"/>
      <c r="Q35" s="32"/>
      <c r="R35" s="42"/>
      <c r="S35" s="41"/>
      <c r="T35" s="41"/>
      <c r="U35" s="41"/>
      <c r="V35" s="41"/>
      <c r="W35" s="41"/>
      <c r="X35" s="41"/>
      <c r="Y35" s="139"/>
      <c r="Z35" s="140"/>
      <c r="AA35" s="141"/>
      <c r="AB35" s="142"/>
      <c r="AC35" s="143"/>
      <c r="AD35" s="72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42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68"/>
    </row>
    <row r="36" spans="1:56" ht="15" customHeight="1" x14ac:dyDescent="0.3">
      <c r="A36" s="54" t="str">
        <f>IF(B36="","",COUNTA($B$8:B36))</f>
        <v/>
      </c>
      <c r="B36" s="42"/>
      <c r="C36" s="41"/>
      <c r="D36" s="41"/>
      <c r="E36" s="41"/>
      <c r="F36" s="41"/>
      <c r="G36" s="41"/>
      <c r="H36" s="41"/>
      <c r="I36" s="42"/>
      <c r="J36" s="32"/>
      <c r="K36" s="32"/>
      <c r="L36" s="32"/>
      <c r="M36" s="32"/>
      <c r="N36" s="32"/>
      <c r="O36" s="32"/>
      <c r="P36" s="32"/>
      <c r="Q36" s="32"/>
      <c r="R36" s="42"/>
      <c r="S36" s="41"/>
      <c r="T36" s="41"/>
      <c r="U36" s="41"/>
      <c r="V36" s="41"/>
      <c r="W36" s="41"/>
      <c r="X36" s="41"/>
      <c r="Y36" s="139"/>
      <c r="Z36" s="140"/>
      <c r="AA36" s="141"/>
      <c r="AB36" s="142"/>
      <c r="AC36" s="143"/>
      <c r="AD36" s="72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42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68"/>
    </row>
    <row r="37" spans="1:56" ht="15" customHeight="1" x14ac:dyDescent="0.3">
      <c r="A37" s="54" t="str">
        <f>IF(B37="","",COUNTA($B$8:B37))</f>
        <v/>
      </c>
      <c r="B37" s="42"/>
      <c r="C37" s="41"/>
      <c r="D37" s="41"/>
      <c r="E37" s="41"/>
      <c r="F37" s="41"/>
      <c r="G37" s="41"/>
      <c r="H37" s="41"/>
      <c r="I37" s="42"/>
      <c r="J37" s="32"/>
      <c r="K37" s="32"/>
      <c r="L37" s="32"/>
      <c r="M37" s="32"/>
      <c r="N37" s="32"/>
      <c r="O37" s="32"/>
      <c r="P37" s="32"/>
      <c r="Q37" s="32"/>
      <c r="R37" s="42"/>
      <c r="S37" s="41"/>
      <c r="T37" s="41"/>
      <c r="U37" s="41"/>
      <c r="V37" s="41"/>
      <c r="W37" s="41"/>
      <c r="X37" s="41"/>
      <c r="Y37" s="139"/>
      <c r="Z37" s="140"/>
      <c r="AA37" s="141"/>
      <c r="AB37" s="142"/>
      <c r="AC37" s="143"/>
      <c r="AD37" s="72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42"/>
      <c r="AT37" s="43"/>
      <c r="AU37" s="43"/>
      <c r="AV37" s="43"/>
      <c r="AW37" s="43"/>
      <c r="AX37" s="43"/>
      <c r="AY37" s="43"/>
      <c r="AZ37" s="43"/>
      <c r="BA37" s="43"/>
      <c r="BB37" s="43"/>
      <c r="BC37" s="43"/>
      <c r="BD37" s="68"/>
    </row>
    <row r="38" spans="1:56" ht="15" customHeight="1" x14ac:dyDescent="0.3">
      <c r="A38" s="54" t="str">
        <f>IF(B38="","",COUNTA($B$8:B38))</f>
        <v/>
      </c>
      <c r="B38" s="42"/>
      <c r="C38" s="41"/>
      <c r="D38" s="41"/>
      <c r="E38" s="41"/>
      <c r="F38" s="41"/>
      <c r="G38" s="41"/>
      <c r="H38" s="41"/>
      <c r="I38" s="42"/>
      <c r="J38" s="32"/>
      <c r="K38" s="32"/>
      <c r="L38" s="32"/>
      <c r="M38" s="32"/>
      <c r="N38" s="32"/>
      <c r="O38" s="32"/>
      <c r="P38" s="32"/>
      <c r="Q38" s="32"/>
      <c r="R38" s="42"/>
      <c r="S38" s="41"/>
      <c r="T38" s="41"/>
      <c r="U38" s="41"/>
      <c r="V38" s="41"/>
      <c r="W38" s="41"/>
      <c r="X38" s="41"/>
      <c r="Y38" s="139"/>
      <c r="Z38" s="140"/>
      <c r="AA38" s="141"/>
      <c r="AB38" s="142"/>
      <c r="AC38" s="143"/>
      <c r="AD38" s="72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42"/>
      <c r="AT38" s="43"/>
      <c r="AU38" s="43"/>
      <c r="AV38" s="43"/>
      <c r="AW38" s="43"/>
      <c r="AX38" s="43"/>
      <c r="AY38" s="43"/>
      <c r="AZ38" s="43"/>
      <c r="BA38" s="43"/>
      <c r="BB38" s="43"/>
      <c r="BC38" s="43"/>
      <c r="BD38" s="68"/>
    </row>
    <row r="39" spans="1:56" ht="15" customHeight="1" x14ac:dyDescent="0.3">
      <c r="A39" s="54" t="str">
        <f>IF(B39="","",COUNTA($B$8:B39))</f>
        <v/>
      </c>
      <c r="B39" s="42"/>
      <c r="C39" s="41"/>
      <c r="D39" s="41"/>
      <c r="E39" s="41"/>
      <c r="F39" s="41"/>
      <c r="G39" s="41"/>
      <c r="H39" s="41"/>
      <c r="I39" s="42"/>
      <c r="J39" s="32"/>
      <c r="K39" s="32"/>
      <c r="L39" s="32"/>
      <c r="M39" s="32"/>
      <c r="N39" s="32"/>
      <c r="O39" s="32"/>
      <c r="P39" s="32"/>
      <c r="Q39" s="32"/>
      <c r="R39" s="42"/>
      <c r="S39" s="41"/>
      <c r="T39" s="41"/>
      <c r="U39" s="41"/>
      <c r="V39" s="41"/>
      <c r="W39" s="41"/>
      <c r="X39" s="41"/>
      <c r="Y39" s="139"/>
      <c r="Z39" s="140"/>
      <c r="AA39" s="141"/>
      <c r="AB39" s="142"/>
      <c r="AC39" s="143"/>
      <c r="AD39" s="72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42"/>
      <c r="AT39" s="43"/>
      <c r="AU39" s="43"/>
      <c r="AV39" s="43"/>
      <c r="AW39" s="43"/>
      <c r="AX39" s="43"/>
      <c r="AY39" s="43"/>
      <c r="AZ39" s="43"/>
      <c r="BA39" s="43"/>
      <c r="BB39" s="43"/>
      <c r="BC39" s="43"/>
      <c r="BD39" s="68"/>
    </row>
    <row r="40" spans="1:56" ht="15" customHeight="1" x14ac:dyDescent="0.3">
      <c r="A40" s="54" t="str">
        <f>IF(B40="","",COUNTA($B$8:B40))</f>
        <v/>
      </c>
      <c r="B40" s="42"/>
      <c r="C40" s="41"/>
      <c r="D40" s="41"/>
      <c r="E40" s="41"/>
      <c r="F40" s="41"/>
      <c r="G40" s="41"/>
      <c r="H40" s="41"/>
      <c r="I40" s="42"/>
      <c r="J40" s="32"/>
      <c r="K40" s="32"/>
      <c r="L40" s="32"/>
      <c r="M40" s="32"/>
      <c r="N40" s="32"/>
      <c r="O40" s="32"/>
      <c r="P40" s="32"/>
      <c r="Q40" s="32"/>
      <c r="R40" s="42"/>
      <c r="S40" s="41"/>
      <c r="T40" s="41"/>
      <c r="U40" s="41"/>
      <c r="V40" s="41"/>
      <c r="W40" s="41"/>
      <c r="X40" s="41"/>
      <c r="Y40" s="139"/>
      <c r="Z40" s="140"/>
      <c r="AA40" s="141"/>
      <c r="AB40" s="142"/>
      <c r="AC40" s="143"/>
      <c r="AD40" s="72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42"/>
      <c r="AT40" s="43"/>
      <c r="AU40" s="43"/>
      <c r="AV40" s="43"/>
      <c r="AW40" s="43"/>
      <c r="AX40" s="43"/>
      <c r="AY40" s="43"/>
      <c r="AZ40" s="43"/>
      <c r="BA40" s="43"/>
      <c r="BB40" s="43"/>
      <c r="BC40" s="43"/>
      <c r="BD40" s="68"/>
    </row>
    <row r="41" spans="1:56" ht="15" customHeight="1" x14ac:dyDescent="0.3">
      <c r="A41" s="54" t="str">
        <f>IF(B41="","",COUNTA($B$8:B41))</f>
        <v/>
      </c>
      <c r="B41" s="42"/>
      <c r="C41" s="41"/>
      <c r="D41" s="41"/>
      <c r="E41" s="41"/>
      <c r="F41" s="41"/>
      <c r="G41" s="41"/>
      <c r="H41" s="41"/>
      <c r="I41" s="42"/>
      <c r="J41" s="32"/>
      <c r="K41" s="32"/>
      <c r="L41" s="32"/>
      <c r="M41" s="32"/>
      <c r="N41" s="32"/>
      <c r="O41" s="32"/>
      <c r="P41" s="32"/>
      <c r="Q41" s="32"/>
      <c r="R41" s="42"/>
      <c r="S41" s="41"/>
      <c r="T41" s="41"/>
      <c r="U41" s="41"/>
      <c r="V41" s="41"/>
      <c r="W41" s="41"/>
      <c r="X41" s="41"/>
      <c r="Y41" s="139"/>
      <c r="Z41" s="140"/>
      <c r="AA41" s="141"/>
      <c r="AB41" s="142"/>
      <c r="AC41" s="143"/>
      <c r="AD41" s="72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42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68"/>
    </row>
    <row r="42" spans="1:56" ht="15" customHeight="1" x14ac:dyDescent="0.3">
      <c r="A42" s="54" t="str">
        <f>IF(B42="","",COUNTA($B$8:B42))</f>
        <v/>
      </c>
      <c r="B42" s="42"/>
      <c r="C42" s="41"/>
      <c r="D42" s="41"/>
      <c r="E42" s="41"/>
      <c r="F42" s="41"/>
      <c r="G42" s="41"/>
      <c r="H42" s="41"/>
      <c r="I42" s="42"/>
      <c r="J42" s="32"/>
      <c r="K42" s="32"/>
      <c r="L42" s="32"/>
      <c r="M42" s="32"/>
      <c r="N42" s="32"/>
      <c r="O42" s="32"/>
      <c r="P42" s="32"/>
      <c r="Q42" s="32"/>
      <c r="R42" s="42"/>
      <c r="S42" s="41"/>
      <c r="T42" s="41"/>
      <c r="U42" s="41"/>
      <c r="V42" s="41"/>
      <c r="W42" s="41"/>
      <c r="X42" s="41"/>
      <c r="Y42" s="139"/>
      <c r="Z42" s="140"/>
      <c r="AA42" s="141"/>
      <c r="AB42" s="142"/>
      <c r="AC42" s="143"/>
      <c r="AD42" s="72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42"/>
      <c r="AT42" s="43"/>
      <c r="AU42" s="43"/>
      <c r="AV42" s="43"/>
      <c r="AW42" s="43"/>
      <c r="AX42" s="43"/>
      <c r="AY42" s="43"/>
      <c r="AZ42" s="43"/>
      <c r="BA42" s="43"/>
      <c r="BB42" s="43"/>
      <c r="BC42" s="43"/>
      <c r="BD42" s="68"/>
    </row>
    <row r="43" spans="1:56" ht="15" customHeight="1" x14ac:dyDescent="0.3">
      <c r="A43" s="54" t="str">
        <f>IF(B43="","",COUNTA($B$8:B43))</f>
        <v/>
      </c>
      <c r="B43" s="42"/>
      <c r="C43" s="41"/>
      <c r="D43" s="41"/>
      <c r="E43" s="41"/>
      <c r="F43" s="41"/>
      <c r="G43" s="41"/>
      <c r="H43" s="41"/>
      <c r="I43" s="42"/>
      <c r="J43" s="32"/>
      <c r="K43" s="32"/>
      <c r="L43" s="32"/>
      <c r="M43" s="32"/>
      <c r="N43" s="32"/>
      <c r="O43" s="32"/>
      <c r="P43" s="32"/>
      <c r="Q43" s="32"/>
      <c r="R43" s="42"/>
      <c r="S43" s="41"/>
      <c r="T43" s="41"/>
      <c r="U43" s="41"/>
      <c r="V43" s="41"/>
      <c r="W43" s="41"/>
      <c r="X43" s="41"/>
      <c r="Y43" s="139"/>
      <c r="Z43" s="140"/>
      <c r="AA43" s="141"/>
      <c r="AB43" s="142"/>
      <c r="AC43" s="143"/>
      <c r="AD43" s="72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42"/>
      <c r="AT43" s="43"/>
      <c r="AU43" s="43"/>
      <c r="AV43" s="43"/>
      <c r="AW43" s="43"/>
      <c r="AX43" s="43"/>
      <c r="AY43" s="43"/>
      <c r="AZ43" s="43"/>
      <c r="BA43" s="43"/>
      <c r="BB43" s="43"/>
      <c r="BC43" s="43"/>
      <c r="BD43" s="68"/>
    </row>
    <row r="44" spans="1:56" ht="15" customHeight="1" x14ac:dyDescent="0.3">
      <c r="A44" s="54" t="str">
        <f>IF(B44="","",COUNTA($B$8:B44))</f>
        <v/>
      </c>
      <c r="B44" s="28"/>
      <c r="C44" s="41"/>
      <c r="D44" s="41"/>
      <c r="E44" s="41"/>
      <c r="F44" s="41"/>
      <c r="G44" s="41"/>
      <c r="H44" s="41"/>
      <c r="I44" s="20"/>
      <c r="J44" s="32"/>
      <c r="K44" s="32"/>
      <c r="L44" s="32"/>
      <c r="M44" s="32"/>
      <c r="N44" s="32"/>
      <c r="O44" s="32"/>
      <c r="P44" s="32"/>
      <c r="Q44" s="32"/>
      <c r="R44" s="28"/>
      <c r="S44" s="41"/>
      <c r="T44" s="41"/>
      <c r="U44" s="41"/>
      <c r="V44" s="41"/>
      <c r="W44" s="41"/>
      <c r="X44" s="41"/>
      <c r="Y44" s="139"/>
      <c r="Z44" s="140"/>
      <c r="AA44" s="141"/>
      <c r="AB44" s="142"/>
      <c r="AC44" s="143"/>
      <c r="AD44" s="55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8"/>
      <c r="AT44" s="69"/>
      <c r="AU44" s="69"/>
      <c r="AV44" s="69"/>
      <c r="AW44" s="69"/>
      <c r="AX44" s="69"/>
      <c r="AY44" s="69"/>
      <c r="AZ44" s="69"/>
      <c r="BA44" s="69"/>
      <c r="BB44" s="69"/>
      <c r="BC44" s="69"/>
      <c r="BD44" s="70"/>
    </row>
  </sheetData>
  <mergeCells count="104"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G6:AG7"/>
    <mergeCell ref="AH6:AH7"/>
    <mergeCell ref="AI6:AR6"/>
    <mergeCell ref="AS6:BD7"/>
    <mergeCell ref="Y8:Z8"/>
    <mergeCell ref="AA8:AC8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AA20:AC20"/>
    <mergeCell ref="AA21:AC21"/>
    <mergeCell ref="Y11:Z11"/>
    <mergeCell ref="AA11:AC11"/>
    <mergeCell ref="Y12:Z12"/>
    <mergeCell ref="AA12:AC12"/>
    <mergeCell ref="Y10:Z10"/>
    <mergeCell ref="AA10:AC10"/>
    <mergeCell ref="Y19:Z19"/>
    <mergeCell ref="AA19:AC19"/>
    <mergeCell ref="Y16:Z16"/>
    <mergeCell ref="AA16:AC16"/>
    <mergeCell ref="Y17:Z17"/>
    <mergeCell ref="AA17:AC17"/>
    <mergeCell ref="Y18:Z18"/>
    <mergeCell ref="AA18:AC18"/>
    <mergeCell ref="Y13:Z13"/>
    <mergeCell ref="AA13:AC13"/>
    <mergeCell ref="Y14:Z14"/>
    <mergeCell ref="AA14:AC14"/>
    <mergeCell ref="Y15:Z15"/>
    <mergeCell ref="AA15:AC15"/>
    <mergeCell ref="Y25:Z25"/>
    <mergeCell ref="AA25:AC25"/>
    <mergeCell ref="Y26:Z26"/>
    <mergeCell ref="AA26:AC26"/>
    <mergeCell ref="Y27:Z27"/>
    <mergeCell ref="AA27:AC27"/>
    <mergeCell ref="Y22:Z22"/>
    <mergeCell ref="AA22:AC22"/>
    <mergeCell ref="Y23:Z23"/>
    <mergeCell ref="AA23:AC23"/>
    <mergeCell ref="Y24:Z24"/>
    <mergeCell ref="AA24:AC24"/>
    <mergeCell ref="Y31:Z31"/>
    <mergeCell ref="AA31:AC31"/>
    <mergeCell ref="Y32:Z32"/>
    <mergeCell ref="AA32:AC32"/>
    <mergeCell ref="Y33:Z33"/>
    <mergeCell ref="AA33:AC33"/>
    <mergeCell ref="Y28:Z28"/>
    <mergeCell ref="AA28:AC28"/>
    <mergeCell ref="Y29:Z29"/>
    <mergeCell ref="AA29:AC29"/>
    <mergeCell ref="Y30:Z30"/>
    <mergeCell ref="AA30:AC30"/>
    <mergeCell ref="Y43:Z43"/>
    <mergeCell ref="AA43:AC43"/>
    <mergeCell ref="Y44:Z44"/>
    <mergeCell ref="AA44:AC44"/>
    <mergeCell ref="Y9:Z9"/>
    <mergeCell ref="AA9:AC9"/>
    <mergeCell ref="Y40:Z40"/>
    <mergeCell ref="AA40:AC40"/>
    <mergeCell ref="Y41:Z41"/>
    <mergeCell ref="AA41:AC41"/>
    <mergeCell ref="Y42:Z42"/>
    <mergeCell ref="AA42:AC42"/>
    <mergeCell ref="Y37:Z37"/>
    <mergeCell ref="AA37:AC37"/>
    <mergeCell ref="Y38:Z38"/>
    <mergeCell ref="AA38:AC38"/>
    <mergeCell ref="Y39:Z39"/>
    <mergeCell ref="AA39:AC39"/>
    <mergeCell ref="Y34:Z34"/>
    <mergeCell ref="AA34:AC34"/>
    <mergeCell ref="Y35:Z35"/>
    <mergeCell ref="AA35:AC35"/>
    <mergeCell ref="Y36:Z36"/>
    <mergeCell ref="AA36:AC36"/>
  </mergeCells>
  <phoneticPr fontId="4"/>
  <dataValidations count="3">
    <dataValidation imeMode="hiragana" allowBlank="1" showInputMessage="1" showErrorMessage="1" sqref="JG65519:JR65521 TC65519:TN65521 ACY65519:ADJ65521 AMU65519:ANF65521 AWQ65519:AXB65521 BGM65519:BGX65521 BQI65519:BQT65521 CAE65519:CAP65521 CKA65519:CKL65521 CTW65519:CUH65521 DDS65519:DED65521 DNO65519:DNZ65521 DXK65519:DXV65521 EHG65519:EHR65521 ERC65519:ERN65521 FAY65519:FBJ65521 FKU65519:FLF65521 FUQ65519:FVB65521 GEM65519:GEX65521 GOI65519:GOT65521 GYE65519:GYP65521 HIA65519:HIL65521 HRW65519:HSH65521 IBS65519:ICD65521 ILO65519:ILZ65521 IVK65519:IVV65521 JFG65519:JFR65521 JPC65519:JPN65521 JYY65519:JZJ65521 KIU65519:KJF65521 KSQ65519:KTB65521 LCM65519:LCX65521 LMI65519:LMT65521 LWE65519:LWP65521 MGA65519:MGL65521 MPW65519:MQH65521 MZS65519:NAD65521 NJO65519:NJZ65521 NTK65519:NTV65521 ODG65519:ODR65521 ONC65519:ONN65521 OWY65519:OXJ65521 PGU65519:PHF65521 PQQ65519:PRB65521 QAM65519:QAX65521 QKI65519:QKT65521 QUE65519:QUP65521 REA65519:REL65521 RNW65519:ROH65521 RXS65519:RYD65521 SHO65519:SHZ65521 SRK65519:SRV65521 TBG65519:TBR65521 TLC65519:TLN65521 TUY65519:TVJ65521 UEU65519:UFF65521 UOQ65519:UPB65521 UYM65519:UYX65521 VII65519:VIT65521 VSE65519:VSP65521 WCA65519:WCL65521 WLW65519:WMH65521 WVS65519:WWD65521 JG131055:JR131057 TC131055:TN131057 ACY131055:ADJ131057 AMU131055:ANF131057 AWQ131055:AXB131057 BGM131055:BGX131057 BQI131055:BQT131057 CAE131055:CAP131057 CKA131055:CKL131057 CTW131055:CUH131057 DDS131055:DED131057 DNO131055:DNZ131057 DXK131055:DXV131057 EHG131055:EHR131057 ERC131055:ERN131057 FAY131055:FBJ131057 FKU131055:FLF131057 FUQ131055:FVB131057 GEM131055:GEX131057 GOI131055:GOT131057 GYE131055:GYP131057 HIA131055:HIL131057 HRW131055:HSH131057 IBS131055:ICD131057 ILO131055:ILZ131057 IVK131055:IVV131057 JFG131055:JFR131057 JPC131055:JPN131057 JYY131055:JZJ131057 KIU131055:KJF131057 KSQ131055:KTB131057 LCM131055:LCX131057 LMI131055:LMT131057 LWE131055:LWP131057 MGA131055:MGL131057 MPW131055:MQH131057 MZS131055:NAD131057 NJO131055:NJZ131057 NTK131055:NTV131057 ODG131055:ODR131057 ONC131055:ONN131057 OWY131055:OXJ131057 PGU131055:PHF131057 PQQ131055:PRB131057 QAM131055:QAX131057 QKI131055:QKT131057 QUE131055:QUP131057 REA131055:REL131057 RNW131055:ROH131057 RXS131055:RYD131057 SHO131055:SHZ131057 SRK131055:SRV131057 TBG131055:TBR131057 TLC131055:TLN131057 TUY131055:TVJ131057 UEU131055:UFF131057 UOQ131055:UPB131057 UYM131055:UYX131057 VII131055:VIT131057 VSE131055:VSP131057 WCA131055:WCL131057 WLW131055:WMH131057 WVS131055:WWD131057 JG196591:JR196593 TC196591:TN196593 ACY196591:ADJ196593 AMU196591:ANF196593 AWQ196591:AXB196593 BGM196591:BGX196593 BQI196591:BQT196593 CAE196591:CAP196593 CKA196591:CKL196593 CTW196591:CUH196593 DDS196591:DED196593 DNO196591:DNZ196593 DXK196591:DXV196593 EHG196591:EHR196593 ERC196591:ERN196593 FAY196591:FBJ196593 FKU196591:FLF196593 FUQ196591:FVB196593 GEM196591:GEX196593 GOI196591:GOT196593 GYE196591:GYP196593 HIA196591:HIL196593 HRW196591:HSH196593 IBS196591:ICD196593 ILO196591:ILZ196593 IVK196591:IVV196593 JFG196591:JFR196593 JPC196591:JPN196593 JYY196591:JZJ196593 KIU196591:KJF196593 KSQ196591:KTB196593 LCM196591:LCX196593 LMI196591:LMT196593 LWE196591:LWP196593 MGA196591:MGL196593 MPW196591:MQH196593 MZS196591:NAD196593 NJO196591:NJZ196593 NTK196591:NTV196593 ODG196591:ODR196593 ONC196591:ONN196593 OWY196591:OXJ196593 PGU196591:PHF196593 PQQ196591:PRB196593 QAM196591:QAX196593 QKI196591:QKT196593 QUE196591:QUP196593 REA196591:REL196593 RNW196591:ROH196593 RXS196591:RYD196593 SHO196591:SHZ196593 SRK196591:SRV196593 TBG196591:TBR196593 TLC196591:TLN196593 TUY196591:TVJ196593 UEU196591:UFF196593 UOQ196591:UPB196593 UYM196591:UYX196593 VII196591:VIT196593 VSE196591:VSP196593 WCA196591:WCL196593 WLW196591:WMH196593 WVS196591:WWD196593 JG262127:JR262129 TC262127:TN262129 ACY262127:ADJ262129 AMU262127:ANF262129 AWQ262127:AXB262129 BGM262127:BGX262129 BQI262127:BQT262129 CAE262127:CAP262129 CKA262127:CKL262129 CTW262127:CUH262129 DDS262127:DED262129 DNO262127:DNZ262129 DXK262127:DXV262129 EHG262127:EHR262129 ERC262127:ERN262129 FAY262127:FBJ262129 FKU262127:FLF262129 FUQ262127:FVB262129 GEM262127:GEX262129 GOI262127:GOT262129 GYE262127:GYP262129 HIA262127:HIL262129 HRW262127:HSH262129 IBS262127:ICD262129 ILO262127:ILZ262129 IVK262127:IVV262129 JFG262127:JFR262129 JPC262127:JPN262129 JYY262127:JZJ262129 KIU262127:KJF262129 KSQ262127:KTB262129 LCM262127:LCX262129 LMI262127:LMT262129 LWE262127:LWP262129 MGA262127:MGL262129 MPW262127:MQH262129 MZS262127:NAD262129 NJO262127:NJZ262129 NTK262127:NTV262129 ODG262127:ODR262129 ONC262127:ONN262129 OWY262127:OXJ262129 PGU262127:PHF262129 PQQ262127:PRB262129 QAM262127:QAX262129 QKI262127:QKT262129 QUE262127:QUP262129 REA262127:REL262129 RNW262127:ROH262129 RXS262127:RYD262129 SHO262127:SHZ262129 SRK262127:SRV262129 TBG262127:TBR262129 TLC262127:TLN262129 TUY262127:TVJ262129 UEU262127:UFF262129 UOQ262127:UPB262129 UYM262127:UYX262129 VII262127:VIT262129 VSE262127:VSP262129 WCA262127:WCL262129 WLW262127:WMH262129 WVS262127:WWD262129 JG327663:JR327665 TC327663:TN327665 ACY327663:ADJ327665 AMU327663:ANF327665 AWQ327663:AXB327665 BGM327663:BGX327665 BQI327663:BQT327665 CAE327663:CAP327665 CKA327663:CKL327665 CTW327663:CUH327665 DDS327663:DED327665 DNO327663:DNZ327665 DXK327663:DXV327665 EHG327663:EHR327665 ERC327663:ERN327665 FAY327663:FBJ327665 FKU327663:FLF327665 FUQ327663:FVB327665 GEM327663:GEX327665 GOI327663:GOT327665 GYE327663:GYP327665 HIA327663:HIL327665 HRW327663:HSH327665 IBS327663:ICD327665 ILO327663:ILZ327665 IVK327663:IVV327665 JFG327663:JFR327665 JPC327663:JPN327665 JYY327663:JZJ327665 KIU327663:KJF327665 KSQ327663:KTB327665 LCM327663:LCX327665 LMI327663:LMT327665 LWE327663:LWP327665 MGA327663:MGL327665 MPW327663:MQH327665 MZS327663:NAD327665 NJO327663:NJZ327665 NTK327663:NTV327665 ODG327663:ODR327665 ONC327663:ONN327665 OWY327663:OXJ327665 PGU327663:PHF327665 PQQ327663:PRB327665 QAM327663:QAX327665 QKI327663:QKT327665 QUE327663:QUP327665 REA327663:REL327665 RNW327663:ROH327665 RXS327663:RYD327665 SHO327663:SHZ327665 SRK327663:SRV327665 TBG327663:TBR327665 TLC327663:TLN327665 TUY327663:TVJ327665 UEU327663:UFF327665 UOQ327663:UPB327665 UYM327663:UYX327665 VII327663:VIT327665 VSE327663:VSP327665 WCA327663:WCL327665 WLW327663:WMH327665 WVS327663:WWD327665 JG393199:JR393201 TC393199:TN393201 ACY393199:ADJ393201 AMU393199:ANF393201 AWQ393199:AXB393201 BGM393199:BGX393201 BQI393199:BQT393201 CAE393199:CAP393201 CKA393199:CKL393201 CTW393199:CUH393201 DDS393199:DED393201 DNO393199:DNZ393201 DXK393199:DXV393201 EHG393199:EHR393201 ERC393199:ERN393201 FAY393199:FBJ393201 FKU393199:FLF393201 FUQ393199:FVB393201 GEM393199:GEX393201 GOI393199:GOT393201 GYE393199:GYP393201 HIA393199:HIL393201 HRW393199:HSH393201 IBS393199:ICD393201 ILO393199:ILZ393201 IVK393199:IVV393201 JFG393199:JFR393201 JPC393199:JPN393201 JYY393199:JZJ393201 KIU393199:KJF393201 KSQ393199:KTB393201 LCM393199:LCX393201 LMI393199:LMT393201 LWE393199:LWP393201 MGA393199:MGL393201 MPW393199:MQH393201 MZS393199:NAD393201 NJO393199:NJZ393201 NTK393199:NTV393201 ODG393199:ODR393201 ONC393199:ONN393201 OWY393199:OXJ393201 PGU393199:PHF393201 PQQ393199:PRB393201 QAM393199:QAX393201 QKI393199:QKT393201 QUE393199:QUP393201 REA393199:REL393201 RNW393199:ROH393201 RXS393199:RYD393201 SHO393199:SHZ393201 SRK393199:SRV393201 TBG393199:TBR393201 TLC393199:TLN393201 TUY393199:TVJ393201 UEU393199:UFF393201 UOQ393199:UPB393201 UYM393199:UYX393201 VII393199:VIT393201 VSE393199:VSP393201 WCA393199:WCL393201 WLW393199:WMH393201 WVS393199:WWD393201 JG458735:JR458737 TC458735:TN458737 ACY458735:ADJ458737 AMU458735:ANF458737 AWQ458735:AXB458737 BGM458735:BGX458737 BQI458735:BQT458737 CAE458735:CAP458737 CKA458735:CKL458737 CTW458735:CUH458737 DDS458735:DED458737 DNO458735:DNZ458737 DXK458735:DXV458737 EHG458735:EHR458737 ERC458735:ERN458737 FAY458735:FBJ458737 FKU458735:FLF458737 FUQ458735:FVB458737 GEM458735:GEX458737 GOI458735:GOT458737 GYE458735:GYP458737 HIA458735:HIL458737 HRW458735:HSH458737 IBS458735:ICD458737 ILO458735:ILZ458737 IVK458735:IVV458737 JFG458735:JFR458737 JPC458735:JPN458737 JYY458735:JZJ458737 KIU458735:KJF458737 KSQ458735:KTB458737 LCM458735:LCX458737 LMI458735:LMT458737 LWE458735:LWP458737 MGA458735:MGL458737 MPW458735:MQH458737 MZS458735:NAD458737 NJO458735:NJZ458737 NTK458735:NTV458737 ODG458735:ODR458737 ONC458735:ONN458737 OWY458735:OXJ458737 PGU458735:PHF458737 PQQ458735:PRB458737 QAM458735:QAX458737 QKI458735:QKT458737 QUE458735:QUP458737 REA458735:REL458737 RNW458735:ROH458737 RXS458735:RYD458737 SHO458735:SHZ458737 SRK458735:SRV458737 TBG458735:TBR458737 TLC458735:TLN458737 TUY458735:TVJ458737 UEU458735:UFF458737 UOQ458735:UPB458737 UYM458735:UYX458737 VII458735:VIT458737 VSE458735:VSP458737 WCA458735:WCL458737 WLW458735:WMH458737 WVS458735:WWD458737 JG524271:JR524273 TC524271:TN524273 ACY524271:ADJ524273 AMU524271:ANF524273 AWQ524271:AXB524273 BGM524271:BGX524273 BQI524271:BQT524273 CAE524271:CAP524273 CKA524271:CKL524273 CTW524271:CUH524273 DDS524271:DED524273 DNO524271:DNZ524273 DXK524271:DXV524273 EHG524271:EHR524273 ERC524271:ERN524273 FAY524271:FBJ524273 FKU524271:FLF524273 FUQ524271:FVB524273 GEM524271:GEX524273 GOI524271:GOT524273 GYE524271:GYP524273 HIA524271:HIL524273 HRW524271:HSH524273 IBS524271:ICD524273 ILO524271:ILZ524273 IVK524271:IVV524273 JFG524271:JFR524273 JPC524271:JPN524273 JYY524271:JZJ524273 KIU524271:KJF524273 KSQ524271:KTB524273 LCM524271:LCX524273 LMI524271:LMT524273 LWE524271:LWP524273 MGA524271:MGL524273 MPW524271:MQH524273 MZS524271:NAD524273 NJO524271:NJZ524273 NTK524271:NTV524273 ODG524271:ODR524273 ONC524271:ONN524273 OWY524271:OXJ524273 PGU524271:PHF524273 PQQ524271:PRB524273 QAM524271:QAX524273 QKI524271:QKT524273 QUE524271:QUP524273 REA524271:REL524273 RNW524271:ROH524273 RXS524271:RYD524273 SHO524271:SHZ524273 SRK524271:SRV524273 TBG524271:TBR524273 TLC524271:TLN524273 TUY524271:TVJ524273 UEU524271:UFF524273 UOQ524271:UPB524273 UYM524271:UYX524273 VII524271:VIT524273 VSE524271:VSP524273 WCA524271:WCL524273 WLW524271:WMH524273 WVS524271:WWD524273 JG589807:JR589809 TC589807:TN589809 ACY589807:ADJ589809 AMU589807:ANF589809 AWQ589807:AXB589809 BGM589807:BGX589809 BQI589807:BQT589809 CAE589807:CAP589809 CKA589807:CKL589809 CTW589807:CUH589809 DDS589807:DED589809 DNO589807:DNZ589809 DXK589807:DXV589809 EHG589807:EHR589809 ERC589807:ERN589809 FAY589807:FBJ589809 FKU589807:FLF589809 FUQ589807:FVB589809 GEM589807:GEX589809 GOI589807:GOT589809 GYE589807:GYP589809 HIA589807:HIL589809 HRW589807:HSH589809 IBS589807:ICD589809 ILO589807:ILZ589809 IVK589807:IVV589809 JFG589807:JFR589809 JPC589807:JPN589809 JYY589807:JZJ589809 KIU589807:KJF589809 KSQ589807:KTB589809 LCM589807:LCX589809 LMI589807:LMT589809 LWE589807:LWP589809 MGA589807:MGL589809 MPW589807:MQH589809 MZS589807:NAD589809 NJO589807:NJZ589809 NTK589807:NTV589809 ODG589807:ODR589809 ONC589807:ONN589809 OWY589807:OXJ589809 PGU589807:PHF589809 PQQ589807:PRB589809 QAM589807:QAX589809 QKI589807:QKT589809 QUE589807:QUP589809 REA589807:REL589809 RNW589807:ROH589809 RXS589807:RYD589809 SHO589807:SHZ589809 SRK589807:SRV589809 TBG589807:TBR589809 TLC589807:TLN589809 TUY589807:TVJ589809 UEU589807:UFF589809 UOQ589807:UPB589809 UYM589807:UYX589809 VII589807:VIT589809 VSE589807:VSP589809 WCA589807:WCL589809 WLW589807:WMH589809 WVS589807:WWD589809 JG655343:JR655345 TC655343:TN655345 ACY655343:ADJ655345 AMU655343:ANF655345 AWQ655343:AXB655345 BGM655343:BGX655345 BQI655343:BQT655345 CAE655343:CAP655345 CKA655343:CKL655345 CTW655343:CUH655345 DDS655343:DED655345 DNO655343:DNZ655345 DXK655343:DXV655345 EHG655343:EHR655345 ERC655343:ERN655345 FAY655343:FBJ655345 FKU655343:FLF655345 FUQ655343:FVB655345 GEM655343:GEX655345 GOI655343:GOT655345 GYE655343:GYP655345 HIA655343:HIL655345 HRW655343:HSH655345 IBS655343:ICD655345 ILO655343:ILZ655345 IVK655343:IVV655345 JFG655343:JFR655345 JPC655343:JPN655345 JYY655343:JZJ655345 KIU655343:KJF655345 KSQ655343:KTB655345 LCM655343:LCX655345 LMI655343:LMT655345 LWE655343:LWP655345 MGA655343:MGL655345 MPW655343:MQH655345 MZS655343:NAD655345 NJO655343:NJZ655345 NTK655343:NTV655345 ODG655343:ODR655345 ONC655343:ONN655345 OWY655343:OXJ655345 PGU655343:PHF655345 PQQ655343:PRB655345 QAM655343:QAX655345 QKI655343:QKT655345 QUE655343:QUP655345 REA655343:REL655345 RNW655343:ROH655345 RXS655343:RYD655345 SHO655343:SHZ655345 SRK655343:SRV655345 TBG655343:TBR655345 TLC655343:TLN655345 TUY655343:TVJ655345 UEU655343:UFF655345 UOQ655343:UPB655345 UYM655343:UYX655345 VII655343:VIT655345 VSE655343:VSP655345 WCA655343:WCL655345 WLW655343:WMH655345 WVS655343:WWD655345 JG720879:JR720881 TC720879:TN720881 ACY720879:ADJ720881 AMU720879:ANF720881 AWQ720879:AXB720881 BGM720879:BGX720881 BQI720879:BQT720881 CAE720879:CAP720881 CKA720879:CKL720881 CTW720879:CUH720881 DDS720879:DED720881 DNO720879:DNZ720881 DXK720879:DXV720881 EHG720879:EHR720881 ERC720879:ERN720881 FAY720879:FBJ720881 FKU720879:FLF720881 FUQ720879:FVB720881 GEM720879:GEX720881 GOI720879:GOT720881 GYE720879:GYP720881 HIA720879:HIL720881 HRW720879:HSH720881 IBS720879:ICD720881 ILO720879:ILZ720881 IVK720879:IVV720881 JFG720879:JFR720881 JPC720879:JPN720881 JYY720879:JZJ720881 KIU720879:KJF720881 KSQ720879:KTB720881 LCM720879:LCX720881 LMI720879:LMT720881 LWE720879:LWP720881 MGA720879:MGL720881 MPW720879:MQH720881 MZS720879:NAD720881 NJO720879:NJZ720881 NTK720879:NTV720881 ODG720879:ODR720881 ONC720879:ONN720881 OWY720879:OXJ720881 PGU720879:PHF720881 PQQ720879:PRB720881 QAM720879:QAX720881 QKI720879:QKT720881 QUE720879:QUP720881 REA720879:REL720881 RNW720879:ROH720881 RXS720879:RYD720881 SHO720879:SHZ720881 SRK720879:SRV720881 TBG720879:TBR720881 TLC720879:TLN720881 TUY720879:TVJ720881 UEU720879:UFF720881 UOQ720879:UPB720881 UYM720879:UYX720881 VII720879:VIT720881 VSE720879:VSP720881 WCA720879:WCL720881 WLW720879:WMH720881 WVS720879:WWD720881 JG786415:JR786417 TC786415:TN786417 ACY786415:ADJ786417 AMU786415:ANF786417 AWQ786415:AXB786417 BGM786415:BGX786417 BQI786415:BQT786417 CAE786415:CAP786417 CKA786415:CKL786417 CTW786415:CUH786417 DDS786415:DED786417 DNO786415:DNZ786417 DXK786415:DXV786417 EHG786415:EHR786417 ERC786415:ERN786417 FAY786415:FBJ786417 FKU786415:FLF786417 FUQ786415:FVB786417 GEM786415:GEX786417 GOI786415:GOT786417 GYE786415:GYP786417 HIA786415:HIL786417 HRW786415:HSH786417 IBS786415:ICD786417 ILO786415:ILZ786417 IVK786415:IVV786417 JFG786415:JFR786417 JPC786415:JPN786417 JYY786415:JZJ786417 KIU786415:KJF786417 KSQ786415:KTB786417 LCM786415:LCX786417 LMI786415:LMT786417 LWE786415:LWP786417 MGA786415:MGL786417 MPW786415:MQH786417 MZS786415:NAD786417 NJO786415:NJZ786417 NTK786415:NTV786417 ODG786415:ODR786417 ONC786415:ONN786417 OWY786415:OXJ786417 PGU786415:PHF786417 PQQ786415:PRB786417 QAM786415:QAX786417 QKI786415:QKT786417 QUE786415:QUP786417 REA786415:REL786417 RNW786415:ROH786417 RXS786415:RYD786417 SHO786415:SHZ786417 SRK786415:SRV786417 TBG786415:TBR786417 TLC786415:TLN786417 TUY786415:TVJ786417 UEU786415:UFF786417 UOQ786415:UPB786417 UYM786415:UYX786417 VII786415:VIT786417 VSE786415:VSP786417 WCA786415:WCL786417 WLW786415:WMH786417 WVS786415:WWD786417 JG851951:JR851953 TC851951:TN851953 ACY851951:ADJ851953 AMU851951:ANF851953 AWQ851951:AXB851953 BGM851951:BGX851953 BQI851951:BQT851953 CAE851951:CAP851953 CKA851951:CKL851953 CTW851951:CUH851953 DDS851951:DED851953 DNO851951:DNZ851953 DXK851951:DXV851953 EHG851951:EHR851953 ERC851951:ERN851953 FAY851951:FBJ851953 FKU851951:FLF851953 FUQ851951:FVB851953 GEM851951:GEX851953 GOI851951:GOT851953 GYE851951:GYP851953 HIA851951:HIL851953 HRW851951:HSH851953 IBS851951:ICD851953 ILO851951:ILZ851953 IVK851951:IVV851953 JFG851951:JFR851953 JPC851951:JPN851953 JYY851951:JZJ851953 KIU851951:KJF851953 KSQ851951:KTB851953 LCM851951:LCX851953 LMI851951:LMT851953 LWE851951:LWP851953 MGA851951:MGL851953 MPW851951:MQH851953 MZS851951:NAD851953 NJO851951:NJZ851953 NTK851951:NTV851953 ODG851951:ODR851953 ONC851951:ONN851953 OWY851951:OXJ851953 PGU851951:PHF851953 PQQ851951:PRB851953 QAM851951:QAX851953 QKI851951:QKT851953 QUE851951:QUP851953 REA851951:REL851953 RNW851951:ROH851953 RXS851951:RYD851953 SHO851951:SHZ851953 SRK851951:SRV851953 TBG851951:TBR851953 TLC851951:TLN851953 TUY851951:TVJ851953 UEU851951:UFF851953 UOQ851951:UPB851953 UYM851951:UYX851953 VII851951:VIT851953 VSE851951:VSP851953 WCA851951:WCL851953 WLW851951:WMH851953 WVS851951:WWD851953 JG917487:JR917489 TC917487:TN917489 ACY917487:ADJ917489 AMU917487:ANF917489 AWQ917487:AXB917489 BGM917487:BGX917489 BQI917487:BQT917489 CAE917487:CAP917489 CKA917487:CKL917489 CTW917487:CUH917489 DDS917487:DED917489 DNO917487:DNZ917489 DXK917487:DXV917489 EHG917487:EHR917489 ERC917487:ERN917489 FAY917487:FBJ917489 FKU917487:FLF917489 FUQ917487:FVB917489 GEM917487:GEX917489 GOI917487:GOT917489 GYE917487:GYP917489 HIA917487:HIL917489 HRW917487:HSH917489 IBS917487:ICD917489 ILO917487:ILZ917489 IVK917487:IVV917489 JFG917487:JFR917489 JPC917487:JPN917489 JYY917487:JZJ917489 KIU917487:KJF917489 KSQ917487:KTB917489 LCM917487:LCX917489 LMI917487:LMT917489 LWE917487:LWP917489 MGA917487:MGL917489 MPW917487:MQH917489 MZS917487:NAD917489 NJO917487:NJZ917489 NTK917487:NTV917489 ODG917487:ODR917489 ONC917487:ONN917489 OWY917487:OXJ917489 PGU917487:PHF917489 PQQ917487:PRB917489 QAM917487:QAX917489 QKI917487:QKT917489 QUE917487:QUP917489 REA917487:REL917489 RNW917487:ROH917489 RXS917487:RYD917489 SHO917487:SHZ917489 SRK917487:SRV917489 TBG917487:TBR917489 TLC917487:TLN917489 TUY917487:TVJ917489 UEU917487:UFF917489 UOQ917487:UPB917489 UYM917487:UYX917489 VII917487:VIT917489 VSE917487:VSP917489 WCA917487:WCL917489 WLW917487:WMH917489 WVS917487:WWD917489 JG983023:JR983025 TC983023:TN983025 ACY983023:ADJ983025 AMU983023:ANF983025 AWQ983023:AXB983025 BGM983023:BGX983025 BQI983023:BQT983025 CAE983023:CAP983025 CKA983023:CKL983025 CTW983023:CUH983025 DDS983023:DED983025 DNO983023:DNZ983025 DXK983023:DXV983025 EHG983023:EHR983025 ERC983023:ERN983025 FAY983023:FBJ983025 FKU983023:FLF983025 FUQ983023:FVB983025 GEM983023:GEX983025 GOI983023:GOT983025 GYE983023:GYP983025 HIA983023:HIL983025 HRW983023:HSH983025 IBS983023:ICD983025 ILO983023:ILZ983025 IVK983023:IVV983025 JFG983023:JFR983025 JPC983023:JPN983025 JYY983023:JZJ983025 KIU983023:KJF983025 KSQ983023:KTB983025 LCM983023:LCX983025 LMI983023:LMT983025 LWE983023:LWP983025 MGA983023:MGL983025 MPW983023:MQH983025 MZS983023:NAD983025 NJO983023:NJZ983025 NTK983023:NTV983025 ODG983023:ODR983025 ONC983023:ONN983025 OWY983023:OXJ983025 PGU983023:PHF983025 PQQ983023:PRB983025 QAM983023:QAX983025 QKI983023:QKT983025 QUE983023:QUP983025 REA983023:REL983025 RNW983023:ROH983025 RXS983023:RYD983025 SHO983023:SHZ983025 SRK983023:SRV983025 TBG983023:TBR983025 TLC983023:TLN983025 TUY983023:TVJ983025 UEU983023:UFF983025 UOQ983023:UPB983025 UYM983023:UYX983025 VII983023:VIT983025 VSE983023:VSP983025 WCA983023:WCL983025 WLW983023:WMH983025 WVS983023:WWD983025 WVS983028:WWD983030 JG65524:JR65526 TC65524:TN65526 ACY65524:ADJ65526 AMU65524:ANF65526 AWQ65524:AXB65526 BGM65524:BGX65526 BQI65524:BQT65526 CAE65524:CAP65526 CKA65524:CKL65526 CTW65524:CUH65526 DDS65524:DED65526 DNO65524:DNZ65526 DXK65524:DXV65526 EHG65524:EHR65526 ERC65524:ERN65526 FAY65524:FBJ65526 FKU65524:FLF65526 FUQ65524:FVB65526 GEM65524:GEX65526 GOI65524:GOT65526 GYE65524:GYP65526 HIA65524:HIL65526 HRW65524:HSH65526 IBS65524:ICD65526 ILO65524:ILZ65526 IVK65524:IVV65526 JFG65524:JFR65526 JPC65524:JPN65526 JYY65524:JZJ65526 KIU65524:KJF65526 KSQ65524:KTB65526 LCM65524:LCX65526 LMI65524:LMT65526 LWE65524:LWP65526 MGA65524:MGL65526 MPW65524:MQH65526 MZS65524:NAD65526 NJO65524:NJZ65526 NTK65524:NTV65526 ODG65524:ODR65526 ONC65524:ONN65526 OWY65524:OXJ65526 PGU65524:PHF65526 PQQ65524:PRB65526 QAM65524:QAX65526 QKI65524:QKT65526 QUE65524:QUP65526 REA65524:REL65526 RNW65524:ROH65526 RXS65524:RYD65526 SHO65524:SHZ65526 SRK65524:SRV65526 TBG65524:TBR65526 TLC65524:TLN65526 TUY65524:TVJ65526 UEU65524:UFF65526 UOQ65524:UPB65526 UYM65524:UYX65526 VII65524:VIT65526 VSE65524:VSP65526 WCA65524:WCL65526 WLW65524:WMH65526 WVS65524:WWD65526 JG131060:JR131062 TC131060:TN131062 ACY131060:ADJ131062 AMU131060:ANF131062 AWQ131060:AXB131062 BGM131060:BGX131062 BQI131060:BQT131062 CAE131060:CAP131062 CKA131060:CKL131062 CTW131060:CUH131062 DDS131060:DED131062 DNO131060:DNZ131062 DXK131060:DXV131062 EHG131060:EHR131062 ERC131060:ERN131062 FAY131060:FBJ131062 FKU131060:FLF131062 FUQ131060:FVB131062 GEM131060:GEX131062 GOI131060:GOT131062 GYE131060:GYP131062 HIA131060:HIL131062 HRW131060:HSH131062 IBS131060:ICD131062 ILO131060:ILZ131062 IVK131060:IVV131062 JFG131060:JFR131062 JPC131060:JPN131062 JYY131060:JZJ131062 KIU131060:KJF131062 KSQ131060:KTB131062 LCM131060:LCX131062 LMI131060:LMT131062 LWE131060:LWP131062 MGA131060:MGL131062 MPW131060:MQH131062 MZS131060:NAD131062 NJO131060:NJZ131062 NTK131060:NTV131062 ODG131060:ODR131062 ONC131060:ONN131062 OWY131060:OXJ131062 PGU131060:PHF131062 PQQ131060:PRB131062 QAM131060:QAX131062 QKI131060:QKT131062 QUE131060:QUP131062 REA131060:REL131062 RNW131060:ROH131062 RXS131060:RYD131062 SHO131060:SHZ131062 SRK131060:SRV131062 TBG131060:TBR131062 TLC131060:TLN131062 TUY131060:TVJ131062 UEU131060:UFF131062 UOQ131060:UPB131062 UYM131060:UYX131062 VII131060:VIT131062 VSE131060:VSP131062 WCA131060:WCL131062 WLW131060:WMH131062 WVS131060:WWD131062 JG196596:JR196598 TC196596:TN196598 ACY196596:ADJ196598 AMU196596:ANF196598 AWQ196596:AXB196598 BGM196596:BGX196598 BQI196596:BQT196598 CAE196596:CAP196598 CKA196596:CKL196598 CTW196596:CUH196598 DDS196596:DED196598 DNO196596:DNZ196598 DXK196596:DXV196598 EHG196596:EHR196598 ERC196596:ERN196598 FAY196596:FBJ196598 FKU196596:FLF196598 FUQ196596:FVB196598 GEM196596:GEX196598 GOI196596:GOT196598 GYE196596:GYP196598 HIA196596:HIL196598 HRW196596:HSH196598 IBS196596:ICD196598 ILO196596:ILZ196598 IVK196596:IVV196598 JFG196596:JFR196598 JPC196596:JPN196598 JYY196596:JZJ196598 KIU196596:KJF196598 KSQ196596:KTB196598 LCM196596:LCX196598 LMI196596:LMT196598 LWE196596:LWP196598 MGA196596:MGL196598 MPW196596:MQH196598 MZS196596:NAD196598 NJO196596:NJZ196598 NTK196596:NTV196598 ODG196596:ODR196598 ONC196596:ONN196598 OWY196596:OXJ196598 PGU196596:PHF196598 PQQ196596:PRB196598 QAM196596:QAX196598 QKI196596:QKT196598 QUE196596:QUP196598 REA196596:REL196598 RNW196596:ROH196598 RXS196596:RYD196598 SHO196596:SHZ196598 SRK196596:SRV196598 TBG196596:TBR196598 TLC196596:TLN196598 TUY196596:TVJ196598 UEU196596:UFF196598 UOQ196596:UPB196598 UYM196596:UYX196598 VII196596:VIT196598 VSE196596:VSP196598 WCA196596:WCL196598 WLW196596:WMH196598 WVS196596:WWD196598 JG262132:JR262134 TC262132:TN262134 ACY262132:ADJ262134 AMU262132:ANF262134 AWQ262132:AXB262134 BGM262132:BGX262134 BQI262132:BQT262134 CAE262132:CAP262134 CKA262132:CKL262134 CTW262132:CUH262134 DDS262132:DED262134 DNO262132:DNZ262134 DXK262132:DXV262134 EHG262132:EHR262134 ERC262132:ERN262134 FAY262132:FBJ262134 FKU262132:FLF262134 FUQ262132:FVB262134 GEM262132:GEX262134 GOI262132:GOT262134 GYE262132:GYP262134 HIA262132:HIL262134 HRW262132:HSH262134 IBS262132:ICD262134 ILO262132:ILZ262134 IVK262132:IVV262134 JFG262132:JFR262134 JPC262132:JPN262134 JYY262132:JZJ262134 KIU262132:KJF262134 KSQ262132:KTB262134 LCM262132:LCX262134 LMI262132:LMT262134 LWE262132:LWP262134 MGA262132:MGL262134 MPW262132:MQH262134 MZS262132:NAD262134 NJO262132:NJZ262134 NTK262132:NTV262134 ODG262132:ODR262134 ONC262132:ONN262134 OWY262132:OXJ262134 PGU262132:PHF262134 PQQ262132:PRB262134 QAM262132:QAX262134 QKI262132:QKT262134 QUE262132:QUP262134 REA262132:REL262134 RNW262132:ROH262134 RXS262132:RYD262134 SHO262132:SHZ262134 SRK262132:SRV262134 TBG262132:TBR262134 TLC262132:TLN262134 TUY262132:TVJ262134 UEU262132:UFF262134 UOQ262132:UPB262134 UYM262132:UYX262134 VII262132:VIT262134 VSE262132:VSP262134 WCA262132:WCL262134 WLW262132:WMH262134 WVS262132:WWD262134 JG327668:JR327670 TC327668:TN327670 ACY327668:ADJ327670 AMU327668:ANF327670 AWQ327668:AXB327670 BGM327668:BGX327670 BQI327668:BQT327670 CAE327668:CAP327670 CKA327668:CKL327670 CTW327668:CUH327670 DDS327668:DED327670 DNO327668:DNZ327670 DXK327668:DXV327670 EHG327668:EHR327670 ERC327668:ERN327670 FAY327668:FBJ327670 FKU327668:FLF327670 FUQ327668:FVB327670 GEM327668:GEX327670 GOI327668:GOT327670 GYE327668:GYP327670 HIA327668:HIL327670 HRW327668:HSH327670 IBS327668:ICD327670 ILO327668:ILZ327670 IVK327668:IVV327670 JFG327668:JFR327670 JPC327668:JPN327670 JYY327668:JZJ327670 KIU327668:KJF327670 KSQ327668:KTB327670 LCM327668:LCX327670 LMI327668:LMT327670 LWE327668:LWP327670 MGA327668:MGL327670 MPW327668:MQH327670 MZS327668:NAD327670 NJO327668:NJZ327670 NTK327668:NTV327670 ODG327668:ODR327670 ONC327668:ONN327670 OWY327668:OXJ327670 PGU327668:PHF327670 PQQ327668:PRB327670 QAM327668:QAX327670 QKI327668:QKT327670 QUE327668:QUP327670 REA327668:REL327670 RNW327668:ROH327670 RXS327668:RYD327670 SHO327668:SHZ327670 SRK327668:SRV327670 TBG327668:TBR327670 TLC327668:TLN327670 TUY327668:TVJ327670 UEU327668:UFF327670 UOQ327668:UPB327670 UYM327668:UYX327670 VII327668:VIT327670 VSE327668:VSP327670 WCA327668:WCL327670 WLW327668:WMH327670 WVS327668:WWD327670 JG393204:JR393206 TC393204:TN393206 ACY393204:ADJ393206 AMU393204:ANF393206 AWQ393204:AXB393206 BGM393204:BGX393206 BQI393204:BQT393206 CAE393204:CAP393206 CKA393204:CKL393206 CTW393204:CUH393206 DDS393204:DED393206 DNO393204:DNZ393206 DXK393204:DXV393206 EHG393204:EHR393206 ERC393204:ERN393206 FAY393204:FBJ393206 FKU393204:FLF393206 FUQ393204:FVB393206 GEM393204:GEX393206 GOI393204:GOT393206 GYE393204:GYP393206 HIA393204:HIL393206 HRW393204:HSH393206 IBS393204:ICD393206 ILO393204:ILZ393206 IVK393204:IVV393206 JFG393204:JFR393206 JPC393204:JPN393206 JYY393204:JZJ393206 KIU393204:KJF393206 KSQ393204:KTB393206 LCM393204:LCX393206 LMI393204:LMT393206 LWE393204:LWP393206 MGA393204:MGL393206 MPW393204:MQH393206 MZS393204:NAD393206 NJO393204:NJZ393206 NTK393204:NTV393206 ODG393204:ODR393206 ONC393204:ONN393206 OWY393204:OXJ393206 PGU393204:PHF393206 PQQ393204:PRB393206 QAM393204:QAX393206 QKI393204:QKT393206 QUE393204:QUP393206 REA393204:REL393206 RNW393204:ROH393206 RXS393204:RYD393206 SHO393204:SHZ393206 SRK393204:SRV393206 TBG393204:TBR393206 TLC393204:TLN393206 TUY393204:TVJ393206 UEU393204:UFF393206 UOQ393204:UPB393206 UYM393204:UYX393206 VII393204:VIT393206 VSE393204:VSP393206 WCA393204:WCL393206 WLW393204:WMH393206 WVS393204:WWD393206 JG458740:JR458742 TC458740:TN458742 ACY458740:ADJ458742 AMU458740:ANF458742 AWQ458740:AXB458742 BGM458740:BGX458742 BQI458740:BQT458742 CAE458740:CAP458742 CKA458740:CKL458742 CTW458740:CUH458742 DDS458740:DED458742 DNO458740:DNZ458742 DXK458740:DXV458742 EHG458740:EHR458742 ERC458740:ERN458742 FAY458740:FBJ458742 FKU458740:FLF458742 FUQ458740:FVB458742 GEM458740:GEX458742 GOI458740:GOT458742 GYE458740:GYP458742 HIA458740:HIL458742 HRW458740:HSH458742 IBS458740:ICD458742 ILO458740:ILZ458742 IVK458740:IVV458742 JFG458740:JFR458742 JPC458740:JPN458742 JYY458740:JZJ458742 KIU458740:KJF458742 KSQ458740:KTB458742 LCM458740:LCX458742 LMI458740:LMT458742 LWE458740:LWP458742 MGA458740:MGL458742 MPW458740:MQH458742 MZS458740:NAD458742 NJO458740:NJZ458742 NTK458740:NTV458742 ODG458740:ODR458742 ONC458740:ONN458742 OWY458740:OXJ458742 PGU458740:PHF458742 PQQ458740:PRB458742 QAM458740:QAX458742 QKI458740:QKT458742 QUE458740:QUP458742 REA458740:REL458742 RNW458740:ROH458742 RXS458740:RYD458742 SHO458740:SHZ458742 SRK458740:SRV458742 TBG458740:TBR458742 TLC458740:TLN458742 TUY458740:TVJ458742 UEU458740:UFF458742 UOQ458740:UPB458742 UYM458740:UYX458742 VII458740:VIT458742 VSE458740:VSP458742 WCA458740:WCL458742 WLW458740:WMH458742 WVS458740:WWD458742 JG524276:JR524278 TC524276:TN524278 ACY524276:ADJ524278 AMU524276:ANF524278 AWQ524276:AXB524278 BGM524276:BGX524278 BQI524276:BQT524278 CAE524276:CAP524278 CKA524276:CKL524278 CTW524276:CUH524278 DDS524276:DED524278 DNO524276:DNZ524278 DXK524276:DXV524278 EHG524276:EHR524278 ERC524276:ERN524278 FAY524276:FBJ524278 FKU524276:FLF524278 FUQ524276:FVB524278 GEM524276:GEX524278 GOI524276:GOT524278 GYE524276:GYP524278 HIA524276:HIL524278 HRW524276:HSH524278 IBS524276:ICD524278 ILO524276:ILZ524278 IVK524276:IVV524278 JFG524276:JFR524278 JPC524276:JPN524278 JYY524276:JZJ524278 KIU524276:KJF524278 KSQ524276:KTB524278 LCM524276:LCX524278 LMI524276:LMT524278 LWE524276:LWP524278 MGA524276:MGL524278 MPW524276:MQH524278 MZS524276:NAD524278 NJO524276:NJZ524278 NTK524276:NTV524278 ODG524276:ODR524278 ONC524276:ONN524278 OWY524276:OXJ524278 PGU524276:PHF524278 PQQ524276:PRB524278 QAM524276:QAX524278 QKI524276:QKT524278 QUE524276:QUP524278 REA524276:REL524278 RNW524276:ROH524278 RXS524276:RYD524278 SHO524276:SHZ524278 SRK524276:SRV524278 TBG524276:TBR524278 TLC524276:TLN524278 TUY524276:TVJ524278 UEU524276:UFF524278 UOQ524276:UPB524278 UYM524276:UYX524278 VII524276:VIT524278 VSE524276:VSP524278 WCA524276:WCL524278 WLW524276:WMH524278 WVS524276:WWD524278 JG589812:JR589814 TC589812:TN589814 ACY589812:ADJ589814 AMU589812:ANF589814 AWQ589812:AXB589814 BGM589812:BGX589814 BQI589812:BQT589814 CAE589812:CAP589814 CKA589812:CKL589814 CTW589812:CUH589814 DDS589812:DED589814 DNO589812:DNZ589814 DXK589812:DXV589814 EHG589812:EHR589814 ERC589812:ERN589814 FAY589812:FBJ589814 FKU589812:FLF589814 FUQ589812:FVB589814 GEM589812:GEX589814 GOI589812:GOT589814 GYE589812:GYP589814 HIA589812:HIL589814 HRW589812:HSH589814 IBS589812:ICD589814 ILO589812:ILZ589814 IVK589812:IVV589814 JFG589812:JFR589814 JPC589812:JPN589814 JYY589812:JZJ589814 KIU589812:KJF589814 KSQ589812:KTB589814 LCM589812:LCX589814 LMI589812:LMT589814 LWE589812:LWP589814 MGA589812:MGL589814 MPW589812:MQH589814 MZS589812:NAD589814 NJO589812:NJZ589814 NTK589812:NTV589814 ODG589812:ODR589814 ONC589812:ONN589814 OWY589812:OXJ589814 PGU589812:PHF589814 PQQ589812:PRB589814 QAM589812:QAX589814 QKI589812:QKT589814 QUE589812:QUP589814 REA589812:REL589814 RNW589812:ROH589814 RXS589812:RYD589814 SHO589812:SHZ589814 SRK589812:SRV589814 TBG589812:TBR589814 TLC589812:TLN589814 TUY589812:TVJ589814 UEU589812:UFF589814 UOQ589812:UPB589814 UYM589812:UYX589814 VII589812:VIT589814 VSE589812:VSP589814 WCA589812:WCL589814 WLW589812:WMH589814 WVS589812:WWD589814 JG655348:JR655350 TC655348:TN655350 ACY655348:ADJ655350 AMU655348:ANF655350 AWQ655348:AXB655350 BGM655348:BGX655350 BQI655348:BQT655350 CAE655348:CAP655350 CKA655348:CKL655350 CTW655348:CUH655350 DDS655348:DED655350 DNO655348:DNZ655350 DXK655348:DXV655350 EHG655348:EHR655350 ERC655348:ERN655350 FAY655348:FBJ655350 FKU655348:FLF655350 FUQ655348:FVB655350 GEM655348:GEX655350 GOI655348:GOT655350 GYE655348:GYP655350 HIA655348:HIL655350 HRW655348:HSH655350 IBS655348:ICD655350 ILO655348:ILZ655350 IVK655348:IVV655350 JFG655348:JFR655350 JPC655348:JPN655350 JYY655348:JZJ655350 KIU655348:KJF655350 KSQ655348:KTB655350 LCM655348:LCX655350 LMI655348:LMT655350 LWE655348:LWP655350 MGA655348:MGL655350 MPW655348:MQH655350 MZS655348:NAD655350 NJO655348:NJZ655350 NTK655348:NTV655350 ODG655348:ODR655350 ONC655348:ONN655350 OWY655348:OXJ655350 PGU655348:PHF655350 PQQ655348:PRB655350 QAM655348:QAX655350 QKI655348:QKT655350 QUE655348:QUP655350 REA655348:REL655350 RNW655348:ROH655350 RXS655348:RYD655350 SHO655348:SHZ655350 SRK655348:SRV655350 TBG655348:TBR655350 TLC655348:TLN655350 TUY655348:TVJ655350 UEU655348:UFF655350 UOQ655348:UPB655350 UYM655348:UYX655350 VII655348:VIT655350 VSE655348:VSP655350 WCA655348:WCL655350 WLW655348:WMH655350 WVS655348:WWD655350 JG720884:JR720886 TC720884:TN720886 ACY720884:ADJ720886 AMU720884:ANF720886 AWQ720884:AXB720886 BGM720884:BGX720886 BQI720884:BQT720886 CAE720884:CAP720886 CKA720884:CKL720886 CTW720884:CUH720886 DDS720884:DED720886 DNO720884:DNZ720886 DXK720884:DXV720886 EHG720884:EHR720886 ERC720884:ERN720886 FAY720884:FBJ720886 FKU720884:FLF720886 FUQ720884:FVB720886 GEM720884:GEX720886 GOI720884:GOT720886 GYE720884:GYP720886 HIA720884:HIL720886 HRW720884:HSH720886 IBS720884:ICD720886 ILO720884:ILZ720886 IVK720884:IVV720886 JFG720884:JFR720886 JPC720884:JPN720886 JYY720884:JZJ720886 KIU720884:KJF720886 KSQ720884:KTB720886 LCM720884:LCX720886 LMI720884:LMT720886 LWE720884:LWP720886 MGA720884:MGL720886 MPW720884:MQH720886 MZS720884:NAD720886 NJO720884:NJZ720886 NTK720884:NTV720886 ODG720884:ODR720886 ONC720884:ONN720886 OWY720884:OXJ720886 PGU720884:PHF720886 PQQ720884:PRB720886 QAM720884:QAX720886 QKI720884:QKT720886 QUE720884:QUP720886 REA720884:REL720886 RNW720884:ROH720886 RXS720884:RYD720886 SHO720884:SHZ720886 SRK720884:SRV720886 TBG720884:TBR720886 TLC720884:TLN720886 TUY720884:TVJ720886 UEU720884:UFF720886 UOQ720884:UPB720886 UYM720884:UYX720886 VII720884:VIT720886 VSE720884:VSP720886 WCA720884:WCL720886 WLW720884:WMH720886 WVS720884:WWD720886 JG786420:JR786422 TC786420:TN786422 ACY786420:ADJ786422 AMU786420:ANF786422 AWQ786420:AXB786422 BGM786420:BGX786422 BQI786420:BQT786422 CAE786420:CAP786422 CKA786420:CKL786422 CTW786420:CUH786422 DDS786420:DED786422 DNO786420:DNZ786422 DXK786420:DXV786422 EHG786420:EHR786422 ERC786420:ERN786422 FAY786420:FBJ786422 FKU786420:FLF786422 FUQ786420:FVB786422 GEM786420:GEX786422 GOI786420:GOT786422 GYE786420:GYP786422 HIA786420:HIL786422 HRW786420:HSH786422 IBS786420:ICD786422 ILO786420:ILZ786422 IVK786420:IVV786422 JFG786420:JFR786422 JPC786420:JPN786422 JYY786420:JZJ786422 KIU786420:KJF786422 KSQ786420:KTB786422 LCM786420:LCX786422 LMI786420:LMT786422 LWE786420:LWP786422 MGA786420:MGL786422 MPW786420:MQH786422 MZS786420:NAD786422 NJO786420:NJZ786422 NTK786420:NTV786422 ODG786420:ODR786422 ONC786420:ONN786422 OWY786420:OXJ786422 PGU786420:PHF786422 PQQ786420:PRB786422 QAM786420:QAX786422 QKI786420:QKT786422 QUE786420:QUP786422 REA786420:REL786422 RNW786420:ROH786422 RXS786420:RYD786422 SHO786420:SHZ786422 SRK786420:SRV786422 TBG786420:TBR786422 TLC786420:TLN786422 TUY786420:TVJ786422 UEU786420:UFF786422 UOQ786420:UPB786422 UYM786420:UYX786422 VII786420:VIT786422 VSE786420:VSP786422 WCA786420:WCL786422 WLW786420:WMH786422 WVS786420:WWD786422 JG851956:JR851958 TC851956:TN851958 ACY851956:ADJ851958 AMU851956:ANF851958 AWQ851956:AXB851958 BGM851956:BGX851958 BQI851956:BQT851958 CAE851956:CAP851958 CKA851956:CKL851958 CTW851956:CUH851958 DDS851956:DED851958 DNO851956:DNZ851958 DXK851956:DXV851958 EHG851956:EHR851958 ERC851956:ERN851958 FAY851956:FBJ851958 FKU851956:FLF851958 FUQ851956:FVB851958 GEM851956:GEX851958 GOI851956:GOT851958 GYE851956:GYP851958 HIA851956:HIL851958 HRW851956:HSH851958 IBS851956:ICD851958 ILO851956:ILZ851958 IVK851956:IVV851958 JFG851956:JFR851958 JPC851956:JPN851958 JYY851956:JZJ851958 KIU851956:KJF851958 KSQ851956:KTB851958 LCM851956:LCX851958 LMI851956:LMT851958 LWE851956:LWP851958 MGA851956:MGL851958 MPW851956:MQH851958 MZS851956:NAD851958 NJO851956:NJZ851958 NTK851956:NTV851958 ODG851956:ODR851958 ONC851956:ONN851958 OWY851956:OXJ851958 PGU851956:PHF851958 PQQ851956:PRB851958 QAM851956:QAX851958 QKI851956:QKT851958 QUE851956:QUP851958 REA851956:REL851958 RNW851956:ROH851958 RXS851956:RYD851958 SHO851956:SHZ851958 SRK851956:SRV851958 TBG851956:TBR851958 TLC851956:TLN851958 TUY851956:TVJ851958 UEU851956:UFF851958 UOQ851956:UPB851958 UYM851956:UYX851958 VII851956:VIT851958 VSE851956:VSP851958 WCA851956:WCL851958 WLW851956:WMH851958 WVS851956:WWD851958 JG917492:JR917494 TC917492:TN917494 ACY917492:ADJ917494 AMU917492:ANF917494 AWQ917492:AXB917494 BGM917492:BGX917494 BQI917492:BQT917494 CAE917492:CAP917494 CKA917492:CKL917494 CTW917492:CUH917494 DDS917492:DED917494 DNO917492:DNZ917494 DXK917492:DXV917494 EHG917492:EHR917494 ERC917492:ERN917494 FAY917492:FBJ917494 FKU917492:FLF917494 FUQ917492:FVB917494 GEM917492:GEX917494 GOI917492:GOT917494 GYE917492:GYP917494 HIA917492:HIL917494 HRW917492:HSH917494 IBS917492:ICD917494 ILO917492:ILZ917494 IVK917492:IVV917494 JFG917492:JFR917494 JPC917492:JPN917494 JYY917492:JZJ917494 KIU917492:KJF917494 KSQ917492:KTB917494 LCM917492:LCX917494 LMI917492:LMT917494 LWE917492:LWP917494 MGA917492:MGL917494 MPW917492:MQH917494 MZS917492:NAD917494 NJO917492:NJZ917494 NTK917492:NTV917494 ODG917492:ODR917494 ONC917492:ONN917494 OWY917492:OXJ917494 PGU917492:PHF917494 PQQ917492:PRB917494 QAM917492:QAX917494 QKI917492:QKT917494 QUE917492:QUP917494 REA917492:REL917494 RNW917492:ROH917494 RXS917492:RYD917494 SHO917492:SHZ917494 SRK917492:SRV917494 TBG917492:TBR917494 TLC917492:TLN917494 TUY917492:TVJ917494 UEU917492:UFF917494 UOQ917492:UPB917494 UYM917492:UYX917494 VII917492:VIT917494 VSE917492:VSP917494 WCA917492:WCL917494 WLW917492:WMH917494 WVS917492:WWD917494 JG983028:JR983030 TC983028:TN983030 ACY983028:ADJ983030 AMU983028:ANF983030 AWQ983028:AXB983030 BGM983028:BGX983030 BQI983028:BQT983030 CAE983028:CAP983030 CKA983028:CKL983030 CTW983028:CUH983030 DDS983028:DED983030 DNO983028:DNZ983030 DXK983028:DXV983030 EHG983028:EHR983030 ERC983028:ERN983030 FAY983028:FBJ983030 FKU983028:FLF983030 FUQ983028:FVB983030 GEM983028:GEX983030 GOI983028:GOT983030 GYE983028:GYP983030 HIA983028:HIL983030 HRW983028:HSH983030 IBS983028:ICD983030 ILO983028:ILZ983030 IVK983028:IVV983030 JFG983028:JFR983030 JPC983028:JPN983030 JYY983028:JZJ983030 KIU983028:KJF983030 KSQ983028:KTB983030 LCM983028:LCX983030 LMI983028:LMT983030 LWE983028:LWP983030 MGA983028:MGL983030 MPW983028:MQH983030 MZS983028:NAD983030 NJO983028:NJZ983030 NTK983028:NTV983030 ODG983028:ODR983030 ONC983028:ONN983030 OWY983028:OXJ983030 PGU983028:PHF983030 PQQ983028:PRB983030 QAM983028:QAX983030 QKI983028:QKT983030 QUE983028:QUP983030 REA983028:REL983030 RNW983028:ROH983030 RXS983028:RYD983030 SHO983028:SHZ983030 SRK983028:SRV983030 TBG983028:TBR983030 TLC983028:TLN983030 TUY983028:TVJ983030 UEU983028:UFF983030 UOQ983028:UPB983030 UYM983028:UYX983030 VII983028:VIT983030 VSE983028:VSP983030 WCA983028:WCL983030 WLW983028:WMH983030 Z262127:AJ262129 Z196591:AJ196593 Z131055:AJ131057 Z65519:AJ65521 Z983028:AJ983030 Z917492:AJ917494 Z851956:AJ851958 Z786420:AJ786422 Z720884:AJ720886 Z655348:AJ655350 Z589812:AJ589814 Z524276:AJ524278 Z458740:AJ458742 Z393204:AJ393206 Z327668:AJ327670 Z262132:AJ262134 Z196596:AJ196598 Z131060:AJ131062 Z65524:AJ65526 Z983023:AJ983025 Z917487:AJ917489 Z851951:AJ851953 Z786415:AJ786417 Z720879:AJ720881 Z655343:AJ655345 Z589807:AJ589809 Z524271:AJ524273 Z458735:AJ458737 Z393199:AJ393201 Z327663:AJ327665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0B00-000000000000}"/>
    <dataValidation type="list" allowBlank="1" showInputMessage="1" showErrorMessage="1" sqref="AA11:AC12 AA13:AA44 AA8:AA10" xr:uid="{00000000-0002-0000-0B00-000001000000}">
      <formula1>"datetime,int,numeric,varchar,nvarchar"</formula1>
    </dataValidation>
    <dataValidation type="list" allowBlank="1" showInputMessage="1" showErrorMessage="1" sqref="Y8:Z44" xr:uid="{00000000-0002-0000-0B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4"/>
  <dimension ref="A1:BD44"/>
  <sheetViews>
    <sheetView showGridLines="0" zoomScaleNormal="10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17" customWidth="1"/>
    <col min="2" max="26" width="2.6328125" style="17"/>
    <col min="27" max="27" width="2.6328125" style="17" customWidth="1"/>
    <col min="28" max="29" width="2.6328125" style="17"/>
    <col min="30" max="30" width="4.6328125" style="17" customWidth="1"/>
    <col min="31" max="31" width="2.6328125" style="17" customWidth="1"/>
    <col min="32" max="33" width="2.6328125" style="17"/>
    <col min="34" max="34" width="6.6328125" style="17" customWidth="1"/>
    <col min="35" max="16384" width="2.6328125" style="17"/>
  </cols>
  <sheetData>
    <row r="1" spans="1:56" s="16" customFormat="1" ht="15" customHeight="1" x14ac:dyDescent="0.3">
      <c r="A1" s="144" t="s">
        <v>100</v>
      </c>
      <c r="B1" s="145"/>
      <c r="C1" s="145"/>
      <c r="D1" s="145"/>
      <c r="E1" s="145"/>
      <c r="F1" s="145"/>
      <c r="G1" s="145"/>
      <c r="H1" s="146"/>
      <c r="I1" s="103" t="s">
        <v>98</v>
      </c>
      <c r="J1" s="104"/>
      <c r="K1" s="104"/>
      <c r="L1" s="104"/>
      <c r="M1" s="104"/>
      <c r="N1" s="104"/>
      <c r="O1" s="104"/>
      <c r="P1" s="104"/>
      <c r="Q1" s="105"/>
      <c r="R1" s="103" t="s">
        <v>99</v>
      </c>
      <c r="S1" s="104"/>
      <c r="T1" s="104"/>
      <c r="U1" s="104"/>
      <c r="V1" s="104"/>
      <c r="W1" s="104"/>
      <c r="X1" s="105"/>
      <c r="Y1" s="103" t="s">
        <v>0</v>
      </c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5"/>
      <c r="AP1" s="153" t="s">
        <v>1</v>
      </c>
      <c r="AQ1" s="154"/>
      <c r="AR1" s="154"/>
      <c r="AS1" s="154"/>
      <c r="AT1" s="155"/>
      <c r="AU1" s="153" t="s">
        <v>2</v>
      </c>
      <c r="AV1" s="154"/>
      <c r="AW1" s="154"/>
      <c r="AX1" s="154"/>
      <c r="AY1" s="155"/>
      <c r="AZ1" s="153" t="s">
        <v>3</v>
      </c>
      <c r="BA1" s="154"/>
      <c r="BB1" s="154"/>
      <c r="BC1" s="154"/>
      <c r="BD1" s="155"/>
    </row>
    <row r="2" spans="1:56" s="16" customFormat="1" ht="15" customHeight="1" x14ac:dyDescent="0.3">
      <c r="A2" s="147"/>
      <c r="B2" s="148"/>
      <c r="C2" s="148"/>
      <c r="D2" s="148"/>
      <c r="E2" s="148"/>
      <c r="F2" s="148"/>
      <c r="G2" s="148"/>
      <c r="H2" s="149"/>
      <c r="I2" s="127" t="s">
        <v>97</v>
      </c>
      <c r="J2" s="128"/>
      <c r="K2" s="128"/>
      <c r="L2" s="128"/>
      <c r="M2" s="128"/>
      <c r="N2" s="128"/>
      <c r="O2" s="128"/>
      <c r="P2" s="128"/>
      <c r="Q2" s="129"/>
      <c r="R2" s="127" t="str">
        <f ca="1">VLOOKUP(RIGHT(CELL("filename",A2),LEN(CELL("filename",A2))-FIND("]",CELL("filename",A2))),テーブル一覧!B:AD,22,FALSE)</f>
        <v>D.出荷</v>
      </c>
      <c r="S2" s="128"/>
      <c r="T2" s="128"/>
      <c r="U2" s="128"/>
      <c r="V2" s="128"/>
      <c r="W2" s="128"/>
      <c r="X2" s="129"/>
      <c r="Y2" s="127" t="str">
        <f ca="1">VLOOKUP(RIGHT(CELL("filename",A2),LEN(CELL("filename",A2))-FIND("]",CELL("filename",A2))),テーブル一覧!B:AD,1,FALSE)</f>
        <v>積込場所情報</v>
      </c>
      <c r="Z2" s="128"/>
      <c r="AA2" s="128"/>
      <c r="AB2" s="128"/>
      <c r="AC2" s="128"/>
      <c r="AD2" s="128"/>
      <c r="AE2" s="128"/>
      <c r="AF2" s="128"/>
      <c r="AG2" s="128"/>
      <c r="AH2" s="128"/>
      <c r="AI2" s="128"/>
      <c r="AJ2" s="128"/>
      <c r="AK2" s="128"/>
      <c r="AL2" s="128"/>
      <c r="AM2" s="128"/>
      <c r="AN2" s="128"/>
      <c r="AO2" s="129"/>
      <c r="AP2" s="97"/>
      <c r="AQ2" s="98"/>
      <c r="AR2" s="98"/>
      <c r="AS2" s="98"/>
      <c r="AT2" s="99"/>
      <c r="AU2" s="60" t="s">
        <v>188</v>
      </c>
      <c r="AV2" s="61"/>
      <c r="AW2" s="61"/>
      <c r="AX2" s="61"/>
      <c r="AY2" s="62"/>
      <c r="AZ2" s="181" t="s">
        <v>15</v>
      </c>
      <c r="BA2" s="182"/>
      <c r="BB2" s="182"/>
      <c r="BC2" s="182"/>
      <c r="BD2" s="183"/>
    </row>
    <row r="3" spans="1:56" s="16" customFormat="1" ht="15" customHeight="1" x14ac:dyDescent="0.3">
      <c r="A3" s="147"/>
      <c r="B3" s="148"/>
      <c r="C3" s="148"/>
      <c r="D3" s="148"/>
      <c r="E3" s="148"/>
      <c r="F3" s="148"/>
      <c r="G3" s="148"/>
      <c r="H3" s="149"/>
      <c r="I3" s="130"/>
      <c r="J3" s="131"/>
      <c r="K3" s="131"/>
      <c r="L3" s="131"/>
      <c r="M3" s="131"/>
      <c r="N3" s="131"/>
      <c r="O3" s="131"/>
      <c r="P3" s="131"/>
      <c r="Q3" s="132"/>
      <c r="R3" s="130"/>
      <c r="S3" s="131"/>
      <c r="T3" s="131"/>
      <c r="U3" s="131"/>
      <c r="V3" s="131"/>
      <c r="W3" s="131"/>
      <c r="X3" s="132"/>
      <c r="Y3" s="133"/>
      <c r="Z3" s="134"/>
      <c r="AA3" s="134"/>
      <c r="AB3" s="134"/>
      <c r="AC3" s="134"/>
      <c r="AD3" s="134"/>
      <c r="AE3" s="134"/>
      <c r="AF3" s="134"/>
      <c r="AG3" s="134"/>
      <c r="AH3" s="134"/>
      <c r="AI3" s="134"/>
      <c r="AJ3" s="134"/>
      <c r="AK3" s="134"/>
      <c r="AL3" s="134"/>
      <c r="AM3" s="134"/>
      <c r="AN3" s="134"/>
      <c r="AO3" s="135"/>
      <c r="AP3" s="100"/>
      <c r="AQ3" s="101"/>
      <c r="AR3" s="101"/>
      <c r="AS3" s="101"/>
      <c r="AT3" s="102"/>
      <c r="AU3" s="178"/>
      <c r="AV3" s="179"/>
      <c r="AW3" s="179"/>
      <c r="AX3" s="179"/>
      <c r="AY3" s="180"/>
      <c r="AZ3" s="181"/>
      <c r="BA3" s="182"/>
      <c r="BB3" s="182"/>
      <c r="BC3" s="182"/>
      <c r="BD3" s="183"/>
    </row>
    <row r="4" spans="1:56" s="16" customFormat="1" ht="15" customHeight="1" x14ac:dyDescent="0.3">
      <c r="A4" s="150"/>
      <c r="B4" s="151"/>
      <c r="C4" s="151"/>
      <c r="D4" s="151"/>
      <c r="E4" s="151"/>
      <c r="F4" s="151"/>
      <c r="G4" s="151"/>
      <c r="H4" s="152"/>
      <c r="I4" s="133"/>
      <c r="J4" s="134"/>
      <c r="K4" s="134"/>
      <c r="L4" s="134"/>
      <c r="M4" s="134"/>
      <c r="N4" s="134"/>
      <c r="O4" s="134"/>
      <c r="P4" s="134"/>
      <c r="Q4" s="135"/>
      <c r="R4" s="133"/>
      <c r="S4" s="134"/>
      <c r="T4" s="134"/>
      <c r="U4" s="134"/>
      <c r="V4" s="134"/>
      <c r="W4" s="134"/>
      <c r="X4" s="135"/>
      <c r="Y4" s="175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t_tsumikomi_basho</v>
      </c>
      <c r="Z4" s="176"/>
      <c r="AA4" s="176"/>
      <c r="AB4" s="176"/>
      <c r="AC4" s="176"/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  <c r="AO4" s="177"/>
      <c r="AP4" s="100"/>
      <c r="AQ4" s="101"/>
      <c r="AR4" s="101"/>
      <c r="AS4" s="101"/>
      <c r="AT4" s="102"/>
      <c r="AU4" s="178"/>
      <c r="AV4" s="179"/>
      <c r="AW4" s="179"/>
      <c r="AX4" s="179"/>
      <c r="AY4" s="180"/>
      <c r="AZ4" s="181"/>
      <c r="BA4" s="182"/>
      <c r="BB4" s="182"/>
      <c r="BC4" s="182"/>
      <c r="BD4" s="183"/>
    </row>
    <row r="6" spans="1:56" ht="15" customHeight="1" x14ac:dyDescent="0.3">
      <c r="A6" s="156" t="s">
        <v>101</v>
      </c>
      <c r="B6" s="158" t="s">
        <v>4</v>
      </c>
      <c r="C6" s="159"/>
      <c r="D6" s="159"/>
      <c r="E6" s="159"/>
      <c r="F6" s="159"/>
      <c r="G6" s="159"/>
      <c r="H6" s="160"/>
      <c r="I6" s="158" t="s">
        <v>5</v>
      </c>
      <c r="J6" s="159"/>
      <c r="K6" s="159"/>
      <c r="L6" s="159"/>
      <c r="M6" s="159"/>
      <c r="N6" s="159"/>
      <c r="O6" s="159"/>
      <c r="P6" s="159"/>
      <c r="Q6" s="160"/>
      <c r="R6" s="158" t="s">
        <v>145</v>
      </c>
      <c r="S6" s="159"/>
      <c r="T6" s="159"/>
      <c r="U6" s="159"/>
      <c r="V6" s="159"/>
      <c r="W6" s="159"/>
      <c r="X6" s="160"/>
      <c r="Y6" s="158" t="s">
        <v>6</v>
      </c>
      <c r="Z6" s="160"/>
      <c r="AA6" s="158" t="s">
        <v>7</v>
      </c>
      <c r="AB6" s="159"/>
      <c r="AC6" s="160"/>
      <c r="AD6" s="164" t="s">
        <v>8</v>
      </c>
      <c r="AE6" s="185" t="s">
        <v>9</v>
      </c>
      <c r="AF6" s="164" t="s">
        <v>10</v>
      </c>
      <c r="AG6" s="164" t="s">
        <v>11</v>
      </c>
      <c r="AH6" s="164" t="s">
        <v>12</v>
      </c>
      <c r="AI6" s="166" t="s">
        <v>13</v>
      </c>
      <c r="AJ6" s="167"/>
      <c r="AK6" s="167"/>
      <c r="AL6" s="167"/>
      <c r="AM6" s="167"/>
      <c r="AN6" s="167"/>
      <c r="AO6" s="167"/>
      <c r="AP6" s="167"/>
      <c r="AQ6" s="167"/>
      <c r="AR6" s="168"/>
      <c r="AS6" s="169" t="s">
        <v>14</v>
      </c>
      <c r="AT6" s="170"/>
      <c r="AU6" s="170"/>
      <c r="AV6" s="170"/>
      <c r="AW6" s="170"/>
      <c r="AX6" s="170"/>
      <c r="AY6" s="170"/>
      <c r="AZ6" s="170"/>
      <c r="BA6" s="170"/>
      <c r="BB6" s="170"/>
      <c r="BC6" s="170"/>
      <c r="BD6" s="171"/>
    </row>
    <row r="7" spans="1:56" ht="15" customHeight="1" x14ac:dyDescent="0.3">
      <c r="A7" s="157"/>
      <c r="B7" s="161"/>
      <c r="C7" s="162"/>
      <c r="D7" s="162"/>
      <c r="E7" s="162"/>
      <c r="F7" s="162"/>
      <c r="G7" s="162"/>
      <c r="H7" s="163"/>
      <c r="I7" s="161"/>
      <c r="J7" s="162"/>
      <c r="K7" s="162"/>
      <c r="L7" s="162"/>
      <c r="M7" s="162"/>
      <c r="N7" s="162"/>
      <c r="O7" s="162"/>
      <c r="P7" s="162"/>
      <c r="Q7" s="163"/>
      <c r="R7" s="161"/>
      <c r="S7" s="162"/>
      <c r="T7" s="162"/>
      <c r="U7" s="162"/>
      <c r="V7" s="162"/>
      <c r="W7" s="162"/>
      <c r="X7" s="163"/>
      <c r="Y7" s="161"/>
      <c r="Z7" s="163"/>
      <c r="AA7" s="161"/>
      <c r="AB7" s="162"/>
      <c r="AC7" s="163"/>
      <c r="AD7" s="165"/>
      <c r="AE7" s="186"/>
      <c r="AF7" s="165"/>
      <c r="AG7" s="165"/>
      <c r="AH7" s="165"/>
      <c r="AI7" s="56">
        <v>1</v>
      </c>
      <c r="AJ7" s="56">
        <v>2</v>
      </c>
      <c r="AK7" s="56">
        <v>3</v>
      </c>
      <c r="AL7" s="56">
        <v>4</v>
      </c>
      <c r="AM7" s="56">
        <v>5</v>
      </c>
      <c r="AN7" s="56">
        <v>6</v>
      </c>
      <c r="AO7" s="56">
        <v>7</v>
      </c>
      <c r="AP7" s="56">
        <v>8</v>
      </c>
      <c r="AQ7" s="56">
        <v>9</v>
      </c>
      <c r="AR7" s="56">
        <v>10</v>
      </c>
      <c r="AS7" s="172"/>
      <c r="AT7" s="173"/>
      <c r="AU7" s="173"/>
      <c r="AV7" s="173"/>
      <c r="AW7" s="173"/>
      <c r="AX7" s="173"/>
      <c r="AY7" s="173"/>
      <c r="AZ7" s="173"/>
      <c r="BA7" s="173"/>
      <c r="BB7" s="173"/>
      <c r="BC7" s="173"/>
      <c r="BD7" s="174"/>
    </row>
    <row r="8" spans="1:56" ht="15" customHeight="1" x14ac:dyDescent="0.3">
      <c r="A8" s="54">
        <f>IF(B8="","",COUNTA($B$8:B8))</f>
        <v>1</v>
      </c>
      <c r="B8" s="18" t="s">
        <v>1096</v>
      </c>
      <c r="C8" s="19"/>
      <c r="D8" s="19"/>
      <c r="E8" s="19"/>
      <c r="F8" s="19"/>
      <c r="G8" s="19"/>
      <c r="H8" s="19"/>
      <c r="I8" s="31" t="str">
        <f>VLOOKUP(B8,Sheet1!A:B,2,FALSE)</f>
        <v>tsumikomi_basho_group_cd</v>
      </c>
      <c r="J8" s="21"/>
      <c r="K8" s="21"/>
      <c r="L8" s="21"/>
      <c r="M8" s="21"/>
      <c r="N8" s="21"/>
      <c r="O8" s="21"/>
      <c r="P8" s="21"/>
      <c r="Q8" s="21"/>
      <c r="R8" s="18" t="s">
        <v>1096</v>
      </c>
      <c r="S8" s="19"/>
      <c r="T8" s="19"/>
      <c r="U8" s="19"/>
      <c r="V8" s="19"/>
      <c r="W8" s="19"/>
      <c r="X8" s="19"/>
      <c r="Y8" s="139" t="s">
        <v>111</v>
      </c>
      <c r="Z8" s="140"/>
      <c r="AA8" s="141" t="s">
        <v>107</v>
      </c>
      <c r="AB8" s="142"/>
      <c r="AC8" s="143"/>
      <c r="AD8" s="25">
        <v>10</v>
      </c>
      <c r="AE8" s="26"/>
      <c r="AF8" s="26" t="s">
        <v>119</v>
      </c>
      <c r="AG8" s="26" t="s">
        <v>85</v>
      </c>
      <c r="AH8" s="26"/>
      <c r="AI8" s="26"/>
      <c r="AJ8" s="26"/>
      <c r="AK8" s="26"/>
      <c r="AL8" s="26"/>
      <c r="AM8" s="26"/>
      <c r="AN8" s="26"/>
      <c r="AO8" s="27"/>
      <c r="AP8" s="27"/>
      <c r="AQ8" s="27"/>
      <c r="AR8" s="27"/>
      <c r="AS8" s="42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68"/>
    </row>
    <row r="9" spans="1:56" ht="15" customHeight="1" x14ac:dyDescent="0.3">
      <c r="A9" s="54">
        <f>IF(B9="","",COUNTA($B$8:B9))</f>
        <v>2</v>
      </c>
      <c r="B9" s="18" t="s">
        <v>1097</v>
      </c>
      <c r="C9" s="19"/>
      <c r="D9" s="19"/>
      <c r="E9" s="19"/>
      <c r="F9" s="19"/>
      <c r="G9" s="19"/>
      <c r="H9" s="19"/>
      <c r="I9" s="31" t="str">
        <f>VLOOKUP(B9,Sheet1!A:B,2,FALSE)</f>
        <v>tsumikomi_basho_cd</v>
      </c>
      <c r="J9" s="21"/>
      <c r="K9" s="21"/>
      <c r="L9" s="21"/>
      <c r="M9" s="21"/>
      <c r="N9" s="21"/>
      <c r="O9" s="21"/>
      <c r="P9" s="21"/>
      <c r="Q9" s="21"/>
      <c r="R9" s="18" t="s">
        <v>1097</v>
      </c>
      <c r="S9" s="19"/>
      <c r="T9" s="19"/>
      <c r="U9" s="19"/>
      <c r="V9" s="19"/>
      <c r="W9" s="19"/>
      <c r="X9" s="19"/>
      <c r="Y9" s="139" t="s">
        <v>111</v>
      </c>
      <c r="Z9" s="140"/>
      <c r="AA9" s="141" t="s">
        <v>107</v>
      </c>
      <c r="AB9" s="142"/>
      <c r="AC9" s="143"/>
      <c r="AD9" s="25">
        <v>10</v>
      </c>
      <c r="AE9" s="26"/>
      <c r="AF9" s="26" t="s">
        <v>205</v>
      </c>
      <c r="AG9" s="26" t="s">
        <v>85</v>
      </c>
      <c r="AH9" s="26"/>
      <c r="AI9" s="26"/>
      <c r="AJ9" s="26"/>
      <c r="AK9" s="26"/>
      <c r="AL9" s="26"/>
      <c r="AM9" s="26"/>
      <c r="AN9" s="26"/>
      <c r="AO9" s="27"/>
      <c r="AP9" s="27"/>
      <c r="AQ9" s="27"/>
      <c r="AR9" s="27"/>
      <c r="AS9" s="42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68"/>
    </row>
    <row r="10" spans="1:56" ht="15" customHeight="1" x14ac:dyDescent="0.3">
      <c r="A10" s="54">
        <f>IF(B10="","",COUNTA($B$8:B10))</f>
        <v>3</v>
      </c>
      <c r="B10" s="18" t="s">
        <v>1098</v>
      </c>
      <c r="C10" s="19"/>
      <c r="D10" s="19"/>
      <c r="E10" s="19"/>
      <c r="F10" s="19"/>
      <c r="G10" s="19"/>
      <c r="H10" s="19"/>
      <c r="I10" s="31" t="str">
        <f>VLOOKUP(B10,Sheet1!A:B,2,FALSE)</f>
        <v>tsumikomi_basho_nm</v>
      </c>
      <c r="J10" s="21"/>
      <c r="K10" s="21"/>
      <c r="L10" s="21"/>
      <c r="M10" s="21"/>
      <c r="N10" s="21"/>
      <c r="O10" s="21"/>
      <c r="P10" s="21"/>
      <c r="Q10" s="21"/>
      <c r="R10" s="18" t="s">
        <v>1098</v>
      </c>
      <c r="S10" s="19"/>
      <c r="T10" s="19"/>
      <c r="U10" s="19"/>
      <c r="V10" s="19"/>
      <c r="W10" s="19"/>
      <c r="X10" s="19"/>
      <c r="Y10" s="139" t="s">
        <v>111</v>
      </c>
      <c r="Z10" s="140"/>
      <c r="AA10" s="141" t="s">
        <v>107</v>
      </c>
      <c r="AB10" s="142"/>
      <c r="AC10" s="143"/>
      <c r="AD10" s="25">
        <v>30</v>
      </c>
      <c r="AE10" s="26"/>
      <c r="AF10" s="26"/>
      <c r="AG10" s="26" t="s">
        <v>85</v>
      </c>
      <c r="AH10" s="26"/>
      <c r="AI10" s="26"/>
      <c r="AJ10" s="26"/>
      <c r="AK10" s="26"/>
      <c r="AL10" s="26"/>
      <c r="AM10" s="26"/>
      <c r="AN10" s="26"/>
      <c r="AO10" s="27"/>
      <c r="AP10" s="27"/>
      <c r="AQ10" s="27"/>
      <c r="AR10" s="27"/>
      <c r="AS10" s="42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68"/>
    </row>
    <row r="11" spans="1:56" ht="15" customHeight="1" x14ac:dyDescent="0.3">
      <c r="A11" s="54">
        <f>IF(B11="","",COUNTA($B$8:B11))</f>
        <v>4</v>
      </c>
      <c r="B11" s="42" t="s">
        <v>1231</v>
      </c>
      <c r="C11" s="41"/>
      <c r="D11" s="41"/>
      <c r="E11" s="41"/>
      <c r="F11" s="41"/>
      <c r="G11" s="41"/>
      <c r="H11" s="41"/>
      <c r="I11" s="31" t="str">
        <f>VLOOKUP(B11,Sheet1!A:B,2,FALSE)</f>
        <v>tantosya_nm</v>
      </c>
      <c r="J11" s="32"/>
      <c r="K11" s="32"/>
      <c r="L11" s="32"/>
      <c r="M11" s="32"/>
      <c r="N11" s="32"/>
      <c r="O11" s="32"/>
      <c r="P11" s="32"/>
      <c r="Q11" s="32"/>
      <c r="R11" s="42" t="s">
        <v>1231</v>
      </c>
      <c r="S11" s="41"/>
      <c r="T11" s="41"/>
      <c r="U11" s="41"/>
      <c r="V11" s="41"/>
      <c r="W11" s="41"/>
      <c r="X11" s="41"/>
      <c r="Y11" s="139" t="s">
        <v>111</v>
      </c>
      <c r="Z11" s="140"/>
      <c r="AA11" s="141" t="s">
        <v>107</v>
      </c>
      <c r="AB11" s="142"/>
      <c r="AC11" s="143"/>
      <c r="AD11" s="72">
        <v>20</v>
      </c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42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68"/>
    </row>
    <row r="12" spans="1:56" ht="15" customHeight="1" x14ac:dyDescent="0.3">
      <c r="A12" s="54">
        <f>IF(B12="","",COUNTA($B$8:B12))</f>
        <v>5</v>
      </c>
      <c r="B12" s="42" t="s">
        <v>608</v>
      </c>
      <c r="C12" s="41"/>
      <c r="D12" s="41"/>
      <c r="E12" s="41"/>
      <c r="F12" s="41"/>
      <c r="G12" s="41"/>
      <c r="H12" s="41"/>
      <c r="I12" s="31" t="str">
        <f>VLOOKUP(B12,Sheet1!A:B,2,FALSE)</f>
        <v>biko</v>
      </c>
      <c r="J12" s="32"/>
      <c r="K12" s="32"/>
      <c r="L12" s="32"/>
      <c r="M12" s="32"/>
      <c r="N12" s="32"/>
      <c r="O12" s="32"/>
      <c r="P12" s="32"/>
      <c r="Q12" s="32"/>
      <c r="R12" s="42" t="s">
        <v>608</v>
      </c>
      <c r="S12" s="19"/>
      <c r="T12" s="19"/>
      <c r="U12" s="19"/>
      <c r="V12" s="19"/>
      <c r="W12" s="19"/>
      <c r="X12" s="19"/>
      <c r="Y12" s="139" t="s">
        <v>111</v>
      </c>
      <c r="Z12" s="140"/>
      <c r="AA12" s="141" t="s">
        <v>107</v>
      </c>
      <c r="AB12" s="142"/>
      <c r="AC12" s="143"/>
      <c r="AD12" s="25">
        <v>500</v>
      </c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42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68"/>
    </row>
    <row r="13" spans="1:56" ht="15" customHeight="1" x14ac:dyDescent="0.3">
      <c r="A13" s="54">
        <f>IF(B13="","",COUNTA($B$8:B13))</f>
        <v>6</v>
      </c>
      <c r="B13" s="18" t="s">
        <v>1099</v>
      </c>
      <c r="C13" s="19"/>
      <c r="D13" s="19"/>
      <c r="E13" s="19"/>
      <c r="F13" s="19"/>
      <c r="G13" s="19"/>
      <c r="H13" s="22"/>
      <c r="I13" s="31" t="str">
        <f>VLOOKUP(B13,Sheet1!A:B,2,FALSE)</f>
        <v>shukan_busho_cd</v>
      </c>
      <c r="J13" s="21"/>
      <c r="K13" s="21"/>
      <c r="L13" s="21"/>
      <c r="M13" s="21"/>
      <c r="N13" s="21"/>
      <c r="O13" s="21"/>
      <c r="P13" s="21"/>
      <c r="Q13" s="33"/>
      <c r="R13" s="18" t="s">
        <v>1099</v>
      </c>
      <c r="S13" s="21"/>
      <c r="T13" s="21"/>
      <c r="U13" s="21"/>
      <c r="V13" s="21"/>
      <c r="W13" s="21"/>
      <c r="X13" s="22"/>
      <c r="Y13" s="139" t="s">
        <v>56</v>
      </c>
      <c r="Z13" s="184"/>
      <c r="AA13" s="141" t="s">
        <v>107</v>
      </c>
      <c r="AB13" s="142"/>
      <c r="AC13" s="143"/>
      <c r="AD13" s="25">
        <v>4</v>
      </c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7"/>
      <c r="AP13" s="27"/>
      <c r="AQ13" s="27"/>
      <c r="AR13" s="27"/>
      <c r="AS13" s="28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70"/>
    </row>
    <row r="14" spans="1:56" ht="15" customHeight="1" x14ac:dyDescent="0.3">
      <c r="A14" s="54">
        <f>IF(B14="","",COUNTA($B$8:B14))</f>
        <v>7</v>
      </c>
      <c r="B14" s="18" t="s">
        <v>183</v>
      </c>
      <c r="C14" s="19"/>
      <c r="D14" s="19"/>
      <c r="E14" s="19"/>
      <c r="F14" s="19"/>
      <c r="G14" s="19"/>
      <c r="H14" s="22"/>
      <c r="I14" s="31" t="str">
        <f>VLOOKUP(B14,Sheet1!A:B,2,FALSE)</f>
        <v>shukan_kotei_cd</v>
      </c>
      <c r="J14" s="21"/>
      <c r="K14" s="21"/>
      <c r="L14" s="21"/>
      <c r="M14" s="21"/>
      <c r="N14" s="21"/>
      <c r="O14" s="21"/>
      <c r="P14" s="21"/>
      <c r="Q14" s="33"/>
      <c r="R14" s="18" t="s">
        <v>183</v>
      </c>
      <c r="S14" s="21"/>
      <c r="T14" s="21"/>
      <c r="U14" s="21"/>
      <c r="V14" s="21"/>
      <c r="W14" s="21"/>
      <c r="X14" s="22"/>
      <c r="Y14" s="139" t="s">
        <v>56</v>
      </c>
      <c r="Z14" s="184"/>
      <c r="AA14" s="141" t="s">
        <v>107</v>
      </c>
      <c r="AB14" s="142"/>
      <c r="AC14" s="143"/>
      <c r="AD14" s="25">
        <v>4</v>
      </c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7"/>
      <c r="AP14" s="27"/>
      <c r="AQ14" s="27"/>
      <c r="AR14" s="27"/>
      <c r="AS14" s="28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70"/>
    </row>
    <row r="15" spans="1:56" ht="15" customHeight="1" x14ac:dyDescent="0.3">
      <c r="A15" s="54">
        <f>IF(B15="","",COUNTA($B$8:B15))</f>
        <v>8</v>
      </c>
      <c r="B15" s="18" t="s">
        <v>1095</v>
      </c>
      <c r="C15" s="41"/>
      <c r="D15" s="41"/>
      <c r="E15" s="41"/>
      <c r="F15" s="41"/>
      <c r="G15" s="41"/>
      <c r="H15" s="41"/>
      <c r="I15" s="31" t="str">
        <f>VLOOKUP(B15,Sheet1!A:B,2,FALSE)</f>
        <v>insert_func_cd</v>
      </c>
      <c r="J15" s="32"/>
      <c r="K15" s="32"/>
      <c r="L15" s="32"/>
      <c r="M15" s="32"/>
      <c r="N15" s="32"/>
      <c r="O15" s="32"/>
      <c r="P15" s="32"/>
      <c r="Q15" s="32"/>
      <c r="R15" s="18" t="s">
        <v>1095</v>
      </c>
      <c r="S15" s="41"/>
      <c r="T15" s="41"/>
      <c r="U15" s="41"/>
      <c r="V15" s="41"/>
      <c r="W15" s="41"/>
      <c r="X15" s="41"/>
      <c r="Y15" s="139" t="s">
        <v>111</v>
      </c>
      <c r="Z15" s="140"/>
      <c r="AA15" s="141" t="s">
        <v>107</v>
      </c>
      <c r="AB15" s="142"/>
      <c r="AC15" s="143"/>
      <c r="AD15" s="25">
        <v>10</v>
      </c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8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70"/>
    </row>
    <row r="16" spans="1:56" ht="15" customHeight="1" x14ac:dyDescent="0.3">
      <c r="A16" s="54">
        <f>IF(B16="","",COUNTA($B$8:B16))</f>
        <v>9</v>
      </c>
      <c r="B16" s="18" t="s">
        <v>112</v>
      </c>
      <c r="C16" s="41"/>
      <c r="D16" s="41"/>
      <c r="E16" s="41"/>
      <c r="F16" s="41"/>
      <c r="G16" s="41"/>
      <c r="H16" s="41"/>
      <c r="I16" s="31" t="str">
        <f>VLOOKUP(B16,Sheet1!A:B,2,FALSE)</f>
        <v>insert_user_cd</v>
      </c>
      <c r="J16" s="32"/>
      <c r="K16" s="32"/>
      <c r="L16" s="32"/>
      <c r="M16" s="32"/>
      <c r="N16" s="32"/>
      <c r="O16" s="32"/>
      <c r="P16" s="32"/>
      <c r="Q16" s="32"/>
      <c r="R16" s="18" t="s">
        <v>112</v>
      </c>
      <c r="S16" s="41"/>
      <c r="T16" s="41"/>
      <c r="U16" s="41"/>
      <c r="V16" s="41"/>
      <c r="W16" s="41"/>
      <c r="X16" s="41"/>
      <c r="Y16" s="139" t="s">
        <v>111</v>
      </c>
      <c r="Z16" s="140"/>
      <c r="AA16" s="141" t="s">
        <v>107</v>
      </c>
      <c r="AB16" s="142"/>
      <c r="AC16" s="143"/>
      <c r="AD16" s="25">
        <v>10</v>
      </c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8"/>
      <c r="AT16" s="69"/>
      <c r="AU16" s="69"/>
      <c r="AV16" s="69"/>
      <c r="AW16" s="69"/>
      <c r="AX16" s="69"/>
      <c r="AY16" s="69"/>
      <c r="AZ16" s="69"/>
      <c r="BA16" s="69"/>
      <c r="BB16" s="69"/>
      <c r="BC16" s="69"/>
      <c r="BD16" s="70"/>
    </row>
    <row r="17" spans="1:56" ht="15" customHeight="1" x14ac:dyDescent="0.3">
      <c r="A17" s="54">
        <f>IF(B17="","",COUNTA($B$8:B17))</f>
        <v>10</v>
      </c>
      <c r="B17" s="18" t="s">
        <v>113</v>
      </c>
      <c r="C17" s="41"/>
      <c r="D17" s="41"/>
      <c r="E17" s="41"/>
      <c r="F17" s="41"/>
      <c r="G17" s="41"/>
      <c r="H17" s="41"/>
      <c r="I17" s="31" t="str">
        <f>VLOOKUP(B17,Sheet1!A:B,2,FALSE)</f>
        <v>insert_datetime</v>
      </c>
      <c r="J17" s="32"/>
      <c r="K17" s="32"/>
      <c r="L17" s="32"/>
      <c r="M17" s="32"/>
      <c r="N17" s="32"/>
      <c r="O17" s="32"/>
      <c r="P17" s="32"/>
      <c r="Q17" s="32"/>
      <c r="R17" s="18" t="s">
        <v>113</v>
      </c>
      <c r="S17" s="41"/>
      <c r="T17" s="41"/>
      <c r="U17" s="41"/>
      <c r="V17" s="41"/>
      <c r="W17" s="41"/>
      <c r="X17" s="41"/>
      <c r="Y17" s="139" t="s">
        <v>87</v>
      </c>
      <c r="Z17" s="140"/>
      <c r="AA17" s="141" t="s">
        <v>109</v>
      </c>
      <c r="AB17" s="142"/>
      <c r="AC17" s="143"/>
      <c r="AD17" s="55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8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70"/>
    </row>
    <row r="18" spans="1:56" ht="15" customHeight="1" x14ac:dyDescent="0.3">
      <c r="A18" s="54">
        <f>IF(B18="","",COUNTA($B$8:B18))</f>
        <v>11</v>
      </c>
      <c r="B18" s="18" t="s">
        <v>1094</v>
      </c>
      <c r="C18" s="41"/>
      <c r="D18" s="41"/>
      <c r="E18" s="41"/>
      <c r="F18" s="41"/>
      <c r="G18" s="41"/>
      <c r="H18" s="41"/>
      <c r="I18" s="31" t="str">
        <f>VLOOKUP(B18,Sheet1!A:B,2,FALSE)</f>
        <v>update_func_cd</v>
      </c>
      <c r="J18" s="32"/>
      <c r="K18" s="32"/>
      <c r="L18" s="32"/>
      <c r="M18" s="32"/>
      <c r="N18" s="32"/>
      <c r="O18" s="32"/>
      <c r="P18" s="32"/>
      <c r="Q18" s="32"/>
      <c r="R18" s="18" t="s">
        <v>1094</v>
      </c>
      <c r="S18" s="41"/>
      <c r="T18" s="41"/>
      <c r="U18" s="41"/>
      <c r="V18" s="41"/>
      <c r="W18" s="41"/>
      <c r="X18" s="41"/>
      <c r="Y18" s="139" t="s">
        <v>111</v>
      </c>
      <c r="Z18" s="140"/>
      <c r="AA18" s="141" t="s">
        <v>107</v>
      </c>
      <c r="AB18" s="142"/>
      <c r="AC18" s="143"/>
      <c r="AD18" s="25">
        <v>10</v>
      </c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8"/>
      <c r="AT18" s="69"/>
      <c r="AU18" s="69"/>
      <c r="AV18" s="69"/>
      <c r="AW18" s="69"/>
      <c r="AX18" s="69"/>
      <c r="AY18" s="69"/>
      <c r="AZ18" s="69"/>
      <c r="BA18" s="69"/>
      <c r="BB18" s="69"/>
      <c r="BC18" s="69"/>
      <c r="BD18" s="70"/>
    </row>
    <row r="19" spans="1:56" ht="15" customHeight="1" x14ac:dyDescent="0.3">
      <c r="A19" s="54">
        <f>IF(B19="","",COUNTA($B$8:B19))</f>
        <v>12</v>
      </c>
      <c r="B19" s="18" t="s">
        <v>114</v>
      </c>
      <c r="C19" s="19"/>
      <c r="D19" s="19"/>
      <c r="E19" s="19"/>
      <c r="F19" s="19"/>
      <c r="G19" s="19"/>
      <c r="H19" s="19"/>
      <c r="I19" s="31" t="str">
        <f>VLOOKUP(B19,Sheet1!A:B,2,FALSE)</f>
        <v>update_user_cd</v>
      </c>
      <c r="J19" s="21"/>
      <c r="K19" s="21"/>
      <c r="L19" s="21"/>
      <c r="M19" s="21"/>
      <c r="N19" s="21"/>
      <c r="O19" s="21"/>
      <c r="P19" s="21"/>
      <c r="Q19" s="21"/>
      <c r="R19" s="18" t="s">
        <v>114</v>
      </c>
      <c r="S19" s="19"/>
      <c r="T19" s="19"/>
      <c r="U19" s="19"/>
      <c r="V19" s="19"/>
      <c r="W19" s="19"/>
      <c r="X19" s="19"/>
      <c r="Y19" s="139" t="s">
        <v>111</v>
      </c>
      <c r="Z19" s="140"/>
      <c r="AA19" s="141" t="s">
        <v>107</v>
      </c>
      <c r="AB19" s="142"/>
      <c r="AC19" s="143"/>
      <c r="AD19" s="55">
        <v>10</v>
      </c>
      <c r="AE19" s="37"/>
      <c r="AF19" s="37"/>
      <c r="AG19" s="37"/>
      <c r="AH19" s="37"/>
      <c r="AI19" s="37"/>
      <c r="AJ19" s="37"/>
      <c r="AK19" s="37"/>
      <c r="AL19" s="37"/>
      <c r="AM19" s="37"/>
      <c r="AN19" s="37"/>
      <c r="AO19" s="38"/>
      <c r="AP19" s="38"/>
      <c r="AQ19" s="38"/>
      <c r="AR19" s="38"/>
      <c r="AS19" s="39"/>
      <c r="AT19" s="40"/>
      <c r="AU19" s="69"/>
      <c r="AV19" s="69"/>
      <c r="AW19" s="69"/>
      <c r="AX19" s="69"/>
      <c r="AY19" s="69"/>
      <c r="AZ19" s="69"/>
      <c r="BA19" s="69"/>
      <c r="BB19" s="69"/>
      <c r="BC19" s="69"/>
      <c r="BD19" s="70"/>
    </row>
    <row r="20" spans="1:56" ht="15" customHeight="1" x14ac:dyDescent="0.3">
      <c r="A20" s="54">
        <f>IF(B20="","",COUNTA($B$8:B20))</f>
        <v>13</v>
      </c>
      <c r="B20" s="18" t="s">
        <v>115</v>
      </c>
      <c r="C20" s="19"/>
      <c r="D20" s="19"/>
      <c r="E20" s="19"/>
      <c r="F20" s="19"/>
      <c r="G20" s="19"/>
      <c r="H20" s="19"/>
      <c r="I20" s="31" t="str">
        <f>VLOOKUP(B20,Sheet1!A:B,2,FALSE)</f>
        <v>update_datetime</v>
      </c>
      <c r="J20" s="21"/>
      <c r="K20" s="21"/>
      <c r="L20" s="21"/>
      <c r="M20" s="21"/>
      <c r="N20" s="21"/>
      <c r="O20" s="21"/>
      <c r="P20" s="21"/>
      <c r="Q20" s="21"/>
      <c r="R20" s="18" t="s">
        <v>115</v>
      </c>
      <c r="S20" s="19"/>
      <c r="T20" s="19"/>
      <c r="U20" s="19"/>
      <c r="V20" s="19"/>
      <c r="W20" s="19"/>
      <c r="X20" s="19"/>
      <c r="Y20" s="139" t="s">
        <v>87</v>
      </c>
      <c r="Z20" s="140"/>
      <c r="AA20" s="141" t="s">
        <v>109</v>
      </c>
      <c r="AB20" s="142"/>
      <c r="AC20" s="143"/>
      <c r="AD20" s="55"/>
      <c r="AE20" s="37"/>
      <c r="AF20" s="37"/>
      <c r="AG20" s="37"/>
      <c r="AH20" s="37"/>
      <c r="AI20" s="37"/>
      <c r="AJ20" s="37"/>
      <c r="AK20" s="37"/>
      <c r="AL20" s="37"/>
      <c r="AM20" s="37"/>
      <c r="AN20" s="37"/>
      <c r="AO20" s="38"/>
      <c r="AP20" s="38"/>
      <c r="AQ20" s="38"/>
      <c r="AR20" s="38"/>
      <c r="AS20" s="39"/>
      <c r="AT20" s="40"/>
      <c r="AU20" s="69"/>
      <c r="AV20" s="69"/>
      <c r="AW20" s="69"/>
      <c r="AX20" s="69"/>
      <c r="AY20" s="69"/>
      <c r="AZ20" s="69"/>
      <c r="BA20" s="69"/>
      <c r="BB20" s="69"/>
      <c r="BC20" s="69"/>
      <c r="BD20" s="70"/>
    </row>
    <row r="21" spans="1:56" ht="15" customHeight="1" x14ac:dyDescent="0.3">
      <c r="A21" s="54" t="str">
        <f>IF(B21="","",COUNTA($B$8:B21))</f>
        <v/>
      </c>
      <c r="B21" s="42"/>
      <c r="C21" s="41"/>
      <c r="D21" s="41"/>
      <c r="E21" s="41"/>
      <c r="F21" s="41"/>
      <c r="G21" s="41"/>
      <c r="H21" s="41"/>
      <c r="I21" s="31"/>
      <c r="J21" s="32"/>
      <c r="K21" s="32"/>
      <c r="L21" s="32"/>
      <c r="M21" s="32"/>
      <c r="N21" s="32"/>
      <c r="O21" s="32"/>
      <c r="P21" s="32"/>
      <c r="Q21" s="32"/>
      <c r="R21" s="42"/>
      <c r="S21" s="41"/>
      <c r="T21" s="41"/>
      <c r="U21" s="41"/>
      <c r="V21" s="41"/>
      <c r="W21" s="41"/>
      <c r="X21" s="41"/>
      <c r="Y21" s="18"/>
      <c r="Z21" s="34"/>
      <c r="AA21" s="141"/>
      <c r="AB21" s="142"/>
      <c r="AC21" s="143"/>
      <c r="AD21" s="72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42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68"/>
    </row>
    <row r="22" spans="1:56" ht="15" customHeight="1" x14ac:dyDescent="0.3">
      <c r="A22" s="54" t="str">
        <f>IF(B22="","",COUNTA($B$8:B22))</f>
        <v/>
      </c>
      <c r="B22" s="42"/>
      <c r="C22" s="41"/>
      <c r="D22" s="41"/>
      <c r="E22" s="41"/>
      <c r="F22" s="41"/>
      <c r="G22" s="41"/>
      <c r="H22" s="41"/>
      <c r="I22" s="31"/>
      <c r="J22" s="32"/>
      <c r="K22" s="32"/>
      <c r="L22" s="32"/>
      <c r="M22" s="32"/>
      <c r="N22" s="32"/>
      <c r="O22" s="32"/>
      <c r="P22" s="32"/>
      <c r="Q22" s="32"/>
      <c r="R22" s="42"/>
      <c r="S22" s="41"/>
      <c r="T22" s="41"/>
      <c r="U22" s="41"/>
      <c r="V22" s="41"/>
      <c r="W22" s="41"/>
      <c r="X22" s="41"/>
      <c r="Y22" s="18"/>
      <c r="Z22" s="34"/>
      <c r="AA22" s="141"/>
      <c r="AB22" s="142"/>
      <c r="AC22" s="143"/>
      <c r="AD22" s="72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42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68"/>
    </row>
    <row r="23" spans="1:56" ht="15" customHeight="1" x14ac:dyDescent="0.3">
      <c r="A23" s="54" t="str">
        <f>IF(B23="","",COUNTA($B$8:B23))</f>
        <v/>
      </c>
      <c r="B23" s="42"/>
      <c r="C23" s="41"/>
      <c r="D23" s="41"/>
      <c r="E23" s="41"/>
      <c r="F23" s="41"/>
      <c r="G23" s="41"/>
      <c r="H23" s="41"/>
      <c r="I23" s="42"/>
      <c r="J23" s="32"/>
      <c r="K23" s="32"/>
      <c r="L23" s="32"/>
      <c r="M23" s="32"/>
      <c r="N23" s="32"/>
      <c r="O23" s="32"/>
      <c r="P23" s="32"/>
      <c r="Q23" s="32"/>
      <c r="R23" s="42"/>
      <c r="S23" s="41"/>
      <c r="T23" s="41"/>
      <c r="U23" s="41"/>
      <c r="V23" s="41"/>
      <c r="W23" s="41"/>
      <c r="X23" s="41"/>
      <c r="Y23" s="139"/>
      <c r="Z23" s="140"/>
      <c r="AA23" s="141"/>
      <c r="AB23" s="142"/>
      <c r="AC23" s="143"/>
      <c r="AD23" s="72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42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68"/>
    </row>
    <row r="24" spans="1:56" ht="15" customHeight="1" x14ac:dyDescent="0.3">
      <c r="A24" s="54" t="str">
        <f>IF(B24="","",COUNTA($B$8:B24))</f>
        <v/>
      </c>
      <c r="B24" s="42"/>
      <c r="C24" s="41"/>
      <c r="D24" s="41"/>
      <c r="E24" s="41"/>
      <c r="F24" s="41"/>
      <c r="G24" s="41"/>
      <c r="H24" s="41"/>
      <c r="I24" s="42"/>
      <c r="J24" s="32"/>
      <c r="K24" s="32"/>
      <c r="L24" s="32"/>
      <c r="M24" s="32"/>
      <c r="N24" s="32"/>
      <c r="O24" s="32"/>
      <c r="P24" s="32"/>
      <c r="Q24" s="32"/>
      <c r="R24" s="42"/>
      <c r="S24" s="41"/>
      <c r="T24" s="41"/>
      <c r="U24" s="41"/>
      <c r="V24" s="41"/>
      <c r="W24" s="41"/>
      <c r="X24" s="41"/>
      <c r="Y24" s="139"/>
      <c r="Z24" s="140"/>
      <c r="AA24" s="141"/>
      <c r="AB24" s="142"/>
      <c r="AC24" s="143"/>
      <c r="AD24" s="72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42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68"/>
    </row>
    <row r="25" spans="1:56" ht="15" customHeight="1" x14ac:dyDescent="0.3">
      <c r="A25" s="54" t="str">
        <f>IF(B25="","",COUNTA($B$8:B25))</f>
        <v/>
      </c>
      <c r="B25" s="42"/>
      <c r="C25" s="41"/>
      <c r="D25" s="41"/>
      <c r="E25" s="41"/>
      <c r="F25" s="41"/>
      <c r="G25" s="41"/>
      <c r="H25" s="41"/>
      <c r="I25" s="42"/>
      <c r="J25" s="32"/>
      <c r="K25" s="32"/>
      <c r="L25" s="32"/>
      <c r="M25" s="32"/>
      <c r="N25" s="32"/>
      <c r="O25" s="32"/>
      <c r="P25" s="32"/>
      <c r="Q25" s="32"/>
      <c r="R25" s="42"/>
      <c r="S25" s="41"/>
      <c r="T25" s="41"/>
      <c r="U25" s="41"/>
      <c r="V25" s="41"/>
      <c r="W25" s="41"/>
      <c r="X25" s="41"/>
      <c r="Y25" s="139"/>
      <c r="Z25" s="140"/>
      <c r="AA25" s="141"/>
      <c r="AB25" s="142"/>
      <c r="AC25" s="143"/>
      <c r="AD25" s="72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42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68"/>
    </row>
    <row r="26" spans="1:56" ht="15" customHeight="1" x14ac:dyDescent="0.3">
      <c r="A26" s="54" t="str">
        <f>IF(B26="","",COUNTA($B$8:B26))</f>
        <v/>
      </c>
      <c r="B26" s="42"/>
      <c r="C26" s="41"/>
      <c r="D26" s="41"/>
      <c r="E26" s="41"/>
      <c r="F26" s="41"/>
      <c r="G26" s="41"/>
      <c r="H26" s="41"/>
      <c r="I26" s="42"/>
      <c r="J26" s="32"/>
      <c r="K26" s="32"/>
      <c r="L26" s="32"/>
      <c r="M26" s="32"/>
      <c r="N26" s="32"/>
      <c r="O26" s="32"/>
      <c r="P26" s="32"/>
      <c r="Q26" s="32"/>
      <c r="R26" s="42"/>
      <c r="S26" s="41"/>
      <c r="T26" s="41"/>
      <c r="U26" s="41"/>
      <c r="V26" s="41"/>
      <c r="W26" s="41"/>
      <c r="X26" s="41"/>
      <c r="Y26" s="139"/>
      <c r="Z26" s="140"/>
      <c r="AA26" s="141"/>
      <c r="AB26" s="142"/>
      <c r="AC26" s="143"/>
      <c r="AD26" s="72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42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68"/>
    </row>
    <row r="27" spans="1:56" ht="15" customHeight="1" x14ac:dyDescent="0.3">
      <c r="A27" s="54" t="str">
        <f>IF(B27="","",COUNTA($B$8:B27))</f>
        <v/>
      </c>
      <c r="B27" s="42"/>
      <c r="C27" s="41"/>
      <c r="D27" s="41"/>
      <c r="E27" s="41"/>
      <c r="F27" s="41"/>
      <c r="G27" s="41"/>
      <c r="H27" s="41"/>
      <c r="I27" s="42"/>
      <c r="J27" s="32"/>
      <c r="K27" s="32"/>
      <c r="L27" s="32"/>
      <c r="M27" s="32"/>
      <c r="N27" s="32"/>
      <c r="O27" s="32"/>
      <c r="P27" s="32"/>
      <c r="Q27" s="32"/>
      <c r="R27" s="42"/>
      <c r="S27" s="41"/>
      <c r="T27" s="41"/>
      <c r="U27" s="41"/>
      <c r="V27" s="41"/>
      <c r="W27" s="41"/>
      <c r="X27" s="41"/>
      <c r="Y27" s="139"/>
      <c r="Z27" s="140"/>
      <c r="AA27" s="141"/>
      <c r="AB27" s="142"/>
      <c r="AC27" s="143"/>
      <c r="AD27" s="72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42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68"/>
    </row>
    <row r="28" spans="1:56" ht="15" customHeight="1" x14ac:dyDescent="0.3">
      <c r="A28" s="54" t="str">
        <f>IF(B28="","",COUNTA($B$8:B28))</f>
        <v/>
      </c>
      <c r="B28" s="42"/>
      <c r="C28" s="41"/>
      <c r="D28" s="41"/>
      <c r="E28" s="41"/>
      <c r="F28" s="41"/>
      <c r="G28" s="41"/>
      <c r="H28" s="41"/>
      <c r="I28" s="42"/>
      <c r="J28" s="32"/>
      <c r="K28" s="32"/>
      <c r="L28" s="32"/>
      <c r="M28" s="32"/>
      <c r="N28" s="32"/>
      <c r="O28" s="32"/>
      <c r="P28" s="32"/>
      <c r="Q28" s="32"/>
      <c r="R28" s="42"/>
      <c r="S28" s="41"/>
      <c r="T28" s="41"/>
      <c r="U28" s="41"/>
      <c r="V28" s="41"/>
      <c r="W28" s="41"/>
      <c r="X28" s="41"/>
      <c r="Y28" s="139"/>
      <c r="Z28" s="140"/>
      <c r="AA28" s="141"/>
      <c r="AB28" s="142"/>
      <c r="AC28" s="143"/>
      <c r="AD28" s="72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42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68"/>
    </row>
    <row r="29" spans="1:56" ht="15" customHeight="1" x14ac:dyDescent="0.3">
      <c r="A29" s="54" t="str">
        <f>IF(B29="","",COUNTA($B$8:B29))</f>
        <v/>
      </c>
      <c r="B29" s="42"/>
      <c r="C29" s="41"/>
      <c r="D29" s="41"/>
      <c r="E29" s="41"/>
      <c r="F29" s="41"/>
      <c r="G29" s="41"/>
      <c r="H29" s="41"/>
      <c r="I29" s="42"/>
      <c r="J29" s="32"/>
      <c r="K29" s="32"/>
      <c r="L29" s="32"/>
      <c r="M29" s="32"/>
      <c r="N29" s="32"/>
      <c r="O29" s="32"/>
      <c r="P29" s="32"/>
      <c r="Q29" s="32"/>
      <c r="R29" s="42"/>
      <c r="S29" s="41"/>
      <c r="T29" s="41"/>
      <c r="U29" s="41"/>
      <c r="V29" s="41"/>
      <c r="W29" s="41"/>
      <c r="X29" s="41"/>
      <c r="Y29" s="139"/>
      <c r="Z29" s="140"/>
      <c r="AA29" s="141"/>
      <c r="AB29" s="142"/>
      <c r="AC29" s="143"/>
      <c r="AD29" s="72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42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68"/>
    </row>
    <row r="30" spans="1:56" ht="15" customHeight="1" x14ac:dyDescent="0.3">
      <c r="A30" s="54" t="str">
        <f>IF(B30="","",COUNTA($B$8:B30))</f>
        <v/>
      </c>
      <c r="B30" s="42"/>
      <c r="C30" s="41"/>
      <c r="D30" s="41"/>
      <c r="E30" s="41"/>
      <c r="F30" s="41"/>
      <c r="G30" s="41"/>
      <c r="H30" s="41"/>
      <c r="I30" s="42"/>
      <c r="J30" s="32"/>
      <c r="K30" s="32"/>
      <c r="L30" s="32"/>
      <c r="M30" s="32"/>
      <c r="N30" s="32"/>
      <c r="O30" s="32"/>
      <c r="P30" s="32"/>
      <c r="Q30" s="32"/>
      <c r="R30" s="42"/>
      <c r="S30" s="41"/>
      <c r="T30" s="41"/>
      <c r="U30" s="41"/>
      <c r="V30" s="41"/>
      <c r="W30" s="41"/>
      <c r="X30" s="41"/>
      <c r="Y30" s="139"/>
      <c r="Z30" s="140"/>
      <c r="AA30" s="141"/>
      <c r="AB30" s="142"/>
      <c r="AC30" s="143"/>
      <c r="AD30" s="72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42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68"/>
    </row>
    <row r="31" spans="1:56" ht="15" customHeight="1" x14ac:dyDescent="0.3">
      <c r="A31" s="54" t="str">
        <f>IF(B31="","",COUNTA($B$8:B31))</f>
        <v/>
      </c>
      <c r="B31" s="42"/>
      <c r="C31" s="41"/>
      <c r="D31" s="41"/>
      <c r="E31" s="41"/>
      <c r="F31" s="41"/>
      <c r="G31" s="41"/>
      <c r="H31" s="41"/>
      <c r="I31" s="42"/>
      <c r="J31" s="32"/>
      <c r="K31" s="32"/>
      <c r="L31" s="32"/>
      <c r="M31" s="32"/>
      <c r="N31" s="32"/>
      <c r="O31" s="32"/>
      <c r="P31" s="32"/>
      <c r="Q31" s="32"/>
      <c r="R31" s="42"/>
      <c r="S31" s="41"/>
      <c r="T31" s="41"/>
      <c r="U31" s="41"/>
      <c r="V31" s="41"/>
      <c r="W31" s="41"/>
      <c r="X31" s="41"/>
      <c r="Y31" s="139"/>
      <c r="Z31" s="140"/>
      <c r="AA31" s="141"/>
      <c r="AB31" s="142"/>
      <c r="AC31" s="143"/>
      <c r="AD31" s="72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42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68"/>
    </row>
    <row r="32" spans="1:56" ht="15" customHeight="1" x14ac:dyDescent="0.3">
      <c r="A32" s="54" t="str">
        <f>IF(B32="","",COUNTA($B$8:B32))</f>
        <v/>
      </c>
      <c r="B32" s="42"/>
      <c r="C32" s="41"/>
      <c r="D32" s="41"/>
      <c r="E32" s="41"/>
      <c r="F32" s="41"/>
      <c r="G32" s="41"/>
      <c r="H32" s="41"/>
      <c r="I32" s="42"/>
      <c r="J32" s="32"/>
      <c r="K32" s="32"/>
      <c r="L32" s="32"/>
      <c r="M32" s="32"/>
      <c r="N32" s="32"/>
      <c r="O32" s="32"/>
      <c r="P32" s="32"/>
      <c r="Q32" s="32"/>
      <c r="R32" s="42"/>
      <c r="S32" s="41"/>
      <c r="T32" s="41"/>
      <c r="U32" s="41"/>
      <c r="V32" s="41"/>
      <c r="W32" s="41"/>
      <c r="X32" s="41"/>
      <c r="Y32" s="139"/>
      <c r="Z32" s="140"/>
      <c r="AA32" s="141"/>
      <c r="AB32" s="142"/>
      <c r="AC32" s="143"/>
      <c r="AD32" s="72"/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42"/>
      <c r="AT32" s="43"/>
      <c r="AU32" s="43"/>
      <c r="AV32" s="43"/>
      <c r="AW32" s="43"/>
      <c r="AX32" s="43"/>
      <c r="AY32" s="43"/>
      <c r="AZ32" s="43"/>
      <c r="BA32" s="43"/>
      <c r="BB32" s="43"/>
      <c r="BC32" s="43"/>
      <c r="BD32" s="68"/>
    </row>
    <row r="33" spans="1:56" ht="15" customHeight="1" x14ac:dyDescent="0.3">
      <c r="A33" s="54" t="str">
        <f>IF(B33="","",COUNTA($B$8:B33))</f>
        <v/>
      </c>
      <c r="B33" s="42"/>
      <c r="C33" s="41"/>
      <c r="D33" s="41"/>
      <c r="E33" s="41"/>
      <c r="F33" s="41"/>
      <c r="G33" s="41"/>
      <c r="H33" s="41"/>
      <c r="I33" s="42"/>
      <c r="J33" s="32"/>
      <c r="K33" s="32"/>
      <c r="L33" s="32"/>
      <c r="M33" s="32"/>
      <c r="N33" s="32"/>
      <c r="O33" s="32"/>
      <c r="P33" s="32"/>
      <c r="Q33" s="32"/>
      <c r="R33" s="42"/>
      <c r="S33" s="41"/>
      <c r="T33" s="41"/>
      <c r="U33" s="41"/>
      <c r="V33" s="41"/>
      <c r="W33" s="41"/>
      <c r="X33" s="41"/>
      <c r="Y33" s="139"/>
      <c r="Z33" s="140"/>
      <c r="AA33" s="141"/>
      <c r="AB33" s="142"/>
      <c r="AC33" s="143"/>
      <c r="AD33" s="72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42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68"/>
    </row>
    <row r="34" spans="1:56" ht="15" customHeight="1" x14ac:dyDescent="0.3">
      <c r="A34" s="54" t="str">
        <f>IF(B34="","",COUNTA($B$8:B34))</f>
        <v/>
      </c>
      <c r="B34" s="42"/>
      <c r="C34" s="41"/>
      <c r="D34" s="41"/>
      <c r="E34" s="41"/>
      <c r="F34" s="41"/>
      <c r="G34" s="41"/>
      <c r="H34" s="41"/>
      <c r="I34" s="42"/>
      <c r="J34" s="32"/>
      <c r="K34" s="32"/>
      <c r="L34" s="32"/>
      <c r="M34" s="32"/>
      <c r="N34" s="32"/>
      <c r="O34" s="32"/>
      <c r="P34" s="32"/>
      <c r="Q34" s="32"/>
      <c r="R34" s="42"/>
      <c r="S34" s="41"/>
      <c r="T34" s="41"/>
      <c r="U34" s="41"/>
      <c r="V34" s="41"/>
      <c r="W34" s="41"/>
      <c r="X34" s="41"/>
      <c r="Y34" s="139"/>
      <c r="Z34" s="140"/>
      <c r="AA34" s="141"/>
      <c r="AB34" s="142"/>
      <c r="AC34" s="143"/>
      <c r="AD34" s="72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42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68"/>
    </row>
    <row r="35" spans="1:56" ht="15" customHeight="1" x14ac:dyDescent="0.3">
      <c r="A35" s="54" t="str">
        <f>IF(B35="","",COUNTA($B$8:B35))</f>
        <v/>
      </c>
      <c r="B35" s="42"/>
      <c r="C35" s="41"/>
      <c r="D35" s="41"/>
      <c r="E35" s="41"/>
      <c r="F35" s="41"/>
      <c r="G35" s="41"/>
      <c r="H35" s="41"/>
      <c r="I35" s="42"/>
      <c r="J35" s="32"/>
      <c r="K35" s="32"/>
      <c r="L35" s="32"/>
      <c r="M35" s="32"/>
      <c r="N35" s="32"/>
      <c r="O35" s="32"/>
      <c r="P35" s="32"/>
      <c r="Q35" s="32"/>
      <c r="R35" s="42"/>
      <c r="S35" s="41"/>
      <c r="T35" s="41"/>
      <c r="U35" s="41"/>
      <c r="V35" s="41"/>
      <c r="W35" s="41"/>
      <c r="X35" s="41"/>
      <c r="Y35" s="139"/>
      <c r="Z35" s="140"/>
      <c r="AA35" s="141"/>
      <c r="AB35" s="142"/>
      <c r="AC35" s="143"/>
      <c r="AD35" s="72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42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68"/>
    </row>
    <row r="36" spans="1:56" ht="15" customHeight="1" x14ac:dyDescent="0.3">
      <c r="A36" s="54" t="str">
        <f>IF(B36="","",COUNTA($B$8:B36))</f>
        <v/>
      </c>
      <c r="B36" s="42"/>
      <c r="C36" s="41"/>
      <c r="D36" s="41"/>
      <c r="E36" s="41"/>
      <c r="F36" s="41"/>
      <c r="G36" s="41"/>
      <c r="H36" s="41"/>
      <c r="I36" s="42"/>
      <c r="J36" s="32"/>
      <c r="K36" s="32"/>
      <c r="L36" s="32"/>
      <c r="M36" s="32"/>
      <c r="N36" s="32"/>
      <c r="O36" s="32"/>
      <c r="P36" s="32"/>
      <c r="Q36" s="32"/>
      <c r="R36" s="42"/>
      <c r="S36" s="41"/>
      <c r="T36" s="41"/>
      <c r="U36" s="41"/>
      <c r="V36" s="41"/>
      <c r="W36" s="41"/>
      <c r="X36" s="41"/>
      <c r="Y36" s="139"/>
      <c r="Z36" s="140"/>
      <c r="AA36" s="141"/>
      <c r="AB36" s="142"/>
      <c r="AC36" s="143"/>
      <c r="AD36" s="72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42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68"/>
    </row>
    <row r="37" spans="1:56" ht="15" customHeight="1" x14ac:dyDescent="0.3">
      <c r="A37" s="54" t="str">
        <f>IF(B37="","",COUNTA($B$8:B37))</f>
        <v/>
      </c>
      <c r="B37" s="42"/>
      <c r="C37" s="41"/>
      <c r="D37" s="41"/>
      <c r="E37" s="41"/>
      <c r="F37" s="41"/>
      <c r="G37" s="41"/>
      <c r="H37" s="41"/>
      <c r="I37" s="42"/>
      <c r="J37" s="32"/>
      <c r="K37" s="32"/>
      <c r="L37" s="32"/>
      <c r="M37" s="32"/>
      <c r="N37" s="32"/>
      <c r="O37" s="32"/>
      <c r="P37" s="32"/>
      <c r="Q37" s="32"/>
      <c r="R37" s="42"/>
      <c r="S37" s="41"/>
      <c r="T37" s="41"/>
      <c r="U37" s="41"/>
      <c r="V37" s="41"/>
      <c r="W37" s="41"/>
      <c r="X37" s="41"/>
      <c r="Y37" s="139"/>
      <c r="Z37" s="140"/>
      <c r="AA37" s="141"/>
      <c r="AB37" s="142"/>
      <c r="AC37" s="143"/>
      <c r="AD37" s="72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42"/>
      <c r="AT37" s="43"/>
      <c r="AU37" s="43"/>
      <c r="AV37" s="43"/>
      <c r="AW37" s="43"/>
      <c r="AX37" s="43"/>
      <c r="AY37" s="43"/>
      <c r="AZ37" s="43"/>
      <c r="BA37" s="43"/>
      <c r="BB37" s="43"/>
      <c r="BC37" s="43"/>
      <c r="BD37" s="68"/>
    </row>
    <row r="38" spans="1:56" ht="15" customHeight="1" x14ac:dyDescent="0.3">
      <c r="A38" s="54" t="str">
        <f>IF(B38="","",COUNTA($B$8:B38))</f>
        <v/>
      </c>
      <c r="B38" s="42"/>
      <c r="C38" s="41"/>
      <c r="D38" s="41"/>
      <c r="E38" s="41"/>
      <c r="F38" s="41"/>
      <c r="G38" s="41"/>
      <c r="H38" s="41"/>
      <c r="I38" s="42"/>
      <c r="J38" s="32"/>
      <c r="K38" s="32"/>
      <c r="L38" s="32"/>
      <c r="M38" s="32"/>
      <c r="N38" s="32"/>
      <c r="O38" s="32"/>
      <c r="P38" s="32"/>
      <c r="Q38" s="32"/>
      <c r="R38" s="42"/>
      <c r="S38" s="41"/>
      <c r="T38" s="41"/>
      <c r="U38" s="41"/>
      <c r="V38" s="41"/>
      <c r="W38" s="41"/>
      <c r="X38" s="41"/>
      <c r="Y38" s="139"/>
      <c r="Z38" s="140"/>
      <c r="AA38" s="141"/>
      <c r="AB38" s="142"/>
      <c r="AC38" s="143"/>
      <c r="AD38" s="72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42"/>
      <c r="AT38" s="43"/>
      <c r="AU38" s="43"/>
      <c r="AV38" s="43"/>
      <c r="AW38" s="43"/>
      <c r="AX38" s="43"/>
      <c r="AY38" s="43"/>
      <c r="AZ38" s="43"/>
      <c r="BA38" s="43"/>
      <c r="BB38" s="43"/>
      <c r="BC38" s="43"/>
      <c r="BD38" s="68"/>
    </row>
    <row r="39" spans="1:56" ht="15" customHeight="1" x14ac:dyDescent="0.3">
      <c r="A39" s="54" t="str">
        <f>IF(B39="","",COUNTA($B$8:B39))</f>
        <v/>
      </c>
      <c r="B39" s="42"/>
      <c r="C39" s="41"/>
      <c r="D39" s="41"/>
      <c r="E39" s="41"/>
      <c r="F39" s="41"/>
      <c r="G39" s="41"/>
      <c r="H39" s="41"/>
      <c r="I39" s="42"/>
      <c r="J39" s="32"/>
      <c r="K39" s="32"/>
      <c r="L39" s="32"/>
      <c r="M39" s="32"/>
      <c r="N39" s="32"/>
      <c r="O39" s="32"/>
      <c r="P39" s="32"/>
      <c r="Q39" s="32"/>
      <c r="R39" s="42"/>
      <c r="S39" s="41"/>
      <c r="T39" s="41"/>
      <c r="U39" s="41"/>
      <c r="V39" s="41"/>
      <c r="W39" s="41"/>
      <c r="X39" s="41"/>
      <c r="Y39" s="139"/>
      <c r="Z39" s="140"/>
      <c r="AA39" s="141"/>
      <c r="AB39" s="142"/>
      <c r="AC39" s="143"/>
      <c r="AD39" s="72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42"/>
      <c r="AT39" s="43"/>
      <c r="AU39" s="43"/>
      <c r="AV39" s="43"/>
      <c r="AW39" s="43"/>
      <c r="AX39" s="43"/>
      <c r="AY39" s="43"/>
      <c r="AZ39" s="43"/>
      <c r="BA39" s="43"/>
      <c r="BB39" s="43"/>
      <c r="BC39" s="43"/>
      <c r="BD39" s="68"/>
    </row>
    <row r="40" spans="1:56" ht="15" customHeight="1" x14ac:dyDescent="0.3">
      <c r="A40" s="54" t="str">
        <f>IF(B40="","",COUNTA($B$8:B40))</f>
        <v/>
      </c>
      <c r="B40" s="42"/>
      <c r="C40" s="41"/>
      <c r="D40" s="41"/>
      <c r="E40" s="41"/>
      <c r="F40" s="41"/>
      <c r="G40" s="41"/>
      <c r="H40" s="41"/>
      <c r="I40" s="42"/>
      <c r="J40" s="32"/>
      <c r="K40" s="32"/>
      <c r="L40" s="32"/>
      <c r="M40" s="32"/>
      <c r="N40" s="32"/>
      <c r="O40" s="32"/>
      <c r="P40" s="32"/>
      <c r="Q40" s="32"/>
      <c r="R40" s="42"/>
      <c r="S40" s="41"/>
      <c r="T40" s="41"/>
      <c r="U40" s="41"/>
      <c r="V40" s="41"/>
      <c r="W40" s="41"/>
      <c r="X40" s="41"/>
      <c r="Y40" s="139"/>
      <c r="Z40" s="140"/>
      <c r="AA40" s="141"/>
      <c r="AB40" s="142"/>
      <c r="AC40" s="143"/>
      <c r="AD40" s="72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42"/>
      <c r="AT40" s="43"/>
      <c r="AU40" s="43"/>
      <c r="AV40" s="43"/>
      <c r="AW40" s="43"/>
      <c r="AX40" s="43"/>
      <c r="AY40" s="43"/>
      <c r="AZ40" s="43"/>
      <c r="BA40" s="43"/>
      <c r="BB40" s="43"/>
      <c r="BC40" s="43"/>
      <c r="BD40" s="68"/>
    </row>
    <row r="41" spans="1:56" ht="15" customHeight="1" x14ac:dyDescent="0.3">
      <c r="A41" s="54" t="str">
        <f>IF(B41="","",COUNTA($B$8:B41))</f>
        <v/>
      </c>
      <c r="B41" s="42"/>
      <c r="C41" s="41"/>
      <c r="D41" s="41"/>
      <c r="E41" s="41"/>
      <c r="F41" s="41"/>
      <c r="G41" s="41"/>
      <c r="H41" s="41"/>
      <c r="I41" s="42"/>
      <c r="J41" s="32"/>
      <c r="K41" s="32"/>
      <c r="L41" s="32"/>
      <c r="M41" s="32"/>
      <c r="N41" s="32"/>
      <c r="O41" s="32"/>
      <c r="P41" s="32"/>
      <c r="Q41" s="32"/>
      <c r="R41" s="42"/>
      <c r="S41" s="41"/>
      <c r="T41" s="41"/>
      <c r="U41" s="41"/>
      <c r="V41" s="41"/>
      <c r="W41" s="41"/>
      <c r="X41" s="41"/>
      <c r="Y41" s="139"/>
      <c r="Z41" s="140"/>
      <c r="AA41" s="141"/>
      <c r="AB41" s="142"/>
      <c r="AC41" s="143"/>
      <c r="AD41" s="72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42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68"/>
    </row>
    <row r="42" spans="1:56" ht="15" customHeight="1" x14ac:dyDescent="0.3">
      <c r="A42" s="54" t="str">
        <f>IF(B42="","",COUNTA($B$8:B42))</f>
        <v/>
      </c>
      <c r="B42" s="42"/>
      <c r="C42" s="41"/>
      <c r="D42" s="41"/>
      <c r="E42" s="41"/>
      <c r="F42" s="41"/>
      <c r="G42" s="41"/>
      <c r="H42" s="41"/>
      <c r="I42" s="42"/>
      <c r="J42" s="32"/>
      <c r="K42" s="32"/>
      <c r="L42" s="32"/>
      <c r="M42" s="32"/>
      <c r="N42" s="32"/>
      <c r="O42" s="32"/>
      <c r="P42" s="32"/>
      <c r="Q42" s="32"/>
      <c r="R42" s="42"/>
      <c r="S42" s="41"/>
      <c r="T42" s="41"/>
      <c r="U42" s="41"/>
      <c r="V42" s="41"/>
      <c r="W42" s="41"/>
      <c r="X42" s="41"/>
      <c r="Y42" s="139"/>
      <c r="Z42" s="140"/>
      <c r="AA42" s="141"/>
      <c r="AB42" s="142"/>
      <c r="AC42" s="143"/>
      <c r="AD42" s="72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42"/>
      <c r="AT42" s="43"/>
      <c r="AU42" s="43"/>
      <c r="AV42" s="43"/>
      <c r="AW42" s="43"/>
      <c r="AX42" s="43"/>
      <c r="AY42" s="43"/>
      <c r="AZ42" s="43"/>
      <c r="BA42" s="43"/>
      <c r="BB42" s="43"/>
      <c r="BC42" s="43"/>
      <c r="BD42" s="68"/>
    </row>
    <row r="43" spans="1:56" ht="15" customHeight="1" x14ac:dyDescent="0.3">
      <c r="A43" s="54" t="str">
        <f>IF(B43="","",COUNTA($B$8:B43))</f>
        <v/>
      </c>
      <c r="B43" s="42"/>
      <c r="C43" s="41"/>
      <c r="D43" s="41"/>
      <c r="E43" s="41"/>
      <c r="F43" s="41"/>
      <c r="G43" s="41"/>
      <c r="H43" s="41"/>
      <c r="I43" s="42"/>
      <c r="J43" s="32"/>
      <c r="K43" s="32"/>
      <c r="L43" s="32"/>
      <c r="M43" s="32"/>
      <c r="N43" s="32"/>
      <c r="O43" s="32"/>
      <c r="P43" s="32"/>
      <c r="Q43" s="32"/>
      <c r="R43" s="42"/>
      <c r="S43" s="41"/>
      <c r="T43" s="41"/>
      <c r="U43" s="41"/>
      <c r="V43" s="41"/>
      <c r="W43" s="41"/>
      <c r="X43" s="41"/>
      <c r="Y43" s="139"/>
      <c r="Z43" s="140"/>
      <c r="AA43" s="141"/>
      <c r="AB43" s="142"/>
      <c r="AC43" s="143"/>
      <c r="AD43" s="72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42"/>
      <c r="AT43" s="43"/>
      <c r="AU43" s="43"/>
      <c r="AV43" s="43"/>
      <c r="AW43" s="43"/>
      <c r="AX43" s="43"/>
      <c r="AY43" s="43"/>
      <c r="AZ43" s="43"/>
      <c r="BA43" s="43"/>
      <c r="BB43" s="43"/>
      <c r="BC43" s="43"/>
      <c r="BD43" s="68"/>
    </row>
    <row r="44" spans="1:56" ht="15" customHeight="1" x14ac:dyDescent="0.3">
      <c r="A44" s="54" t="str">
        <f>IF(B44="","",COUNTA($B$8:B44))</f>
        <v/>
      </c>
      <c r="B44" s="28"/>
      <c r="C44" s="41"/>
      <c r="D44" s="41"/>
      <c r="E44" s="41"/>
      <c r="F44" s="41"/>
      <c r="G44" s="41"/>
      <c r="H44" s="41"/>
      <c r="I44" s="20"/>
      <c r="J44" s="32"/>
      <c r="K44" s="32"/>
      <c r="L44" s="32"/>
      <c r="M44" s="32"/>
      <c r="N44" s="32"/>
      <c r="O44" s="32"/>
      <c r="P44" s="32"/>
      <c r="Q44" s="32"/>
      <c r="R44" s="28"/>
      <c r="S44" s="41"/>
      <c r="T44" s="41"/>
      <c r="U44" s="41"/>
      <c r="V44" s="41"/>
      <c r="W44" s="41"/>
      <c r="X44" s="41"/>
      <c r="Y44" s="139"/>
      <c r="Z44" s="140"/>
      <c r="AA44" s="141"/>
      <c r="AB44" s="142"/>
      <c r="AC44" s="143"/>
      <c r="AD44" s="55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8"/>
      <c r="AT44" s="69"/>
      <c r="AU44" s="69"/>
      <c r="AV44" s="69"/>
      <c r="AW44" s="69"/>
      <c r="AX44" s="69"/>
      <c r="AY44" s="69"/>
      <c r="AZ44" s="69"/>
      <c r="BA44" s="69"/>
      <c r="BB44" s="69"/>
      <c r="BC44" s="69"/>
      <c r="BD44" s="70"/>
    </row>
  </sheetData>
  <mergeCells count="104">
    <mergeCell ref="Y9:Z9"/>
    <mergeCell ref="AA9:AC9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G6:AG7"/>
    <mergeCell ref="AH6:AH7"/>
    <mergeCell ref="AI6:AR6"/>
    <mergeCell ref="AS6:BD7"/>
    <mergeCell ref="Y8:Z8"/>
    <mergeCell ref="AA8:AC8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Y10:Z10"/>
    <mergeCell ref="AA10:AC10"/>
    <mergeCell ref="Y11:Z11"/>
    <mergeCell ref="AA11:AC11"/>
    <mergeCell ref="Y12:Z12"/>
    <mergeCell ref="AA12:AC12"/>
    <mergeCell ref="Y18:Z18"/>
    <mergeCell ref="AA18:AC18"/>
    <mergeCell ref="Y19:Z19"/>
    <mergeCell ref="AA19:AC19"/>
    <mergeCell ref="Y15:Z15"/>
    <mergeCell ref="AA15:AC15"/>
    <mergeCell ref="Y16:Z16"/>
    <mergeCell ref="AA16:AC16"/>
    <mergeCell ref="Y17:Z17"/>
    <mergeCell ref="AA17:AC17"/>
    <mergeCell ref="Y23:Z23"/>
    <mergeCell ref="AA23:AC23"/>
    <mergeCell ref="Y24:Z24"/>
    <mergeCell ref="AA24:AC24"/>
    <mergeCell ref="Y25:Z25"/>
    <mergeCell ref="AA25:AC25"/>
    <mergeCell ref="AA21:AC21"/>
    <mergeCell ref="AA22:AC22"/>
    <mergeCell ref="Y13:Z13"/>
    <mergeCell ref="AA13:AC13"/>
    <mergeCell ref="Y14:Z14"/>
    <mergeCell ref="AA14:AC14"/>
    <mergeCell ref="Y20:Z20"/>
    <mergeCell ref="AA20:AC20"/>
    <mergeCell ref="Y29:Z29"/>
    <mergeCell ref="AA29:AC29"/>
    <mergeCell ref="Y30:Z30"/>
    <mergeCell ref="AA30:AC30"/>
    <mergeCell ref="Y31:Z31"/>
    <mergeCell ref="AA31:AC31"/>
    <mergeCell ref="Y26:Z26"/>
    <mergeCell ref="AA26:AC26"/>
    <mergeCell ref="Y27:Z27"/>
    <mergeCell ref="AA27:AC27"/>
    <mergeCell ref="Y28:Z28"/>
    <mergeCell ref="AA28:AC28"/>
    <mergeCell ref="Y35:Z35"/>
    <mergeCell ref="AA35:AC35"/>
    <mergeCell ref="Y36:Z36"/>
    <mergeCell ref="AA36:AC36"/>
    <mergeCell ref="Y37:Z37"/>
    <mergeCell ref="AA37:AC37"/>
    <mergeCell ref="Y32:Z32"/>
    <mergeCell ref="AA32:AC32"/>
    <mergeCell ref="Y33:Z33"/>
    <mergeCell ref="AA33:AC33"/>
    <mergeCell ref="Y34:Z34"/>
    <mergeCell ref="AA34:AC34"/>
    <mergeCell ref="Y43:Z43"/>
    <mergeCell ref="AA43:AC43"/>
    <mergeCell ref="Y44:Z44"/>
    <mergeCell ref="AA44:AC44"/>
    <mergeCell ref="Y41:Z41"/>
    <mergeCell ref="AA41:AC41"/>
    <mergeCell ref="Y42:Z42"/>
    <mergeCell ref="AA42:AC42"/>
    <mergeCell ref="Y38:Z38"/>
    <mergeCell ref="AA38:AC38"/>
    <mergeCell ref="Y39:Z39"/>
    <mergeCell ref="AA39:AC39"/>
    <mergeCell ref="Y40:Z40"/>
    <mergeCell ref="AA40:AC40"/>
  </mergeCells>
  <phoneticPr fontId="4"/>
  <dataValidations count="3">
    <dataValidation type="list" allowBlank="1" showInputMessage="1" showErrorMessage="1" sqref="AA13:AC14 AA8:AA12 AA15:AA44" xr:uid="{00000000-0002-0000-0C00-000000000000}">
      <formula1>"datetime,int,numeric,varchar,nvarchar"</formula1>
    </dataValidation>
    <dataValidation imeMode="hiragana" allowBlank="1" showInputMessage="1" showErrorMessage="1" sqref="JG65519:JR65521 TC65519:TN65521 ACY65519:ADJ65521 AMU65519:ANF65521 AWQ65519:AXB65521 BGM65519:BGX65521 BQI65519:BQT65521 CAE65519:CAP65521 CKA65519:CKL65521 CTW65519:CUH65521 DDS65519:DED65521 DNO65519:DNZ65521 DXK65519:DXV65521 EHG65519:EHR65521 ERC65519:ERN65521 FAY65519:FBJ65521 FKU65519:FLF65521 FUQ65519:FVB65521 GEM65519:GEX65521 GOI65519:GOT65521 GYE65519:GYP65521 HIA65519:HIL65521 HRW65519:HSH65521 IBS65519:ICD65521 ILO65519:ILZ65521 IVK65519:IVV65521 JFG65519:JFR65521 JPC65519:JPN65521 JYY65519:JZJ65521 KIU65519:KJF65521 KSQ65519:KTB65521 LCM65519:LCX65521 LMI65519:LMT65521 LWE65519:LWP65521 MGA65519:MGL65521 MPW65519:MQH65521 MZS65519:NAD65521 NJO65519:NJZ65521 NTK65519:NTV65521 ODG65519:ODR65521 ONC65519:ONN65521 OWY65519:OXJ65521 PGU65519:PHF65521 PQQ65519:PRB65521 QAM65519:QAX65521 QKI65519:QKT65521 QUE65519:QUP65521 REA65519:REL65521 RNW65519:ROH65521 RXS65519:RYD65521 SHO65519:SHZ65521 SRK65519:SRV65521 TBG65519:TBR65521 TLC65519:TLN65521 TUY65519:TVJ65521 UEU65519:UFF65521 UOQ65519:UPB65521 UYM65519:UYX65521 VII65519:VIT65521 VSE65519:VSP65521 WCA65519:WCL65521 WLW65519:WMH65521 WVS65519:WWD65521 JG131055:JR131057 TC131055:TN131057 ACY131055:ADJ131057 AMU131055:ANF131057 AWQ131055:AXB131057 BGM131055:BGX131057 BQI131055:BQT131057 CAE131055:CAP131057 CKA131055:CKL131057 CTW131055:CUH131057 DDS131055:DED131057 DNO131055:DNZ131057 DXK131055:DXV131057 EHG131055:EHR131057 ERC131055:ERN131057 FAY131055:FBJ131057 FKU131055:FLF131057 FUQ131055:FVB131057 GEM131055:GEX131057 GOI131055:GOT131057 GYE131055:GYP131057 HIA131055:HIL131057 HRW131055:HSH131057 IBS131055:ICD131057 ILO131055:ILZ131057 IVK131055:IVV131057 JFG131055:JFR131057 JPC131055:JPN131057 JYY131055:JZJ131057 KIU131055:KJF131057 KSQ131055:KTB131057 LCM131055:LCX131057 LMI131055:LMT131057 LWE131055:LWP131057 MGA131055:MGL131057 MPW131055:MQH131057 MZS131055:NAD131057 NJO131055:NJZ131057 NTK131055:NTV131057 ODG131055:ODR131057 ONC131055:ONN131057 OWY131055:OXJ131057 PGU131055:PHF131057 PQQ131055:PRB131057 QAM131055:QAX131057 QKI131055:QKT131057 QUE131055:QUP131057 REA131055:REL131057 RNW131055:ROH131057 RXS131055:RYD131057 SHO131055:SHZ131057 SRK131055:SRV131057 TBG131055:TBR131057 TLC131055:TLN131057 TUY131055:TVJ131057 UEU131055:UFF131057 UOQ131055:UPB131057 UYM131055:UYX131057 VII131055:VIT131057 VSE131055:VSP131057 WCA131055:WCL131057 WLW131055:WMH131057 WVS131055:WWD131057 JG196591:JR196593 TC196591:TN196593 ACY196591:ADJ196593 AMU196591:ANF196593 AWQ196591:AXB196593 BGM196591:BGX196593 BQI196591:BQT196593 CAE196591:CAP196593 CKA196591:CKL196593 CTW196591:CUH196593 DDS196591:DED196593 DNO196591:DNZ196593 DXK196591:DXV196593 EHG196591:EHR196593 ERC196591:ERN196593 FAY196591:FBJ196593 FKU196591:FLF196593 FUQ196591:FVB196593 GEM196591:GEX196593 GOI196591:GOT196593 GYE196591:GYP196593 HIA196591:HIL196593 HRW196591:HSH196593 IBS196591:ICD196593 ILO196591:ILZ196593 IVK196591:IVV196593 JFG196591:JFR196593 JPC196591:JPN196593 JYY196591:JZJ196593 KIU196591:KJF196593 KSQ196591:KTB196593 LCM196591:LCX196593 LMI196591:LMT196593 LWE196591:LWP196593 MGA196591:MGL196593 MPW196591:MQH196593 MZS196591:NAD196593 NJO196591:NJZ196593 NTK196591:NTV196593 ODG196591:ODR196593 ONC196591:ONN196593 OWY196591:OXJ196593 PGU196591:PHF196593 PQQ196591:PRB196593 QAM196591:QAX196593 QKI196591:QKT196593 QUE196591:QUP196593 REA196591:REL196593 RNW196591:ROH196593 RXS196591:RYD196593 SHO196591:SHZ196593 SRK196591:SRV196593 TBG196591:TBR196593 TLC196591:TLN196593 TUY196591:TVJ196593 UEU196591:UFF196593 UOQ196591:UPB196593 UYM196591:UYX196593 VII196591:VIT196593 VSE196591:VSP196593 WCA196591:WCL196593 WLW196591:WMH196593 WVS196591:WWD196593 JG262127:JR262129 TC262127:TN262129 ACY262127:ADJ262129 AMU262127:ANF262129 AWQ262127:AXB262129 BGM262127:BGX262129 BQI262127:BQT262129 CAE262127:CAP262129 CKA262127:CKL262129 CTW262127:CUH262129 DDS262127:DED262129 DNO262127:DNZ262129 DXK262127:DXV262129 EHG262127:EHR262129 ERC262127:ERN262129 FAY262127:FBJ262129 FKU262127:FLF262129 FUQ262127:FVB262129 GEM262127:GEX262129 GOI262127:GOT262129 GYE262127:GYP262129 HIA262127:HIL262129 HRW262127:HSH262129 IBS262127:ICD262129 ILO262127:ILZ262129 IVK262127:IVV262129 JFG262127:JFR262129 JPC262127:JPN262129 JYY262127:JZJ262129 KIU262127:KJF262129 KSQ262127:KTB262129 LCM262127:LCX262129 LMI262127:LMT262129 LWE262127:LWP262129 MGA262127:MGL262129 MPW262127:MQH262129 MZS262127:NAD262129 NJO262127:NJZ262129 NTK262127:NTV262129 ODG262127:ODR262129 ONC262127:ONN262129 OWY262127:OXJ262129 PGU262127:PHF262129 PQQ262127:PRB262129 QAM262127:QAX262129 QKI262127:QKT262129 QUE262127:QUP262129 REA262127:REL262129 RNW262127:ROH262129 RXS262127:RYD262129 SHO262127:SHZ262129 SRK262127:SRV262129 TBG262127:TBR262129 TLC262127:TLN262129 TUY262127:TVJ262129 UEU262127:UFF262129 UOQ262127:UPB262129 UYM262127:UYX262129 VII262127:VIT262129 VSE262127:VSP262129 WCA262127:WCL262129 WLW262127:WMH262129 WVS262127:WWD262129 JG327663:JR327665 TC327663:TN327665 ACY327663:ADJ327665 AMU327663:ANF327665 AWQ327663:AXB327665 BGM327663:BGX327665 BQI327663:BQT327665 CAE327663:CAP327665 CKA327663:CKL327665 CTW327663:CUH327665 DDS327663:DED327665 DNO327663:DNZ327665 DXK327663:DXV327665 EHG327663:EHR327665 ERC327663:ERN327665 FAY327663:FBJ327665 FKU327663:FLF327665 FUQ327663:FVB327665 GEM327663:GEX327665 GOI327663:GOT327665 GYE327663:GYP327665 HIA327663:HIL327665 HRW327663:HSH327665 IBS327663:ICD327665 ILO327663:ILZ327665 IVK327663:IVV327665 JFG327663:JFR327665 JPC327663:JPN327665 JYY327663:JZJ327665 KIU327663:KJF327665 KSQ327663:KTB327665 LCM327663:LCX327665 LMI327663:LMT327665 LWE327663:LWP327665 MGA327663:MGL327665 MPW327663:MQH327665 MZS327663:NAD327665 NJO327663:NJZ327665 NTK327663:NTV327665 ODG327663:ODR327665 ONC327663:ONN327665 OWY327663:OXJ327665 PGU327663:PHF327665 PQQ327663:PRB327665 QAM327663:QAX327665 QKI327663:QKT327665 QUE327663:QUP327665 REA327663:REL327665 RNW327663:ROH327665 RXS327663:RYD327665 SHO327663:SHZ327665 SRK327663:SRV327665 TBG327663:TBR327665 TLC327663:TLN327665 TUY327663:TVJ327665 UEU327663:UFF327665 UOQ327663:UPB327665 UYM327663:UYX327665 VII327663:VIT327665 VSE327663:VSP327665 WCA327663:WCL327665 WLW327663:WMH327665 WVS327663:WWD327665 JG393199:JR393201 TC393199:TN393201 ACY393199:ADJ393201 AMU393199:ANF393201 AWQ393199:AXB393201 BGM393199:BGX393201 BQI393199:BQT393201 CAE393199:CAP393201 CKA393199:CKL393201 CTW393199:CUH393201 DDS393199:DED393201 DNO393199:DNZ393201 DXK393199:DXV393201 EHG393199:EHR393201 ERC393199:ERN393201 FAY393199:FBJ393201 FKU393199:FLF393201 FUQ393199:FVB393201 GEM393199:GEX393201 GOI393199:GOT393201 GYE393199:GYP393201 HIA393199:HIL393201 HRW393199:HSH393201 IBS393199:ICD393201 ILO393199:ILZ393201 IVK393199:IVV393201 JFG393199:JFR393201 JPC393199:JPN393201 JYY393199:JZJ393201 KIU393199:KJF393201 KSQ393199:KTB393201 LCM393199:LCX393201 LMI393199:LMT393201 LWE393199:LWP393201 MGA393199:MGL393201 MPW393199:MQH393201 MZS393199:NAD393201 NJO393199:NJZ393201 NTK393199:NTV393201 ODG393199:ODR393201 ONC393199:ONN393201 OWY393199:OXJ393201 PGU393199:PHF393201 PQQ393199:PRB393201 QAM393199:QAX393201 QKI393199:QKT393201 QUE393199:QUP393201 REA393199:REL393201 RNW393199:ROH393201 RXS393199:RYD393201 SHO393199:SHZ393201 SRK393199:SRV393201 TBG393199:TBR393201 TLC393199:TLN393201 TUY393199:TVJ393201 UEU393199:UFF393201 UOQ393199:UPB393201 UYM393199:UYX393201 VII393199:VIT393201 VSE393199:VSP393201 WCA393199:WCL393201 WLW393199:WMH393201 WVS393199:WWD393201 JG458735:JR458737 TC458735:TN458737 ACY458735:ADJ458737 AMU458735:ANF458737 AWQ458735:AXB458737 BGM458735:BGX458737 BQI458735:BQT458737 CAE458735:CAP458737 CKA458735:CKL458737 CTW458735:CUH458737 DDS458735:DED458737 DNO458735:DNZ458737 DXK458735:DXV458737 EHG458735:EHR458737 ERC458735:ERN458737 FAY458735:FBJ458737 FKU458735:FLF458737 FUQ458735:FVB458737 GEM458735:GEX458737 GOI458735:GOT458737 GYE458735:GYP458737 HIA458735:HIL458737 HRW458735:HSH458737 IBS458735:ICD458737 ILO458735:ILZ458737 IVK458735:IVV458737 JFG458735:JFR458737 JPC458735:JPN458737 JYY458735:JZJ458737 KIU458735:KJF458737 KSQ458735:KTB458737 LCM458735:LCX458737 LMI458735:LMT458737 LWE458735:LWP458737 MGA458735:MGL458737 MPW458735:MQH458737 MZS458735:NAD458737 NJO458735:NJZ458737 NTK458735:NTV458737 ODG458735:ODR458737 ONC458735:ONN458737 OWY458735:OXJ458737 PGU458735:PHF458737 PQQ458735:PRB458737 QAM458735:QAX458737 QKI458735:QKT458737 QUE458735:QUP458737 REA458735:REL458737 RNW458735:ROH458737 RXS458735:RYD458737 SHO458735:SHZ458737 SRK458735:SRV458737 TBG458735:TBR458737 TLC458735:TLN458737 TUY458735:TVJ458737 UEU458735:UFF458737 UOQ458735:UPB458737 UYM458735:UYX458737 VII458735:VIT458737 VSE458735:VSP458737 WCA458735:WCL458737 WLW458735:WMH458737 WVS458735:WWD458737 JG524271:JR524273 TC524271:TN524273 ACY524271:ADJ524273 AMU524271:ANF524273 AWQ524271:AXB524273 BGM524271:BGX524273 BQI524271:BQT524273 CAE524271:CAP524273 CKA524271:CKL524273 CTW524271:CUH524273 DDS524271:DED524273 DNO524271:DNZ524273 DXK524271:DXV524273 EHG524271:EHR524273 ERC524271:ERN524273 FAY524271:FBJ524273 FKU524271:FLF524273 FUQ524271:FVB524273 GEM524271:GEX524273 GOI524271:GOT524273 GYE524271:GYP524273 HIA524271:HIL524273 HRW524271:HSH524273 IBS524271:ICD524273 ILO524271:ILZ524273 IVK524271:IVV524273 JFG524271:JFR524273 JPC524271:JPN524273 JYY524271:JZJ524273 KIU524271:KJF524273 KSQ524271:KTB524273 LCM524271:LCX524273 LMI524271:LMT524273 LWE524271:LWP524273 MGA524271:MGL524273 MPW524271:MQH524273 MZS524271:NAD524273 NJO524271:NJZ524273 NTK524271:NTV524273 ODG524271:ODR524273 ONC524271:ONN524273 OWY524271:OXJ524273 PGU524271:PHF524273 PQQ524271:PRB524273 QAM524271:QAX524273 QKI524271:QKT524273 QUE524271:QUP524273 REA524271:REL524273 RNW524271:ROH524273 RXS524271:RYD524273 SHO524271:SHZ524273 SRK524271:SRV524273 TBG524271:TBR524273 TLC524271:TLN524273 TUY524271:TVJ524273 UEU524271:UFF524273 UOQ524271:UPB524273 UYM524271:UYX524273 VII524271:VIT524273 VSE524271:VSP524273 WCA524271:WCL524273 WLW524271:WMH524273 WVS524271:WWD524273 JG589807:JR589809 TC589807:TN589809 ACY589807:ADJ589809 AMU589807:ANF589809 AWQ589807:AXB589809 BGM589807:BGX589809 BQI589807:BQT589809 CAE589807:CAP589809 CKA589807:CKL589809 CTW589807:CUH589809 DDS589807:DED589809 DNO589807:DNZ589809 DXK589807:DXV589809 EHG589807:EHR589809 ERC589807:ERN589809 FAY589807:FBJ589809 FKU589807:FLF589809 FUQ589807:FVB589809 GEM589807:GEX589809 GOI589807:GOT589809 GYE589807:GYP589809 HIA589807:HIL589809 HRW589807:HSH589809 IBS589807:ICD589809 ILO589807:ILZ589809 IVK589807:IVV589809 JFG589807:JFR589809 JPC589807:JPN589809 JYY589807:JZJ589809 KIU589807:KJF589809 KSQ589807:KTB589809 LCM589807:LCX589809 LMI589807:LMT589809 LWE589807:LWP589809 MGA589807:MGL589809 MPW589807:MQH589809 MZS589807:NAD589809 NJO589807:NJZ589809 NTK589807:NTV589809 ODG589807:ODR589809 ONC589807:ONN589809 OWY589807:OXJ589809 PGU589807:PHF589809 PQQ589807:PRB589809 QAM589807:QAX589809 QKI589807:QKT589809 QUE589807:QUP589809 REA589807:REL589809 RNW589807:ROH589809 RXS589807:RYD589809 SHO589807:SHZ589809 SRK589807:SRV589809 TBG589807:TBR589809 TLC589807:TLN589809 TUY589807:TVJ589809 UEU589807:UFF589809 UOQ589807:UPB589809 UYM589807:UYX589809 VII589807:VIT589809 VSE589807:VSP589809 WCA589807:WCL589809 WLW589807:WMH589809 WVS589807:WWD589809 JG655343:JR655345 TC655343:TN655345 ACY655343:ADJ655345 AMU655343:ANF655345 AWQ655343:AXB655345 BGM655343:BGX655345 BQI655343:BQT655345 CAE655343:CAP655345 CKA655343:CKL655345 CTW655343:CUH655345 DDS655343:DED655345 DNO655343:DNZ655345 DXK655343:DXV655345 EHG655343:EHR655345 ERC655343:ERN655345 FAY655343:FBJ655345 FKU655343:FLF655345 FUQ655343:FVB655345 GEM655343:GEX655345 GOI655343:GOT655345 GYE655343:GYP655345 HIA655343:HIL655345 HRW655343:HSH655345 IBS655343:ICD655345 ILO655343:ILZ655345 IVK655343:IVV655345 JFG655343:JFR655345 JPC655343:JPN655345 JYY655343:JZJ655345 KIU655343:KJF655345 KSQ655343:KTB655345 LCM655343:LCX655345 LMI655343:LMT655345 LWE655343:LWP655345 MGA655343:MGL655345 MPW655343:MQH655345 MZS655343:NAD655345 NJO655343:NJZ655345 NTK655343:NTV655345 ODG655343:ODR655345 ONC655343:ONN655345 OWY655343:OXJ655345 PGU655343:PHF655345 PQQ655343:PRB655345 QAM655343:QAX655345 QKI655343:QKT655345 QUE655343:QUP655345 REA655343:REL655345 RNW655343:ROH655345 RXS655343:RYD655345 SHO655343:SHZ655345 SRK655343:SRV655345 TBG655343:TBR655345 TLC655343:TLN655345 TUY655343:TVJ655345 UEU655343:UFF655345 UOQ655343:UPB655345 UYM655343:UYX655345 VII655343:VIT655345 VSE655343:VSP655345 WCA655343:WCL655345 WLW655343:WMH655345 WVS655343:WWD655345 JG720879:JR720881 TC720879:TN720881 ACY720879:ADJ720881 AMU720879:ANF720881 AWQ720879:AXB720881 BGM720879:BGX720881 BQI720879:BQT720881 CAE720879:CAP720881 CKA720879:CKL720881 CTW720879:CUH720881 DDS720879:DED720881 DNO720879:DNZ720881 DXK720879:DXV720881 EHG720879:EHR720881 ERC720879:ERN720881 FAY720879:FBJ720881 FKU720879:FLF720881 FUQ720879:FVB720881 GEM720879:GEX720881 GOI720879:GOT720881 GYE720879:GYP720881 HIA720879:HIL720881 HRW720879:HSH720881 IBS720879:ICD720881 ILO720879:ILZ720881 IVK720879:IVV720881 JFG720879:JFR720881 JPC720879:JPN720881 JYY720879:JZJ720881 KIU720879:KJF720881 KSQ720879:KTB720881 LCM720879:LCX720881 LMI720879:LMT720881 LWE720879:LWP720881 MGA720879:MGL720881 MPW720879:MQH720881 MZS720879:NAD720881 NJO720879:NJZ720881 NTK720879:NTV720881 ODG720879:ODR720881 ONC720879:ONN720881 OWY720879:OXJ720881 PGU720879:PHF720881 PQQ720879:PRB720881 QAM720879:QAX720881 QKI720879:QKT720881 QUE720879:QUP720881 REA720879:REL720881 RNW720879:ROH720881 RXS720879:RYD720881 SHO720879:SHZ720881 SRK720879:SRV720881 TBG720879:TBR720881 TLC720879:TLN720881 TUY720879:TVJ720881 UEU720879:UFF720881 UOQ720879:UPB720881 UYM720879:UYX720881 VII720879:VIT720881 VSE720879:VSP720881 WCA720879:WCL720881 WLW720879:WMH720881 WVS720879:WWD720881 JG786415:JR786417 TC786415:TN786417 ACY786415:ADJ786417 AMU786415:ANF786417 AWQ786415:AXB786417 BGM786415:BGX786417 BQI786415:BQT786417 CAE786415:CAP786417 CKA786415:CKL786417 CTW786415:CUH786417 DDS786415:DED786417 DNO786415:DNZ786417 DXK786415:DXV786417 EHG786415:EHR786417 ERC786415:ERN786417 FAY786415:FBJ786417 FKU786415:FLF786417 FUQ786415:FVB786417 GEM786415:GEX786417 GOI786415:GOT786417 GYE786415:GYP786417 HIA786415:HIL786417 HRW786415:HSH786417 IBS786415:ICD786417 ILO786415:ILZ786417 IVK786415:IVV786417 JFG786415:JFR786417 JPC786415:JPN786417 JYY786415:JZJ786417 KIU786415:KJF786417 KSQ786415:KTB786417 LCM786415:LCX786417 LMI786415:LMT786417 LWE786415:LWP786417 MGA786415:MGL786417 MPW786415:MQH786417 MZS786415:NAD786417 NJO786415:NJZ786417 NTK786415:NTV786417 ODG786415:ODR786417 ONC786415:ONN786417 OWY786415:OXJ786417 PGU786415:PHF786417 PQQ786415:PRB786417 QAM786415:QAX786417 QKI786415:QKT786417 QUE786415:QUP786417 REA786415:REL786417 RNW786415:ROH786417 RXS786415:RYD786417 SHO786415:SHZ786417 SRK786415:SRV786417 TBG786415:TBR786417 TLC786415:TLN786417 TUY786415:TVJ786417 UEU786415:UFF786417 UOQ786415:UPB786417 UYM786415:UYX786417 VII786415:VIT786417 VSE786415:VSP786417 WCA786415:WCL786417 WLW786415:WMH786417 WVS786415:WWD786417 JG851951:JR851953 TC851951:TN851953 ACY851951:ADJ851953 AMU851951:ANF851953 AWQ851951:AXB851953 BGM851951:BGX851953 BQI851951:BQT851953 CAE851951:CAP851953 CKA851951:CKL851953 CTW851951:CUH851953 DDS851951:DED851953 DNO851951:DNZ851953 DXK851951:DXV851953 EHG851951:EHR851953 ERC851951:ERN851953 FAY851951:FBJ851953 FKU851951:FLF851953 FUQ851951:FVB851953 GEM851951:GEX851953 GOI851951:GOT851953 GYE851951:GYP851953 HIA851951:HIL851953 HRW851951:HSH851953 IBS851951:ICD851953 ILO851951:ILZ851953 IVK851951:IVV851953 JFG851951:JFR851953 JPC851951:JPN851953 JYY851951:JZJ851953 KIU851951:KJF851953 KSQ851951:KTB851953 LCM851951:LCX851953 LMI851951:LMT851953 LWE851951:LWP851953 MGA851951:MGL851953 MPW851951:MQH851953 MZS851951:NAD851953 NJO851951:NJZ851953 NTK851951:NTV851953 ODG851951:ODR851953 ONC851951:ONN851953 OWY851951:OXJ851953 PGU851951:PHF851953 PQQ851951:PRB851953 QAM851951:QAX851953 QKI851951:QKT851953 QUE851951:QUP851953 REA851951:REL851953 RNW851951:ROH851953 RXS851951:RYD851953 SHO851951:SHZ851953 SRK851951:SRV851953 TBG851951:TBR851953 TLC851951:TLN851953 TUY851951:TVJ851953 UEU851951:UFF851953 UOQ851951:UPB851953 UYM851951:UYX851953 VII851951:VIT851953 VSE851951:VSP851953 WCA851951:WCL851953 WLW851951:WMH851953 WVS851951:WWD851953 JG917487:JR917489 TC917487:TN917489 ACY917487:ADJ917489 AMU917487:ANF917489 AWQ917487:AXB917489 BGM917487:BGX917489 BQI917487:BQT917489 CAE917487:CAP917489 CKA917487:CKL917489 CTW917487:CUH917489 DDS917487:DED917489 DNO917487:DNZ917489 DXK917487:DXV917489 EHG917487:EHR917489 ERC917487:ERN917489 FAY917487:FBJ917489 FKU917487:FLF917489 FUQ917487:FVB917489 GEM917487:GEX917489 GOI917487:GOT917489 GYE917487:GYP917489 HIA917487:HIL917489 HRW917487:HSH917489 IBS917487:ICD917489 ILO917487:ILZ917489 IVK917487:IVV917489 JFG917487:JFR917489 JPC917487:JPN917489 JYY917487:JZJ917489 KIU917487:KJF917489 KSQ917487:KTB917489 LCM917487:LCX917489 LMI917487:LMT917489 LWE917487:LWP917489 MGA917487:MGL917489 MPW917487:MQH917489 MZS917487:NAD917489 NJO917487:NJZ917489 NTK917487:NTV917489 ODG917487:ODR917489 ONC917487:ONN917489 OWY917487:OXJ917489 PGU917487:PHF917489 PQQ917487:PRB917489 QAM917487:QAX917489 QKI917487:QKT917489 QUE917487:QUP917489 REA917487:REL917489 RNW917487:ROH917489 RXS917487:RYD917489 SHO917487:SHZ917489 SRK917487:SRV917489 TBG917487:TBR917489 TLC917487:TLN917489 TUY917487:TVJ917489 UEU917487:UFF917489 UOQ917487:UPB917489 UYM917487:UYX917489 VII917487:VIT917489 VSE917487:VSP917489 WCA917487:WCL917489 WLW917487:WMH917489 WVS917487:WWD917489 JG983023:JR983025 TC983023:TN983025 ACY983023:ADJ983025 AMU983023:ANF983025 AWQ983023:AXB983025 BGM983023:BGX983025 BQI983023:BQT983025 CAE983023:CAP983025 CKA983023:CKL983025 CTW983023:CUH983025 DDS983023:DED983025 DNO983023:DNZ983025 DXK983023:DXV983025 EHG983023:EHR983025 ERC983023:ERN983025 FAY983023:FBJ983025 FKU983023:FLF983025 FUQ983023:FVB983025 GEM983023:GEX983025 GOI983023:GOT983025 GYE983023:GYP983025 HIA983023:HIL983025 HRW983023:HSH983025 IBS983023:ICD983025 ILO983023:ILZ983025 IVK983023:IVV983025 JFG983023:JFR983025 JPC983023:JPN983025 JYY983023:JZJ983025 KIU983023:KJF983025 KSQ983023:KTB983025 LCM983023:LCX983025 LMI983023:LMT983025 LWE983023:LWP983025 MGA983023:MGL983025 MPW983023:MQH983025 MZS983023:NAD983025 NJO983023:NJZ983025 NTK983023:NTV983025 ODG983023:ODR983025 ONC983023:ONN983025 OWY983023:OXJ983025 PGU983023:PHF983025 PQQ983023:PRB983025 QAM983023:QAX983025 QKI983023:QKT983025 QUE983023:QUP983025 REA983023:REL983025 RNW983023:ROH983025 RXS983023:RYD983025 SHO983023:SHZ983025 SRK983023:SRV983025 TBG983023:TBR983025 TLC983023:TLN983025 TUY983023:TVJ983025 UEU983023:UFF983025 UOQ983023:UPB983025 UYM983023:UYX983025 VII983023:VIT983025 VSE983023:VSP983025 WCA983023:WCL983025 WLW983023:WMH983025 WVS983023:WWD983025 WVS983028:WWD983030 JG65524:JR65526 TC65524:TN65526 ACY65524:ADJ65526 AMU65524:ANF65526 AWQ65524:AXB65526 BGM65524:BGX65526 BQI65524:BQT65526 CAE65524:CAP65526 CKA65524:CKL65526 CTW65524:CUH65526 DDS65524:DED65526 DNO65524:DNZ65526 DXK65524:DXV65526 EHG65524:EHR65526 ERC65524:ERN65526 FAY65524:FBJ65526 FKU65524:FLF65526 FUQ65524:FVB65526 GEM65524:GEX65526 GOI65524:GOT65526 GYE65524:GYP65526 HIA65524:HIL65526 HRW65524:HSH65526 IBS65524:ICD65526 ILO65524:ILZ65526 IVK65524:IVV65526 JFG65524:JFR65526 JPC65524:JPN65526 JYY65524:JZJ65526 KIU65524:KJF65526 KSQ65524:KTB65526 LCM65524:LCX65526 LMI65524:LMT65526 LWE65524:LWP65526 MGA65524:MGL65526 MPW65524:MQH65526 MZS65524:NAD65526 NJO65524:NJZ65526 NTK65524:NTV65526 ODG65524:ODR65526 ONC65524:ONN65526 OWY65524:OXJ65526 PGU65524:PHF65526 PQQ65524:PRB65526 QAM65524:QAX65526 QKI65524:QKT65526 QUE65524:QUP65526 REA65524:REL65526 RNW65524:ROH65526 RXS65524:RYD65526 SHO65524:SHZ65526 SRK65524:SRV65526 TBG65524:TBR65526 TLC65524:TLN65526 TUY65524:TVJ65526 UEU65524:UFF65526 UOQ65524:UPB65526 UYM65524:UYX65526 VII65524:VIT65526 VSE65524:VSP65526 WCA65524:WCL65526 WLW65524:WMH65526 WVS65524:WWD65526 JG131060:JR131062 TC131060:TN131062 ACY131060:ADJ131062 AMU131060:ANF131062 AWQ131060:AXB131062 BGM131060:BGX131062 BQI131060:BQT131062 CAE131060:CAP131062 CKA131060:CKL131062 CTW131060:CUH131062 DDS131060:DED131062 DNO131060:DNZ131062 DXK131060:DXV131062 EHG131060:EHR131062 ERC131060:ERN131062 FAY131060:FBJ131062 FKU131060:FLF131062 FUQ131060:FVB131062 GEM131060:GEX131062 GOI131060:GOT131062 GYE131060:GYP131062 HIA131060:HIL131062 HRW131060:HSH131062 IBS131060:ICD131062 ILO131060:ILZ131062 IVK131060:IVV131062 JFG131060:JFR131062 JPC131060:JPN131062 JYY131060:JZJ131062 KIU131060:KJF131062 KSQ131060:KTB131062 LCM131060:LCX131062 LMI131060:LMT131062 LWE131060:LWP131062 MGA131060:MGL131062 MPW131060:MQH131062 MZS131060:NAD131062 NJO131060:NJZ131062 NTK131060:NTV131062 ODG131060:ODR131062 ONC131060:ONN131062 OWY131060:OXJ131062 PGU131060:PHF131062 PQQ131060:PRB131062 QAM131060:QAX131062 QKI131060:QKT131062 QUE131060:QUP131062 REA131060:REL131062 RNW131060:ROH131062 RXS131060:RYD131062 SHO131060:SHZ131062 SRK131060:SRV131062 TBG131060:TBR131062 TLC131060:TLN131062 TUY131060:TVJ131062 UEU131060:UFF131062 UOQ131060:UPB131062 UYM131060:UYX131062 VII131060:VIT131062 VSE131060:VSP131062 WCA131060:WCL131062 WLW131060:WMH131062 WVS131060:WWD131062 JG196596:JR196598 TC196596:TN196598 ACY196596:ADJ196598 AMU196596:ANF196598 AWQ196596:AXB196598 BGM196596:BGX196598 BQI196596:BQT196598 CAE196596:CAP196598 CKA196596:CKL196598 CTW196596:CUH196598 DDS196596:DED196598 DNO196596:DNZ196598 DXK196596:DXV196598 EHG196596:EHR196598 ERC196596:ERN196598 FAY196596:FBJ196598 FKU196596:FLF196598 FUQ196596:FVB196598 GEM196596:GEX196598 GOI196596:GOT196598 GYE196596:GYP196598 HIA196596:HIL196598 HRW196596:HSH196598 IBS196596:ICD196598 ILO196596:ILZ196598 IVK196596:IVV196598 JFG196596:JFR196598 JPC196596:JPN196598 JYY196596:JZJ196598 KIU196596:KJF196598 KSQ196596:KTB196598 LCM196596:LCX196598 LMI196596:LMT196598 LWE196596:LWP196598 MGA196596:MGL196598 MPW196596:MQH196598 MZS196596:NAD196598 NJO196596:NJZ196598 NTK196596:NTV196598 ODG196596:ODR196598 ONC196596:ONN196598 OWY196596:OXJ196598 PGU196596:PHF196598 PQQ196596:PRB196598 QAM196596:QAX196598 QKI196596:QKT196598 QUE196596:QUP196598 REA196596:REL196598 RNW196596:ROH196598 RXS196596:RYD196598 SHO196596:SHZ196598 SRK196596:SRV196598 TBG196596:TBR196598 TLC196596:TLN196598 TUY196596:TVJ196598 UEU196596:UFF196598 UOQ196596:UPB196598 UYM196596:UYX196598 VII196596:VIT196598 VSE196596:VSP196598 WCA196596:WCL196598 WLW196596:WMH196598 WVS196596:WWD196598 JG262132:JR262134 TC262132:TN262134 ACY262132:ADJ262134 AMU262132:ANF262134 AWQ262132:AXB262134 BGM262132:BGX262134 BQI262132:BQT262134 CAE262132:CAP262134 CKA262132:CKL262134 CTW262132:CUH262134 DDS262132:DED262134 DNO262132:DNZ262134 DXK262132:DXV262134 EHG262132:EHR262134 ERC262132:ERN262134 FAY262132:FBJ262134 FKU262132:FLF262134 FUQ262132:FVB262134 GEM262132:GEX262134 GOI262132:GOT262134 GYE262132:GYP262134 HIA262132:HIL262134 HRW262132:HSH262134 IBS262132:ICD262134 ILO262132:ILZ262134 IVK262132:IVV262134 JFG262132:JFR262134 JPC262132:JPN262134 JYY262132:JZJ262134 KIU262132:KJF262134 KSQ262132:KTB262134 LCM262132:LCX262134 LMI262132:LMT262134 LWE262132:LWP262134 MGA262132:MGL262134 MPW262132:MQH262134 MZS262132:NAD262134 NJO262132:NJZ262134 NTK262132:NTV262134 ODG262132:ODR262134 ONC262132:ONN262134 OWY262132:OXJ262134 PGU262132:PHF262134 PQQ262132:PRB262134 QAM262132:QAX262134 QKI262132:QKT262134 QUE262132:QUP262134 REA262132:REL262134 RNW262132:ROH262134 RXS262132:RYD262134 SHO262132:SHZ262134 SRK262132:SRV262134 TBG262132:TBR262134 TLC262132:TLN262134 TUY262132:TVJ262134 UEU262132:UFF262134 UOQ262132:UPB262134 UYM262132:UYX262134 VII262132:VIT262134 VSE262132:VSP262134 WCA262132:WCL262134 WLW262132:WMH262134 WVS262132:WWD262134 JG327668:JR327670 TC327668:TN327670 ACY327668:ADJ327670 AMU327668:ANF327670 AWQ327668:AXB327670 BGM327668:BGX327670 BQI327668:BQT327670 CAE327668:CAP327670 CKA327668:CKL327670 CTW327668:CUH327670 DDS327668:DED327670 DNO327668:DNZ327670 DXK327668:DXV327670 EHG327668:EHR327670 ERC327668:ERN327670 FAY327668:FBJ327670 FKU327668:FLF327670 FUQ327668:FVB327670 GEM327668:GEX327670 GOI327668:GOT327670 GYE327668:GYP327670 HIA327668:HIL327670 HRW327668:HSH327670 IBS327668:ICD327670 ILO327668:ILZ327670 IVK327668:IVV327670 JFG327668:JFR327670 JPC327668:JPN327670 JYY327668:JZJ327670 KIU327668:KJF327670 KSQ327668:KTB327670 LCM327668:LCX327670 LMI327668:LMT327670 LWE327668:LWP327670 MGA327668:MGL327670 MPW327668:MQH327670 MZS327668:NAD327670 NJO327668:NJZ327670 NTK327668:NTV327670 ODG327668:ODR327670 ONC327668:ONN327670 OWY327668:OXJ327670 PGU327668:PHF327670 PQQ327668:PRB327670 QAM327668:QAX327670 QKI327668:QKT327670 QUE327668:QUP327670 REA327668:REL327670 RNW327668:ROH327670 RXS327668:RYD327670 SHO327668:SHZ327670 SRK327668:SRV327670 TBG327668:TBR327670 TLC327668:TLN327670 TUY327668:TVJ327670 UEU327668:UFF327670 UOQ327668:UPB327670 UYM327668:UYX327670 VII327668:VIT327670 VSE327668:VSP327670 WCA327668:WCL327670 WLW327668:WMH327670 WVS327668:WWD327670 JG393204:JR393206 TC393204:TN393206 ACY393204:ADJ393206 AMU393204:ANF393206 AWQ393204:AXB393206 BGM393204:BGX393206 BQI393204:BQT393206 CAE393204:CAP393206 CKA393204:CKL393206 CTW393204:CUH393206 DDS393204:DED393206 DNO393204:DNZ393206 DXK393204:DXV393206 EHG393204:EHR393206 ERC393204:ERN393206 FAY393204:FBJ393206 FKU393204:FLF393206 FUQ393204:FVB393206 GEM393204:GEX393206 GOI393204:GOT393206 GYE393204:GYP393206 HIA393204:HIL393206 HRW393204:HSH393206 IBS393204:ICD393206 ILO393204:ILZ393206 IVK393204:IVV393206 JFG393204:JFR393206 JPC393204:JPN393206 JYY393204:JZJ393206 KIU393204:KJF393206 KSQ393204:KTB393206 LCM393204:LCX393206 LMI393204:LMT393206 LWE393204:LWP393206 MGA393204:MGL393206 MPW393204:MQH393206 MZS393204:NAD393206 NJO393204:NJZ393206 NTK393204:NTV393206 ODG393204:ODR393206 ONC393204:ONN393206 OWY393204:OXJ393206 PGU393204:PHF393206 PQQ393204:PRB393206 QAM393204:QAX393206 QKI393204:QKT393206 QUE393204:QUP393206 REA393204:REL393206 RNW393204:ROH393206 RXS393204:RYD393206 SHO393204:SHZ393206 SRK393204:SRV393206 TBG393204:TBR393206 TLC393204:TLN393206 TUY393204:TVJ393206 UEU393204:UFF393206 UOQ393204:UPB393206 UYM393204:UYX393206 VII393204:VIT393206 VSE393204:VSP393206 WCA393204:WCL393206 WLW393204:WMH393206 WVS393204:WWD393206 JG458740:JR458742 TC458740:TN458742 ACY458740:ADJ458742 AMU458740:ANF458742 AWQ458740:AXB458742 BGM458740:BGX458742 BQI458740:BQT458742 CAE458740:CAP458742 CKA458740:CKL458742 CTW458740:CUH458742 DDS458740:DED458742 DNO458740:DNZ458742 DXK458740:DXV458742 EHG458740:EHR458742 ERC458740:ERN458742 FAY458740:FBJ458742 FKU458740:FLF458742 FUQ458740:FVB458742 GEM458740:GEX458742 GOI458740:GOT458742 GYE458740:GYP458742 HIA458740:HIL458742 HRW458740:HSH458742 IBS458740:ICD458742 ILO458740:ILZ458742 IVK458740:IVV458742 JFG458740:JFR458742 JPC458740:JPN458742 JYY458740:JZJ458742 KIU458740:KJF458742 KSQ458740:KTB458742 LCM458740:LCX458742 LMI458740:LMT458742 LWE458740:LWP458742 MGA458740:MGL458742 MPW458740:MQH458742 MZS458740:NAD458742 NJO458740:NJZ458742 NTK458740:NTV458742 ODG458740:ODR458742 ONC458740:ONN458742 OWY458740:OXJ458742 PGU458740:PHF458742 PQQ458740:PRB458742 QAM458740:QAX458742 QKI458740:QKT458742 QUE458740:QUP458742 REA458740:REL458742 RNW458740:ROH458742 RXS458740:RYD458742 SHO458740:SHZ458742 SRK458740:SRV458742 TBG458740:TBR458742 TLC458740:TLN458742 TUY458740:TVJ458742 UEU458740:UFF458742 UOQ458740:UPB458742 UYM458740:UYX458742 VII458740:VIT458742 VSE458740:VSP458742 WCA458740:WCL458742 WLW458740:WMH458742 WVS458740:WWD458742 JG524276:JR524278 TC524276:TN524278 ACY524276:ADJ524278 AMU524276:ANF524278 AWQ524276:AXB524278 BGM524276:BGX524278 BQI524276:BQT524278 CAE524276:CAP524278 CKA524276:CKL524278 CTW524276:CUH524278 DDS524276:DED524278 DNO524276:DNZ524278 DXK524276:DXV524278 EHG524276:EHR524278 ERC524276:ERN524278 FAY524276:FBJ524278 FKU524276:FLF524278 FUQ524276:FVB524278 GEM524276:GEX524278 GOI524276:GOT524278 GYE524276:GYP524278 HIA524276:HIL524278 HRW524276:HSH524278 IBS524276:ICD524278 ILO524276:ILZ524278 IVK524276:IVV524278 JFG524276:JFR524278 JPC524276:JPN524278 JYY524276:JZJ524278 KIU524276:KJF524278 KSQ524276:KTB524278 LCM524276:LCX524278 LMI524276:LMT524278 LWE524276:LWP524278 MGA524276:MGL524278 MPW524276:MQH524278 MZS524276:NAD524278 NJO524276:NJZ524278 NTK524276:NTV524278 ODG524276:ODR524278 ONC524276:ONN524278 OWY524276:OXJ524278 PGU524276:PHF524278 PQQ524276:PRB524278 QAM524276:QAX524278 QKI524276:QKT524278 QUE524276:QUP524278 REA524276:REL524278 RNW524276:ROH524278 RXS524276:RYD524278 SHO524276:SHZ524278 SRK524276:SRV524278 TBG524276:TBR524278 TLC524276:TLN524278 TUY524276:TVJ524278 UEU524276:UFF524278 UOQ524276:UPB524278 UYM524276:UYX524278 VII524276:VIT524278 VSE524276:VSP524278 WCA524276:WCL524278 WLW524276:WMH524278 WVS524276:WWD524278 JG589812:JR589814 TC589812:TN589814 ACY589812:ADJ589814 AMU589812:ANF589814 AWQ589812:AXB589814 BGM589812:BGX589814 BQI589812:BQT589814 CAE589812:CAP589814 CKA589812:CKL589814 CTW589812:CUH589814 DDS589812:DED589814 DNO589812:DNZ589814 DXK589812:DXV589814 EHG589812:EHR589814 ERC589812:ERN589814 FAY589812:FBJ589814 FKU589812:FLF589814 FUQ589812:FVB589814 GEM589812:GEX589814 GOI589812:GOT589814 GYE589812:GYP589814 HIA589812:HIL589814 HRW589812:HSH589814 IBS589812:ICD589814 ILO589812:ILZ589814 IVK589812:IVV589814 JFG589812:JFR589814 JPC589812:JPN589814 JYY589812:JZJ589814 KIU589812:KJF589814 KSQ589812:KTB589814 LCM589812:LCX589814 LMI589812:LMT589814 LWE589812:LWP589814 MGA589812:MGL589814 MPW589812:MQH589814 MZS589812:NAD589814 NJO589812:NJZ589814 NTK589812:NTV589814 ODG589812:ODR589814 ONC589812:ONN589814 OWY589812:OXJ589814 PGU589812:PHF589814 PQQ589812:PRB589814 QAM589812:QAX589814 QKI589812:QKT589814 QUE589812:QUP589814 REA589812:REL589814 RNW589812:ROH589814 RXS589812:RYD589814 SHO589812:SHZ589814 SRK589812:SRV589814 TBG589812:TBR589814 TLC589812:TLN589814 TUY589812:TVJ589814 UEU589812:UFF589814 UOQ589812:UPB589814 UYM589812:UYX589814 VII589812:VIT589814 VSE589812:VSP589814 WCA589812:WCL589814 WLW589812:WMH589814 WVS589812:WWD589814 JG655348:JR655350 TC655348:TN655350 ACY655348:ADJ655350 AMU655348:ANF655350 AWQ655348:AXB655350 BGM655348:BGX655350 BQI655348:BQT655350 CAE655348:CAP655350 CKA655348:CKL655350 CTW655348:CUH655350 DDS655348:DED655350 DNO655348:DNZ655350 DXK655348:DXV655350 EHG655348:EHR655350 ERC655348:ERN655350 FAY655348:FBJ655350 FKU655348:FLF655350 FUQ655348:FVB655350 GEM655348:GEX655350 GOI655348:GOT655350 GYE655348:GYP655350 HIA655348:HIL655350 HRW655348:HSH655350 IBS655348:ICD655350 ILO655348:ILZ655350 IVK655348:IVV655350 JFG655348:JFR655350 JPC655348:JPN655350 JYY655348:JZJ655350 KIU655348:KJF655350 KSQ655348:KTB655350 LCM655348:LCX655350 LMI655348:LMT655350 LWE655348:LWP655350 MGA655348:MGL655350 MPW655348:MQH655350 MZS655348:NAD655350 NJO655348:NJZ655350 NTK655348:NTV655350 ODG655348:ODR655350 ONC655348:ONN655350 OWY655348:OXJ655350 PGU655348:PHF655350 PQQ655348:PRB655350 QAM655348:QAX655350 QKI655348:QKT655350 QUE655348:QUP655350 REA655348:REL655350 RNW655348:ROH655350 RXS655348:RYD655350 SHO655348:SHZ655350 SRK655348:SRV655350 TBG655348:TBR655350 TLC655348:TLN655350 TUY655348:TVJ655350 UEU655348:UFF655350 UOQ655348:UPB655350 UYM655348:UYX655350 VII655348:VIT655350 VSE655348:VSP655350 WCA655348:WCL655350 WLW655348:WMH655350 WVS655348:WWD655350 JG720884:JR720886 TC720884:TN720886 ACY720884:ADJ720886 AMU720884:ANF720886 AWQ720884:AXB720886 BGM720884:BGX720886 BQI720884:BQT720886 CAE720884:CAP720886 CKA720884:CKL720886 CTW720884:CUH720886 DDS720884:DED720886 DNO720884:DNZ720886 DXK720884:DXV720886 EHG720884:EHR720886 ERC720884:ERN720886 FAY720884:FBJ720886 FKU720884:FLF720886 FUQ720884:FVB720886 GEM720884:GEX720886 GOI720884:GOT720886 GYE720884:GYP720886 HIA720884:HIL720886 HRW720884:HSH720886 IBS720884:ICD720886 ILO720884:ILZ720886 IVK720884:IVV720886 JFG720884:JFR720886 JPC720884:JPN720886 JYY720884:JZJ720886 KIU720884:KJF720886 KSQ720884:KTB720886 LCM720884:LCX720886 LMI720884:LMT720886 LWE720884:LWP720886 MGA720884:MGL720886 MPW720884:MQH720886 MZS720884:NAD720886 NJO720884:NJZ720886 NTK720884:NTV720886 ODG720884:ODR720886 ONC720884:ONN720886 OWY720884:OXJ720886 PGU720884:PHF720886 PQQ720884:PRB720886 QAM720884:QAX720886 QKI720884:QKT720886 QUE720884:QUP720886 REA720884:REL720886 RNW720884:ROH720886 RXS720884:RYD720886 SHO720884:SHZ720886 SRK720884:SRV720886 TBG720884:TBR720886 TLC720884:TLN720886 TUY720884:TVJ720886 UEU720884:UFF720886 UOQ720884:UPB720886 UYM720884:UYX720886 VII720884:VIT720886 VSE720884:VSP720886 WCA720884:WCL720886 WLW720884:WMH720886 WVS720884:WWD720886 JG786420:JR786422 TC786420:TN786422 ACY786420:ADJ786422 AMU786420:ANF786422 AWQ786420:AXB786422 BGM786420:BGX786422 BQI786420:BQT786422 CAE786420:CAP786422 CKA786420:CKL786422 CTW786420:CUH786422 DDS786420:DED786422 DNO786420:DNZ786422 DXK786420:DXV786422 EHG786420:EHR786422 ERC786420:ERN786422 FAY786420:FBJ786422 FKU786420:FLF786422 FUQ786420:FVB786422 GEM786420:GEX786422 GOI786420:GOT786422 GYE786420:GYP786422 HIA786420:HIL786422 HRW786420:HSH786422 IBS786420:ICD786422 ILO786420:ILZ786422 IVK786420:IVV786422 JFG786420:JFR786422 JPC786420:JPN786422 JYY786420:JZJ786422 KIU786420:KJF786422 KSQ786420:KTB786422 LCM786420:LCX786422 LMI786420:LMT786422 LWE786420:LWP786422 MGA786420:MGL786422 MPW786420:MQH786422 MZS786420:NAD786422 NJO786420:NJZ786422 NTK786420:NTV786422 ODG786420:ODR786422 ONC786420:ONN786422 OWY786420:OXJ786422 PGU786420:PHF786422 PQQ786420:PRB786422 QAM786420:QAX786422 QKI786420:QKT786422 QUE786420:QUP786422 REA786420:REL786422 RNW786420:ROH786422 RXS786420:RYD786422 SHO786420:SHZ786422 SRK786420:SRV786422 TBG786420:TBR786422 TLC786420:TLN786422 TUY786420:TVJ786422 UEU786420:UFF786422 UOQ786420:UPB786422 UYM786420:UYX786422 VII786420:VIT786422 VSE786420:VSP786422 WCA786420:WCL786422 WLW786420:WMH786422 WVS786420:WWD786422 JG851956:JR851958 TC851956:TN851958 ACY851956:ADJ851958 AMU851956:ANF851958 AWQ851956:AXB851958 BGM851956:BGX851958 BQI851956:BQT851958 CAE851956:CAP851958 CKA851956:CKL851958 CTW851956:CUH851958 DDS851956:DED851958 DNO851956:DNZ851958 DXK851956:DXV851958 EHG851956:EHR851958 ERC851956:ERN851958 FAY851956:FBJ851958 FKU851956:FLF851958 FUQ851956:FVB851958 GEM851956:GEX851958 GOI851956:GOT851958 GYE851956:GYP851958 HIA851956:HIL851958 HRW851956:HSH851958 IBS851956:ICD851958 ILO851956:ILZ851958 IVK851956:IVV851958 JFG851956:JFR851958 JPC851956:JPN851958 JYY851956:JZJ851958 KIU851956:KJF851958 KSQ851956:KTB851958 LCM851956:LCX851958 LMI851956:LMT851958 LWE851956:LWP851958 MGA851956:MGL851958 MPW851956:MQH851958 MZS851956:NAD851958 NJO851956:NJZ851958 NTK851956:NTV851958 ODG851956:ODR851958 ONC851956:ONN851958 OWY851956:OXJ851958 PGU851956:PHF851958 PQQ851956:PRB851958 QAM851956:QAX851958 QKI851956:QKT851958 QUE851956:QUP851958 REA851956:REL851958 RNW851956:ROH851958 RXS851956:RYD851958 SHO851956:SHZ851958 SRK851956:SRV851958 TBG851956:TBR851958 TLC851956:TLN851958 TUY851956:TVJ851958 UEU851956:UFF851958 UOQ851956:UPB851958 UYM851956:UYX851958 VII851956:VIT851958 VSE851956:VSP851958 WCA851956:WCL851958 WLW851956:WMH851958 WVS851956:WWD851958 JG917492:JR917494 TC917492:TN917494 ACY917492:ADJ917494 AMU917492:ANF917494 AWQ917492:AXB917494 BGM917492:BGX917494 BQI917492:BQT917494 CAE917492:CAP917494 CKA917492:CKL917494 CTW917492:CUH917494 DDS917492:DED917494 DNO917492:DNZ917494 DXK917492:DXV917494 EHG917492:EHR917494 ERC917492:ERN917494 FAY917492:FBJ917494 FKU917492:FLF917494 FUQ917492:FVB917494 GEM917492:GEX917494 GOI917492:GOT917494 GYE917492:GYP917494 HIA917492:HIL917494 HRW917492:HSH917494 IBS917492:ICD917494 ILO917492:ILZ917494 IVK917492:IVV917494 JFG917492:JFR917494 JPC917492:JPN917494 JYY917492:JZJ917494 KIU917492:KJF917494 KSQ917492:KTB917494 LCM917492:LCX917494 LMI917492:LMT917494 LWE917492:LWP917494 MGA917492:MGL917494 MPW917492:MQH917494 MZS917492:NAD917494 NJO917492:NJZ917494 NTK917492:NTV917494 ODG917492:ODR917494 ONC917492:ONN917494 OWY917492:OXJ917494 PGU917492:PHF917494 PQQ917492:PRB917494 QAM917492:QAX917494 QKI917492:QKT917494 QUE917492:QUP917494 REA917492:REL917494 RNW917492:ROH917494 RXS917492:RYD917494 SHO917492:SHZ917494 SRK917492:SRV917494 TBG917492:TBR917494 TLC917492:TLN917494 TUY917492:TVJ917494 UEU917492:UFF917494 UOQ917492:UPB917494 UYM917492:UYX917494 VII917492:VIT917494 VSE917492:VSP917494 WCA917492:WCL917494 WLW917492:WMH917494 WVS917492:WWD917494 JG983028:JR983030 TC983028:TN983030 ACY983028:ADJ983030 AMU983028:ANF983030 AWQ983028:AXB983030 BGM983028:BGX983030 BQI983028:BQT983030 CAE983028:CAP983030 CKA983028:CKL983030 CTW983028:CUH983030 DDS983028:DED983030 DNO983028:DNZ983030 DXK983028:DXV983030 EHG983028:EHR983030 ERC983028:ERN983030 FAY983028:FBJ983030 FKU983028:FLF983030 FUQ983028:FVB983030 GEM983028:GEX983030 GOI983028:GOT983030 GYE983028:GYP983030 HIA983028:HIL983030 HRW983028:HSH983030 IBS983028:ICD983030 ILO983028:ILZ983030 IVK983028:IVV983030 JFG983028:JFR983030 JPC983028:JPN983030 JYY983028:JZJ983030 KIU983028:KJF983030 KSQ983028:KTB983030 LCM983028:LCX983030 LMI983028:LMT983030 LWE983028:LWP983030 MGA983028:MGL983030 MPW983028:MQH983030 MZS983028:NAD983030 NJO983028:NJZ983030 NTK983028:NTV983030 ODG983028:ODR983030 ONC983028:ONN983030 OWY983028:OXJ983030 PGU983028:PHF983030 PQQ983028:PRB983030 QAM983028:QAX983030 QKI983028:QKT983030 QUE983028:QUP983030 REA983028:REL983030 RNW983028:ROH983030 RXS983028:RYD983030 SHO983028:SHZ983030 SRK983028:SRV983030 TBG983028:TBR983030 TLC983028:TLN983030 TUY983028:TVJ983030 UEU983028:UFF983030 UOQ983028:UPB983030 UYM983028:UYX983030 VII983028:VIT983030 VSE983028:VSP983030 WCA983028:WCL983030 WLW983028:WMH983030 Z262127:AJ262129 Z196591:AJ196593 Z131055:AJ131057 Z65519:AJ65521 Z983028:AJ983030 Z917492:AJ917494 Z851956:AJ851958 Z786420:AJ786422 Z720884:AJ720886 Z655348:AJ655350 Z589812:AJ589814 Z524276:AJ524278 Z458740:AJ458742 Z393204:AJ393206 Z327668:AJ327670 Z262132:AJ262134 Z196596:AJ196598 Z131060:AJ131062 Z65524:AJ65526 Z983023:AJ983025 Z917487:AJ917489 Z851951:AJ851953 Z786415:AJ786417 Z720879:AJ720881 Z655343:AJ655345 Z589807:AJ589809 Z524271:AJ524273 Z458735:AJ458737 Z393199:AJ393201 Z327663:AJ327665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0C00-000001000000}"/>
    <dataValidation type="list" allowBlank="1" showInputMessage="1" showErrorMessage="1" sqref="Y8:Z44" xr:uid="{00000000-0002-0000-0C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5"/>
  <dimension ref="A1:BD44"/>
  <sheetViews>
    <sheetView showGridLines="0" zoomScaleNormal="10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17" customWidth="1"/>
    <col min="2" max="26" width="2.6328125" style="17"/>
    <col min="27" max="27" width="2.6328125" style="17" customWidth="1"/>
    <col min="28" max="29" width="2.6328125" style="17"/>
    <col min="30" max="30" width="4.6328125" style="17" customWidth="1"/>
    <col min="31" max="31" width="2.6328125" style="17" customWidth="1"/>
    <col min="32" max="33" width="2.6328125" style="17"/>
    <col min="34" max="34" width="6.6328125" style="17" customWidth="1"/>
    <col min="35" max="16384" width="2.6328125" style="17"/>
  </cols>
  <sheetData>
    <row r="1" spans="1:56" s="16" customFormat="1" ht="15" customHeight="1" x14ac:dyDescent="0.3">
      <c r="A1" s="144" t="s">
        <v>100</v>
      </c>
      <c r="B1" s="145"/>
      <c r="C1" s="145"/>
      <c r="D1" s="145"/>
      <c r="E1" s="145"/>
      <c r="F1" s="145"/>
      <c r="G1" s="145"/>
      <c r="H1" s="146"/>
      <c r="I1" s="103" t="s">
        <v>98</v>
      </c>
      <c r="J1" s="104"/>
      <c r="K1" s="104"/>
      <c r="L1" s="104"/>
      <c r="M1" s="104"/>
      <c r="N1" s="104"/>
      <c r="O1" s="104"/>
      <c r="P1" s="104"/>
      <c r="Q1" s="105"/>
      <c r="R1" s="103" t="s">
        <v>99</v>
      </c>
      <c r="S1" s="104"/>
      <c r="T1" s="104"/>
      <c r="U1" s="104"/>
      <c r="V1" s="104"/>
      <c r="W1" s="104"/>
      <c r="X1" s="105"/>
      <c r="Y1" s="103" t="s">
        <v>0</v>
      </c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5"/>
      <c r="AP1" s="153" t="s">
        <v>1</v>
      </c>
      <c r="AQ1" s="154"/>
      <c r="AR1" s="154"/>
      <c r="AS1" s="154"/>
      <c r="AT1" s="155"/>
      <c r="AU1" s="153" t="s">
        <v>2</v>
      </c>
      <c r="AV1" s="154"/>
      <c r="AW1" s="154"/>
      <c r="AX1" s="154"/>
      <c r="AY1" s="155"/>
      <c r="AZ1" s="153" t="s">
        <v>3</v>
      </c>
      <c r="BA1" s="154"/>
      <c r="BB1" s="154"/>
      <c r="BC1" s="154"/>
      <c r="BD1" s="155"/>
    </row>
    <row r="2" spans="1:56" s="16" customFormat="1" ht="15" customHeight="1" x14ac:dyDescent="0.3">
      <c r="A2" s="147"/>
      <c r="B2" s="148"/>
      <c r="C2" s="148"/>
      <c r="D2" s="148"/>
      <c r="E2" s="148"/>
      <c r="F2" s="148"/>
      <c r="G2" s="148"/>
      <c r="H2" s="149"/>
      <c r="I2" s="127" t="s">
        <v>97</v>
      </c>
      <c r="J2" s="128"/>
      <c r="K2" s="128"/>
      <c r="L2" s="128"/>
      <c r="M2" s="128"/>
      <c r="N2" s="128"/>
      <c r="O2" s="128"/>
      <c r="P2" s="128"/>
      <c r="Q2" s="129"/>
      <c r="R2" s="127" t="str">
        <f ca="1">VLOOKUP(RIGHT(CELL("filename",A2),LEN(CELL("filename",A2))-FIND("]",CELL("filename",A2))),テーブル一覧!B:AD,22,FALSE)</f>
        <v>D.出荷</v>
      </c>
      <c r="S2" s="128"/>
      <c r="T2" s="128"/>
      <c r="U2" s="128"/>
      <c r="V2" s="128"/>
      <c r="W2" s="128"/>
      <c r="X2" s="129"/>
      <c r="Y2" s="127" t="str">
        <f ca="1">VLOOKUP(RIGHT(CELL("filename",A2),LEN(CELL("filename",A2))-FIND("]",CELL("filename",A2))),テーブル一覧!B:AD,1,FALSE)</f>
        <v>外貨レート情報</v>
      </c>
      <c r="Z2" s="128"/>
      <c r="AA2" s="128"/>
      <c r="AB2" s="128"/>
      <c r="AC2" s="128"/>
      <c r="AD2" s="128"/>
      <c r="AE2" s="128"/>
      <c r="AF2" s="128"/>
      <c r="AG2" s="128"/>
      <c r="AH2" s="128"/>
      <c r="AI2" s="128"/>
      <c r="AJ2" s="128"/>
      <c r="AK2" s="128"/>
      <c r="AL2" s="128"/>
      <c r="AM2" s="128"/>
      <c r="AN2" s="128"/>
      <c r="AO2" s="129"/>
      <c r="AP2" s="97"/>
      <c r="AQ2" s="98"/>
      <c r="AR2" s="98"/>
      <c r="AS2" s="98"/>
      <c r="AT2" s="99"/>
      <c r="AU2" s="60" t="s">
        <v>188</v>
      </c>
      <c r="AV2" s="61"/>
      <c r="AW2" s="61"/>
      <c r="AX2" s="61"/>
      <c r="AY2" s="62"/>
      <c r="AZ2" s="181" t="s">
        <v>15</v>
      </c>
      <c r="BA2" s="182"/>
      <c r="BB2" s="182"/>
      <c r="BC2" s="182"/>
      <c r="BD2" s="183"/>
    </row>
    <row r="3" spans="1:56" s="16" customFormat="1" ht="15" customHeight="1" x14ac:dyDescent="0.3">
      <c r="A3" s="147"/>
      <c r="B3" s="148"/>
      <c r="C3" s="148"/>
      <c r="D3" s="148"/>
      <c r="E3" s="148"/>
      <c r="F3" s="148"/>
      <c r="G3" s="148"/>
      <c r="H3" s="149"/>
      <c r="I3" s="130"/>
      <c r="J3" s="131"/>
      <c r="K3" s="131"/>
      <c r="L3" s="131"/>
      <c r="M3" s="131"/>
      <c r="N3" s="131"/>
      <c r="O3" s="131"/>
      <c r="P3" s="131"/>
      <c r="Q3" s="132"/>
      <c r="R3" s="130"/>
      <c r="S3" s="131"/>
      <c r="T3" s="131"/>
      <c r="U3" s="131"/>
      <c r="V3" s="131"/>
      <c r="W3" s="131"/>
      <c r="X3" s="132"/>
      <c r="Y3" s="133"/>
      <c r="Z3" s="134"/>
      <c r="AA3" s="134"/>
      <c r="AB3" s="134"/>
      <c r="AC3" s="134"/>
      <c r="AD3" s="134"/>
      <c r="AE3" s="134"/>
      <c r="AF3" s="134"/>
      <c r="AG3" s="134"/>
      <c r="AH3" s="134"/>
      <c r="AI3" s="134"/>
      <c r="AJ3" s="134"/>
      <c r="AK3" s="134"/>
      <c r="AL3" s="134"/>
      <c r="AM3" s="134"/>
      <c r="AN3" s="134"/>
      <c r="AO3" s="135"/>
      <c r="AP3" s="100"/>
      <c r="AQ3" s="101"/>
      <c r="AR3" s="101"/>
      <c r="AS3" s="101"/>
      <c r="AT3" s="102"/>
      <c r="AU3" s="178"/>
      <c r="AV3" s="179"/>
      <c r="AW3" s="179"/>
      <c r="AX3" s="179"/>
      <c r="AY3" s="180"/>
      <c r="AZ3" s="181"/>
      <c r="BA3" s="182"/>
      <c r="BB3" s="182"/>
      <c r="BC3" s="182"/>
      <c r="BD3" s="183"/>
    </row>
    <row r="4" spans="1:56" s="16" customFormat="1" ht="15" customHeight="1" x14ac:dyDescent="0.3">
      <c r="A4" s="150"/>
      <c r="B4" s="151"/>
      <c r="C4" s="151"/>
      <c r="D4" s="151"/>
      <c r="E4" s="151"/>
      <c r="F4" s="151"/>
      <c r="G4" s="151"/>
      <c r="H4" s="152"/>
      <c r="I4" s="133"/>
      <c r="J4" s="134"/>
      <c r="K4" s="134"/>
      <c r="L4" s="134"/>
      <c r="M4" s="134"/>
      <c r="N4" s="134"/>
      <c r="O4" s="134"/>
      <c r="P4" s="134"/>
      <c r="Q4" s="135"/>
      <c r="R4" s="133"/>
      <c r="S4" s="134"/>
      <c r="T4" s="134"/>
      <c r="U4" s="134"/>
      <c r="V4" s="134"/>
      <c r="W4" s="134"/>
      <c r="X4" s="135"/>
      <c r="Y4" s="175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t_gaika_rate</v>
      </c>
      <c r="Z4" s="176"/>
      <c r="AA4" s="176"/>
      <c r="AB4" s="176"/>
      <c r="AC4" s="176"/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  <c r="AO4" s="177"/>
      <c r="AP4" s="100"/>
      <c r="AQ4" s="101"/>
      <c r="AR4" s="101"/>
      <c r="AS4" s="101"/>
      <c r="AT4" s="102"/>
      <c r="AU4" s="178"/>
      <c r="AV4" s="179"/>
      <c r="AW4" s="179"/>
      <c r="AX4" s="179"/>
      <c r="AY4" s="180"/>
      <c r="AZ4" s="181"/>
      <c r="BA4" s="182"/>
      <c r="BB4" s="182"/>
      <c r="BC4" s="182"/>
      <c r="BD4" s="183"/>
    </row>
    <row r="6" spans="1:56" ht="15" customHeight="1" x14ac:dyDescent="0.3">
      <c r="A6" s="156" t="s">
        <v>101</v>
      </c>
      <c r="B6" s="158" t="s">
        <v>4</v>
      </c>
      <c r="C6" s="159"/>
      <c r="D6" s="159"/>
      <c r="E6" s="159"/>
      <c r="F6" s="159"/>
      <c r="G6" s="159"/>
      <c r="H6" s="160"/>
      <c r="I6" s="158" t="s">
        <v>5</v>
      </c>
      <c r="J6" s="159"/>
      <c r="K6" s="159"/>
      <c r="L6" s="159"/>
      <c r="M6" s="159"/>
      <c r="N6" s="159"/>
      <c r="O6" s="159"/>
      <c r="P6" s="159"/>
      <c r="Q6" s="160"/>
      <c r="R6" s="158" t="s">
        <v>145</v>
      </c>
      <c r="S6" s="159"/>
      <c r="T6" s="159"/>
      <c r="U6" s="159"/>
      <c r="V6" s="159"/>
      <c r="W6" s="159"/>
      <c r="X6" s="160"/>
      <c r="Y6" s="158" t="s">
        <v>6</v>
      </c>
      <c r="Z6" s="160"/>
      <c r="AA6" s="158" t="s">
        <v>7</v>
      </c>
      <c r="AB6" s="159"/>
      <c r="AC6" s="160"/>
      <c r="AD6" s="164" t="s">
        <v>8</v>
      </c>
      <c r="AE6" s="185" t="s">
        <v>9</v>
      </c>
      <c r="AF6" s="164" t="s">
        <v>10</v>
      </c>
      <c r="AG6" s="164" t="s">
        <v>11</v>
      </c>
      <c r="AH6" s="164" t="s">
        <v>12</v>
      </c>
      <c r="AI6" s="166" t="s">
        <v>13</v>
      </c>
      <c r="AJ6" s="167"/>
      <c r="AK6" s="167"/>
      <c r="AL6" s="167"/>
      <c r="AM6" s="167"/>
      <c r="AN6" s="167"/>
      <c r="AO6" s="167"/>
      <c r="AP6" s="167"/>
      <c r="AQ6" s="167"/>
      <c r="AR6" s="168"/>
      <c r="AS6" s="169" t="s">
        <v>14</v>
      </c>
      <c r="AT6" s="170"/>
      <c r="AU6" s="170"/>
      <c r="AV6" s="170"/>
      <c r="AW6" s="170"/>
      <c r="AX6" s="170"/>
      <c r="AY6" s="170"/>
      <c r="AZ6" s="170"/>
      <c r="BA6" s="170"/>
      <c r="BB6" s="170"/>
      <c r="BC6" s="170"/>
      <c r="BD6" s="171"/>
    </row>
    <row r="7" spans="1:56" ht="15" customHeight="1" x14ac:dyDescent="0.3">
      <c r="A7" s="157"/>
      <c r="B7" s="161"/>
      <c r="C7" s="162"/>
      <c r="D7" s="162"/>
      <c r="E7" s="162"/>
      <c r="F7" s="162"/>
      <c r="G7" s="162"/>
      <c r="H7" s="163"/>
      <c r="I7" s="161"/>
      <c r="J7" s="162"/>
      <c r="K7" s="162"/>
      <c r="L7" s="162"/>
      <c r="M7" s="162"/>
      <c r="N7" s="162"/>
      <c r="O7" s="162"/>
      <c r="P7" s="162"/>
      <c r="Q7" s="163"/>
      <c r="R7" s="161"/>
      <c r="S7" s="162"/>
      <c r="T7" s="162"/>
      <c r="U7" s="162"/>
      <c r="V7" s="162"/>
      <c r="W7" s="162"/>
      <c r="X7" s="163"/>
      <c r="Y7" s="161"/>
      <c r="Z7" s="163"/>
      <c r="AA7" s="161"/>
      <c r="AB7" s="162"/>
      <c r="AC7" s="163"/>
      <c r="AD7" s="165"/>
      <c r="AE7" s="186"/>
      <c r="AF7" s="165"/>
      <c r="AG7" s="165"/>
      <c r="AH7" s="165"/>
      <c r="AI7" s="56">
        <v>1</v>
      </c>
      <c r="AJ7" s="56">
        <v>2</v>
      </c>
      <c r="AK7" s="56">
        <v>3</v>
      </c>
      <c r="AL7" s="56">
        <v>4</v>
      </c>
      <c r="AM7" s="56">
        <v>5</v>
      </c>
      <c r="AN7" s="56">
        <v>6</v>
      </c>
      <c r="AO7" s="56">
        <v>7</v>
      </c>
      <c r="AP7" s="56">
        <v>8</v>
      </c>
      <c r="AQ7" s="56">
        <v>9</v>
      </c>
      <c r="AR7" s="56">
        <v>10</v>
      </c>
      <c r="AS7" s="172"/>
      <c r="AT7" s="173"/>
      <c r="AU7" s="173"/>
      <c r="AV7" s="173"/>
      <c r="AW7" s="173"/>
      <c r="AX7" s="173"/>
      <c r="AY7" s="173"/>
      <c r="AZ7" s="173"/>
      <c r="BA7" s="173"/>
      <c r="BB7" s="173"/>
      <c r="BC7" s="173"/>
      <c r="BD7" s="174"/>
    </row>
    <row r="8" spans="1:56" ht="15" customHeight="1" x14ac:dyDescent="0.3">
      <c r="A8" s="54">
        <f>IF(B8="","",COUNTA($B$8:B8))</f>
        <v>1</v>
      </c>
      <c r="B8" s="18" t="s">
        <v>1476</v>
      </c>
      <c r="C8" s="19"/>
      <c r="D8" s="19"/>
      <c r="E8" s="19"/>
      <c r="F8" s="19"/>
      <c r="G8" s="19"/>
      <c r="H8" s="19"/>
      <c r="I8" s="31" t="str">
        <f>VLOOKUP(B8,Sheet1!A:B,2,FALSE)</f>
        <v>currency_cd</v>
      </c>
      <c r="J8" s="21"/>
      <c r="K8" s="21"/>
      <c r="L8" s="21"/>
      <c r="M8" s="21"/>
      <c r="N8" s="21"/>
      <c r="O8" s="21"/>
      <c r="P8" s="21"/>
      <c r="Q8" s="21"/>
      <c r="R8" s="18" t="s">
        <v>1477</v>
      </c>
      <c r="S8" s="19"/>
      <c r="T8" s="19"/>
      <c r="U8" s="19"/>
      <c r="V8" s="19"/>
      <c r="W8" s="19"/>
      <c r="X8" s="19"/>
      <c r="Y8" s="139" t="s">
        <v>111</v>
      </c>
      <c r="Z8" s="140"/>
      <c r="AA8" s="141" t="s">
        <v>107</v>
      </c>
      <c r="AB8" s="142"/>
      <c r="AC8" s="143"/>
      <c r="AD8" s="25">
        <v>1</v>
      </c>
      <c r="AE8" s="26"/>
      <c r="AF8" s="26" t="s">
        <v>119</v>
      </c>
      <c r="AG8" s="26" t="s">
        <v>85</v>
      </c>
      <c r="AH8" s="26"/>
      <c r="AI8" s="26"/>
      <c r="AJ8" s="26"/>
      <c r="AK8" s="26"/>
      <c r="AL8" s="26"/>
      <c r="AM8" s="26"/>
      <c r="AN8" s="26"/>
      <c r="AO8" s="27"/>
      <c r="AP8" s="27"/>
      <c r="AQ8" s="27"/>
      <c r="AR8" s="27"/>
      <c r="AS8" s="42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68"/>
    </row>
    <row r="9" spans="1:56" ht="15" customHeight="1" x14ac:dyDescent="0.3">
      <c r="A9" s="54">
        <f>IF(B9="","",COUNTA($B$8:B9))</f>
        <v>2</v>
      </c>
      <c r="B9" s="18" t="s">
        <v>1478</v>
      </c>
      <c r="C9" s="19"/>
      <c r="D9" s="19"/>
      <c r="E9" s="19"/>
      <c r="F9" s="19"/>
      <c r="G9" s="19"/>
      <c r="H9" s="19"/>
      <c r="I9" s="31" t="str">
        <f>VLOOKUP(B9,Sheet1!A:B,2,FALSE)</f>
        <v>kijun_date</v>
      </c>
      <c r="J9" s="21"/>
      <c r="K9" s="21"/>
      <c r="L9" s="21"/>
      <c r="M9" s="21"/>
      <c r="N9" s="21"/>
      <c r="O9" s="21"/>
      <c r="P9" s="21"/>
      <c r="Q9" s="21"/>
      <c r="R9" s="18" t="s">
        <v>295</v>
      </c>
      <c r="S9" s="19"/>
      <c r="T9" s="19"/>
      <c r="U9" s="19"/>
      <c r="V9" s="19"/>
      <c r="W9" s="19"/>
      <c r="X9" s="19"/>
      <c r="Y9" s="139" t="s">
        <v>111</v>
      </c>
      <c r="Z9" s="140"/>
      <c r="AA9" s="141" t="s">
        <v>109</v>
      </c>
      <c r="AB9" s="142"/>
      <c r="AC9" s="143"/>
      <c r="AD9" s="25"/>
      <c r="AE9" s="26"/>
      <c r="AF9" s="26" t="s">
        <v>205</v>
      </c>
      <c r="AG9" s="26" t="s">
        <v>85</v>
      </c>
      <c r="AH9" s="26"/>
      <c r="AI9" s="26"/>
      <c r="AJ9" s="26"/>
      <c r="AK9" s="26"/>
      <c r="AL9" s="26"/>
      <c r="AM9" s="26"/>
      <c r="AN9" s="26"/>
      <c r="AO9" s="27"/>
      <c r="AP9" s="27"/>
      <c r="AQ9" s="27"/>
      <c r="AR9" s="27"/>
      <c r="AS9" s="42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68"/>
    </row>
    <row r="10" spans="1:56" ht="15" customHeight="1" x14ac:dyDescent="0.3">
      <c r="A10" s="54">
        <f>IF(B10="","",COUNTA($B$8:B10))</f>
        <v>3</v>
      </c>
      <c r="B10" s="42" t="s">
        <v>231</v>
      </c>
      <c r="C10" s="41"/>
      <c r="D10" s="41"/>
      <c r="E10" s="41"/>
      <c r="F10" s="41"/>
      <c r="G10" s="41"/>
      <c r="H10" s="41"/>
      <c r="I10" s="31" t="str">
        <f>VLOOKUP(B10,Sheet1!A:B,2,FALSE)</f>
        <v>rate</v>
      </c>
      <c r="J10" s="32"/>
      <c r="K10" s="32"/>
      <c r="L10" s="32"/>
      <c r="M10" s="32"/>
      <c r="N10" s="32"/>
      <c r="O10" s="32"/>
      <c r="P10" s="32"/>
      <c r="Q10" s="32"/>
      <c r="R10" s="42" t="s">
        <v>231</v>
      </c>
      <c r="S10" s="41"/>
      <c r="T10" s="41"/>
      <c r="U10" s="41"/>
      <c r="V10" s="41"/>
      <c r="W10" s="41"/>
      <c r="X10" s="41"/>
      <c r="Y10" s="139" t="s">
        <v>108</v>
      </c>
      <c r="Z10" s="140"/>
      <c r="AA10" s="141" t="s">
        <v>110</v>
      </c>
      <c r="AB10" s="142"/>
      <c r="AC10" s="143"/>
      <c r="AD10" s="72">
        <v>7</v>
      </c>
      <c r="AE10" s="27">
        <v>2</v>
      </c>
      <c r="AF10" s="26"/>
      <c r="AG10" s="27" t="s">
        <v>85</v>
      </c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42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68"/>
    </row>
    <row r="11" spans="1:56" ht="15" customHeight="1" x14ac:dyDescent="0.3">
      <c r="A11" s="54">
        <f>IF(B11="","",COUNTA($B$8:B11))</f>
        <v>4</v>
      </c>
      <c r="B11" s="18" t="s">
        <v>182</v>
      </c>
      <c r="C11" s="19"/>
      <c r="D11" s="19"/>
      <c r="E11" s="19"/>
      <c r="F11" s="19"/>
      <c r="G11" s="19"/>
      <c r="H11" s="22"/>
      <c r="I11" s="31" t="str">
        <f>VLOOKUP(B11,Sheet1!A:B,2,FALSE)</f>
        <v>shukan_busho_cd</v>
      </c>
      <c r="J11" s="21"/>
      <c r="K11" s="21"/>
      <c r="L11" s="21"/>
      <c r="M11" s="21"/>
      <c r="N11" s="21"/>
      <c r="O11" s="21"/>
      <c r="P11" s="21"/>
      <c r="Q11" s="33"/>
      <c r="R11" s="18" t="s">
        <v>1099</v>
      </c>
      <c r="S11" s="21"/>
      <c r="T11" s="21"/>
      <c r="U11" s="21"/>
      <c r="V11" s="21"/>
      <c r="W11" s="21"/>
      <c r="X11" s="22"/>
      <c r="Y11" s="139" t="s">
        <v>56</v>
      </c>
      <c r="Z11" s="184"/>
      <c r="AA11" s="141" t="s">
        <v>107</v>
      </c>
      <c r="AB11" s="142"/>
      <c r="AC11" s="143"/>
      <c r="AD11" s="25">
        <v>4</v>
      </c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7"/>
      <c r="AP11" s="27"/>
      <c r="AQ11" s="27"/>
      <c r="AR11" s="27"/>
      <c r="AS11" s="28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70"/>
    </row>
    <row r="12" spans="1:56" ht="15" customHeight="1" x14ac:dyDescent="0.3">
      <c r="A12" s="54">
        <f>IF(B12="","",COUNTA($B$8:B12))</f>
        <v>5</v>
      </c>
      <c r="B12" s="18" t="s">
        <v>183</v>
      </c>
      <c r="C12" s="19"/>
      <c r="D12" s="19"/>
      <c r="E12" s="19"/>
      <c r="F12" s="19"/>
      <c r="G12" s="19"/>
      <c r="H12" s="22"/>
      <c r="I12" s="31" t="str">
        <f>VLOOKUP(B12,Sheet1!A:B,2,FALSE)</f>
        <v>shukan_kotei_cd</v>
      </c>
      <c r="J12" s="21"/>
      <c r="K12" s="21"/>
      <c r="L12" s="21"/>
      <c r="M12" s="21"/>
      <c r="N12" s="21"/>
      <c r="O12" s="21"/>
      <c r="P12" s="21"/>
      <c r="Q12" s="33"/>
      <c r="R12" s="18" t="s">
        <v>183</v>
      </c>
      <c r="S12" s="21"/>
      <c r="T12" s="21"/>
      <c r="U12" s="21"/>
      <c r="V12" s="21"/>
      <c r="W12" s="21"/>
      <c r="X12" s="22"/>
      <c r="Y12" s="139" t="s">
        <v>56</v>
      </c>
      <c r="Z12" s="184"/>
      <c r="AA12" s="141" t="s">
        <v>107</v>
      </c>
      <c r="AB12" s="142"/>
      <c r="AC12" s="143"/>
      <c r="AD12" s="25">
        <v>4</v>
      </c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7"/>
      <c r="AP12" s="27"/>
      <c r="AQ12" s="27"/>
      <c r="AR12" s="27"/>
      <c r="AS12" s="28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70"/>
    </row>
    <row r="13" spans="1:56" ht="15" customHeight="1" x14ac:dyDescent="0.3">
      <c r="A13" s="54">
        <f>IF(B13="","",COUNTA($B$8:B13))</f>
        <v>6</v>
      </c>
      <c r="B13" s="18" t="s">
        <v>1095</v>
      </c>
      <c r="C13" s="41"/>
      <c r="D13" s="41"/>
      <c r="E13" s="41"/>
      <c r="F13" s="41"/>
      <c r="G13" s="41"/>
      <c r="H13" s="41"/>
      <c r="I13" s="31" t="str">
        <f>VLOOKUP(B13,Sheet1!A:B,2,FALSE)</f>
        <v>insert_func_cd</v>
      </c>
      <c r="J13" s="32"/>
      <c r="K13" s="32"/>
      <c r="L13" s="32"/>
      <c r="M13" s="32"/>
      <c r="N13" s="32"/>
      <c r="O13" s="32"/>
      <c r="P13" s="32"/>
      <c r="Q13" s="32"/>
      <c r="R13" s="18" t="s">
        <v>1095</v>
      </c>
      <c r="S13" s="41"/>
      <c r="T13" s="41"/>
      <c r="U13" s="41"/>
      <c r="V13" s="41"/>
      <c r="W13" s="41"/>
      <c r="X13" s="41"/>
      <c r="Y13" s="139" t="s">
        <v>111</v>
      </c>
      <c r="Z13" s="140"/>
      <c r="AA13" s="141" t="s">
        <v>107</v>
      </c>
      <c r="AB13" s="142"/>
      <c r="AC13" s="143"/>
      <c r="AD13" s="25">
        <v>10</v>
      </c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8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70"/>
    </row>
    <row r="14" spans="1:56" ht="15" customHeight="1" x14ac:dyDescent="0.3">
      <c r="A14" s="54">
        <f>IF(B14="","",COUNTA($B$8:B14))</f>
        <v>7</v>
      </c>
      <c r="B14" s="18" t="s">
        <v>112</v>
      </c>
      <c r="C14" s="41"/>
      <c r="D14" s="41"/>
      <c r="E14" s="41"/>
      <c r="F14" s="41"/>
      <c r="G14" s="41"/>
      <c r="H14" s="41"/>
      <c r="I14" s="31" t="str">
        <f>VLOOKUP(B14,Sheet1!A:B,2,FALSE)</f>
        <v>insert_user_cd</v>
      </c>
      <c r="J14" s="32"/>
      <c r="K14" s="32"/>
      <c r="L14" s="32"/>
      <c r="M14" s="32"/>
      <c r="N14" s="32"/>
      <c r="O14" s="32"/>
      <c r="P14" s="32"/>
      <c r="Q14" s="32"/>
      <c r="R14" s="18" t="s">
        <v>112</v>
      </c>
      <c r="S14" s="41"/>
      <c r="T14" s="41"/>
      <c r="U14" s="41"/>
      <c r="V14" s="41"/>
      <c r="W14" s="41"/>
      <c r="X14" s="41"/>
      <c r="Y14" s="139" t="s">
        <v>111</v>
      </c>
      <c r="Z14" s="140"/>
      <c r="AA14" s="141" t="s">
        <v>107</v>
      </c>
      <c r="AB14" s="142"/>
      <c r="AC14" s="143"/>
      <c r="AD14" s="25">
        <v>10</v>
      </c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8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70"/>
    </row>
    <row r="15" spans="1:56" ht="15" customHeight="1" x14ac:dyDescent="0.3">
      <c r="A15" s="54">
        <f>IF(B15="","",COUNTA($B$8:B15))</f>
        <v>8</v>
      </c>
      <c r="B15" s="18" t="s">
        <v>113</v>
      </c>
      <c r="C15" s="41"/>
      <c r="D15" s="41"/>
      <c r="E15" s="41"/>
      <c r="F15" s="41"/>
      <c r="G15" s="41"/>
      <c r="H15" s="41"/>
      <c r="I15" s="31" t="str">
        <f>VLOOKUP(B15,Sheet1!A:B,2,FALSE)</f>
        <v>insert_datetime</v>
      </c>
      <c r="J15" s="32"/>
      <c r="K15" s="32"/>
      <c r="L15" s="32"/>
      <c r="M15" s="32"/>
      <c r="N15" s="32"/>
      <c r="O15" s="32"/>
      <c r="P15" s="32"/>
      <c r="Q15" s="32"/>
      <c r="R15" s="18" t="s">
        <v>113</v>
      </c>
      <c r="S15" s="41"/>
      <c r="T15" s="41"/>
      <c r="U15" s="41"/>
      <c r="V15" s="41"/>
      <c r="W15" s="41"/>
      <c r="X15" s="41"/>
      <c r="Y15" s="139" t="s">
        <v>87</v>
      </c>
      <c r="Z15" s="140"/>
      <c r="AA15" s="141" t="s">
        <v>109</v>
      </c>
      <c r="AB15" s="142"/>
      <c r="AC15" s="143"/>
      <c r="AD15" s="55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8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70"/>
    </row>
    <row r="16" spans="1:56" ht="15" customHeight="1" x14ac:dyDescent="0.3">
      <c r="A16" s="54">
        <f>IF(B16="","",COUNTA($B$8:B16))</f>
        <v>9</v>
      </c>
      <c r="B16" s="18" t="s">
        <v>1094</v>
      </c>
      <c r="C16" s="41"/>
      <c r="D16" s="41"/>
      <c r="E16" s="41"/>
      <c r="F16" s="41"/>
      <c r="G16" s="41"/>
      <c r="H16" s="41"/>
      <c r="I16" s="31" t="str">
        <f>VLOOKUP(B16,Sheet1!A:B,2,FALSE)</f>
        <v>update_func_cd</v>
      </c>
      <c r="J16" s="32"/>
      <c r="K16" s="32"/>
      <c r="L16" s="32"/>
      <c r="M16" s="32"/>
      <c r="N16" s="32"/>
      <c r="O16" s="32"/>
      <c r="P16" s="32"/>
      <c r="Q16" s="32"/>
      <c r="R16" s="18" t="s">
        <v>1094</v>
      </c>
      <c r="S16" s="41"/>
      <c r="T16" s="41"/>
      <c r="U16" s="41"/>
      <c r="V16" s="41"/>
      <c r="W16" s="41"/>
      <c r="X16" s="41"/>
      <c r="Y16" s="139" t="s">
        <v>111</v>
      </c>
      <c r="Z16" s="140"/>
      <c r="AA16" s="141" t="s">
        <v>107</v>
      </c>
      <c r="AB16" s="142"/>
      <c r="AC16" s="143"/>
      <c r="AD16" s="25">
        <v>10</v>
      </c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8"/>
      <c r="AT16" s="69"/>
      <c r="AU16" s="69"/>
      <c r="AV16" s="69"/>
      <c r="AW16" s="69"/>
      <c r="AX16" s="69"/>
      <c r="AY16" s="69"/>
      <c r="AZ16" s="69"/>
      <c r="BA16" s="69"/>
      <c r="BB16" s="69"/>
      <c r="BC16" s="69"/>
      <c r="BD16" s="70"/>
    </row>
    <row r="17" spans="1:56" ht="15" customHeight="1" x14ac:dyDescent="0.3">
      <c r="A17" s="54">
        <f>IF(B17="","",COUNTA($B$8:B17))</f>
        <v>10</v>
      </c>
      <c r="B17" s="18" t="s">
        <v>114</v>
      </c>
      <c r="C17" s="19"/>
      <c r="D17" s="19"/>
      <c r="E17" s="19"/>
      <c r="F17" s="19"/>
      <c r="G17" s="19"/>
      <c r="H17" s="19"/>
      <c r="I17" s="31" t="str">
        <f>VLOOKUP(B17,Sheet1!A:B,2,FALSE)</f>
        <v>update_user_cd</v>
      </c>
      <c r="J17" s="21"/>
      <c r="K17" s="21"/>
      <c r="L17" s="21"/>
      <c r="M17" s="21"/>
      <c r="N17" s="21"/>
      <c r="O17" s="21"/>
      <c r="P17" s="21"/>
      <c r="Q17" s="21"/>
      <c r="R17" s="18" t="s">
        <v>114</v>
      </c>
      <c r="S17" s="19"/>
      <c r="T17" s="19"/>
      <c r="U17" s="19"/>
      <c r="V17" s="19"/>
      <c r="W17" s="19"/>
      <c r="X17" s="19"/>
      <c r="Y17" s="139" t="s">
        <v>111</v>
      </c>
      <c r="Z17" s="140"/>
      <c r="AA17" s="141" t="s">
        <v>107</v>
      </c>
      <c r="AB17" s="142"/>
      <c r="AC17" s="143"/>
      <c r="AD17" s="55">
        <v>10</v>
      </c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8"/>
      <c r="AP17" s="38"/>
      <c r="AQ17" s="38"/>
      <c r="AR17" s="38"/>
      <c r="AS17" s="39"/>
      <c r="AT17" s="40"/>
      <c r="AU17" s="69"/>
      <c r="AV17" s="69"/>
      <c r="AW17" s="69"/>
      <c r="AX17" s="69"/>
      <c r="AY17" s="69"/>
      <c r="AZ17" s="69"/>
      <c r="BA17" s="69"/>
      <c r="BB17" s="69"/>
      <c r="BC17" s="69"/>
      <c r="BD17" s="70"/>
    </row>
    <row r="18" spans="1:56" ht="15" customHeight="1" x14ac:dyDescent="0.3">
      <c r="A18" s="54">
        <f>IF(B18="","",COUNTA($B$8:B18))</f>
        <v>11</v>
      </c>
      <c r="B18" s="18" t="s">
        <v>115</v>
      </c>
      <c r="C18" s="19"/>
      <c r="D18" s="19"/>
      <c r="E18" s="19"/>
      <c r="F18" s="19"/>
      <c r="G18" s="19"/>
      <c r="H18" s="19"/>
      <c r="I18" s="31" t="str">
        <f>VLOOKUP(B18,Sheet1!A:B,2,FALSE)</f>
        <v>update_datetime</v>
      </c>
      <c r="J18" s="21"/>
      <c r="K18" s="21"/>
      <c r="L18" s="21"/>
      <c r="M18" s="21"/>
      <c r="N18" s="21"/>
      <c r="O18" s="21"/>
      <c r="P18" s="21"/>
      <c r="Q18" s="21"/>
      <c r="R18" s="18" t="s">
        <v>115</v>
      </c>
      <c r="S18" s="19"/>
      <c r="T18" s="19"/>
      <c r="U18" s="19"/>
      <c r="V18" s="19"/>
      <c r="W18" s="19"/>
      <c r="X18" s="19"/>
      <c r="Y18" s="139" t="s">
        <v>87</v>
      </c>
      <c r="Z18" s="140"/>
      <c r="AA18" s="141" t="s">
        <v>109</v>
      </c>
      <c r="AB18" s="142"/>
      <c r="AC18" s="143"/>
      <c r="AD18" s="55"/>
      <c r="AE18" s="37"/>
      <c r="AF18" s="37"/>
      <c r="AG18" s="37"/>
      <c r="AH18" s="37"/>
      <c r="AI18" s="37"/>
      <c r="AJ18" s="37"/>
      <c r="AK18" s="37"/>
      <c r="AL18" s="37"/>
      <c r="AM18" s="37"/>
      <c r="AN18" s="37"/>
      <c r="AO18" s="38"/>
      <c r="AP18" s="38"/>
      <c r="AQ18" s="38"/>
      <c r="AR18" s="38"/>
      <c r="AS18" s="39"/>
      <c r="AT18" s="40"/>
      <c r="AU18" s="69"/>
      <c r="AV18" s="69"/>
      <c r="AW18" s="69"/>
      <c r="AX18" s="69"/>
      <c r="AY18" s="69"/>
      <c r="AZ18" s="69"/>
      <c r="BA18" s="69"/>
      <c r="BB18" s="69"/>
      <c r="BC18" s="69"/>
      <c r="BD18" s="70"/>
    </row>
    <row r="19" spans="1:56" ht="15" customHeight="1" x14ac:dyDescent="0.3">
      <c r="A19" s="54" t="str">
        <f>IF(B19="","",COUNTA($B$8:B19))</f>
        <v/>
      </c>
      <c r="B19" s="42"/>
      <c r="C19" s="41"/>
      <c r="D19" s="41"/>
      <c r="E19" s="41"/>
      <c r="F19" s="41"/>
      <c r="G19" s="41"/>
      <c r="H19" s="41"/>
      <c r="I19" s="31"/>
      <c r="J19" s="32"/>
      <c r="K19" s="32"/>
      <c r="L19" s="32"/>
      <c r="M19" s="32"/>
      <c r="N19" s="32"/>
      <c r="O19" s="32"/>
      <c r="P19" s="32"/>
      <c r="Q19" s="32"/>
      <c r="R19" s="42"/>
      <c r="S19" s="19"/>
      <c r="T19" s="19"/>
      <c r="U19" s="19"/>
      <c r="V19" s="19"/>
      <c r="W19" s="19"/>
      <c r="X19" s="19"/>
      <c r="Y19" s="139"/>
      <c r="Z19" s="140"/>
      <c r="AA19" s="141"/>
      <c r="AB19" s="142"/>
      <c r="AC19" s="143"/>
      <c r="AD19" s="25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42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68"/>
    </row>
    <row r="20" spans="1:56" ht="15" customHeight="1" x14ac:dyDescent="0.3">
      <c r="A20" s="54" t="str">
        <f>IF(B20="","",COUNTA($B$8:B20))</f>
        <v/>
      </c>
      <c r="B20" s="42"/>
      <c r="C20" s="41"/>
      <c r="D20" s="41"/>
      <c r="E20" s="41"/>
      <c r="F20" s="41"/>
      <c r="G20" s="41"/>
      <c r="H20" s="41"/>
      <c r="I20" s="31"/>
      <c r="J20" s="32"/>
      <c r="K20" s="32"/>
      <c r="L20" s="32"/>
      <c r="M20" s="32"/>
      <c r="N20" s="32"/>
      <c r="O20" s="32"/>
      <c r="P20" s="32"/>
      <c r="Q20" s="32"/>
      <c r="R20" s="42"/>
      <c r="S20" s="41"/>
      <c r="T20" s="41"/>
      <c r="U20" s="41"/>
      <c r="V20" s="41"/>
      <c r="W20" s="41"/>
      <c r="X20" s="41"/>
      <c r="Y20" s="18"/>
      <c r="Z20" s="34"/>
      <c r="AA20" s="141"/>
      <c r="AB20" s="142"/>
      <c r="AC20" s="143"/>
      <c r="AD20" s="72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42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68"/>
    </row>
    <row r="21" spans="1:56" ht="15" customHeight="1" x14ac:dyDescent="0.3">
      <c r="A21" s="54" t="str">
        <f>IF(B21="","",COUNTA($B$8:B21))</f>
        <v/>
      </c>
      <c r="B21" s="42"/>
      <c r="C21" s="41"/>
      <c r="D21" s="41"/>
      <c r="E21" s="41"/>
      <c r="F21" s="41"/>
      <c r="G21" s="41"/>
      <c r="H21" s="41"/>
      <c r="I21" s="31"/>
      <c r="J21" s="32"/>
      <c r="K21" s="32"/>
      <c r="L21" s="32"/>
      <c r="M21" s="32"/>
      <c r="N21" s="32"/>
      <c r="O21" s="32"/>
      <c r="P21" s="32"/>
      <c r="Q21" s="32"/>
      <c r="R21" s="42"/>
      <c r="S21" s="41"/>
      <c r="T21" s="41"/>
      <c r="U21" s="41"/>
      <c r="V21" s="41"/>
      <c r="W21" s="41"/>
      <c r="X21" s="41"/>
      <c r="Y21" s="18"/>
      <c r="Z21" s="34"/>
      <c r="AA21" s="141"/>
      <c r="AB21" s="142"/>
      <c r="AC21" s="143"/>
      <c r="AD21" s="72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42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68"/>
    </row>
    <row r="22" spans="1:56" ht="15" customHeight="1" x14ac:dyDescent="0.3">
      <c r="A22" s="54" t="str">
        <f>IF(B22="","",COUNTA($B$8:B22))</f>
        <v/>
      </c>
      <c r="B22" s="42"/>
      <c r="C22" s="41"/>
      <c r="D22" s="41"/>
      <c r="E22" s="41"/>
      <c r="F22" s="41"/>
      <c r="G22" s="41"/>
      <c r="H22" s="41"/>
      <c r="I22" s="42"/>
      <c r="J22" s="32"/>
      <c r="K22" s="32"/>
      <c r="L22" s="32"/>
      <c r="M22" s="32"/>
      <c r="N22" s="32"/>
      <c r="O22" s="32"/>
      <c r="P22" s="32"/>
      <c r="Q22" s="32"/>
      <c r="R22" s="42"/>
      <c r="S22" s="41"/>
      <c r="T22" s="41"/>
      <c r="U22" s="41"/>
      <c r="V22" s="41"/>
      <c r="W22" s="41"/>
      <c r="X22" s="41"/>
      <c r="Y22" s="139"/>
      <c r="Z22" s="140"/>
      <c r="AA22" s="141"/>
      <c r="AB22" s="142"/>
      <c r="AC22" s="143"/>
      <c r="AD22" s="72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42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68"/>
    </row>
    <row r="23" spans="1:56" ht="15" customHeight="1" x14ac:dyDescent="0.3">
      <c r="A23" s="54" t="str">
        <f>IF(B23="","",COUNTA($B$8:B23))</f>
        <v/>
      </c>
      <c r="B23" s="42"/>
      <c r="C23" s="41"/>
      <c r="D23" s="41"/>
      <c r="E23" s="41"/>
      <c r="F23" s="41"/>
      <c r="G23" s="41"/>
      <c r="H23" s="41"/>
      <c r="I23" s="42"/>
      <c r="J23" s="32"/>
      <c r="K23" s="32"/>
      <c r="L23" s="32"/>
      <c r="M23" s="32"/>
      <c r="N23" s="32"/>
      <c r="O23" s="32"/>
      <c r="P23" s="32"/>
      <c r="Q23" s="32"/>
      <c r="R23" s="42"/>
      <c r="S23" s="41"/>
      <c r="T23" s="41"/>
      <c r="U23" s="41"/>
      <c r="V23" s="41"/>
      <c r="W23" s="41"/>
      <c r="X23" s="41"/>
      <c r="Y23" s="139"/>
      <c r="Z23" s="140"/>
      <c r="AA23" s="141"/>
      <c r="AB23" s="142"/>
      <c r="AC23" s="143"/>
      <c r="AD23" s="72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42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68"/>
    </row>
    <row r="24" spans="1:56" ht="15" customHeight="1" x14ac:dyDescent="0.3">
      <c r="A24" s="54" t="str">
        <f>IF(B24="","",COUNTA($B$8:B24))</f>
        <v/>
      </c>
      <c r="B24" s="42"/>
      <c r="C24" s="41"/>
      <c r="D24" s="41"/>
      <c r="E24" s="41"/>
      <c r="F24" s="41"/>
      <c r="G24" s="41"/>
      <c r="H24" s="41"/>
      <c r="I24" s="42"/>
      <c r="J24" s="32"/>
      <c r="K24" s="32"/>
      <c r="L24" s="32"/>
      <c r="M24" s="32"/>
      <c r="N24" s="32"/>
      <c r="O24" s="32"/>
      <c r="P24" s="32"/>
      <c r="Q24" s="32"/>
      <c r="R24" s="42"/>
      <c r="S24" s="41"/>
      <c r="T24" s="41"/>
      <c r="U24" s="41"/>
      <c r="V24" s="41"/>
      <c r="W24" s="41"/>
      <c r="X24" s="41"/>
      <c r="Y24" s="139"/>
      <c r="Z24" s="140"/>
      <c r="AA24" s="141"/>
      <c r="AB24" s="142"/>
      <c r="AC24" s="143"/>
      <c r="AD24" s="72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42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68"/>
    </row>
    <row r="25" spans="1:56" ht="15" customHeight="1" x14ac:dyDescent="0.3">
      <c r="A25" s="54" t="str">
        <f>IF(B25="","",COUNTA($B$8:B25))</f>
        <v/>
      </c>
      <c r="B25" s="42"/>
      <c r="C25" s="41"/>
      <c r="D25" s="41"/>
      <c r="E25" s="41"/>
      <c r="F25" s="41"/>
      <c r="G25" s="41"/>
      <c r="H25" s="41"/>
      <c r="I25" s="42"/>
      <c r="J25" s="32"/>
      <c r="K25" s="32"/>
      <c r="L25" s="32"/>
      <c r="M25" s="32"/>
      <c r="N25" s="32"/>
      <c r="O25" s="32"/>
      <c r="P25" s="32"/>
      <c r="Q25" s="32"/>
      <c r="R25" s="42"/>
      <c r="S25" s="41"/>
      <c r="T25" s="41"/>
      <c r="U25" s="41"/>
      <c r="V25" s="41"/>
      <c r="W25" s="41"/>
      <c r="X25" s="41"/>
      <c r="Y25" s="139"/>
      <c r="Z25" s="140"/>
      <c r="AA25" s="141"/>
      <c r="AB25" s="142"/>
      <c r="AC25" s="143"/>
      <c r="AD25" s="72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42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68"/>
    </row>
    <row r="26" spans="1:56" ht="15" customHeight="1" x14ac:dyDescent="0.3">
      <c r="A26" s="54" t="str">
        <f>IF(B26="","",COUNTA($B$8:B26))</f>
        <v/>
      </c>
      <c r="B26" s="42"/>
      <c r="C26" s="41"/>
      <c r="D26" s="41"/>
      <c r="E26" s="41"/>
      <c r="F26" s="41"/>
      <c r="G26" s="41"/>
      <c r="H26" s="41"/>
      <c r="I26" s="42"/>
      <c r="J26" s="32"/>
      <c r="K26" s="32"/>
      <c r="L26" s="32"/>
      <c r="M26" s="32"/>
      <c r="N26" s="32"/>
      <c r="O26" s="32"/>
      <c r="P26" s="32"/>
      <c r="Q26" s="32"/>
      <c r="R26" s="42"/>
      <c r="S26" s="41"/>
      <c r="T26" s="41"/>
      <c r="U26" s="41"/>
      <c r="V26" s="41"/>
      <c r="W26" s="41"/>
      <c r="X26" s="41"/>
      <c r="Y26" s="139"/>
      <c r="Z26" s="140"/>
      <c r="AA26" s="141"/>
      <c r="AB26" s="142"/>
      <c r="AC26" s="143"/>
      <c r="AD26" s="72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42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68"/>
    </row>
    <row r="27" spans="1:56" ht="15" customHeight="1" x14ac:dyDescent="0.3">
      <c r="A27" s="54" t="str">
        <f>IF(B27="","",COUNTA($B$8:B27))</f>
        <v/>
      </c>
      <c r="B27" s="42"/>
      <c r="C27" s="41"/>
      <c r="D27" s="41"/>
      <c r="E27" s="41"/>
      <c r="F27" s="41"/>
      <c r="G27" s="41"/>
      <c r="H27" s="41"/>
      <c r="I27" s="42"/>
      <c r="J27" s="32"/>
      <c r="K27" s="32"/>
      <c r="L27" s="32"/>
      <c r="M27" s="32"/>
      <c r="N27" s="32"/>
      <c r="O27" s="32"/>
      <c r="P27" s="32"/>
      <c r="Q27" s="32"/>
      <c r="R27" s="42"/>
      <c r="S27" s="41"/>
      <c r="T27" s="41"/>
      <c r="U27" s="41"/>
      <c r="V27" s="41"/>
      <c r="W27" s="41"/>
      <c r="X27" s="41"/>
      <c r="Y27" s="139"/>
      <c r="Z27" s="140"/>
      <c r="AA27" s="141"/>
      <c r="AB27" s="142"/>
      <c r="AC27" s="143"/>
      <c r="AD27" s="72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42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68"/>
    </row>
    <row r="28" spans="1:56" ht="15" customHeight="1" x14ac:dyDescent="0.3">
      <c r="A28" s="54" t="str">
        <f>IF(B28="","",COUNTA($B$8:B28))</f>
        <v/>
      </c>
      <c r="B28" s="42"/>
      <c r="C28" s="41"/>
      <c r="D28" s="41"/>
      <c r="E28" s="41"/>
      <c r="F28" s="41"/>
      <c r="G28" s="41"/>
      <c r="H28" s="41"/>
      <c r="I28" s="42"/>
      <c r="J28" s="32"/>
      <c r="K28" s="32"/>
      <c r="L28" s="32"/>
      <c r="M28" s="32"/>
      <c r="N28" s="32"/>
      <c r="O28" s="32"/>
      <c r="P28" s="32"/>
      <c r="Q28" s="32"/>
      <c r="R28" s="42"/>
      <c r="S28" s="41"/>
      <c r="T28" s="41"/>
      <c r="U28" s="41"/>
      <c r="V28" s="41"/>
      <c r="W28" s="41"/>
      <c r="X28" s="41"/>
      <c r="Y28" s="139"/>
      <c r="Z28" s="140"/>
      <c r="AA28" s="141"/>
      <c r="AB28" s="142"/>
      <c r="AC28" s="143"/>
      <c r="AD28" s="72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42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68"/>
    </row>
    <row r="29" spans="1:56" ht="15" customHeight="1" x14ac:dyDescent="0.3">
      <c r="A29" s="54" t="str">
        <f>IF(B29="","",COUNTA($B$8:B29))</f>
        <v/>
      </c>
      <c r="B29" s="42"/>
      <c r="C29" s="41"/>
      <c r="D29" s="41"/>
      <c r="E29" s="41"/>
      <c r="F29" s="41"/>
      <c r="G29" s="41"/>
      <c r="H29" s="41"/>
      <c r="I29" s="42"/>
      <c r="J29" s="32"/>
      <c r="K29" s="32"/>
      <c r="L29" s="32"/>
      <c r="M29" s="32"/>
      <c r="N29" s="32"/>
      <c r="O29" s="32"/>
      <c r="P29" s="32"/>
      <c r="Q29" s="32"/>
      <c r="R29" s="42"/>
      <c r="S29" s="41"/>
      <c r="T29" s="41"/>
      <c r="U29" s="41"/>
      <c r="V29" s="41"/>
      <c r="W29" s="41"/>
      <c r="X29" s="41"/>
      <c r="Y29" s="139"/>
      <c r="Z29" s="140"/>
      <c r="AA29" s="141"/>
      <c r="AB29" s="142"/>
      <c r="AC29" s="143"/>
      <c r="AD29" s="72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42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68"/>
    </row>
    <row r="30" spans="1:56" ht="15" customHeight="1" x14ac:dyDescent="0.3">
      <c r="A30" s="54" t="str">
        <f>IF(B30="","",COUNTA($B$8:B30))</f>
        <v/>
      </c>
      <c r="B30" s="42"/>
      <c r="C30" s="41"/>
      <c r="D30" s="41"/>
      <c r="E30" s="41"/>
      <c r="F30" s="41"/>
      <c r="G30" s="41"/>
      <c r="H30" s="41"/>
      <c r="I30" s="42"/>
      <c r="J30" s="32"/>
      <c r="K30" s="32"/>
      <c r="L30" s="32"/>
      <c r="M30" s="32"/>
      <c r="N30" s="32"/>
      <c r="O30" s="32"/>
      <c r="P30" s="32"/>
      <c r="Q30" s="32"/>
      <c r="R30" s="42"/>
      <c r="S30" s="41"/>
      <c r="T30" s="41"/>
      <c r="U30" s="41"/>
      <c r="V30" s="41"/>
      <c r="W30" s="41"/>
      <c r="X30" s="41"/>
      <c r="Y30" s="139"/>
      <c r="Z30" s="140"/>
      <c r="AA30" s="141"/>
      <c r="AB30" s="142"/>
      <c r="AC30" s="143"/>
      <c r="AD30" s="72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42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68"/>
    </row>
    <row r="31" spans="1:56" ht="15" customHeight="1" x14ac:dyDescent="0.3">
      <c r="A31" s="54" t="str">
        <f>IF(B31="","",COUNTA($B$8:B31))</f>
        <v/>
      </c>
      <c r="B31" s="42"/>
      <c r="C31" s="41"/>
      <c r="D31" s="41"/>
      <c r="E31" s="41"/>
      <c r="F31" s="41"/>
      <c r="G31" s="41"/>
      <c r="H31" s="41"/>
      <c r="I31" s="42"/>
      <c r="J31" s="32"/>
      <c r="K31" s="32"/>
      <c r="L31" s="32"/>
      <c r="M31" s="32"/>
      <c r="N31" s="32"/>
      <c r="O31" s="32"/>
      <c r="P31" s="32"/>
      <c r="Q31" s="32"/>
      <c r="R31" s="42"/>
      <c r="S31" s="41"/>
      <c r="T31" s="41"/>
      <c r="U31" s="41"/>
      <c r="V31" s="41"/>
      <c r="W31" s="41"/>
      <c r="X31" s="41"/>
      <c r="Y31" s="139"/>
      <c r="Z31" s="140"/>
      <c r="AA31" s="141"/>
      <c r="AB31" s="142"/>
      <c r="AC31" s="143"/>
      <c r="AD31" s="72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42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68"/>
    </row>
    <row r="32" spans="1:56" ht="15" customHeight="1" x14ac:dyDescent="0.3">
      <c r="A32" s="54" t="str">
        <f>IF(B32="","",COUNTA($B$8:B32))</f>
        <v/>
      </c>
      <c r="B32" s="42"/>
      <c r="C32" s="41"/>
      <c r="D32" s="41"/>
      <c r="E32" s="41"/>
      <c r="F32" s="41"/>
      <c r="G32" s="41"/>
      <c r="H32" s="41"/>
      <c r="I32" s="42"/>
      <c r="J32" s="32"/>
      <c r="K32" s="32"/>
      <c r="L32" s="32"/>
      <c r="M32" s="32"/>
      <c r="N32" s="32"/>
      <c r="O32" s="32"/>
      <c r="P32" s="32"/>
      <c r="Q32" s="32"/>
      <c r="R32" s="42"/>
      <c r="S32" s="41"/>
      <c r="T32" s="41"/>
      <c r="U32" s="41"/>
      <c r="V32" s="41"/>
      <c r="W32" s="41"/>
      <c r="X32" s="41"/>
      <c r="Y32" s="139"/>
      <c r="Z32" s="140"/>
      <c r="AA32" s="141"/>
      <c r="AB32" s="142"/>
      <c r="AC32" s="143"/>
      <c r="AD32" s="72"/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42"/>
      <c r="AT32" s="43"/>
      <c r="AU32" s="43"/>
      <c r="AV32" s="43"/>
      <c r="AW32" s="43"/>
      <c r="AX32" s="43"/>
      <c r="AY32" s="43"/>
      <c r="AZ32" s="43"/>
      <c r="BA32" s="43"/>
      <c r="BB32" s="43"/>
      <c r="BC32" s="43"/>
      <c r="BD32" s="68"/>
    </row>
    <row r="33" spans="1:56" ht="15" customHeight="1" x14ac:dyDescent="0.3">
      <c r="A33" s="54" t="str">
        <f>IF(B33="","",COUNTA($B$8:B33))</f>
        <v/>
      </c>
      <c r="B33" s="42"/>
      <c r="C33" s="41"/>
      <c r="D33" s="41"/>
      <c r="E33" s="41"/>
      <c r="F33" s="41"/>
      <c r="G33" s="41"/>
      <c r="H33" s="41"/>
      <c r="I33" s="42"/>
      <c r="J33" s="32"/>
      <c r="K33" s="32"/>
      <c r="L33" s="32"/>
      <c r="M33" s="32"/>
      <c r="N33" s="32"/>
      <c r="O33" s="32"/>
      <c r="P33" s="32"/>
      <c r="Q33" s="32"/>
      <c r="R33" s="42"/>
      <c r="S33" s="41"/>
      <c r="T33" s="41"/>
      <c r="U33" s="41"/>
      <c r="V33" s="41"/>
      <c r="W33" s="41"/>
      <c r="X33" s="41"/>
      <c r="Y33" s="139"/>
      <c r="Z33" s="140"/>
      <c r="AA33" s="141"/>
      <c r="AB33" s="142"/>
      <c r="AC33" s="143"/>
      <c r="AD33" s="72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42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68"/>
    </row>
    <row r="34" spans="1:56" ht="15" customHeight="1" x14ac:dyDescent="0.3">
      <c r="A34" s="54" t="str">
        <f>IF(B34="","",COUNTA($B$8:B34))</f>
        <v/>
      </c>
      <c r="B34" s="42"/>
      <c r="C34" s="41"/>
      <c r="D34" s="41"/>
      <c r="E34" s="41"/>
      <c r="F34" s="41"/>
      <c r="G34" s="41"/>
      <c r="H34" s="41"/>
      <c r="I34" s="42"/>
      <c r="J34" s="32"/>
      <c r="K34" s="32"/>
      <c r="L34" s="32"/>
      <c r="M34" s="32"/>
      <c r="N34" s="32"/>
      <c r="O34" s="32"/>
      <c r="P34" s="32"/>
      <c r="Q34" s="32"/>
      <c r="R34" s="42"/>
      <c r="S34" s="41"/>
      <c r="T34" s="41"/>
      <c r="U34" s="41"/>
      <c r="V34" s="41"/>
      <c r="W34" s="41"/>
      <c r="X34" s="41"/>
      <c r="Y34" s="139"/>
      <c r="Z34" s="140"/>
      <c r="AA34" s="141"/>
      <c r="AB34" s="142"/>
      <c r="AC34" s="143"/>
      <c r="AD34" s="72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42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68"/>
    </row>
    <row r="35" spans="1:56" ht="15" customHeight="1" x14ac:dyDescent="0.3">
      <c r="A35" s="54" t="str">
        <f>IF(B35="","",COUNTA($B$8:B35))</f>
        <v/>
      </c>
      <c r="B35" s="42"/>
      <c r="C35" s="41"/>
      <c r="D35" s="41"/>
      <c r="E35" s="41"/>
      <c r="F35" s="41"/>
      <c r="G35" s="41"/>
      <c r="H35" s="41"/>
      <c r="I35" s="42"/>
      <c r="J35" s="32"/>
      <c r="K35" s="32"/>
      <c r="L35" s="32"/>
      <c r="M35" s="32"/>
      <c r="N35" s="32"/>
      <c r="O35" s="32"/>
      <c r="P35" s="32"/>
      <c r="Q35" s="32"/>
      <c r="R35" s="42"/>
      <c r="S35" s="41"/>
      <c r="T35" s="41"/>
      <c r="U35" s="41"/>
      <c r="V35" s="41"/>
      <c r="W35" s="41"/>
      <c r="X35" s="41"/>
      <c r="Y35" s="139"/>
      <c r="Z35" s="140"/>
      <c r="AA35" s="141"/>
      <c r="AB35" s="142"/>
      <c r="AC35" s="143"/>
      <c r="AD35" s="72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42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68"/>
    </row>
    <row r="36" spans="1:56" ht="15" customHeight="1" x14ac:dyDescent="0.3">
      <c r="A36" s="54" t="str">
        <f>IF(B36="","",COUNTA($B$8:B36))</f>
        <v/>
      </c>
      <c r="B36" s="42"/>
      <c r="C36" s="41"/>
      <c r="D36" s="41"/>
      <c r="E36" s="41"/>
      <c r="F36" s="41"/>
      <c r="G36" s="41"/>
      <c r="H36" s="41"/>
      <c r="I36" s="42"/>
      <c r="J36" s="32"/>
      <c r="K36" s="32"/>
      <c r="L36" s="32"/>
      <c r="M36" s="32"/>
      <c r="N36" s="32"/>
      <c r="O36" s="32"/>
      <c r="P36" s="32"/>
      <c r="Q36" s="32"/>
      <c r="R36" s="42"/>
      <c r="S36" s="41"/>
      <c r="T36" s="41"/>
      <c r="U36" s="41"/>
      <c r="V36" s="41"/>
      <c r="W36" s="41"/>
      <c r="X36" s="41"/>
      <c r="Y36" s="139"/>
      <c r="Z36" s="140"/>
      <c r="AA36" s="141"/>
      <c r="AB36" s="142"/>
      <c r="AC36" s="143"/>
      <c r="AD36" s="72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42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68"/>
    </row>
    <row r="37" spans="1:56" ht="15" customHeight="1" x14ac:dyDescent="0.3">
      <c r="A37" s="54" t="str">
        <f>IF(B37="","",COUNTA($B$8:B37))</f>
        <v/>
      </c>
      <c r="B37" s="42"/>
      <c r="C37" s="41"/>
      <c r="D37" s="41"/>
      <c r="E37" s="41"/>
      <c r="F37" s="41"/>
      <c r="G37" s="41"/>
      <c r="H37" s="41"/>
      <c r="I37" s="42"/>
      <c r="J37" s="32"/>
      <c r="K37" s="32"/>
      <c r="L37" s="32"/>
      <c r="M37" s="32"/>
      <c r="N37" s="32"/>
      <c r="O37" s="32"/>
      <c r="P37" s="32"/>
      <c r="Q37" s="32"/>
      <c r="R37" s="42"/>
      <c r="S37" s="41"/>
      <c r="T37" s="41"/>
      <c r="U37" s="41"/>
      <c r="V37" s="41"/>
      <c r="W37" s="41"/>
      <c r="X37" s="41"/>
      <c r="Y37" s="139"/>
      <c r="Z37" s="140"/>
      <c r="AA37" s="141"/>
      <c r="AB37" s="142"/>
      <c r="AC37" s="143"/>
      <c r="AD37" s="72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42"/>
      <c r="AT37" s="43"/>
      <c r="AU37" s="43"/>
      <c r="AV37" s="43"/>
      <c r="AW37" s="43"/>
      <c r="AX37" s="43"/>
      <c r="AY37" s="43"/>
      <c r="AZ37" s="43"/>
      <c r="BA37" s="43"/>
      <c r="BB37" s="43"/>
      <c r="BC37" s="43"/>
      <c r="BD37" s="68"/>
    </row>
    <row r="38" spans="1:56" ht="15" customHeight="1" x14ac:dyDescent="0.3">
      <c r="A38" s="54" t="str">
        <f>IF(B38="","",COUNTA($B$8:B38))</f>
        <v/>
      </c>
      <c r="B38" s="42"/>
      <c r="C38" s="41"/>
      <c r="D38" s="41"/>
      <c r="E38" s="41"/>
      <c r="F38" s="41"/>
      <c r="G38" s="41"/>
      <c r="H38" s="41"/>
      <c r="I38" s="42"/>
      <c r="J38" s="32"/>
      <c r="K38" s="32"/>
      <c r="L38" s="32"/>
      <c r="M38" s="32"/>
      <c r="N38" s="32"/>
      <c r="O38" s="32"/>
      <c r="P38" s="32"/>
      <c r="Q38" s="32"/>
      <c r="R38" s="42"/>
      <c r="S38" s="41"/>
      <c r="T38" s="41"/>
      <c r="U38" s="41"/>
      <c r="V38" s="41"/>
      <c r="W38" s="41"/>
      <c r="X38" s="41"/>
      <c r="Y38" s="139"/>
      <c r="Z38" s="140"/>
      <c r="AA38" s="141"/>
      <c r="AB38" s="142"/>
      <c r="AC38" s="143"/>
      <c r="AD38" s="72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42"/>
      <c r="AT38" s="43"/>
      <c r="AU38" s="43"/>
      <c r="AV38" s="43"/>
      <c r="AW38" s="43"/>
      <c r="AX38" s="43"/>
      <c r="AY38" s="43"/>
      <c r="AZ38" s="43"/>
      <c r="BA38" s="43"/>
      <c r="BB38" s="43"/>
      <c r="BC38" s="43"/>
      <c r="BD38" s="68"/>
    </row>
    <row r="39" spans="1:56" ht="15" customHeight="1" x14ac:dyDescent="0.3">
      <c r="A39" s="54" t="str">
        <f>IF(B39="","",COUNTA($B$8:B39))</f>
        <v/>
      </c>
      <c r="B39" s="42"/>
      <c r="C39" s="41"/>
      <c r="D39" s="41"/>
      <c r="E39" s="41"/>
      <c r="F39" s="41"/>
      <c r="G39" s="41"/>
      <c r="H39" s="41"/>
      <c r="I39" s="42"/>
      <c r="J39" s="32"/>
      <c r="K39" s="32"/>
      <c r="L39" s="32"/>
      <c r="M39" s="32"/>
      <c r="N39" s="32"/>
      <c r="O39" s="32"/>
      <c r="P39" s="32"/>
      <c r="Q39" s="32"/>
      <c r="R39" s="42"/>
      <c r="S39" s="41"/>
      <c r="T39" s="41"/>
      <c r="U39" s="41"/>
      <c r="V39" s="41"/>
      <c r="W39" s="41"/>
      <c r="X39" s="41"/>
      <c r="Y39" s="139"/>
      <c r="Z39" s="140"/>
      <c r="AA39" s="141"/>
      <c r="AB39" s="142"/>
      <c r="AC39" s="143"/>
      <c r="AD39" s="72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42"/>
      <c r="AT39" s="43"/>
      <c r="AU39" s="43"/>
      <c r="AV39" s="43"/>
      <c r="AW39" s="43"/>
      <c r="AX39" s="43"/>
      <c r="AY39" s="43"/>
      <c r="AZ39" s="43"/>
      <c r="BA39" s="43"/>
      <c r="BB39" s="43"/>
      <c r="BC39" s="43"/>
      <c r="BD39" s="68"/>
    </row>
    <row r="40" spans="1:56" ht="15" customHeight="1" x14ac:dyDescent="0.3">
      <c r="A40" s="54" t="str">
        <f>IF(B40="","",COUNTA($B$8:B40))</f>
        <v/>
      </c>
      <c r="B40" s="42"/>
      <c r="C40" s="41"/>
      <c r="D40" s="41"/>
      <c r="E40" s="41"/>
      <c r="F40" s="41"/>
      <c r="G40" s="41"/>
      <c r="H40" s="41"/>
      <c r="I40" s="42"/>
      <c r="J40" s="32"/>
      <c r="K40" s="32"/>
      <c r="L40" s="32"/>
      <c r="M40" s="32"/>
      <c r="N40" s="32"/>
      <c r="O40" s="32"/>
      <c r="P40" s="32"/>
      <c r="Q40" s="32"/>
      <c r="R40" s="42"/>
      <c r="S40" s="41"/>
      <c r="T40" s="41"/>
      <c r="U40" s="41"/>
      <c r="V40" s="41"/>
      <c r="W40" s="41"/>
      <c r="X40" s="41"/>
      <c r="Y40" s="139"/>
      <c r="Z40" s="140"/>
      <c r="AA40" s="141"/>
      <c r="AB40" s="142"/>
      <c r="AC40" s="143"/>
      <c r="AD40" s="72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42"/>
      <c r="AT40" s="43"/>
      <c r="AU40" s="43"/>
      <c r="AV40" s="43"/>
      <c r="AW40" s="43"/>
      <c r="AX40" s="43"/>
      <c r="AY40" s="43"/>
      <c r="AZ40" s="43"/>
      <c r="BA40" s="43"/>
      <c r="BB40" s="43"/>
      <c r="BC40" s="43"/>
      <c r="BD40" s="68"/>
    </row>
    <row r="41" spans="1:56" ht="15" customHeight="1" x14ac:dyDescent="0.3">
      <c r="A41" s="54" t="str">
        <f>IF(B41="","",COUNTA($B$8:B41))</f>
        <v/>
      </c>
      <c r="B41" s="42"/>
      <c r="C41" s="41"/>
      <c r="D41" s="41"/>
      <c r="E41" s="41"/>
      <c r="F41" s="41"/>
      <c r="G41" s="41"/>
      <c r="H41" s="41"/>
      <c r="I41" s="42"/>
      <c r="J41" s="32"/>
      <c r="K41" s="32"/>
      <c r="L41" s="32"/>
      <c r="M41" s="32"/>
      <c r="N41" s="32"/>
      <c r="O41" s="32"/>
      <c r="P41" s="32"/>
      <c r="Q41" s="32"/>
      <c r="R41" s="42"/>
      <c r="S41" s="41"/>
      <c r="T41" s="41"/>
      <c r="U41" s="41"/>
      <c r="V41" s="41"/>
      <c r="W41" s="41"/>
      <c r="X41" s="41"/>
      <c r="Y41" s="139"/>
      <c r="Z41" s="140"/>
      <c r="AA41" s="141"/>
      <c r="AB41" s="142"/>
      <c r="AC41" s="143"/>
      <c r="AD41" s="72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42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68"/>
    </row>
    <row r="42" spans="1:56" ht="15" customHeight="1" x14ac:dyDescent="0.3">
      <c r="A42" s="54" t="str">
        <f>IF(B42="","",COUNTA($B$8:B42))</f>
        <v/>
      </c>
      <c r="B42" s="42"/>
      <c r="C42" s="41"/>
      <c r="D42" s="41"/>
      <c r="E42" s="41"/>
      <c r="F42" s="41"/>
      <c r="G42" s="41"/>
      <c r="H42" s="41"/>
      <c r="I42" s="42"/>
      <c r="J42" s="32"/>
      <c r="K42" s="32"/>
      <c r="L42" s="32"/>
      <c r="M42" s="32"/>
      <c r="N42" s="32"/>
      <c r="O42" s="32"/>
      <c r="P42" s="32"/>
      <c r="Q42" s="32"/>
      <c r="R42" s="42"/>
      <c r="S42" s="41"/>
      <c r="T42" s="41"/>
      <c r="U42" s="41"/>
      <c r="V42" s="41"/>
      <c r="W42" s="41"/>
      <c r="X42" s="41"/>
      <c r="Y42" s="139"/>
      <c r="Z42" s="140"/>
      <c r="AA42" s="141"/>
      <c r="AB42" s="142"/>
      <c r="AC42" s="143"/>
      <c r="AD42" s="72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42"/>
      <c r="AT42" s="43"/>
      <c r="AU42" s="43"/>
      <c r="AV42" s="43"/>
      <c r="AW42" s="43"/>
      <c r="AX42" s="43"/>
      <c r="AY42" s="43"/>
      <c r="AZ42" s="43"/>
      <c r="BA42" s="43"/>
      <c r="BB42" s="43"/>
      <c r="BC42" s="43"/>
      <c r="BD42" s="68"/>
    </row>
    <row r="43" spans="1:56" ht="15" customHeight="1" x14ac:dyDescent="0.3">
      <c r="A43" s="54" t="str">
        <f>IF(B43="","",COUNTA($B$8:B43))</f>
        <v/>
      </c>
      <c r="B43" s="42"/>
      <c r="C43" s="41"/>
      <c r="D43" s="41"/>
      <c r="E43" s="41"/>
      <c r="F43" s="41"/>
      <c r="G43" s="41"/>
      <c r="H43" s="41"/>
      <c r="I43" s="42"/>
      <c r="J43" s="32"/>
      <c r="K43" s="32"/>
      <c r="L43" s="32"/>
      <c r="M43" s="32"/>
      <c r="N43" s="32"/>
      <c r="O43" s="32"/>
      <c r="P43" s="32"/>
      <c r="Q43" s="32"/>
      <c r="R43" s="42"/>
      <c r="S43" s="41"/>
      <c r="T43" s="41"/>
      <c r="U43" s="41"/>
      <c r="V43" s="41"/>
      <c r="W43" s="41"/>
      <c r="X43" s="41"/>
      <c r="Y43" s="139"/>
      <c r="Z43" s="140"/>
      <c r="AA43" s="141"/>
      <c r="AB43" s="142"/>
      <c r="AC43" s="143"/>
      <c r="AD43" s="72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42"/>
      <c r="AT43" s="43"/>
      <c r="AU43" s="43"/>
      <c r="AV43" s="43"/>
      <c r="AW43" s="43"/>
      <c r="AX43" s="43"/>
      <c r="AY43" s="43"/>
      <c r="AZ43" s="43"/>
      <c r="BA43" s="43"/>
      <c r="BB43" s="43"/>
      <c r="BC43" s="43"/>
      <c r="BD43" s="68"/>
    </row>
    <row r="44" spans="1:56" ht="15" customHeight="1" x14ac:dyDescent="0.3">
      <c r="A44" s="54" t="str">
        <f>IF(B44="","",COUNTA($B$8:B44))</f>
        <v/>
      </c>
      <c r="B44" s="28"/>
      <c r="C44" s="41"/>
      <c r="D44" s="41"/>
      <c r="E44" s="41"/>
      <c r="F44" s="41"/>
      <c r="G44" s="41"/>
      <c r="H44" s="41"/>
      <c r="I44" s="20"/>
      <c r="J44" s="32"/>
      <c r="K44" s="32"/>
      <c r="L44" s="32"/>
      <c r="M44" s="32"/>
      <c r="N44" s="32"/>
      <c r="O44" s="32"/>
      <c r="P44" s="32"/>
      <c r="Q44" s="32"/>
      <c r="R44" s="28"/>
      <c r="S44" s="41"/>
      <c r="T44" s="41"/>
      <c r="U44" s="41"/>
      <c r="V44" s="41"/>
      <c r="W44" s="41"/>
      <c r="X44" s="41"/>
      <c r="Y44" s="139"/>
      <c r="Z44" s="140"/>
      <c r="AA44" s="141"/>
      <c r="AB44" s="142"/>
      <c r="AC44" s="143"/>
      <c r="AD44" s="55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8"/>
      <c r="AT44" s="69"/>
      <c r="AU44" s="69"/>
      <c r="AV44" s="69"/>
      <c r="AW44" s="69"/>
      <c r="AX44" s="69"/>
      <c r="AY44" s="69"/>
      <c r="AZ44" s="69"/>
      <c r="BA44" s="69"/>
      <c r="BB44" s="69"/>
      <c r="BC44" s="69"/>
      <c r="BD44" s="70"/>
    </row>
  </sheetData>
  <mergeCells count="104"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G6:AG7"/>
    <mergeCell ref="AH6:AH7"/>
    <mergeCell ref="AI6:AR6"/>
    <mergeCell ref="AS6:BD7"/>
    <mergeCell ref="Y8:Z8"/>
    <mergeCell ref="AA8:AC8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AA20:AC20"/>
    <mergeCell ref="AA21:AC21"/>
    <mergeCell ref="Y11:Z11"/>
    <mergeCell ref="AA11:AC11"/>
    <mergeCell ref="Y12:Z12"/>
    <mergeCell ref="AA12:AC12"/>
    <mergeCell ref="Y9:Z9"/>
    <mergeCell ref="AA9:AC9"/>
    <mergeCell ref="Y10:Z10"/>
    <mergeCell ref="AA10:AC10"/>
    <mergeCell ref="Y19:Z19"/>
    <mergeCell ref="AA19:AC19"/>
    <mergeCell ref="Y16:Z16"/>
    <mergeCell ref="AA16:AC16"/>
    <mergeCell ref="Y17:Z17"/>
    <mergeCell ref="AA17:AC17"/>
    <mergeCell ref="Y18:Z18"/>
    <mergeCell ref="AA18:AC18"/>
    <mergeCell ref="Y13:Z13"/>
    <mergeCell ref="AA13:AC13"/>
    <mergeCell ref="Y14:Z14"/>
    <mergeCell ref="AA14:AC14"/>
    <mergeCell ref="Y15:Z15"/>
    <mergeCell ref="AA15:AC15"/>
    <mergeCell ref="Y25:Z25"/>
    <mergeCell ref="AA25:AC25"/>
    <mergeCell ref="Y26:Z26"/>
    <mergeCell ref="AA26:AC26"/>
    <mergeCell ref="Y27:Z27"/>
    <mergeCell ref="AA27:AC27"/>
    <mergeCell ref="Y22:Z22"/>
    <mergeCell ref="AA22:AC22"/>
    <mergeCell ref="Y23:Z23"/>
    <mergeCell ref="AA23:AC23"/>
    <mergeCell ref="Y24:Z24"/>
    <mergeCell ref="AA24:AC24"/>
    <mergeCell ref="Y31:Z31"/>
    <mergeCell ref="AA31:AC31"/>
    <mergeCell ref="Y32:Z32"/>
    <mergeCell ref="AA32:AC32"/>
    <mergeCell ref="Y33:Z33"/>
    <mergeCell ref="AA33:AC33"/>
    <mergeCell ref="Y28:Z28"/>
    <mergeCell ref="AA28:AC28"/>
    <mergeCell ref="Y29:Z29"/>
    <mergeCell ref="AA29:AC29"/>
    <mergeCell ref="Y30:Z30"/>
    <mergeCell ref="AA30:AC30"/>
    <mergeCell ref="Y37:Z37"/>
    <mergeCell ref="AA37:AC37"/>
    <mergeCell ref="Y38:Z38"/>
    <mergeCell ref="AA38:AC38"/>
    <mergeCell ref="Y39:Z39"/>
    <mergeCell ref="AA39:AC39"/>
    <mergeCell ref="Y34:Z34"/>
    <mergeCell ref="AA34:AC34"/>
    <mergeCell ref="Y35:Z35"/>
    <mergeCell ref="AA35:AC35"/>
    <mergeCell ref="Y36:Z36"/>
    <mergeCell ref="AA36:AC36"/>
    <mergeCell ref="Y43:Z43"/>
    <mergeCell ref="AA43:AC43"/>
    <mergeCell ref="Y44:Z44"/>
    <mergeCell ref="AA44:AC44"/>
    <mergeCell ref="Y40:Z40"/>
    <mergeCell ref="AA40:AC40"/>
    <mergeCell ref="Y41:Z41"/>
    <mergeCell ref="AA41:AC41"/>
    <mergeCell ref="Y42:Z42"/>
    <mergeCell ref="AA42:AC42"/>
  </mergeCells>
  <phoneticPr fontId="4"/>
  <dataValidations count="3">
    <dataValidation imeMode="hiragana" allowBlank="1" showInputMessage="1" showErrorMessage="1" sqref="JG65519:JR65521 TC65519:TN65521 ACY65519:ADJ65521 AMU65519:ANF65521 AWQ65519:AXB65521 BGM65519:BGX65521 BQI65519:BQT65521 CAE65519:CAP65521 CKA65519:CKL65521 CTW65519:CUH65521 DDS65519:DED65521 DNO65519:DNZ65521 DXK65519:DXV65521 EHG65519:EHR65521 ERC65519:ERN65521 FAY65519:FBJ65521 FKU65519:FLF65521 FUQ65519:FVB65521 GEM65519:GEX65521 GOI65519:GOT65521 GYE65519:GYP65521 HIA65519:HIL65521 HRW65519:HSH65521 IBS65519:ICD65521 ILO65519:ILZ65521 IVK65519:IVV65521 JFG65519:JFR65521 JPC65519:JPN65521 JYY65519:JZJ65521 KIU65519:KJF65521 KSQ65519:KTB65521 LCM65519:LCX65521 LMI65519:LMT65521 LWE65519:LWP65521 MGA65519:MGL65521 MPW65519:MQH65521 MZS65519:NAD65521 NJO65519:NJZ65521 NTK65519:NTV65521 ODG65519:ODR65521 ONC65519:ONN65521 OWY65519:OXJ65521 PGU65519:PHF65521 PQQ65519:PRB65521 QAM65519:QAX65521 QKI65519:QKT65521 QUE65519:QUP65521 REA65519:REL65521 RNW65519:ROH65521 RXS65519:RYD65521 SHO65519:SHZ65521 SRK65519:SRV65521 TBG65519:TBR65521 TLC65519:TLN65521 TUY65519:TVJ65521 UEU65519:UFF65521 UOQ65519:UPB65521 UYM65519:UYX65521 VII65519:VIT65521 VSE65519:VSP65521 WCA65519:WCL65521 WLW65519:WMH65521 WVS65519:WWD65521 JG131055:JR131057 TC131055:TN131057 ACY131055:ADJ131057 AMU131055:ANF131057 AWQ131055:AXB131057 BGM131055:BGX131057 BQI131055:BQT131057 CAE131055:CAP131057 CKA131055:CKL131057 CTW131055:CUH131057 DDS131055:DED131057 DNO131055:DNZ131057 DXK131055:DXV131057 EHG131055:EHR131057 ERC131055:ERN131057 FAY131055:FBJ131057 FKU131055:FLF131057 FUQ131055:FVB131057 GEM131055:GEX131057 GOI131055:GOT131057 GYE131055:GYP131057 HIA131055:HIL131057 HRW131055:HSH131057 IBS131055:ICD131057 ILO131055:ILZ131057 IVK131055:IVV131057 JFG131055:JFR131057 JPC131055:JPN131057 JYY131055:JZJ131057 KIU131055:KJF131057 KSQ131055:KTB131057 LCM131055:LCX131057 LMI131055:LMT131057 LWE131055:LWP131057 MGA131055:MGL131057 MPW131055:MQH131057 MZS131055:NAD131057 NJO131055:NJZ131057 NTK131055:NTV131057 ODG131055:ODR131057 ONC131055:ONN131057 OWY131055:OXJ131057 PGU131055:PHF131057 PQQ131055:PRB131057 QAM131055:QAX131057 QKI131055:QKT131057 QUE131055:QUP131057 REA131055:REL131057 RNW131055:ROH131057 RXS131055:RYD131057 SHO131055:SHZ131057 SRK131055:SRV131057 TBG131055:TBR131057 TLC131055:TLN131057 TUY131055:TVJ131057 UEU131055:UFF131057 UOQ131055:UPB131057 UYM131055:UYX131057 VII131055:VIT131057 VSE131055:VSP131057 WCA131055:WCL131057 WLW131055:WMH131057 WVS131055:WWD131057 JG196591:JR196593 TC196591:TN196593 ACY196591:ADJ196593 AMU196591:ANF196593 AWQ196591:AXB196593 BGM196591:BGX196593 BQI196591:BQT196593 CAE196591:CAP196593 CKA196591:CKL196593 CTW196591:CUH196593 DDS196591:DED196593 DNO196591:DNZ196593 DXK196591:DXV196593 EHG196591:EHR196593 ERC196591:ERN196593 FAY196591:FBJ196593 FKU196591:FLF196593 FUQ196591:FVB196593 GEM196591:GEX196593 GOI196591:GOT196593 GYE196591:GYP196593 HIA196591:HIL196593 HRW196591:HSH196593 IBS196591:ICD196593 ILO196591:ILZ196593 IVK196591:IVV196593 JFG196591:JFR196593 JPC196591:JPN196593 JYY196591:JZJ196593 KIU196591:KJF196593 KSQ196591:KTB196593 LCM196591:LCX196593 LMI196591:LMT196593 LWE196591:LWP196593 MGA196591:MGL196593 MPW196591:MQH196593 MZS196591:NAD196593 NJO196591:NJZ196593 NTK196591:NTV196593 ODG196591:ODR196593 ONC196591:ONN196593 OWY196591:OXJ196593 PGU196591:PHF196593 PQQ196591:PRB196593 QAM196591:QAX196593 QKI196591:QKT196593 QUE196591:QUP196593 REA196591:REL196593 RNW196591:ROH196593 RXS196591:RYD196593 SHO196591:SHZ196593 SRK196591:SRV196593 TBG196591:TBR196593 TLC196591:TLN196593 TUY196591:TVJ196593 UEU196591:UFF196593 UOQ196591:UPB196593 UYM196591:UYX196593 VII196591:VIT196593 VSE196591:VSP196593 WCA196591:WCL196593 WLW196591:WMH196593 WVS196591:WWD196593 JG262127:JR262129 TC262127:TN262129 ACY262127:ADJ262129 AMU262127:ANF262129 AWQ262127:AXB262129 BGM262127:BGX262129 BQI262127:BQT262129 CAE262127:CAP262129 CKA262127:CKL262129 CTW262127:CUH262129 DDS262127:DED262129 DNO262127:DNZ262129 DXK262127:DXV262129 EHG262127:EHR262129 ERC262127:ERN262129 FAY262127:FBJ262129 FKU262127:FLF262129 FUQ262127:FVB262129 GEM262127:GEX262129 GOI262127:GOT262129 GYE262127:GYP262129 HIA262127:HIL262129 HRW262127:HSH262129 IBS262127:ICD262129 ILO262127:ILZ262129 IVK262127:IVV262129 JFG262127:JFR262129 JPC262127:JPN262129 JYY262127:JZJ262129 KIU262127:KJF262129 KSQ262127:KTB262129 LCM262127:LCX262129 LMI262127:LMT262129 LWE262127:LWP262129 MGA262127:MGL262129 MPW262127:MQH262129 MZS262127:NAD262129 NJO262127:NJZ262129 NTK262127:NTV262129 ODG262127:ODR262129 ONC262127:ONN262129 OWY262127:OXJ262129 PGU262127:PHF262129 PQQ262127:PRB262129 QAM262127:QAX262129 QKI262127:QKT262129 QUE262127:QUP262129 REA262127:REL262129 RNW262127:ROH262129 RXS262127:RYD262129 SHO262127:SHZ262129 SRK262127:SRV262129 TBG262127:TBR262129 TLC262127:TLN262129 TUY262127:TVJ262129 UEU262127:UFF262129 UOQ262127:UPB262129 UYM262127:UYX262129 VII262127:VIT262129 VSE262127:VSP262129 WCA262127:WCL262129 WLW262127:WMH262129 WVS262127:WWD262129 JG327663:JR327665 TC327663:TN327665 ACY327663:ADJ327665 AMU327663:ANF327665 AWQ327663:AXB327665 BGM327663:BGX327665 BQI327663:BQT327665 CAE327663:CAP327665 CKA327663:CKL327665 CTW327663:CUH327665 DDS327663:DED327665 DNO327663:DNZ327665 DXK327663:DXV327665 EHG327663:EHR327665 ERC327663:ERN327665 FAY327663:FBJ327665 FKU327663:FLF327665 FUQ327663:FVB327665 GEM327663:GEX327665 GOI327663:GOT327665 GYE327663:GYP327665 HIA327663:HIL327665 HRW327663:HSH327665 IBS327663:ICD327665 ILO327663:ILZ327665 IVK327663:IVV327665 JFG327663:JFR327665 JPC327663:JPN327665 JYY327663:JZJ327665 KIU327663:KJF327665 KSQ327663:KTB327665 LCM327663:LCX327665 LMI327663:LMT327665 LWE327663:LWP327665 MGA327663:MGL327665 MPW327663:MQH327665 MZS327663:NAD327665 NJO327663:NJZ327665 NTK327663:NTV327665 ODG327663:ODR327665 ONC327663:ONN327665 OWY327663:OXJ327665 PGU327663:PHF327665 PQQ327663:PRB327665 QAM327663:QAX327665 QKI327663:QKT327665 QUE327663:QUP327665 REA327663:REL327665 RNW327663:ROH327665 RXS327663:RYD327665 SHO327663:SHZ327665 SRK327663:SRV327665 TBG327663:TBR327665 TLC327663:TLN327665 TUY327663:TVJ327665 UEU327663:UFF327665 UOQ327663:UPB327665 UYM327663:UYX327665 VII327663:VIT327665 VSE327663:VSP327665 WCA327663:WCL327665 WLW327663:WMH327665 WVS327663:WWD327665 JG393199:JR393201 TC393199:TN393201 ACY393199:ADJ393201 AMU393199:ANF393201 AWQ393199:AXB393201 BGM393199:BGX393201 BQI393199:BQT393201 CAE393199:CAP393201 CKA393199:CKL393201 CTW393199:CUH393201 DDS393199:DED393201 DNO393199:DNZ393201 DXK393199:DXV393201 EHG393199:EHR393201 ERC393199:ERN393201 FAY393199:FBJ393201 FKU393199:FLF393201 FUQ393199:FVB393201 GEM393199:GEX393201 GOI393199:GOT393201 GYE393199:GYP393201 HIA393199:HIL393201 HRW393199:HSH393201 IBS393199:ICD393201 ILO393199:ILZ393201 IVK393199:IVV393201 JFG393199:JFR393201 JPC393199:JPN393201 JYY393199:JZJ393201 KIU393199:KJF393201 KSQ393199:KTB393201 LCM393199:LCX393201 LMI393199:LMT393201 LWE393199:LWP393201 MGA393199:MGL393201 MPW393199:MQH393201 MZS393199:NAD393201 NJO393199:NJZ393201 NTK393199:NTV393201 ODG393199:ODR393201 ONC393199:ONN393201 OWY393199:OXJ393201 PGU393199:PHF393201 PQQ393199:PRB393201 QAM393199:QAX393201 QKI393199:QKT393201 QUE393199:QUP393201 REA393199:REL393201 RNW393199:ROH393201 RXS393199:RYD393201 SHO393199:SHZ393201 SRK393199:SRV393201 TBG393199:TBR393201 TLC393199:TLN393201 TUY393199:TVJ393201 UEU393199:UFF393201 UOQ393199:UPB393201 UYM393199:UYX393201 VII393199:VIT393201 VSE393199:VSP393201 WCA393199:WCL393201 WLW393199:WMH393201 WVS393199:WWD393201 JG458735:JR458737 TC458735:TN458737 ACY458735:ADJ458737 AMU458735:ANF458737 AWQ458735:AXB458737 BGM458735:BGX458737 BQI458735:BQT458737 CAE458735:CAP458737 CKA458735:CKL458737 CTW458735:CUH458737 DDS458735:DED458737 DNO458735:DNZ458737 DXK458735:DXV458737 EHG458735:EHR458737 ERC458735:ERN458737 FAY458735:FBJ458737 FKU458735:FLF458737 FUQ458735:FVB458737 GEM458735:GEX458737 GOI458735:GOT458737 GYE458735:GYP458737 HIA458735:HIL458737 HRW458735:HSH458737 IBS458735:ICD458737 ILO458735:ILZ458737 IVK458735:IVV458737 JFG458735:JFR458737 JPC458735:JPN458737 JYY458735:JZJ458737 KIU458735:KJF458737 KSQ458735:KTB458737 LCM458735:LCX458737 LMI458735:LMT458737 LWE458735:LWP458737 MGA458735:MGL458737 MPW458735:MQH458737 MZS458735:NAD458737 NJO458735:NJZ458737 NTK458735:NTV458737 ODG458735:ODR458737 ONC458735:ONN458737 OWY458735:OXJ458737 PGU458735:PHF458737 PQQ458735:PRB458737 QAM458735:QAX458737 QKI458735:QKT458737 QUE458735:QUP458737 REA458735:REL458737 RNW458735:ROH458737 RXS458735:RYD458737 SHO458735:SHZ458737 SRK458735:SRV458737 TBG458735:TBR458737 TLC458735:TLN458737 TUY458735:TVJ458737 UEU458735:UFF458737 UOQ458735:UPB458737 UYM458735:UYX458737 VII458735:VIT458737 VSE458735:VSP458737 WCA458735:WCL458737 WLW458735:WMH458737 WVS458735:WWD458737 JG524271:JR524273 TC524271:TN524273 ACY524271:ADJ524273 AMU524271:ANF524273 AWQ524271:AXB524273 BGM524271:BGX524273 BQI524271:BQT524273 CAE524271:CAP524273 CKA524271:CKL524273 CTW524271:CUH524273 DDS524271:DED524273 DNO524271:DNZ524273 DXK524271:DXV524273 EHG524271:EHR524273 ERC524271:ERN524273 FAY524271:FBJ524273 FKU524271:FLF524273 FUQ524271:FVB524273 GEM524271:GEX524273 GOI524271:GOT524273 GYE524271:GYP524273 HIA524271:HIL524273 HRW524271:HSH524273 IBS524271:ICD524273 ILO524271:ILZ524273 IVK524271:IVV524273 JFG524271:JFR524273 JPC524271:JPN524273 JYY524271:JZJ524273 KIU524271:KJF524273 KSQ524271:KTB524273 LCM524271:LCX524273 LMI524271:LMT524273 LWE524271:LWP524273 MGA524271:MGL524273 MPW524271:MQH524273 MZS524271:NAD524273 NJO524271:NJZ524273 NTK524271:NTV524273 ODG524271:ODR524273 ONC524271:ONN524273 OWY524271:OXJ524273 PGU524271:PHF524273 PQQ524271:PRB524273 QAM524271:QAX524273 QKI524271:QKT524273 QUE524271:QUP524273 REA524271:REL524273 RNW524271:ROH524273 RXS524271:RYD524273 SHO524271:SHZ524273 SRK524271:SRV524273 TBG524271:TBR524273 TLC524271:TLN524273 TUY524271:TVJ524273 UEU524271:UFF524273 UOQ524271:UPB524273 UYM524271:UYX524273 VII524271:VIT524273 VSE524271:VSP524273 WCA524271:WCL524273 WLW524271:WMH524273 WVS524271:WWD524273 JG589807:JR589809 TC589807:TN589809 ACY589807:ADJ589809 AMU589807:ANF589809 AWQ589807:AXB589809 BGM589807:BGX589809 BQI589807:BQT589809 CAE589807:CAP589809 CKA589807:CKL589809 CTW589807:CUH589809 DDS589807:DED589809 DNO589807:DNZ589809 DXK589807:DXV589809 EHG589807:EHR589809 ERC589807:ERN589809 FAY589807:FBJ589809 FKU589807:FLF589809 FUQ589807:FVB589809 GEM589807:GEX589809 GOI589807:GOT589809 GYE589807:GYP589809 HIA589807:HIL589809 HRW589807:HSH589809 IBS589807:ICD589809 ILO589807:ILZ589809 IVK589807:IVV589809 JFG589807:JFR589809 JPC589807:JPN589809 JYY589807:JZJ589809 KIU589807:KJF589809 KSQ589807:KTB589809 LCM589807:LCX589809 LMI589807:LMT589809 LWE589807:LWP589809 MGA589807:MGL589809 MPW589807:MQH589809 MZS589807:NAD589809 NJO589807:NJZ589809 NTK589807:NTV589809 ODG589807:ODR589809 ONC589807:ONN589809 OWY589807:OXJ589809 PGU589807:PHF589809 PQQ589807:PRB589809 QAM589807:QAX589809 QKI589807:QKT589809 QUE589807:QUP589809 REA589807:REL589809 RNW589807:ROH589809 RXS589807:RYD589809 SHO589807:SHZ589809 SRK589807:SRV589809 TBG589807:TBR589809 TLC589807:TLN589809 TUY589807:TVJ589809 UEU589807:UFF589809 UOQ589807:UPB589809 UYM589807:UYX589809 VII589807:VIT589809 VSE589807:VSP589809 WCA589807:WCL589809 WLW589807:WMH589809 WVS589807:WWD589809 JG655343:JR655345 TC655343:TN655345 ACY655343:ADJ655345 AMU655343:ANF655345 AWQ655343:AXB655345 BGM655343:BGX655345 BQI655343:BQT655345 CAE655343:CAP655345 CKA655343:CKL655345 CTW655343:CUH655345 DDS655343:DED655345 DNO655343:DNZ655345 DXK655343:DXV655345 EHG655343:EHR655345 ERC655343:ERN655345 FAY655343:FBJ655345 FKU655343:FLF655345 FUQ655343:FVB655345 GEM655343:GEX655345 GOI655343:GOT655345 GYE655343:GYP655345 HIA655343:HIL655345 HRW655343:HSH655345 IBS655343:ICD655345 ILO655343:ILZ655345 IVK655343:IVV655345 JFG655343:JFR655345 JPC655343:JPN655345 JYY655343:JZJ655345 KIU655343:KJF655345 KSQ655343:KTB655345 LCM655343:LCX655345 LMI655343:LMT655345 LWE655343:LWP655345 MGA655343:MGL655345 MPW655343:MQH655345 MZS655343:NAD655345 NJO655343:NJZ655345 NTK655343:NTV655345 ODG655343:ODR655345 ONC655343:ONN655345 OWY655343:OXJ655345 PGU655343:PHF655345 PQQ655343:PRB655345 QAM655343:QAX655345 QKI655343:QKT655345 QUE655343:QUP655345 REA655343:REL655345 RNW655343:ROH655345 RXS655343:RYD655345 SHO655343:SHZ655345 SRK655343:SRV655345 TBG655343:TBR655345 TLC655343:TLN655345 TUY655343:TVJ655345 UEU655343:UFF655345 UOQ655343:UPB655345 UYM655343:UYX655345 VII655343:VIT655345 VSE655343:VSP655345 WCA655343:WCL655345 WLW655343:WMH655345 WVS655343:WWD655345 JG720879:JR720881 TC720879:TN720881 ACY720879:ADJ720881 AMU720879:ANF720881 AWQ720879:AXB720881 BGM720879:BGX720881 BQI720879:BQT720881 CAE720879:CAP720881 CKA720879:CKL720881 CTW720879:CUH720881 DDS720879:DED720881 DNO720879:DNZ720881 DXK720879:DXV720881 EHG720879:EHR720881 ERC720879:ERN720881 FAY720879:FBJ720881 FKU720879:FLF720881 FUQ720879:FVB720881 GEM720879:GEX720881 GOI720879:GOT720881 GYE720879:GYP720881 HIA720879:HIL720881 HRW720879:HSH720881 IBS720879:ICD720881 ILO720879:ILZ720881 IVK720879:IVV720881 JFG720879:JFR720881 JPC720879:JPN720881 JYY720879:JZJ720881 KIU720879:KJF720881 KSQ720879:KTB720881 LCM720879:LCX720881 LMI720879:LMT720881 LWE720879:LWP720881 MGA720879:MGL720881 MPW720879:MQH720881 MZS720879:NAD720881 NJO720879:NJZ720881 NTK720879:NTV720881 ODG720879:ODR720881 ONC720879:ONN720881 OWY720879:OXJ720881 PGU720879:PHF720881 PQQ720879:PRB720881 QAM720879:QAX720881 QKI720879:QKT720881 QUE720879:QUP720881 REA720879:REL720881 RNW720879:ROH720881 RXS720879:RYD720881 SHO720879:SHZ720881 SRK720879:SRV720881 TBG720879:TBR720881 TLC720879:TLN720881 TUY720879:TVJ720881 UEU720879:UFF720881 UOQ720879:UPB720881 UYM720879:UYX720881 VII720879:VIT720881 VSE720879:VSP720881 WCA720879:WCL720881 WLW720879:WMH720881 WVS720879:WWD720881 JG786415:JR786417 TC786415:TN786417 ACY786415:ADJ786417 AMU786415:ANF786417 AWQ786415:AXB786417 BGM786415:BGX786417 BQI786415:BQT786417 CAE786415:CAP786417 CKA786415:CKL786417 CTW786415:CUH786417 DDS786415:DED786417 DNO786415:DNZ786417 DXK786415:DXV786417 EHG786415:EHR786417 ERC786415:ERN786417 FAY786415:FBJ786417 FKU786415:FLF786417 FUQ786415:FVB786417 GEM786415:GEX786417 GOI786415:GOT786417 GYE786415:GYP786417 HIA786415:HIL786417 HRW786415:HSH786417 IBS786415:ICD786417 ILO786415:ILZ786417 IVK786415:IVV786417 JFG786415:JFR786417 JPC786415:JPN786417 JYY786415:JZJ786417 KIU786415:KJF786417 KSQ786415:KTB786417 LCM786415:LCX786417 LMI786415:LMT786417 LWE786415:LWP786417 MGA786415:MGL786417 MPW786415:MQH786417 MZS786415:NAD786417 NJO786415:NJZ786417 NTK786415:NTV786417 ODG786415:ODR786417 ONC786415:ONN786417 OWY786415:OXJ786417 PGU786415:PHF786417 PQQ786415:PRB786417 QAM786415:QAX786417 QKI786415:QKT786417 QUE786415:QUP786417 REA786415:REL786417 RNW786415:ROH786417 RXS786415:RYD786417 SHO786415:SHZ786417 SRK786415:SRV786417 TBG786415:TBR786417 TLC786415:TLN786417 TUY786415:TVJ786417 UEU786415:UFF786417 UOQ786415:UPB786417 UYM786415:UYX786417 VII786415:VIT786417 VSE786415:VSP786417 WCA786415:WCL786417 WLW786415:WMH786417 WVS786415:WWD786417 JG851951:JR851953 TC851951:TN851953 ACY851951:ADJ851953 AMU851951:ANF851953 AWQ851951:AXB851953 BGM851951:BGX851953 BQI851951:BQT851953 CAE851951:CAP851953 CKA851951:CKL851953 CTW851951:CUH851953 DDS851951:DED851953 DNO851951:DNZ851953 DXK851951:DXV851953 EHG851951:EHR851953 ERC851951:ERN851953 FAY851951:FBJ851953 FKU851951:FLF851953 FUQ851951:FVB851953 GEM851951:GEX851953 GOI851951:GOT851953 GYE851951:GYP851953 HIA851951:HIL851953 HRW851951:HSH851953 IBS851951:ICD851953 ILO851951:ILZ851953 IVK851951:IVV851953 JFG851951:JFR851953 JPC851951:JPN851953 JYY851951:JZJ851953 KIU851951:KJF851953 KSQ851951:KTB851953 LCM851951:LCX851953 LMI851951:LMT851953 LWE851951:LWP851953 MGA851951:MGL851953 MPW851951:MQH851953 MZS851951:NAD851953 NJO851951:NJZ851953 NTK851951:NTV851953 ODG851951:ODR851953 ONC851951:ONN851953 OWY851951:OXJ851953 PGU851951:PHF851953 PQQ851951:PRB851953 QAM851951:QAX851953 QKI851951:QKT851953 QUE851951:QUP851953 REA851951:REL851953 RNW851951:ROH851953 RXS851951:RYD851953 SHO851951:SHZ851953 SRK851951:SRV851953 TBG851951:TBR851953 TLC851951:TLN851953 TUY851951:TVJ851953 UEU851951:UFF851953 UOQ851951:UPB851953 UYM851951:UYX851953 VII851951:VIT851953 VSE851951:VSP851953 WCA851951:WCL851953 WLW851951:WMH851953 WVS851951:WWD851953 JG917487:JR917489 TC917487:TN917489 ACY917487:ADJ917489 AMU917487:ANF917489 AWQ917487:AXB917489 BGM917487:BGX917489 BQI917487:BQT917489 CAE917487:CAP917489 CKA917487:CKL917489 CTW917487:CUH917489 DDS917487:DED917489 DNO917487:DNZ917489 DXK917487:DXV917489 EHG917487:EHR917489 ERC917487:ERN917489 FAY917487:FBJ917489 FKU917487:FLF917489 FUQ917487:FVB917489 GEM917487:GEX917489 GOI917487:GOT917489 GYE917487:GYP917489 HIA917487:HIL917489 HRW917487:HSH917489 IBS917487:ICD917489 ILO917487:ILZ917489 IVK917487:IVV917489 JFG917487:JFR917489 JPC917487:JPN917489 JYY917487:JZJ917489 KIU917487:KJF917489 KSQ917487:KTB917489 LCM917487:LCX917489 LMI917487:LMT917489 LWE917487:LWP917489 MGA917487:MGL917489 MPW917487:MQH917489 MZS917487:NAD917489 NJO917487:NJZ917489 NTK917487:NTV917489 ODG917487:ODR917489 ONC917487:ONN917489 OWY917487:OXJ917489 PGU917487:PHF917489 PQQ917487:PRB917489 QAM917487:QAX917489 QKI917487:QKT917489 QUE917487:QUP917489 REA917487:REL917489 RNW917487:ROH917489 RXS917487:RYD917489 SHO917487:SHZ917489 SRK917487:SRV917489 TBG917487:TBR917489 TLC917487:TLN917489 TUY917487:TVJ917489 UEU917487:UFF917489 UOQ917487:UPB917489 UYM917487:UYX917489 VII917487:VIT917489 VSE917487:VSP917489 WCA917487:WCL917489 WLW917487:WMH917489 WVS917487:WWD917489 JG983023:JR983025 TC983023:TN983025 ACY983023:ADJ983025 AMU983023:ANF983025 AWQ983023:AXB983025 BGM983023:BGX983025 BQI983023:BQT983025 CAE983023:CAP983025 CKA983023:CKL983025 CTW983023:CUH983025 DDS983023:DED983025 DNO983023:DNZ983025 DXK983023:DXV983025 EHG983023:EHR983025 ERC983023:ERN983025 FAY983023:FBJ983025 FKU983023:FLF983025 FUQ983023:FVB983025 GEM983023:GEX983025 GOI983023:GOT983025 GYE983023:GYP983025 HIA983023:HIL983025 HRW983023:HSH983025 IBS983023:ICD983025 ILO983023:ILZ983025 IVK983023:IVV983025 JFG983023:JFR983025 JPC983023:JPN983025 JYY983023:JZJ983025 KIU983023:KJF983025 KSQ983023:KTB983025 LCM983023:LCX983025 LMI983023:LMT983025 LWE983023:LWP983025 MGA983023:MGL983025 MPW983023:MQH983025 MZS983023:NAD983025 NJO983023:NJZ983025 NTK983023:NTV983025 ODG983023:ODR983025 ONC983023:ONN983025 OWY983023:OXJ983025 PGU983023:PHF983025 PQQ983023:PRB983025 QAM983023:QAX983025 QKI983023:QKT983025 QUE983023:QUP983025 REA983023:REL983025 RNW983023:ROH983025 RXS983023:RYD983025 SHO983023:SHZ983025 SRK983023:SRV983025 TBG983023:TBR983025 TLC983023:TLN983025 TUY983023:TVJ983025 UEU983023:UFF983025 UOQ983023:UPB983025 UYM983023:UYX983025 VII983023:VIT983025 VSE983023:VSP983025 WCA983023:WCL983025 WLW983023:WMH983025 WVS983023:WWD983025 WVS983028:WWD983030 JG65524:JR65526 TC65524:TN65526 ACY65524:ADJ65526 AMU65524:ANF65526 AWQ65524:AXB65526 BGM65524:BGX65526 BQI65524:BQT65526 CAE65524:CAP65526 CKA65524:CKL65526 CTW65524:CUH65526 DDS65524:DED65526 DNO65524:DNZ65526 DXK65524:DXV65526 EHG65524:EHR65526 ERC65524:ERN65526 FAY65524:FBJ65526 FKU65524:FLF65526 FUQ65524:FVB65526 GEM65524:GEX65526 GOI65524:GOT65526 GYE65524:GYP65526 HIA65524:HIL65526 HRW65524:HSH65526 IBS65524:ICD65526 ILO65524:ILZ65526 IVK65524:IVV65526 JFG65524:JFR65526 JPC65524:JPN65526 JYY65524:JZJ65526 KIU65524:KJF65526 KSQ65524:KTB65526 LCM65524:LCX65526 LMI65524:LMT65526 LWE65524:LWP65526 MGA65524:MGL65526 MPW65524:MQH65526 MZS65524:NAD65526 NJO65524:NJZ65526 NTK65524:NTV65526 ODG65524:ODR65526 ONC65524:ONN65526 OWY65524:OXJ65526 PGU65524:PHF65526 PQQ65524:PRB65526 QAM65524:QAX65526 QKI65524:QKT65526 QUE65524:QUP65526 REA65524:REL65526 RNW65524:ROH65526 RXS65524:RYD65526 SHO65524:SHZ65526 SRK65524:SRV65526 TBG65524:TBR65526 TLC65524:TLN65526 TUY65524:TVJ65526 UEU65524:UFF65526 UOQ65524:UPB65526 UYM65524:UYX65526 VII65524:VIT65526 VSE65524:VSP65526 WCA65524:WCL65526 WLW65524:WMH65526 WVS65524:WWD65526 JG131060:JR131062 TC131060:TN131062 ACY131060:ADJ131062 AMU131060:ANF131062 AWQ131060:AXB131062 BGM131060:BGX131062 BQI131060:BQT131062 CAE131060:CAP131062 CKA131060:CKL131062 CTW131060:CUH131062 DDS131060:DED131062 DNO131060:DNZ131062 DXK131060:DXV131062 EHG131060:EHR131062 ERC131060:ERN131062 FAY131060:FBJ131062 FKU131060:FLF131062 FUQ131060:FVB131062 GEM131060:GEX131062 GOI131060:GOT131062 GYE131060:GYP131062 HIA131060:HIL131062 HRW131060:HSH131062 IBS131060:ICD131062 ILO131060:ILZ131062 IVK131060:IVV131062 JFG131060:JFR131062 JPC131060:JPN131062 JYY131060:JZJ131062 KIU131060:KJF131062 KSQ131060:KTB131062 LCM131060:LCX131062 LMI131060:LMT131062 LWE131060:LWP131062 MGA131060:MGL131062 MPW131060:MQH131062 MZS131060:NAD131062 NJO131060:NJZ131062 NTK131060:NTV131062 ODG131060:ODR131062 ONC131060:ONN131062 OWY131060:OXJ131062 PGU131060:PHF131062 PQQ131060:PRB131062 QAM131060:QAX131062 QKI131060:QKT131062 QUE131060:QUP131062 REA131060:REL131062 RNW131060:ROH131062 RXS131060:RYD131062 SHO131060:SHZ131062 SRK131060:SRV131062 TBG131060:TBR131062 TLC131060:TLN131062 TUY131060:TVJ131062 UEU131060:UFF131062 UOQ131060:UPB131062 UYM131060:UYX131062 VII131060:VIT131062 VSE131060:VSP131062 WCA131060:WCL131062 WLW131060:WMH131062 WVS131060:WWD131062 JG196596:JR196598 TC196596:TN196598 ACY196596:ADJ196598 AMU196596:ANF196598 AWQ196596:AXB196598 BGM196596:BGX196598 BQI196596:BQT196598 CAE196596:CAP196598 CKA196596:CKL196598 CTW196596:CUH196598 DDS196596:DED196598 DNO196596:DNZ196598 DXK196596:DXV196598 EHG196596:EHR196598 ERC196596:ERN196598 FAY196596:FBJ196598 FKU196596:FLF196598 FUQ196596:FVB196598 GEM196596:GEX196598 GOI196596:GOT196598 GYE196596:GYP196598 HIA196596:HIL196598 HRW196596:HSH196598 IBS196596:ICD196598 ILO196596:ILZ196598 IVK196596:IVV196598 JFG196596:JFR196598 JPC196596:JPN196598 JYY196596:JZJ196598 KIU196596:KJF196598 KSQ196596:KTB196598 LCM196596:LCX196598 LMI196596:LMT196598 LWE196596:LWP196598 MGA196596:MGL196598 MPW196596:MQH196598 MZS196596:NAD196598 NJO196596:NJZ196598 NTK196596:NTV196598 ODG196596:ODR196598 ONC196596:ONN196598 OWY196596:OXJ196598 PGU196596:PHF196598 PQQ196596:PRB196598 QAM196596:QAX196598 QKI196596:QKT196598 QUE196596:QUP196598 REA196596:REL196598 RNW196596:ROH196598 RXS196596:RYD196598 SHO196596:SHZ196598 SRK196596:SRV196598 TBG196596:TBR196598 TLC196596:TLN196598 TUY196596:TVJ196598 UEU196596:UFF196598 UOQ196596:UPB196598 UYM196596:UYX196598 VII196596:VIT196598 VSE196596:VSP196598 WCA196596:WCL196598 WLW196596:WMH196598 WVS196596:WWD196598 JG262132:JR262134 TC262132:TN262134 ACY262132:ADJ262134 AMU262132:ANF262134 AWQ262132:AXB262134 BGM262132:BGX262134 BQI262132:BQT262134 CAE262132:CAP262134 CKA262132:CKL262134 CTW262132:CUH262134 DDS262132:DED262134 DNO262132:DNZ262134 DXK262132:DXV262134 EHG262132:EHR262134 ERC262132:ERN262134 FAY262132:FBJ262134 FKU262132:FLF262134 FUQ262132:FVB262134 GEM262132:GEX262134 GOI262132:GOT262134 GYE262132:GYP262134 HIA262132:HIL262134 HRW262132:HSH262134 IBS262132:ICD262134 ILO262132:ILZ262134 IVK262132:IVV262134 JFG262132:JFR262134 JPC262132:JPN262134 JYY262132:JZJ262134 KIU262132:KJF262134 KSQ262132:KTB262134 LCM262132:LCX262134 LMI262132:LMT262134 LWE262132:LWP262134 MGA262132:MGL262134 MPW262132:MQH262134 MZS262132:NAD262134 NJO262132:NJZ262134 NTK262132:NTV262134 ODG262132:ODR262134 ONC262132:ONN262134 OWY262132:OXJ262134 PGU262132:PHF262134 PQQ262132:PRB262134 QAM262132:QAX262134 QKI262132:QKT262134 QUE262132:QUP262134 REA262132:REL262134 RNW262132:ROH262134 RXS262132:RYD262134 SHO262132:SHZ262134 SRK262132:SRV262134 TBG262132:TBR262134 TLC262132:TLN262134 TUY262132:TVJ262134 UEU262132:UFF262134 UOQ262132:UPB262134 UYM262132:UYX262134 VII262132:VIT262134 VSE262132:VSP262134 WCA262132:WCL262134 WLW262132:WMH262134 WVS262132:WWD262134 JG327668:JR327670 TC327668:TN327670 ACY327668:ADJ327670 AMU327668:ANF327670 AWQ327668:AXB327670 BGM327668:BGX327670 BQI327668:BQT327670 CAE327668:CAP327670 CKA327668:CKL327670 CTW327668:CUH327670 DDS327668:DED327670 DNO327668:DNZ327670 DXK327668:DXV327670 EHG327668:EHR327670 ERC327668:ERN327670 FAY327668:FBJ327670 FKU327668:FLF327670 FUQ327668:FVB327670 GEM327668:GEX327670 GOI327668:GOT327670 GYE327668:GYP327670 HIA327668:HIL327670 HRW327668:HSH327670 IBS327668:ICD327670 ILO327668:ILZ327670 IVK327668:IVV327670 JFG327668:JFR327670 JPC327668:JPN327670 JYY327668:JZJ327670 KIU327668:KJF327670 KSQ327668:KTB327670 LCM327668:LCX327670 LMI327668:LMT327670 LWE327668:LWP327670 MGA327668:MGL327670 MPW327668:MQH327670 MZS327668:NAD327670 NJO327668:NJZ327670 NTK327668:NTV327670 ODG327668:ODR327670 ONC327668:ONN327670 OWY327668:OXJ327670 PGU327668:PHF327670 PQQ327668:PRB327670 QAM327668:QAX327670 QKI327668:QKT327670 QUE327668:QUP327670 REA327668:REL327670 RNW327668:ROH327670 RXS327668:RYD327670 SHO327668:SHZ327670 SRK327668:SRV327670 TBG327668:TBR327670 TLC327668:TLN327670 TUY327668:TVJ327670 UEU327668:UFF327670 UOQ327668:UPB327670 UYM327668:UYX327670 VII327668:VIT327670 VSE327668:VSP327670 WCA327668:WCL327670 WLW327668:WMH327670 WVS327668:WWD327670 JG393204:JR393206 TC393204:TN393206 ACY393204:ADJ393206 AMU393204:ANF393206 AWQ393204:AXB393206 BGM393204:BGX393206 BQI393204:BQT393206 CAE393204:CAP393206 CKA393204:CKL393206 CTW393204:CUH393206 DDS393204:DED393206 DNO393204:DNZ393206 DXK393204:DXV393206 EHG393204:EHR393206 ERC393204:ERN393206 FAY393204:FBJ393206 FKU393204:FLF393206 FUQ393204:FVB393206 GEM393204:GEX393206 GOI393204:GOT393206 GYE393204:GYP393206 HIA393204:HIL393206 HRW393204:HSH393206 IBS393204:ICD393206 ILO393204:ILZ393206 IVK393204:IVV393206 JFG393204:JFR393206 JPC393204:JPN393206 JYY393204:JZJ393206 KIU393204:KJF393206 KSQ393204:KTB393206 LCM393204:LCX393206 LMI393204:LMT393206 LWE393204:LWP393206 MGA393204:MGL393206 MPW393204:MQH393206 MZS393204:NAD393206 NJO393204:NJZ393206 NTK393204:NTV393206 ODG393204:ODR393206 ONC393204:ONN393206 OWY393204:OXJ393206 PGU393204:PHF393206 PQQ393204:PRB393206 QAM393204:QAX393206 QKI393204:QKT393206 QUE393204:QUP393206 REA393204:REL393206 RNW393204:ROH393206 RXS393204:RYD393206 SHO393204:SHZ393206 SRK393204:SRV393206 TBG393204:TBR393206 TLC393204:TLN393206 TUY393204:TVJ393206 UEU393204:UFF393206 UOQ393204:UPB393206 UYM393204:UYX393206 VII393204:VIT393206 VSE393204:VSP393206 WCA393204:WCL393206 WLW393204:WMH393206 WVS393204:WWD393206 JG458740:JR458742 TC458740:TN458742 ACY458740:ADJ458742 AMU458740:ANF458742 AWQ458740:AXB458742 BGM458740:BGX458742 BQI458740:BQT458742 CAE458740:CAP458742 CKA458740:CKL458742 CTW458740:CUH458742 DDS458740:DED458742 DNO458740:DNZ458742 DXK458740:DXV458742 EHG458740:EHR458742 ERC458740:ERN458742 FAY458740:FBJ458742 FKU458740:FLF458742 FUQ458740:FVB458742 GEM458740:GEX458742 GOI458740:GOT458742 GYE458740:GYP458742 HIA458740:HIL458742 HRW458740:HSH458742 IBS458740:ICD458742 ILO458740:ILZ458742 IVK458740:IVV458742 JFG458740:JFR458742 JPC458740:JPN458742 JYY458740:JZJ458742 KIU458740:KJF458742 KSQ458740:KTB458742 LCM458740:LCX458742 LMI458740:LMT458742 LWE458740:LWP458742 MGA458740:MGL458742 MPW458740:MQH458742 MZS458740:NAD458742 NJO458740:NJZ458742 NTK458740:NTV458742 ODG458740:ODR458742 ONC458740:ONN458742 OWY458740:OXJ458742 PGU458740:PHF458742 PQQ458740:PRB458742 QAM458740:QAX458742 QKI458740:QKT458742 QUE458740:QUP458742 REA458740:REL458742 RNW458740:ROH458742 RXS458740:RYD458742 SHO458740:SHZ458742 SRK458740:SRV458742 TBG458740:TBR458742 TLC458740:TLN458742 TUY458740:TVJ458742 UEU458740:UFF458742 UOQ458740:UPB458742 UYM458740:UYX458742 VII458740:VIT458742 VSE458740:VSP458742 WCA458740:WCL458742 WLW458740:WMH458742 WVS458740:WWD458742 JG524276:JR524278 TC524276:TN524278 ACY524276:ADJ524278 AMU524276:ANF524278 AWQ524276:AXB524278 BGM524276:BGX524278 BQI524276:BQT524278 CAE524276:CAP524278 CKA524276:CKL524278 CTW524276:CUH524278 DDS524276:DED524278 DNO524276:DNZ524278 DXK524276:DXV524278 EHG524276:EHR524278 ERC524276:ERN524278 FAY524276:FBJ524278 FKU524276:FLF524278 FUQ524276:FVB524278 GEM524276:GEX524278 GOI524276:GOT524278 GYE524276:GYP524278 HIA524276:HIL524278 HRW524276:HSH524278 IBS524276:ICD524278 ILO524276:ILZ524278 IVK524276:IVV524278 JFG524276:JFR524278 JPC524276:JPN524278 JYY524276:JZJ524278 KIU524276:KJF524278 KSQ524276:KTB524278 LCM524276:LCX524278 LMI524276:LMT524278 LWE524276:LWP524278 MGA524276:MGL524278 MPW524276:MQH524278 MZS524276:NAD524278 NJO524276:NJZ524278 NTK524276:NTV524278 ODG524276:ODR524278 ONC524276:ONN524278 OWY524276:OXJ524278 PGU524276:PHF524278 PQQ524276:PRB524278 QAM524276:QAX524278 QKI524276:QKT524278 QUE524276:QUP524278 REA524276:REL524278 RNW524276:ROH524278 RXS524276:RYD524278 SHO524276:SHZ524278 SRK524276:SRV524278 TBG524276:TBR524278 TLC524276:TLN524278 TUY524276:TVJ524278 UEU524276:UFF524278 UOQ524276:UPB524278 UYM524276:UYX524278 VII524276:VIT524278 VSE524276:VSP524278 WCA524276:WCL524278 WLW524276:WMH524278 WVS524276:WWD524278 JG589812:JR589814 TC589812:TN589814 ACY589812:ADJ589814 AMU589812:ANF589814 AWQ589812:AXB589814 BGM589812:BGX589814 BQI589812:BQT589814 CAE589812:CAP589814 CKA589812:CKL589814 CTW589812:CUH589814 DDS589812:DED589814 DNO589812:DNZ589814 DXK589812:DXV589814 EHG589812:EHR589814 ERC589812:ERN589814 FAY589812:FBJ589814 FKU589812:FLF589814 FUQ589812:FVB589814 GEM589812:GEX589814 GOI589812:GOT589814 GYE589812:GYP589814 HIA589812:HIL589814 HRW589812:HSH589814 IBS589812:ICD589814 ILO589812:ILZ589814 IVK589812:IVV589814 JFG589812:JFR589814 JPC589812:JPN589814 JYY589812:JZJ589814 KIU589812:KJF589814 KSQ589812:KTB589814 LCM589812:LCX589814 LMI589812:LMT589814 LWE589812:LWP589814 MGA589812:MGL589814 MPW589812:MQH589814 MZS589812:NAD589814 NJO589812:NJZ589814 NTK589812:NTV589814 ODG589812:ODR589814 ONC589812:ONN589814 OWY589812:OXJ589814 PGU589812:PHF589814 PQQ589812:PRB589814 QAM589812:QAX589814 QKI589812:QKT589814 QUE589812:QUP589814 REA589812:REL589814 RNW589812:ROH589814 RXS589812:RYD589814 SHO589812:SHZ589814 SRK589812:SRV589814 TBG589812:TBR589814 TLC589812:TLN589814 TUY589812:TVJ589814 UEU589812:UFF589814 UOQ589812:UPB589814 UYM589812:UYX589814 VII589812:VIT589814 VSE589812:VSP589814 WCA589812:WCL589814 WLW589812:WMH589814 WVS589812:WWD589814 JG655348:JR655350 TC655348:TN655350 ACY655348:ADJ655350 AMU655348:ANF655350 AWQ655348:AXB655350 BGM655348:BGX655350 BQI655348:BQT655350 CAE655348:CAP655350 CKA655348:CKL655350 CTW655348:CUH655350 DDS655348:DED655350 DNO655348:DNZ655350 DXK655348:DXV655350 EHG655348:EHR655350 ERC655348:ERN655350 FAY655348:FBJ655350 FKU655348:FLF655350 FUQ655348:FVB655350 GEM655348:GEX655350 GOI655348:GOT655350 GYE655348:GYP655350 HIA655348:HIL655350 HRW655348:HSH655350 IBS655348:ICD655350 ILO655348:ILZ655350 IVK655348:IVV655350 JFG655348:JFR655350 JPC655348:JPN655350 JYY655348:JZJ655350 KIU655348:KJF655350 KSQ655348:KTB655350 LCM655348:LCX655350 LMI655348:LMT655350 LWE655348:LWP655350 MGA655348:MGL655350 MPW655348:MQH655350 MZS655348:NAD655350 NJO655348:NJZ655350 NTK655348:NTV655350 ODG655348:ODR655350 ONC655348:ONN655350 OWY655348:OXJ655350 PGU655348:PHF655350 PQQ655348:PRB655350 QAM655348:QAX655350 QKI655348:QKT655350 QUE655348:QUP655350 REA655348:REL655350 RNW655348:ROH655350 RXS655348:RYD655350 SHO655348:SHZ655350 SRK655348:SRV655350 TBG655348:TBR655350 TLC655348:TLN655350 TUY655348:TVJ655350 UEU655348:UFF655350 UOQ655348:UPB655350 UYM655348:UYX655350 VII655348:VIT655350 VSE655348:VSP655350 WCA655348:WCL655350 WLW655348:WMH655350 WVS655348:WWD655350 JG720884:JR720886 TC720884:TN720886 ACY720884:ADJ720886 AMU720884:ANF720886 AWQ720884:AXB720886 BGM720884:BGX720886 BQI720884:BQT720886 CAE720884:CAP720886 CKA720884:CKL720886 CTW720884:CUH720886 DDS720884:DED720886 DNO720884:DNZ720886 DXK720884:DXV720886 EHG720884:EHR720886 ERC720884:ERN720886 FAY720884:FBJ720886 FKU720884:FLF720886 FUQ720884:FVB720886 GEM720884:GEX720886 GOI720884:GOT720886 GYE720884:GYP720886 HIA720884:HIL720886 HRW720884:HSH720886 IBS720884:ICD720886 ILO720884:ILZ720886 IVK720884:IVV720886 JFG720884:JFR720886 JPC720884:JPN720886 JYY720884:JZJ720886 KIU720884:KJF720886 KSQ720884:KTB720886 LCM720884:LCX720886 LMI720884:LMT720886 LWE720884:LWP720886 MGA720884:MGL720886 MPW720884:MQH720886 MZS720884:NAD720886 NJO720884:NJZ720886 NTK720884:NTV720886 ODG720884:ODR720886 ONC720884:ONN720886 OWY720884:OXJ720886 PGU720884:PHF720886 PQQ720884:PRB720886 QAM720884:QAX720886 QKI720884:QKT720886 QUE720884:QUP720886 REA720884:REL720886 RNW720884:ROH720886 RXS720884:RYD720886 SHO720884:SHZ720886 SRK720884:SRV720886 TBG720884:TBR720886 TLC720884:TLN720886 TUY720884:TVJ720886 UEU720884:UFF720886 UOQ720884:UPB720886 UYM720884:UYX720886 VII720884:VIT720886 VSE720884:VSP720886 WCA720884:WCL720886 WLW720884:WMH720886 WVS720884:WWD720886 JG786420:JR786422 TC786420:TN786422 ACY786420:ADJ786422 AMU786420:ANF786422 AWQ786420:AXB786422 BGM786420:BGX786422 BQI786420:BQT786422 CAE786420:CAP786422 CKA786420:CKL786422 CTW786420:CUH786422 DDS786420:DED786422 DNO786420:DNZ786422 DXK786420:DXV786422 EHG786420:EHR786422 ERC786420:ERN786422 FAY786420:FBJ786422 FKU786420:FLF786422 FUQ786420:FVB786422 GEM786420:GEX786422 GOI786420:GOT786422 GYE786420:GYP786422 HIA786420:HIL786422 HRW786420:HSH786422 IBS786420:ICD786422 ILO786420:ILZ786422 IVK786420:IVV786422 JFG786420:JFR786422 JPC786420:JPN786422 JYY786420:JZJ786422 KIU786420:KJF786422 KSQ786420:KTB786422 LCM786420:LCX786422 LMI786420:LMT786422 LWE786420:LWP786422 MGA786420:MGL786422 MPW786420:MQH786422 MZS786420:NAD786422 NJO786420:NJZ786422 NTK786420:NTV786422 ODG786420:ODR786422 ONC786420:ONN786422 OWY786420:OXJ786422 PGU786420:PHF786422 PQQ786420:PRB786422 QAM786420:QAX786422 QKI786420:QKT786422 QUE786420:QUP786422 REA786420:REL786422 RNW786420:ROH786422 RXS786420:RYD786422 SHO786420:SHZ786422 SRK786420:SRV786422 TBG786420:TBR786422 TLC786420:TLN786422 TUY786420:TVJ786422 UEU786420:UFF786422 UOQ786420:UPB786422 UYM786420:UYX786422 VII786420:VIT786422 VSE786420:VSP786422 WCA786420:WCL786422 WLW786420:WMH786422 WVS786420:WWD786422 JG851956:JR851958 TC851956:TN851958 ACY851956:ADJ851958 AMU851956:ANF851958 AWQ851956:AXB851958 BGM851956:BGX851958 BQI851956:BQT851958 CAE851956:CAP851958 CKA851956:CKL851958 CTW851956:CUH851958 DDS851956:DED851958 DNO851956:DNZ851958 DXK851956:DXV851958 EHG851956:EHR851958 ERC851956:ERN851958 FAY851956:FBJ851958 FKU851956:FLF851958 FUQ851956:FVB851958 GEM851956:GEX851958 GOI851956:GOT851958 GYE851956:GYP851958 HIA851956:HIL851958 HRW851956:HSH851958 IBS851956:ICD851958 ILO851956:ILZ851958 IVK851956:IVV851958 JFG851956:JFR851958 JPC851956:JPN851958 JYY851956:JZJ851958 KIU851956:KJF851958 KSQ851956:KTB851958 LCM851956:LCX851958 LMI851956:LMT851958 LWE851956:LWP851958 MGA851956:MGL851958 MPW851956:MQH851958 MZS851956:NAD851958 NJO851956:NJZ851958 NTK851956:NTV851958 ODG851956:ODR851958 ONC851956:ONN851958 OWY851956:OXJ851958 PGU851956:PHF851958 PQQ851956:PRB851958 QAM851956:QAX851958 QKI851956:QKT851958 QUE851956:QUP851958 REA851956:REL851958 RNW851956:ROH851958 RXS851956:RYD851958 SHO851956:SHZ851958 SRK851956:SRV851958 TBG851956:TBR851958 TLC851956:TLN851958 TUY851956:TVJ851958 UEU851956:UFF851958 UOQ851956:UPB851958 UYM851956:UYX851958 VII851956:VIT851958 VSE851956:VSP851958 WCA851956:WCL851958 WLW851956:WMH851958 WVS851956:WWD851958 JG917492:JR917494 TC917492:TN917494 ACY917492:ADJ917494 AMU917492:ANF917494 AWQ917492:AXB917494 BGM917492:BGX917494 BQI917492:BQT917494 CAE917492:CAP917494 CKA917492:CKL917494 CTW917492:CUH917494 DDS917492:DED917494 DNO917492:DNZ917494 DXK917492:DXV917494 EHG917492:EHR917494 ERC917492:ERN917494 FAY917492:FBJ917494 FKU917492:FLF917494 FUQ917492:FVB917494 GEM917492:GEX917494 GOI917492:GOT917494 GYE917492:GYP917494 HIA917492:HIL917494 HRW917492:HSH917494 IBS917492:ICD917494 ILO917492:ILZ917494 IVK917492:IVV917494 JFG917492:JFR917494 JPC917492:JPN917494 JYY917492:JZJ917494 KIU917492:KJF917494 KSQ917492:KTB917494 LCM917492:LCX917494 LMI917492:LMT917494 LWE917492:LWP917494 MGA917492:MGL917494 MPW917492:MQH917494 MZS917492:NAD917494 NJO917492:NJZ917494 NTK917492:NTV917494 ODG917492:ODR917494 ONC917492:ONN917494 OWY917492:OXJ917494 PGU917492:PHF917494 PQQ917492:PRB917494 QAM917492:QAX917494 QKI917492:QKT917494 QUE917492:QUP917494 REA917492:REL917494 RNW917492:ROH917494 RXS917492:RYD917494 SHO917492:SHZ917494 SRK917492:SRV917494 TBG917492:TBR917494 TLC917492:TLN917494 TUY917492:TVJ917494 UEU917492:UFF917494 UOQ917492:UPB917494 UYM917492:UYX917494 VII917492:VIT917494 VSE917492:VSP917494 WCA917492:WCL917494 WLW917492:WMH917494 WVS917492:WWD917494 JG983028:JR983030 TC983028:TN983030 ACY983028:ADJ983030 AMU983028:ANF983030 AWQ983028:AXB983030 BGM983028:BGX983030 BQI983028:BQT983030 CAE983028:CAP983030 CKA983028:CKL983030 CTW983028:CUH983030 DDS983028:DED983030 DNO983028:DNZ983030 DXK983028:DXV983030 EHG983028:EHR983030 ERC983028:ERN983030 FAY983028:FBJ983030 FKU983028:FLF983030 FUQ983028:FVB983030 GEM983028:GEX983030 GOI983028:GOT983030 GYE983028:GYP983030 HIA983028:HIL983030 HRW983028:HSH983030 IBS983028:ICD983030 ILO983028:ILZ983030 IVK983028:IVV983030 JFG983028:JFR983030 JPC983028:JPN983030 JYY983028:JZJ983030 KIU983028:KJF983030 KSQ983028:KTB983030 LCM983028:LCX983030 LMI983028:LMT983030 LWE983028:LWP983030 MGA983028:MGL983030 MPW983028:MQH983030 MZS983028:NAD983030 NJO983028:NJZ983030 NTK983028:NTV983030 ODG983028:ODR983030 ONC983028:ONN983030 OWY983028:OXJ983030 PGU983028:PHF983030 PQQ983028:PRB983030 QAM983028:QAX983030 QKI983028:QKT983030 QUE983028:QUP983030 REA983028:REL983030 RNW983028:ROH983030 RXS983028:RYD983030 SHO983028:SHZ983030 SRK983028:SRV983030 TBG983028:TBR983030 TLC983028:TLN983030 TUY983028:TVJ983030 UEU983028:UFF983030 UOQ983028:UPB983030 UYM983028:UYX983030 VII983028:VIT983030 VSE983028:VSP983030 WCA983028:WCL983030 WLW983028:WMH983030 Z262127:AJ262129 Z196591:AJ196593 Z131055:AJ131057 Z65519:AJ65521 Z983028:AJ983030 Z917492:AJ917494 Z851956:AJ851958 Z786420:AJ786422 Z720884:AJ720886 Z655348:AJ655350 Z589812:AJ589814 Z524276:AJ524278 Z458740:AJ458742 Z393204:AJ393206 Z327668:AJ327670 Z262132:AJ262134 Z196596:AJ196598 Z131060:AJ131062 Z65524:AJ65526 Z983023:AJ983025 Z917487:AJ917489 Z851951:AJ851953 Z786415:AJ786417 Z720879:AJ720881 Z655343:AJ655345 Z589807:AJ589809 Z524271:AJ524273 Z458735:AJ458737 Z393199:AJ393201 Z327663:AJ327665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0D00-000000000000}"/>
    <dataValidation type="list" allowBlank="1" showInputMessage="1" showErrorMessage="1" sqref="AA11:AC12 AA13:AA44 AA8:AA10" xr:uid="{00000000-0002-0000-0D00-000001000000}">
      <formula1>"datetime,int,numeric,varchar,nvarchar"</formula1>
    </dataValidation>
    <dataValidation type="list" allowBlank="1" showInputMessage="1" showErrorMessage="1" sqref="Y8:Z10 Y11:Z44" xr:uid="{00000000-0002-0000-0D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67"/>
  <dimension ref="A1:BE44"/>
  <sheetViews>
    <sheetView showGridLines="0" zoomScaleNormal="10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17" customWidth="1"/>
    <col min="2" max="26" width="2.6328125" style="17"/>
    <col min="27" max="27" width="2.6328125" style="17" customWidth="1"/>
    <col min="28" max="29" width="2.6328125" style="17"/>
    <col min="30" max="30" width="4.6328125" style="17" customWidth="1"/>
    <col min="31" max="31" width="2.6328125" style="17" customWidth="1"/>
    <col min="32" max="33" width="2.6328125" style="17"/>
    <col min="34" max="34" width="6.6328125" style="17" customWidth="1"/>
    <col min="35" max="16384" width="2.6328125" style="17"/>
  </cols>
  <sheetData>
    <row r="1" spans="1:56" s="16" customFormat="1" ht="15" customHeight="1" x14ac:dyDescent="0.3">
      <c r="A1" s="144" t="s">
        <v>100</v>
      </c>
      <c r="B1" s="145"/>
      <c r="C1" s="145"/>
      <c r="D1" s="145"/>
      <c r="E1" s="145"/>
      <c r="F1" s="145"/>
      <c r="G1" s="145"/>
      <c r="H1" s="146"/>
      <c r="I1" s="103" t="s">
        <v>98</v>
      </c>
      <c r="J1" s="104"/>
      <c r="K1" s="104"/>
      <c r="L1" s="104"/>
      <c r="M1" s="104"/>
      <c r="N1" s="104"/>
      <c r="O1" s="104"/>
      <c r="P1" s="104"/>
      <c r="Q1" s="105"/>
      <c r="R1" s="103" t="s">
        <v>99</v>
      </c>
      <c r="S1" s="104"/>
      <c r="T1" s="104"/>
      <c r="U1" s="104"/>
      <c r="V1" s="104"/>
      <c r="W1" s="104"/>
      <c r="X1" s="105"/>
      <c r="Y1" s="103" t="s">
        <v>0</v>
      </c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5"/>
      <c r="AP1" s="153" t="s">
        <v>1</v>
      </c>
      <c r="AQ1" s="154"/>
      <c r="AR1" s="154"/>
      <c r="AS1" s="154"/>
      <c r="AT1" s="155"/>
      <c r="AU1" s="153" t="s">
        <v>2</v>
      </c>
      <c r="AV1" s="154"/>
      <c r="AW1" s="154"/>
      <c r="AX1" s="154"/>
      <c r="AY1" s="155"/>
      <c r="AZ1" s="153" t="s">
        <v>3</v>
      </c>
      <c r="BA1" s="154"/>
      <c r="BB1" s="154"/>
      <c r="BC1" s="154"/>
      <c r="BD1" s="155"/>
    </row>
    <row r="2" spans="1:56" s="16" customFormat="1" ht="15" customHeight="1" x14ac:dyDescent="0.3">
      <c r="A2" s="147"/>
      <c r="B2" s="148"/>
      <c r="C2" s="148"/>
      <c r="D2" s="148"/>
      <c r="E2" s="148"/>
      <c r="F2" s="148"/>
      <c r="G2" s="148"/>
      <c r="H2" s="149"/>
      <c r="I2" s="127" t="s">
        <v>97</v>
      </c>
      <c r="J2" s="128"/>
      <c r="K2" s="128"/>
      <c r="L2" s="128"/>
      <c r="M2" s="128"/>
      <c r="N2" s="128"/>
      <c r="O2" s="128"/>
      <c r="P2" s="128"/>
      <c r="Q2" s="129"/>
      <c r="R2" s="127" t="str">
        <f ca="1">VLOOKUP(RIGHT(CELL("filename",A2),LEN(CELL("filename",A2))-FIND("]",CELL("filename",A2))),テーブル一覧!B:AD,22,FALSE)</f>
        <v>D.出荷</v>
      </c>
      <c r="S2" s="128"/>
      <c r="T2" s="128"/>
      <c r="U2" s="128"/>
      <c r="V2" s="128"/>
      <c r="W2" s="128"/>
      <c r="X2" s="129"/>
      <c r="Y2" s="127" t="str">
        <f ca="1">VLOOKUP(RIGHT(CELL("filename",A2),LEN(CELL("filename",A2))-FIND("]",CELL("filename",A2))),テーブル一覧!B:AD,1,FALSE)</f>
        <v>路線便帳票印刷情報</v>
      </c>
      <c r="Z2" s="128"/>
      <c r="AA2" s="128"/>
      <c r="AB2" s="128"/>
      <c r="AC2" s="128"/>
      <c r="AD2" s="128"/>
      <c r="AE2" s="128"/>
      <c r="AF2" s="128"/>
      <c r="AG2" s="128"/>
      <c r="AH2" s="128"/>
      <c r="AI2" s="128"/>
      <c r="AJ2" s="128"/>
      <c r="AK2" s="128"/>
      <c r="AL2" s="128"/>
      <c r="AM2" s="128"/>
      <c r="AN2" s="128"/>
      <c r="AO2" s="129"/>
      <c r="AP2" s="97"/>
      <c r="AQ2" s="98"/>
      <c r="AR2" s="98"/>
      <c r="AS2" s="98"/>
      <c r="AT2" s="99"/>
      <c r="AU2" s="60" t="s">
        <v>188</v>
      </c>
      <c r="AV2" s="61"/>
      <c r="AW2" s="61"/>
      <c r="AX2" s="61"/>
      <c r="AY2" s="62"/>
      <c r="AZ2" s="181" t="s">
        <v>15</v>
      </c>
      <c r="BA2" s="182"/>
      <c r="BB2" s="182"/>
      <c r="BC2" s="182"/>
      <c r="BD2" s="183"/>
    </row>
    <row r="3" spans="1:56" s="16" customFormat="1" ht="15" customHeight="1" x14ac:dyDescent="0.3">
      <c r="A3" s="147"/>
      <c r="B3" s="148"/>
      <c r="C3" s="148"/>
      <c r="D3" s="148"/>
      <c r="E3" s="148"/>
      <c r="F3" s="148"/>
      <c r="G3" s="148"/>
      <c r="H3" s="149"/>
      <c r="I3" s="130"/>
      <c r="J3" s="131"/>
      <c r="K3" s="131"/>
      <c r="L3" s="131"/>
      <c r="M3" s="131"/>
      <c r="N3" s="131"/>
      <c r="O3" s="131"/>
      <c r="P3" s="131"/>
      <c r="Q3" s="132"/>
      <c r="R3" s="130"/>
      <c r="S3" s="131"/>
      <c r="T3" s="131"/>
      <c r="U3" s="131"/>
      <c r="V3" s="131"/>
      <c r="W3" s="131"/>
      <c r="X3" s="132"/>
      <c r="Y3" s="133"/>
      <c r="Z3" s="134"/>
      <c r="AA3" s="134"/>
      <c r="AB3" s="134"/>
      <c r="AC3" s="134"/>
      <c r="AD3" s="134"/>
      <c r="AE3" s="134"/>
      <c r="AF3" s="134"/>
      <c r="AG3" s="134"/>
      <c r="AH3" s="134"/>
      <c r="AI3" s="134"/>
      <c r="AJ3" s="134"/>
      <c r="AK3" s="134"/>
      <c r="AL3" s="134"/>
      <c r="AM3" s="134"/>
      <c r="AN3" s="134"/>
      <c r="AO3" s="135"/>
      <c r="AP3" s="100"/>
      <c r="AQ3" s="101"/>
      <c r="AR3" s="101"/>
      <c r="AS3" s="101"/>
      <c r="AT3" s="102"/>
      <c r="AU3" s="178"/>
      <c r="AV3" s="179"/>
      <c r="AW3" s="179"/>
      <c r="AX3" s="179"/>
      <c r="AY3" s="180"/>
      <c r="AZ3" s="181"/>
      <c r="BA3" s="182"/>
      <c r="BB3" s="182"/>
      <c r="BC3" s="182"/>
      <c r="BD3" s="183"/>
    </row>
    <row r="4" spans="1:56" s="16" customFormat="1" ht="15" customHeight="1" x14ac:dyDescent="0.3">
      <c r="A4" s="150"/>
      <c r="B4" s="151"/>
      <c r="C4" s="151"/>
      <c r="D4" s="151"/>
      <c r="E4" s="151"/>
      <c r="F4" s="151"/>
      <c r="G4" s="151"/>
      <c r="H4" s="152"/>
      <c r="I4" s="133"/>
      <c r="J4" s="134"/>
      <c r="K4" s="134"/>
      <c r="L4" s="134"/>
      <c r="M4" s="134"/>
      <c r="N4" s="134"/>
      <c r="O4" s="134"/>
      <c r="P4" s="134"/>
      <c r="Q4" s="135"/>
      <c r="R4" s="133"/>
      <c r="S4" s="134"/>
      <c r="T4" s="134"/>
      <c r="U4" s="134"/>
      <c r="V4" s="134"/>
      <c r="W4" s="134"/>
      <c r="X4" s="135"/>
      <c r="Y4" s="175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t_rosenbin_print_h</v>
      </c>
      <c r="Z4" s="176"/>
      <c r="AA4" s="176"/>
      <c r="AB4" s="176"/>
      <c r="AC4" s="176"/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  <c r="AO4" s="177"/>
      <c r="AP4" s="100"/>
      <c r="AQ4" s="101"/>
      <c r="AR4" s="101"/>
      <c r="AS4" s="101"/>
      <c r="AT4" s="102"/>
      <c r="AU4" s="178"/>
      <c r="AV4" s="179"/>
      <c r="AW4" s="179"/>
      <c r="AX4" s="179"/>
      <c r="AY4" s="180"/>
      <c r="AZ4" s="181"/>
      <c r="BA4" s="182"/>
      <c r="BB4" s="182"/>
      <c r="BC4" s="182"/>
      <c r="BD4" s="183"/>
    </row>
    <row r="6" spans="1:56" ht="15" customHeight="1" x14ac:dyDescent="0.3">
      <c r="A6" s="156" t="s">
        <v>101</v>
      </c>
      <c r="B6" s="158" t="s">
        <v>4</v>
      </c>
      <c r="C6" s="159"/>
      <c r="D6" s="159"/>
      <c r="E6" s="159"/>
      <c r="F6" s="159"/>
      <c r="G6" s="159"/>
      <c r="H6" s="160"/>
      <c r="I6" s="158" t="s">
        <v>5</v>
      </c>
      <c r="J6" s="159"/>
      <c r="K6" s="159"/>
      <c r="L6" s="159"/>
      <c r="M6" s="159"/>
      <c r="N6" s="159"/>
      <c r="O6" s="159"/>
      <c r="P6" s="159"/>
      <c r="Q6" s="160"/>
      <c r="R6" s="158" t="s">
        <v>145</v>
      </c>
      <c r="S6" s="159"/>
      <c r="T6" s="159"/>
      <c r="U6" s="159"/>
      <c r="V6" s="159"/>
      <c r="W6" s="159"/>
      <c r="X6" s="160"/>
      <c r="Y6" s="158" t="s">
        <v>6</v>
      </c>
      <c r="Z6" s="160"/>
      <c r="AA6" s="158" t="s">
        <v>7</v>
      </c>
      <c r="AB6" s="159"/>
      <c r="AC6" s="160"/>
      <c r="AD6" s="164" t="s">
        <v>8</v>
      </c>
      <c r="AE6" s="185" t="s">
        <v>9</v>
      </c>
      <c r="AF6" s="164" t="s">
        <v>10</v>
      </c>
      <c r="AG6" s="164" t="s">
        <v>11</v>
      </c>
      <c r="AH6" s="164" t="s">
        <v>12</v>
      </c>
      <c r="AI6" s="166" t="s">
        <v>13</v>
      </c>
      <c r="AJ6" s="167"/>
      <c r="AK6" s="167"/>
      <c r="AL6" s="167"/>
      <c r="AM6" s="167"/>
      <c r="AN6" s="167"/>
      <c r="AO6" s="167"/>
      <c r="AP6" s="167"/>
      <c r="AQ6" s="167"/>
      <c r="AR6" s="168"/>
      <c r="AS6" s="169" t="s">
        <v>14</v>
      </c>
      <c r="AT6" s="170"/>
      <c r="AU6" s="170"/>
      <c r="AV6" s="170"/>
      <c r="AW6" s="170"/>
      <c r="AX6" s="170"/>
      <c r="AY6" s="170"/>
      <c r="AZ6" s="170"/>
      <c r="BA6" s="170"/>
      <c r="BB6" s="170"/>
      <c r="BC6" s="170"/>
      <c r="BD6" s="171"/>
    </row>
    <row r="7" spans="1:56" ht="15" customHeight="1" x14ac:dyDescent="0.3">
      <c r="A7" s="157"/>
      <c r="B7" s="161"/>
      <c r="C7" s="162"/>
      <c r="D7" s="162"/>
      <c r="E7" s="162"/>
      <c r="F7" s="162"/>
      <c r="G7" s="162"/>
      <c r="H7" s="163"/>
      <c r="I7" s="161"/>
      <c r="J7" s="162"/>
      <c r="K7" s="162"/>
      <c r="L7" s="162"/>
      <c r="M7" s="162"/>
      <c r="N7" s="162"/>
      <c r="O7" s="162"/>
      <c r="P7" s="162"/>
      <c r="Q7" s="163"/>
      <c r="R7" s="161"/>
      <c r="S7" s="162"/>
      <c r="T7" s="162"/>
      <c r="U7" s="162"/>
      <c r="V7" s="162"/>
      <c r="W7" s="162"/>
      <c r="X7" s="163"/>
      <c r="Y7" s="161"/>
      <c r="Z7" s="163"/>
      <c r="AA7" s="161"/>
      <c r="AB7" s="162"/>
      <c r="AC7" s="163"/>
      <c r="AD7" s="165"/>
      <c r="AE7" s="186"/>
      <c r="AF7" s="165"/>
      <c r="AG7" s="165"/>
      <c r="AH7" s="165"/>
      <c r="AI7" s="56">
        <v>1</v>
      </c>
      <c r="AJ7" s="56">
        <v>2</v>
      </c>
      <c r="AK7" s="56">
        <v>3</v>
      </c>
      <c r="AL7" s="56">
        <v>4</v>
      </c>
      <c r="AM7" s="56">
        <v>5</v>
      </c>
      <c r="AN7" s="56">
        <v>6</v>
      </c>
      <c r="AO7" s="56">
        <v>7</v>
      </c>
      <c r="AP7" s="56">
        <v>8</v>
      </c>
      <c r="AQ7" s="56">
        <v>9</v>
      </c>
      <c r="AR7" s="56">
        <v>10</v>
      </c>
      <c r="AS7" s="172"/>
      <c r="AT7" s="173"/>
      <c r="AU7" s="173"/>
      <c r="AV7" s="173"/>
      <c r="AW7" s="173"/>
      <c r="AX7" s="173"/>
      <c r="AY7" s="173"/>
      <c r="AZ7" s="173"/>
      <c r="BA7" s="173"/>
      <c r="BB7" s="173"/>
      <c r="BC7" s="173"/>
      <c r="BD7" s="174"/>
    </row>
    <row r="8" spans="1:56" ht="15" customHeight="1" x14ac:dyDescent="0.3">
      <c r="A8" s="54">
        <f>IF(B8="","",COUNTA($B$8:B8))</f>
        <v>1</v>
      </c>
      <c r="B8" s="42" t="s">
        <v>151</v>
      </c>
      <c r="C8" s="41"/>
      <c r="D8" s="41"/>
      <c r="E8" s="41"/>
      <c r="F8" s="41"/>
      <c r="G8" s="41"/>
      <c r="H8" s="41"/>
      <c r="I8" s="31" t="str">
        <f>VLOOKUP(B8,Sheet1!A:B,2,FALSE)</f>
        <v>shukka_date</v>
      </c>
      <c r="J8" s="32"/>
      <c r="K8" s="32"/>
      <c r="L8" s="32"/>
      <c r="M8" s="32"/>
      <c r="N8" s="32"/>
      <c r="O8" s="32"/>
      <c r="P8" s="32"/>
      <c r="Q8" s="32"/>
      <c r="R8" s="42" t="s">
        <v>151</v>
      </c>
      <c r="S8" s="41"/>
      <c r="T8" s="41"/>
      <c r="U8" s="41"/>
      <c r="V8" s="41"/>
      <c r="W8" s="41"/>
      <c r="X8" s="41"/>
      <c r="Y8" s="139" t="s">
        <v>87</v>
      </c>
      <c r="Z8" s="140"/>
      <c r="AA8" s="141" t="s">
        <v>109</v>
      </c>
      <c r="AB8" s="142"/>
      <c r="AC8" s="143"/>
      <c r="AD8" s="72"/>
      <c r="AE8" s="27"/>
      <c r="AF8" s="26" t="s">
        <v>119</v>
      </c>
      <c r="AG8" s="27" t="s">
        <v>85</v>
      </c>
      <c r="AH8" s="27"/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42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68"/>
    </row>
    <row r="9" spans="1:56" ht="15" customHeight="1" x14ac:dyDescent="0.3">
      <c r="A9" s="54">
        <f>IF(B9="","",COUNTA($B$8:B9))</f>
        <v>2</v>
      </c>
      <c r="B9" s="18" t="s">
        <v>1522</v>
      </c>
      <c r="C9" s="19"/>
      <c r="D9" s="19"/>
      <c r="E9" s="19"/>
      <c r="F9" s="19"/>
      <c r="G9" s="19"/>
      <c r="H9" s="19"/>
      <c r="I9" s="31" t="str">
        <f>VLOOKUP(B9,Sheet1!A:B,2,FALSE)</f>
        <v>shukka_no</v>
      </c>
      <c r="J9" s="21"/>
      <c r="K9" s="21"/>
      <c r="L9" s="21"/>
      <c r="M9" s="21"/>
      <c r="N9" s="21"/>
      <c r="O9" s="21"/>
      <c r="P9" s="21"/>
      <c r="Q9" s="21"/>
      <c r="R9" s="18" t="s">
        <v>1522</v>
      </c>
      <c r="S9" s="19"/>
      <c r="T9" s="19"/>
      <c r="U9" s="19"/>
      <c r="V9" s="19"/>
      <c r="W9" s="19"/>
      <c r="X9" s="19"/>
      <c r="Y9" s="139" t="s">
        <v>111</v>
      </c>
      <c r="Z9" s="140"/>
      <c r="AA9" s="141" t="s">
        <v>107</v>
      </c>
      <c r="AB9" s="142"/>
      <c r="AC9" s="143"/>
      <c r="AD9" s="25">
        <v>5</v>
      </c>
      <c r="AE9" s="26"/>
      <c r="AF9" s="26" t="s">
        <v>205</v>
      </c>
      <c r="AG9" s="26" t="s">
        <v>85</v>
      </c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42" t="s">
        <v>1530</v>
      </c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68"/>
    </row>
    <row r="10" spans="1:56" ht="15" customHeight="1" x14ac:dyDescent="0.3">
      <c r="A10" s="54">
        <f>IF(B10="","",COUNTA($B$8:B10))</f>
        <v>3</v>
      </c>
      <c r="B10" s="42" t="s">
        <v>152</v>
      </c>
      <c r="C10" s="44"/>
      <c r="D10" s="44"/>
      <c r="E10" s="44"/>
      <c r="F10" s="44"/>
      <c r="G10" s="44"/>
      <c r="H10" s="44"/>
      <c r="I10" s="31" t="str">
        <f>VLOOKUP(B10,Sheet1!A:B,2,FALSE)</f>
        <v>nonyu_date</v>
      </c>
      <c r="J10" s="32"/>
      <c r="K10" s="32"/>
      <c r="L10" s="32"/>
      <c r="M10" s="32"/>
      <c r="N10" s="32"/>
      <c r="O10" s="32"/>
      <c r="P10" s="32"/>
      <c r="Q10" s="32"/>
      <c r="R10" s="42" t="s">
        <v>152</v>
      </c>
      <c r="S10" s="44"/>
      <c r="T10" s="44"/>
      <c r="U10" s="44"/>
      <c r="V10" s="44"/>
      <c r="W10" s="44"/>
      <c r="X10" s="44"/>
      <c r="Y10" s="139" t="s">
        <v>87</v>
      </c>
      <c r="Z10" s="140"/>
      <c r="AA10" s="141" t="s">
        <v>109</v>
      </c>
      <c r="AB10" s="142"/>
      <c r="AC10" s="143"/>
      <c r="AD10" s="45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42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68"/>
    </row>
    <row r="11" spans="1:56" ht="15" customHeight="1" x14ac:dyDescent="0.3">
      <c r="A11" s="54">
        <f>IF(B11="","",COUNTA($B$8:B11))</f>
        <v>4</v>
      </c>
      <c r="B11" s="42" t="s">
        <v>124</v>
      </c>
      <c r="C11" s="41"/>
      <c r="D11" s="41"/>
      <c r="E11" s="41"/>
      <c r="F11" s="41"/>
      <c r="G11" s="41"/>
      <c r="H11" s="41"/>
      <c r="I11" s="31" t="str">
        <f>VLOOKUP(B11,Sheet1!A:B,2,FALSE)</f>
        <v>nonyusaki_cd</v>
      </c>
      <c r="J11" s="32"/>
      <c r="K11" s="32"/>
      <c r="L11" s="32"/>
      <c r="M11" s="32"/>
      <c r="N11" s="32"/>
      <c r="O11" s="32"/>
      <c r="P11" s="32"/>
      <c r="Q11" s="32"/>
      <c r="R11" s="42" t="s">
        <v>124</v>
      </c>
      <c r="S11" s="41"/>
      <c r="T11" s="41"/>
      <c r="U11" s="41"/>
      <c r="V11" s="41"/>
      <c r="W11" s="41"/>
      <c r="X11" s="41"/>
      <c r="Y11" s="139" t="s">
        <v>111</v>
      </c>
      <c r="Z11" s="140"/>
      <c r="AA11" s="141" t="s">
        <v>107</v>
      </c>
      <c r="AB11" s="142"/>
      <c r="AC11" s="143"/>
      <c r="AD11" s="72">
        <v>5</v>
      </c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42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68"/>
    </row>
    <row r="12" spans="1:56" ht="15" customHeight="1" x14ac:dyDescent="0.3">
      <c r="A12" s="54">
        <f>IF(B12="","",COUNTA($B$8:B12))</f>
        <v>5</v>
      </c>
      <c r="B12" s="42" t="s">
        <v>125</v>
      </c>
      <c r="C12" s="41"/>
      <c r="D12" s="41"/>
      <c r="E12" s="41"/>
      <c r="F12" s="41"/>
      <c r="G12" s="41"/>
      <c r="H12" s="41"/>
      <c r="I12" s="31" t="str">
        <f>VLOOKUP(B12,Sheet1!A:B,2,FALSE)</f>
        <v>nonyusaki_nm</v>
      </c>
      <c r="J12" s="32"/>
      <c r="K12" s="32"/>
      <c r="L12" s="32"/>
      <c r="M12" s="32"/>
      <c r="N12" s="32"/>
      <c r="O12" s="32"/>
      <c r="P12" s="32"/>
      <c r="Q12" s="32"/>
      <c r="R12" s="42" t="s">
        <v>125</v>
      </c>
      <c r="S12" s="41"/>
      <c r="T12" s="41"/>
      <c r="U12" s="41"/>
      <c r="V12" s="41"/>
      <c r="W12" s="41"/>
      <c r="X12" s="41"/>
      <c r="Y12" s="139" t="s">
        <v>111</v>
      </c>
      <c r="Z12" s="140"/>
      <c r="AA12" s="141" t="s">
        <v>107</v>
      </c>
      <c r="AB12" s="142"/>
      <c r="AC12" s="143"/>
      <c r="AD12" s="72">
        <v>80</v>
      </c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42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68"/>
    </row>
    <row r="13" spans="1:56" ht="15" customHeight="1" x14ac:dyDescent="0.3">
      <c r="A13" s="54">
        <f>IF(B13="","",COUNTA($B$8:B13))</f>
        <v>6</v>
      </c>
      <c r="B13" s="42" t="s">
        <v>1525</v>
      </c>
      <c r="C13" s="41"/>
      <c r="D13" s="41"/>
      <c r="E13" s="41"/>
      <c r="F13" s="41"/>
      <c r="G13" s="41"/>
      <c r="H13" s="41"/>
      <c r="I13" s="31" t="str">
        <f>VLOOKUP(B13,Sheet1!A:B,2,FALSE)</f>
        <v>nonyusaki_post_no</v>
      </c>
      <c r="J13" s="32"/>
      <c r="K13" s="32"/>
      <c r="L13" s="32"/>
      <c r="M13" s="32"/>
      <c r="N13" s="32"/>
      <c r="O13" s="32"/>
      <c r="P13" s="32"/>
      <c r="Q13" s="32"/>
      <c r="R13" s="42" t="s">
        <v>1525</v>
      </c>
      <c r="S13" s="41"/>
      <c r="T13" s="41"/>
      <c r="U13" s="41"/>
      <c r="V13" s="41"/>
      <c r="W13" s="41"/>
      <c r="X13" s="41"/>
      <c r="Y13" s="139" t="s">
        <v>111</v>
      </c>
      <c r="Z13" s="140"/>
      <c r="AA13" s="141" t="s">
        <v>107</v>
      </c>
      <c r="AB13" s="142"/>
      <c r="AC13" s="143"/>
      <c r="AD13" s="72">
        <v>8</v>
      </c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42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68"/>
    </row>
    <row r="14" spans="1:56" ht="15" customHeight="1" x14ac:dyDescent="0.3">
      <c r="A14" s="54">
        <f>IF(B14="","",COUNTA($B$8:B14))</f>
        <v>7</v>
      </c>
      <c r="B14" s="42" t="s">
        <v>1527</v>
      </c>
      <c r="C14" s="41"/>
      <c r="D14" s="41"/>
      <c r="E14" s="41"/>
      <c r="F14" s="41"/>
      <c r="G14" s="41"/>
      <c r="H14" s="41"/>
      <c r="I14" s="31" t="str">
        <f>VLOOKUP(B14,Sheet1!A:B,2,FALSE)</f>
        <v>nonyusaki_address</v>
      </c>
      <c r="J14" s="32"/>
      <c r="K14" s="32"/>
      <c r="L14" s="32"/>
      <c r="M14" s="32"/>
      <c r="N14" s="32"/>
      <c r="O14" s="32"/>
      <c r="P14" s="32"/>
      <c r="Q14" s="32"/>
      <c r="R14" s="42" t="s">
        <v>1527</v>
      </c>
      <c r="S14" s="41"/>
      <c r="T14" s="41"/>
      <c r="U14" s="41"/>
      <c r="V14" s="41"/>
      <c r="W14" s="41"/>
      <c r="X14" s="41"/>
      <c r="Y14" s="139" t="s">
        <v>111</v>
      </c>
      <c r="Z14" s="140"/>
      <c r="AA14" s="141" t="s">
        <v>107</v>
      </c>
      <c r="AB14" s="142"/>
      <c r="AC14" s="143"/>
      <c r="AD14" s="72">
        <v>60</v>
      </c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42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68"/>
    </row>
    <row r="15" spans="1:56" ht="15" customHeight="1" x14ac:dyDescent="0.3">
      <c r="A15" s="54">
        <f>IF(B15="","",COUNTA($B$8:B15))</f>
        <v>8</v>
      </c>
      <c r="B15" s="42" t="s">
        <v>1529</v>
      </c>
      <c r="C15" s="41"/>
      <c r="D15" s="41"/>
      <c r="E15" s="41"/>
      <c r="F15" s="41"/>
      <c r="G15" s="41"/>
      <c r="H15" s="41"/>
      <c r="I15" s="31" t="str">
        <f>VLOOKUP(B15,Sheet1!A:B,2,FALSE)</f>
        <v>nonyusaki_phone_no</v>
      </c>
      <c r="J15" s="32"/>
      <c r="K15" s="32"/>
      <c r="L15" s="32"/>
      <c r="M15" s="32"/>
      <c r="N15" s="32"/>
      <c r="O15" s="32"/>
      <c r="P15" s="32"/>
      <c r="Q15" s="32"/>
      <c r="R15" s="42" t="s">
        <v>1529</v>
      </c>
      <c r="S15" s="41"/>
      <c r="T15" s="41"/>
      <c r="U15" s="41"/>
      <c r="V15" s="41"/>
      <c r="W15" s="41"/>
      <c r="X15" s="41"/>
      <c r="Y15" s="139" t="s">
        <v>111</v>
      </c>
      <c r="Z15" s="140"/>
      <c r="AA15" s="141" t="s">
        <v>107</v>
      </c>
      <c r="AB15" s="142"/>
      <c r="AC15" s="143"/>
      <c r="AD15" s="72">
        <v>20</v>
      </c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42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68"/>
    </row>
    <row r="16" spans="1:56" ht="15" customHeight="1" x14ac:dyDescent="0.3">
      <c r="A16" s="54">
        <f>IF(B16="","",COUNTA($B$8:B16))</f>
        <v>9</v>
      </c>
      <c r="B16" s="18" t="s">
        <v>1491</v>
      </c>
      <c r="C16" s="41"/>
      <c r="D16" s="41"/>
      <c r="E16" s="41"/>
      <c r="F16" s="41"/>
      <c r="G16" s="41"/>
      <c r="H16" s="41"/>
      <c r="I16" s="31" t="str">
        <f>VLOOKUP(B16,Sheet1!A:B,2,FALSE)</f>
        <v>unsokaisha_cd</v>
      </c>
      <c r="J16" s="32"/>
      <c r="K16" s="32"/>
      <c r="L16" s="32"/>
      <c r="M16" s="32"/>
      <c r="N16" s="32"/>
      <c r="O16" s="32"/>
      <c r="P16" s="32"/>
      <c r="Q16" s="32"/>
      <c r="R16" s="18" t="s">
        <v>1491</v>
      </c>
      <c r="S16" s="41"/>
      <c r="T16" s="41"/>
      <c r="U16" s="41"/>
      <c r="V16" s="41"/>
      <c r="W16" s="41"/>
      <c r="X16" s="41"/>
      <c r="Y16" s="139" t="s">
        <v>111</v>
      </c>
      <c r="Z16" s="184"/>
      <c r="AA16" s="141" t="s">
        <v>107</v>
      </c>
      <c r="AB16" s="142"/>
      <c r="AC16" s="143"/>
      <c r="AD16" s="72">
        <v>5</v>
      </c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42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68"/>
    </row>
    <row r="17" spans="1:56" ht="15" customHeight="1" x14ac:dyDescent="0.3">
      <c r="A17" s="54">
        <f>IF(B17="","",COUNTA($B$8:B17))</f>
        <v>10</v>
      </c>
      <c r="B17" s="23" t="s">
        <v>1493</v>
      </c>
      <c r="C17" s="41"/>
      <c r="D17" s="41"/>
      <c r="E17" s="41"/>
      <c r="F17" s="41"/>
      <c r="G17" s="41"/>
      <c r="H17" s="41"/>
      <c r="I17" s="31" t="str">
        <f>VLOOKUP(B17,Sheet1!A:B,2,FALSE)</f>
        <v>unsokaisha_nm</v>
      </c>
      <c r="J17" s="32"/>
      <c r="K17" s="32"/>
      <c r="L17" s="32"/>
      <c r="M17" s="32"/>
      <c r="N17" s="32"/>
      <c r="O17" s="32"/>
      <c r="P17" s="32"/>
      <c r="Q17" s="32"/>
      <c r="R17" s="23" t="s">
        <v>1493</v>
      </c>
      <c r="S17" s="41"/>
      <c r="T17" s="41"/>
      <c r="U17" s="41"/>
      <c r="V17" s="41"/>
      <c r="W17" s="41"/>
      <c r="X17" s="41"/>
      <c r="Y17" s="139" t="s">
        <v>111</v>
      </c>
      <c r="Z17" s="184"/>
      <c r="AA17" s="141" t="s">
        <v>107</v>
      </c>
      <c r="AB17" s="142"/>
      <c r="AC17" s="143"/>
      <c r="AD17" s="72">
        <v>80</v>
      </c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42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68"/>
    </row>
    <row r="18" spans="1:56" ht="15" customHeight="1" x14ac:dyDescent="0.3">
      <c r="A18" s="54">
        <f>IF(B18="","",COUNTA($B$8:B18))</f>
        <v>11</v>
      </c>
      <c r="B18" s="18" t="s">
        <v>197</v>
      </c>
      <c r="C18" s="41"/>
      <c r="D18" s="41"/>
      <c r="E18" s="41"/>
      <c r="F18" s="41"/>
      <c r="G18" s="41"/>
      <c r="H18" s="41"/>
      <c r="I18" s="31" t="str">
        <f>VLOOKUP(B18,Sheet1!A:B,2,FALSE)</f>
        <v>nisugata_su</v>
      </c>
      <c r="J18" s="32"/>
      <c r="K18" s="32"/>
      <c r="L18" s="32"/>
      <c r="M18" s="32"/>
      <c r="N18" s="32"/>
      <c r="O18" s="32"/>
      <c r="P18" s="32"/>
      <c r="Q18" s="32"/>
      <c r="R18" s="18" t="s">
        <v>197</v>
      </c>
      <c r="S18" s="41"/>
      <c r="T18" s="41"/>
      <c r="U18" s="41"/>
      <c r="V18" s="41"/>
      <c r="W18" s="41"/>
      <c r="X18" s="41"/>
      <c r="Y18" s="139" t="s">
        <v>108</v>
      </c>
      <c r="Z18" s="140"/>
      <c r="AA18" s="141" t="s">
        <v>110</v>
      </c>
      <c r="AB18" s="142"/>
      <c r="AC18" s="143"/>
      <c r="AD18" s="72">
        <v>3</v>
      </c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42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68"/>
    </row>
    <row r="19" spans="1:56" ht="15" customHeight="1" x14ac:dyDescent="0.3">
      <c r="A19" s="54">
        <f>IF(B19="","",COUNTA($B$8:B19))</f>
        <v>12</v>
      </c>
      <c r="B19" s="18" t="s">
        <v>172</v>
      </c>
      <c r="C19" s="41"/>
      <c r="D19" s="41"/>
      <c r="E19" s="41"/>
      <c r="F19" s="41"/>
      <c r="G19" s="41"/>
      <c r="H19" s="41"/>
      <c r="I19" s="31" t="str">
        <f>VLOOKUP(B19,Sheet1!A:B,2,FALSE)</f>
        <v>nisugata_unit</v>
      </c>
      <c r="J19" s="32"/>
      <c r="K19" s="32"/>
      <c r="L19" s="32"/>
      <c r="M19" s="32"/>
      <c r="N19" s="32"/>
      <c r="O19" s="32"/>
      <c r="P19" s="32"/>
      <c r="Q19" s="32"/>
      <c r="R19" s="18" t="s">
        <v>172</v>
      </c>
      <c r="S19" s="41"/>
      <c r="T19" s="41"/>
      <c r="U19" s="41"/>
      <c r="V19" s="41"/>
      <c r="W19" s="41"/>
      <c r="X19" s="41"/>
      <c r="Y19" s="139" t="s">
        <v>111</v>
      </c>
      <c r="Z19" s="140"/>
      <c r="AA19" s="141" t="s">
        <v>107</v>
      </c>
      <c r="AB19" s="142"/>
      <c r="AC19" s="143"/>
      <c r="AD19" s="72">
        <v>4</v>
      </c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42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68"/>
    </row>
    <row r="20" spans="1:56" ht="15" customHeight="1" x14ac:dyDescent="0.3">
      <c r="A20" s="54">
        <f>IF(B20="","",COUNTA($B$8:B20))</f>
        <v>13</v>
      </c>
      <c r="B20" s="42" t="s">
        <v>1511</v>
      </c>
      <c r="C20" s="41"/>
      <c r="D20" s="41"/>
      <c r="E20" s="41"/>
      <c r="F20" s="41"/>
      <c r="G20" s="41"/>
      <c r="H20" s="41"/>
      <c r="I20" s="31" t="str">
        <f>VLOOKUP(B20,Sheet1!A:B,2,FALSE)</f>
        <v>okurijo_nonyu_basho</v>
      </c>
      <c r="J20" s="32"/>
      <c r="K20" s="32"/>
      <c r="L20" s="32"/>
      <c r="M20" s="32"/>
      <c r="N20" s="32"/>
      <c r="O20" s="32"/>
      <c r="P20" s="32"/>
      <c r="Q20" s="32"/>
      <c r="R20" s="42" t="s">
        <v>1511</v>
      </c>
      <c r="S20" s="41"/>
      <c r="T20" s="41"/>
      <c r="U20" s="41"/>
      <c r="V20" s="41"/>
      <c r="W20" s="41"/>
      <c r="X20" s="41"/>
      <c r="Y20" s="139" t="s">
        <v>111</v>
      </c>
      <c r="Z20" s="140"/>
      <c r="AA20" s="141" t="s">
        <v>107</v>
      </c>
      <c r="AB20" s="142"/>
      <c r="AC20" s="143"/>
      <c r="AD20" s="72">
        <v>50</v>
      </c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42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68"/>
    </row>
    <row r="21" spans="1:56" ht="15" customHeight="1" x14ac:dyDescent="0.3">
      <c r="A21" s="54">
        <f>IF(B21="","",COUNTA($B$8:B21))</f>
        <v>14</v>
      </c>
      <c r="B21" s="18" t="s">
        <v>1512</v>
      </c>
      <c r="C21" s="41"/>
      <c r="D21" s="41"/>
      <c r="E21" s="41"/>
      <c r="F21" s="41"/>
      <c r="G21" s="41"/>
      <c r="H21" s="41"/>
      <c r="I21" s="31" t="str">
        <f>VLOOKUP(B21,Sheet1!A:B,2,FALSE)</f>
        <v>okurijo_nonyubi_biko</v>
      </c>
      <c r="J21" s="32"/>
      <c r="K21" s="32"/>
      <c r="L21" s="32"/>
      <c r="M21" s="32"/>
      <c r="N21" s="32"/>
      <c r="O21" s="32"/>
      <c r="P21" s="32"/>
      <c r="Q21" s="32"/>
      <c r="R21" s="18" t="s">
        <v>1512</v>
      </c>
      <c r="S21" s="41"/>
      <c r="T21" s="41"/>
      <c r="U21" s="41"/>
      <c r="V21" s="41"/>
      <c r="W21" s="41"/>
      <c r="X21" s="41"/>
      <c r="Y21" s="139" t="s">
        <v>111</v>
      </c>
      <c r="Z21" s="140"/>
      <c r="AA21" s="141" t="s">
        <v>107</v>
      </c>
      <c r="AB21" s="142"/>
      <c r="AC21" s="143"/>
      <c r="AD21" s="72">
        <v>50</v>
      </c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42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68"/>
    </row>
    <row r="22" spans="1:56" ht="15" customHeight="1" x14ac:dyDescent="0.3">
      <c r="A22" s="54">
        <f>IF(B22="","",COUNTA($B$8:B22))</f>
        <v>15</v>
      </c>
      <c r="B22" s="18" t="s">
        <v>153</v>
      </c>
      <c r="C22" s="41"/>
      <c r="D22" s="41"/>
      <c r="E22" s="41"/>
      <c r="F22" s="41"/>
      <c r="G22" s="41"/>
      <c r="H22" s="41"/>
      <c r="I22" s="31" t="str">
        <f>VLOOKUP(B22,Sheet1!A:B,2,FALSE)</f>
        <v>okurijo_tekiyo</v>
      </c>
      <c r="J22" s="32"/>
      <c r="K22" s="32"/>
      <c r="L22" s="32"/>
      <c r="M22" s="32"/>
      <c r="N22" s="32"/>
      <c r="O22" s="32"/>
      <c r="P22" s="32"/>
      <c r="Q22" s="32"/>
      <c r="R22" s="18" t="s">
        <v>153</v>
      </c>
      <c r="S22" s="41"/>
      <c r="T22" s="41"/>
      <c r="U22" s="41"/>
      <c r="V22" s="41"/>
      <c r="W22" s="41"/>
      <c r="X22" s="41"/>
      <c r="Y22" s="139" t="s">
        <v>111</v>
      </c>
      <c r="Z22" s="140"/>
      <c r="AA22" s="141" t="s">
        <v>107</v>
      </c>
      <c r="AB22" s="142"/>
      <c r="AC22" s="143"/>
      <c r="AD22" s="72">
        <v>50</v>
      </c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42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68"/>
    </row>
    <row r="23" spans="1:56" ht="15" customHeight="1" x14ac:dyDescent="0.3">
      <c r="A23" s="54">
        <f>IF(B23="","",COUNTA($B$8:B23))</f>
        <v>16</v>
      </c>
      <c r="B23" s="42" t="s">
        <v>1513</v>
      </c>
      <c r="C23" s="41"/>
      <c r="D23" s="41"/>
      <c r="E23" s="41"/>
      <c r="F23" s="41"/>
      <c r="G23" s="41"/>
      <c r="H23" s="41"/>
      <c r="I23" s="31" t="str">
        <f>VLOOKUP(B23,Sheet1!A:B,2,FALSE)</f>
        <v>okurijo_juryo</v>
      </c>
      <c r="J23" s="32"/>
      <c r="K23" s="32"/>
      <c r="L23" s="32"/>
      <c r="M23" s="32"/>
      <c r="N23" s="32"/>
      <c r="O23" s="32"/>
      <c r="P23" s="32"/>
      <c r="Q23" s="32"/>
      <c r="R23" s="42" t="s">
        <v>1513</v>
      </c>
      <c r="S23" s="41"/>
      <c r="T23" s="41"/>
      <c r="U23" s="41"/>
      <c r="V23" s="41"/>
      <c r="W23" s="41"/>
      <c r="X23" s="41"/>
      <c r="Y23" s="139" t="s">
        <v>111</v>
      </c>
      <c r="Z23" s="140"/>
      <c r="AA23" s="141" t="s">
        <v>110</v>
      </c>
      <c r="AB23" s="142"/>
      <c r="AC23" s="143"/>
      <c r="AD23" s="72">
        <v>6</v>
      </c>
      <c r="AE23" s="27">
        <v>1</v>
      </c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42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68"/>
    </row>
    <row r="24" spans="1:56" ht="15" customHeight="1" x14ac:dyDescent="0.3">
      <c r="A24" s="54">
        <f>IF(B24="","",COUNTA($B$8:B24))</f>
        <v>17</v>
      </c>
      <c r="B24" s="18" t="s">
        <v>174</v>
      </c>
      <c r="C24" s="41"/>
      <c r="D24" s="41"/>
      <c r="E24" s="41"/>
      <c r="F24" s="41"/>
      <c r="G24" s="41"/>
      <c r="H24" s="41"/>
      <c r="I24" s="31" t="str">
        <f>VLOOKUP(B24,Sheet1!A:B,2,FALSE)</f>
        <v>okurijo_print_kbn</v>
      </c>
      <c r="J24" s="32"/>
      <c r="K24" s="32"/>
      <c r="L24" s="32"/>
      <c r="M24" s="32"/>
      <c r="N24" s="32"/>
      <c r="O24" s="32"/>
      <c r="P24" s="32"/>
      <c r="Q24" s="32"/>
      <c r="R24" s="18" t="s">
        <v>174</v>
      </c>
      <c r="S24" s="41"/>
      <c r="T24" s="41"/>
      <c r="U24" s="41"/>
      <c r="V24" s="41"/>
      <c r="W24" s="41"/>
      <c r="X24" s="41"/>
      <c r="Y24" s="139" t="s">
        <v>111</v>
      </c>
      <c r="Z24" s="140"/>
      <c r="AA24" s="141" t="s">
        <v>107</v>
      </c>
      <c r="AB24" s="142"/>
      <c r="AC24" s="143"/>
      <c r="AD24" s="25">
        <v>1</v>
      </c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8" t="s">
        <v>179</v>
      </c>
      <c r="AT24" s="69"/>
      <c r="AU24" s="69"/>
      <c r="AV24" s="69"/>
      <c r="AW24" s="69"/>
      <c r="AX24" s="69"/>
      <c r="AY24" s="69"/>
      <c r="AZ24" s="69"/>
      <c r="BA24" s="69"/>
      <c r="BB24" s="69"/>
      <c r="BC24" s="69"/>
      <c r="BD24" s="70"/>
    </row>
    <row r="25" spans="1:56" ht="15" customHeight="1" x14ac:dyDescent="0.3">
      <c r="A25" s="54">
        <f>IF(B25="","",COUNTA($B$8:B25))</f>
        <v>18</v>
      </c>
      <c r="B25" s="18" t="s">
        <v>175</v>
      </c>
      <c r="C25" s="41"/>
      <c r="D25" s="41"/>
      <c r="E25" s="41"/>
      <c r="F25" s="41"/>
      <c r="G25" s="41"/>
      <c r="H25" s="41"/>
      <c r="I25" s="31" t="str">
        <f>VLOOKUP(B25,Sheet1!A:B,2,FALSE)</f>
        <v>nifuda_print_kbn</v>
      </c>
      <c r="J25" s="32"/>
      <c r="K25" s="32"/>
      <c r="L25" s="32"/>
      <c r="M25" s="32"/>
      <c r="N25" s="32"/>
      <c r="O25" s="32"/>
      <c r="P25" s="32"/>
      <c r="Q25" s="32"/>
      <c r="R25" s="18" t="s">
        <v>175</v>
      </c>
      <c r="S25" s="41"/>
      <c r="T25" s="41"/>
      <c r="U25" s="41"/>
      <c r="V25" s="41"/>
      <c r="W25" s="41"/>
      <c r="X25" s="41"/>
      <c r="Y25" s="139" t="s">
        <v>111</v>
      </c>
      <c r="Z25" s="140"/>
      <c r="AA25" s="141" t="s">
        <v>107</v>
      </c>
      <c r="AB25" s="142"/>
      <c r="AC25" s="143"/>
      <c r="AD25" s="25">
        <v>1</v>
      </c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8" t="s">
        <v>179</v>
      </c>
      <c r="AT25" s="69"/>
      <c r="AU25" s="69"/>
      <c r="AV25" s="69"/>
      <c r="AW25" s="69"/>
      <c r="AX25" s="69"/>
      <c r="AY25" s="69"/>
      <c r="AZ25" s="69"/>
      <c r="BA25" s="69"/>
      <c r="BB25" s="69"/>
      <c r="BC25" s="69"/>
      <c r="BD25" s="70"/>
    </row>
    <row r="26" spans="1:56" ht="15" customHeight="1" x14ac:dyDescent="0.3">
      <c r="A26" s="54">
        <f>IF(B26="","",COUNTA($B$8:B26))</f>
        <v>19</v>
      </c>
      <c r="B26" s="18" t="s">
        <v>182</v>
      </c>
      <c r="C26" s="19"/>
      <c r="D26" s="19"/>
      <c r="E26" s="19"/>
      <c r="F26" s="19"/>
      <c r="G26" s="19"/>
      <c r="H26" s="22"/>
      <c r="I26" s="31" t="str">
        <f>VLOOKUP(B26,Sheet1!A:B,2,FALSE)</f>
        <v>shukan_busho_cd</v>
      </c>
      <c r="J26" s="21"/>
      <c r="K26" s="21"/>
      <c r="L26" s="21"/>
      <c r="M26" s="21"/>
      <c r="N26" s="21"/>
      <c r="O26" s="21"/>
      <c r="P26" s="21"/>
      <c r="Q26" s="33"/>
      <c r="R26" s="18" t="s">
        <v>184</v>
      </c>
      <c r="S26" s="21"/>
      <c r="T26" s="21"/>
      <c r="U26" s="21"/>
      <c r="V26" s="21"/>
      <c r="W26" s="21"/>
      <c r="X26" s="22"/>
      <c r="Y26" s="139" t="s">
        <v>56</v>
      </c>
      <c r="Z26" s="184"/>
      <c r="AA26" s="141" t="s">
        <v>107</v>
      </c>
      <c r="AB26" s="142"/>
      <c r="AC26" s="143"/>
      <c r="AD26" s="25">
        <v>4</v>
      </c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7"/>
      <c r="AP26" s="27"/>
      <c r="AQ26" s="27"/>
      <c r="AR26" s="27"/>
      <c r="AS26" s="28"/>
      <c r="AT26" s="69"/>
      <c r="AU26" s="69"/>
      <c r="AV26" s="69"/>
      <c r="AW26" s="69"/>
      <c r="AX26" s="69"/>
      <c r="AY26" s="69"/>
      <c r="AZ26" s="69"/>
      <c r="BA26" s="69"/>
      <c r="BB26" s="69"/>
      <c r="BC26" s="69"/>
      <c r="BD26" s="70"/>
    </row>
    <row r="27" spans="1:56" ht="15" customHeight="1" x14ac:dyDescent="0.3">
      <c r="A27" s="54">
        <f>IF(B27="","",COUNTA($B$8:B27))</f>
        <v>20</v>
      </c>
      <c r="B27" s="18" t="s">
        <v>183</v>
      </c>
      <c r="C27" s="19"/>
      <c r="D27" s="19"/>
      <c r="E27" s="19"/>
      <c r="F27" s="19"/>
      <c r="G27" s="19"/>
      <c r="H27" s="22"/>
      <c r="I27" s="31" t="str">
        <f>VLOOKUP(B27,Sheet1!A:B,2,FALSE)</f>
        <v>shukan_kotei_cd</v>
      </c>
      <c r="J27" s="21"/>
      <c r="K27" s="21"/>
      <c r="L27" s="21"/>
      <c r="M27" s="21"/>
      <c r="N27" s="21"/>
      <c r="O27" s="21"/>
      <c r="P27" s="21"/>
      <c r="Q27" s="33"/>
      <c r="R27" s="18" t="s">
        <v>183</v>
      </c>
      <c r="S27" s="21"/>
      <c r="T27" s="21"/>
      <c r="U27" s="21"/>
      <c r="V27" s="21"/>
      <c r="W27" s="21"/>
      <c r="X27" s="22"/>
      <c r="Y27" s="18" t="s">
        <v>56</v>
      </c>
      <c r="Z27" s="35"/>
      <c r="AA27" s="23" t="s">
        <v>107</v>
      </c>
      <c r="AB27" s="24"/>
      <c r="AC27" s="36"/>
      <c r="AD27" s="25">
        <v>4</v>
      </c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7"/>
      <c r="AP27" s="27"/>
      <c r="AQ27" s="27"/>
      <c r="AR27" s="27"/>
      <c r="AS27" s="28"/>
      <c r="AT27" s="69"/>
      <c r="AU27" s="69"/>
      <c r="AV27" s="69"/>
      <c r="AW27" s="69"/>
      <c r="AX27" s="69"/>
      <c r="AY27" s="69"/>
      <c r="AZ27" s="69"/>
      <c r="BA27" s="69"/>
      <c r="BB27" s="69"/>
      <c r="BC27" s="69"/>
      <c r="BD27" s="70"/>
    </row>
    <row r="28" spans="1:56" ht="15" customHeight="1" x14ac:dyDescent="0.3">
      <c r="A28" s="54">
        <f>IF(B28="","",COUNTA($B$8:B28))</f>
        <v>21</v>
      </c>
      <c r="B28" s="18" t="s">
        <v>1095</v>
      </c>
      <c r="C28" s="41"/>
      <c r="D28" s="41"/>
      <c r="E28" s="41"/>
      <c r="F28" s="41"/>
      <c r="G28" s="41"/>
      <c r="H28" s="41"/>
      <c r="I28" s="31" t="str">
        <f>VLOOKUP(B28,Sheet1!A:B,2,FALSE)</f>
        <v>insert_func_cd</v>
      </c>
      <c r="J28" s="32"/>
      <c r="K28" s="32"/>
      <c r="L28" s="32"/>
      <c r="M28" s="32"/>
      <c r="N28" s="32"/>
      <c r="O28" s="32"/>
      <c r="P28" s="32"/>
      <c r="Q28" s="32"/>
      <c r="R28" s="18" t="s">
        <v>1095</v>
      </c>
      <c r="S28" s="41"/>
      <c r="T28" s="41"/>
      <c r="U28" s="41"/>
      <c r="V28" s="41"/>
      <c r="W28" s="41"/>
      <c r="X28" s="41"/>
      <c r="Y28" s="18" t="s">
        <v>111</v>
      </c>
      <c r="Z28" s="34"/>
      <c r="AA28" s="23" t="s">
        <v>107</v>
      </c>
      <c r="AB28" s="24"/>
      <c r="AC28" s="36"/>
      <c r="AD28" s="25">
        <v>10</v>
      </c>
      <c r="AE28" s="37"/>
      <c r="AF28" s="37"/>
      <c r="AG28" s="37"/>
      <c r="AH28" s="37"/>
      <c r="AI28" s="37"/>
      <c r="AJ28" s="37"/>
      <c r="AK28" s="37"/>
      <c r="AL28" s="37"/>
      <c r="AM28" s="37"/>
      <c r="AN28" s="37"/>
      <c r="AO28" s="38"/>
      <c r="AP28" s="38"/>
      <c r="AQ28" s="38"/>
      <c r="AR28" s="38"/>
      <c r="AS28" s="39"/>
      <c r="AT28" s="40"/>
      <c r="AU28" s="69"/>
      <c r="AV28" s="69"/>
      <c r="AW28" s="43"/>
      <c r="AX28" s="43"/>
      <c r="AY28" s="43"/>
      <c r="AZ28" s="43"/>
      <c r="BA28" s="43"/>
      <c r="BB28" s="43"/>
      <c r="BC28" s="43"/>
      <c r="BD28" s="68"/>
    </row>
    <row r="29" spans="1:56" ht="15" customHeight="1" x14ac:dyDescent="0.3">
      <c r="A29" s="54">
        <f>IF(B29="","",COUNTA($B$8:B29))</f>
        <v>22</v>
      </c>
      <c r="B29" s="18" t="s">
        <v>112</v>
      </c>
      <c r="C29" s="41"/>
      <c r="D29" s="41"/>
      <c r="E29" s="41"/>
      <c r="F29" s="41"/>
      <c r="G29" s="41"/>
      <c r="H29" s="41"/>
      <c r="I29" s="31" t="str">
        <f>VLOOKUP(B29,Sheet1!A:B,2,FALSE)</f>
        <v>insert_user_cd</v>
      </c>
      <c r="J29" s="32"/>
      <c r="K29" s="32"/>
      <c r="L29" s="32"/>
      <c r="M29" s="32"/>
      <c r="N29" s="32"/>
      <c r="O29" s="32"/>
      <c r="P29" s="32"/>
      <c r="Q29" s="32"/>
      <c r="R29" s="18" t="s">
        <v>112</v>
      </c>
      <c r="S29" s="41"/>
      <c r="T29" s="41"/>
      <c r="U29" s="41"/>
      <c r="V29" s="41"/>
      <c r="W29" s="41"/>
      <c r="X29" s="41"/>
      <c r="Y29" s="18" t="s">
        <v>111</v>
      </c>
      <c r="Z29" s="34"/>
      <c r="AA29" s="23" t="s">
        <v>107</v>
      </c>
      <c r="AB29" s="24"/>
      <c r="AC29" s="36"/>
      <c r="AD29" s="25">
        <v>10</v>
      </c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7"/>
      <c r="AP29" s="27"/>
      <c r="AQ29" s="27"/>
      <c r="AR29" s="27"/>
      <c r="AS29" s="39"/>
      <c r="AT29" s="46"/>
      <c r="AU29" s="43"/>
      <c r="AV29" s="43"/>
      <c r="AW29" s="43"/>
      <c r="AX29" s="43"/>
      <c r="AY29" s="43"/>
      <c r="AZ29" s="43"/>
      <c r="BA29" s="43"/>
      <c r="BB29" s="43"/>
      <c r="BC29" s="43"/>
      <c r="BD29" s="68"/>
    </row>
    <row r="30" spans="1:56" ht="15" customHeight="1" x14ac:dyDescent="0.3">
      <c r="A30" s="54">
        <f>IF(B30="","",COUNTA($B$8:B30))</f>
        <v>23</v>
      </c>
      <c r="B30" s="18" t="s">
        <v>113</v>
      </c>
      <c r="C30" s="41"/>
      <c r="D30" s="41"/>
      <c r="E30" s="41"/>
      <c r="F30" s="41"/>
      <c r="G30" s="41"/>
      <c r="H30" s="41"/>
      <c r="I30" s="31" t="str">
        <f>VLOOKUP(B30,Sheet1!A:B,2,FALSE)</f>
        <v>insert_datetime</v>
      </c>
      <c r="J30" s="32"/>
      <c r="K30" s="32"/>
      <c r="L30" s="32"/>
      <c r="M30" s="32"/>
      <c r="N30" s="32"/>
      <c r="O30" s="32"/>
      <c r="P30" s="32"/>
      <c r="Q30" s="32"/>
      <c r="R30" s="18" t="s">
        <v>113</v>
      </c>
      <c r="S30" s="41"/>
      <c r="T30" s="41"/>
      <c r="U30" s="41"/>
      <c r="V30" s="41"/>
      <c r="W30" s="41"/>
      <c r="X30" s="41"/>
      <c r="Y30" s="18" t="s">
        <v>87</v>
      </c>
      <c r="Z30" s="34"/>
      <c r="AA30" s="23" t="s">
        <v>109</v>
      </c>
      <c r="AB30" s="24"/>
      <c r="AC30" s="36"/>
      <c r="AD30" s="55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7"/>
      <c r="AP30" s="27"/>
      <c r="AQ30" s="27"/>
      <c r="AR30" s="27"/>
      <c r="AS30" s="39"/>
      <c r="AT30" s="46"/>
      <c r="AU30" s="43"/>
      <c r="AV30" s="43"/>
      <c r="AW30" s="43"/>
      <c r="AX30" s="43"/>
      <c r="AY30" s="43"/>
      <c r="AZ30" s="43"/>
      <c r="BA30" s="43"/>
      <c r="BB30" s="43"/>
      <c r="BC30" s="43"/>
      <c r="BD30" s="68"/>
    </row>
    <row r="31" spans="1:56" ht="15" customHeight="1" x14ac:dyDescent="0.3">
      <c r="A31" s="54">
        <f>IF(B31="","",COUNTA($B$8:B31))</f>
        <v>24</v>
      </c>
      <c r="B31" s="18" t="s">
        <v>1094</v>
      </c>
      <c r="C31" s="41"/>
      <c r="D31" s="41"/>
      <c r="E31" s="41"/>
      <c r="F31" s="41"/>
      <c r="G31" s="41"/>
      <c r="H31" s="41"/>
      <c r="I31" s="31" t="str">
        <f>VLOOKUP(B31,Sheet1!A:B,2,FALSE)</f>
        <v>update_func_cd</v>
      </c>
      <c r="J31" s="32"/>
      <c r="K31" s="32"/>
      <c r="L31" s="32"/>
      <c r="M31" s="32"/>
      <c r="N31" s="32"/>
      <c r="O31" s="32"/>
      <c r="P31" s="32"/>
      <c r="Q31" s="32"/>
      <c r="R31" s="18" t="s">
        <v>1094</v>
      </c>
      <c r="S31" s="41"/>
      <c r="T31" s="41"/>
      <c r="U31" s="41"/>
      <c r="V31" s="41"/>
      <c r="W31" s="41"/>
      <c r="X31" s="41"/>
      <c r="Y31" s="18" t="s">
        <v>111</v>
      </c>
      <c r="Z31" s="34"/>
      <c r="AA31" s="23" t="s">
        <v>107</v>
      </c>
      <c r="AB31" s="24"/>
      <c r="AC31" s="36"/>
      <c r="AD31" s="25">
        <v>10</v>
      </c>
      <c r="AE31" s="37"/>
      <c r="AF31" s="37"/>
      <c r="AG31" s="37"/>
      <c r="AH31" s="37"/>
      <c r="AI31" s="37"/>
      <c r="AJ31" s="37"/>
      <c r="AK31" s="37"/>
      <c r="AL31" s="37"/>
      <c r="AM31" s="37"/>
      <c r="AN31" s="37"/>
      <c r="AO31" s="38"/>
      <c r="AP31" s="38"/>
      <c r="AQ31" s="38"/>
      <c r="AR31" s="38"/>
      <c r="AS31" s="39"/>
      <c r="AT31" s="40"/>
      <c r="AU31" s="43"/>
      <c r="AV31" s="43"/>
      <c r="AW31" s="43"/>
      <c r="AX31" s="43"/>
      <c r="AY31" s="43"/>
      <c r="AZ31" s="43"/>
      <c r="BA31" s="43"/>
      <c r="BB31" s="43"/>
      <c r="BC31" s="43"/>
      <c r="BD31" s="68"/>
    </row>
    <row r="32" spans="1:56" ht="15" customHeight="1" x14ac:dyDescent="0.3">
      <c r="A32" s="54">
        <f>IF(B32="","",COUNTA($B$8:B32))</f>
        <v>25</v>
      </c>
      <c r="B32" s="18" t="s">
        <v>114</v>
      </c>
      <c r="C32" s="19"/>
      <c r="D32" s="19"/>
      <c r="E32" s="19"/>
      <c r="F32" s="19"/>
      <c r="G32" s="19"/>
      <c r="H32" s="19"/>
      <c r="I32" s="31" t="str">
        <f>VLOOKUP(B32,Sheet1!A:B,2,FALSE)</f>
        <v>update_user_cd</v>
      </c>
      <c r="J32" s="21"/>
      <c r="K32" s="21"/>
      <c r="L32" s="21"/>
      <c r="M32" s="21"/>
      <c r="N32" s="21"/>
      <c r="O32" s="21"/>
      <c r="P32" s="21"/>
      <c r="Q32" s="21"/>
      <c r="R32" s="18" t="s">
        <v>114</v>
      </c>
      <c r="S32" s="19"/>
      <c r="T32" s="19"/>
      <c r="U32" s="19"/>
      <c r="V32" s="19"/>
      <c r="W32" s="19"/>
      <c r="X32" s="19"/>
      <c r="Y32" s="18" t="s">
        <v>111</v>
      </c>
      <c r="Z32" s="34"/>
      <c r="AA32" s="23" t="s">
        <v>107</v>
      </c>
      <c r="AB32" s="24"/>
      <c r="AC32" s="36"/>
      <c r="AD32" s="55">
        <v>10</v>
      </c>
      <c r="AE32" s="37"/>
      <c r="AF32" s="37"/>
      <c r="AG32" s="37"/>
      <c r="AH32" s="37"/>
      <c r="AI32" s="37"/>
      <c r="AJ32" s="37"/>
      <c r="AK32" s="37"/>
      <c r="AL32" s="37"/>
      <c r="AM32" s="37"/>
      <c r="AN32" s="37"/>
      <c r="AO32" s="38"/>
      <c r="AP32" s="38"/>
      <c r="AQ32" s="38"/>
      <c r="AR32" s="38"/>
      <c r="AS32" s="39"/>
      <c r="AT32" s="40"/>
      <c r="AU32" s="43"/>
      <c r="AV32" s="43"/>
      <c r="AW32" s="43"/>
      <c r="AX32" s="43"/>
      <c r="AY32" s="43"/>
      <c r="AZ32" s="43"/>
      <c r="BA32" s="43"/>
      <c r="BB32" s="43"/>
      <c r="BC32" s="43"/>
      <c r="BD32" s="68"/>
    </row>
    <row r="33" spans="1:57" ht="15" customHeight="1" x14ac:dyDescent="0.3">
      <c r="A33" s="54">
        <f>IF(B33="","",COUNTA($B$8:B33))</f>
        <v>26</v>
      </c>
      <c r="B33" s="18" t="s">
        <v>115</v>
      </c>
      <c r="C33" s="19"/>
      <c r="D33" s="19"/>
      <c r="E33" s="19"/>
      <c r="F33" s="19"/>
      <c r="G33" s="19"/>
      <c r="H33" s="19"/>
      <c r="I33" s="31" t="str">
        <f>VLOOKUP(B33,Sheet1!A:B,2,FALSE)</f>
        <v>update_datetime</v>
      </c>
      <c r="J33" s="21"/>
      <c r="K33" s="21"/>
      <c r="L33" s="21"/>
      <c r="M33" s="21"/>
      <c r="N33" s="21"/>
      <c r="O33" s="21"/>
      <c r="P33" s="21"/>
      <c r="Q33" s="21"/>
      <c r="R33" s="18" t="s">
        <v>115</v>
      </c>
      <c r="S33" s="19"/>
      <c r="T33" s="19"/>
      <c r="U33" s="19"/>
      <c r="V33" s="19"/>
      <c r="W33" s="19"/>
      <c r="X33" s="19"/>
      <c r="Y33" s="18" t="s">
        <v>87</v>
      </c>
      <c r="Z33" s="34"/>
      <c r="AA33" s="23" t="s">
        <v>109</v>
      </c>
      <c r="AB33" s="24"/>
      <c r="AC33" s="36"/>
      <c r="AD33" s="55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42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68"/>
    </row>
    <row r="34" spans="1:57" s="49" customFormat="1" ht="15" customHeight="1" x14ac:dyDescent="0.3">
      <c r="A34" s="54" t="str">
        <f>IF(B34="","",COUNTA($B$8:B34))</f>
        <v/>
      </c>
      <c r="B34" s="18"/>
      <c r="C34" s="19"/>
      <c r="D34" s="19"/>
      <c r="E34" s="19"/>
      <c r="F34" s="19"/>
      <c r="G34" s="19"/>
      <c r="H34" s="19"/>
      <c r="I34" s="20"/>
      <c r="J34" s="21"/>
      <c r="K34" s="21"/>
      <c r="L34" s="21"/>
      <c r="M34" s="21"/>
      <c r="N34" s="21"/>
      <c r="O34" s="21"/>
      <c r="P34" s="21"/>
      <c r="Q34" s="21"/>
      <c r="R34" s="18"/>
      <c r="S34" s="19"/>
      <c r="T34" s="19"/>
      <c r="U34" s="19"/>
      <c r="V34" s="19"/>
      <c r="W34" s="19"/>
      <c r="X34" s="19"/>
      <c r="Y34" s="139"/>
      <c r="Z34" s="140"/>
      <c r="AA34" s="141"/>
      <c r="AB34" s="142"/>
      <c r="AC34" s="143"/>
      <c r="AD34" s="55"/>
      <c r="AE34" s="26"/>
      <c r="AF34" s="47"/>
      <c r="AG34" s="47"/>
      <c r="AH34" s="47"/>
      <c r="AI34" s="47"/>
      <c r="AJ34" s="47"/>
      <c r="AK34" s="47"/>
      <c r="AL34" s="47"/>
      <c r="AM34" s="47"/>
      <c r="AN34" s="47"/>
      <c r="AO34" s="48"/>
      <c r="AP34" s="48"/>
      <c r="AQ34" s="48"/>
      <c r="AR34" s="48"/>
      <c r="AS34" s="28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30"/>
    </row>
    <row r="35" spans="1:57" ht="15" customHeight="1" x14ac:dyDescent="0.3">
      <c r="A35" s="54" t="str">
        <f>IF(B35="","",COUNTA($B$8:B35))</f>
        <v/>
      </c>
      <c r="B35" s="42"/>
      <c r="C35" s="41"/>
      <c r="D35" s="41"/>
      <c r="E35" s="41"/>
      <c r="F35" s="41"/>
      <c r="G35" s="41"/>
      <c r="H35" s="41"/>
      <c r="I35" s="31"/>
      <c r="J35" s="32"/>
      <c r="K35" s="32"/>
      <c r="L35" s="32"/>
      <c r="M35" s="32"/>
      <c r="N35" s="32"/>
      <c r="O35" s="32"/>
      <c r="P35" s="32"/>
      <c r="Q35" s="32"/>
      <c r="R35" s="42"/>
      <c r="S35" s="41"/>
      <c r="T35" s="41"/>
      <c r="U35" s="41"/>
      <c r="V35" s="41"/>
      <c r="W35" s="41"/>
      <c r="X35" s="41"/>
      <c r="Y35" s="139"/>
      <c r="Z35" s="140"/>
      <c r="AA35" s="141"/>
      <c r="AB35" s="142"/>
      <c r="AC35" s="143"/>
      <c r="AD35" s="72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42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68"/>
    </row>
    <row r="36" spans="1:57" ht="15" customHeight="1" x14ac:dyDescent="0.3">
      <c r="A36" s="54" t="str">
        <f>IF(B36="","",COUNTA($B$8:B36))</f>
        <v/>
      </c>
      <c r="B36" s="42"/>
      <c r="C36" s="41"/>
      <c r="D36" s="41"/>
      <c r="E36" s="41"/>
      <c r="F36" s="41"/>
      <c r="G36" s="41"/>
      <c r="H36" s="41"/>
      <c r="I36" s="31"/>
      <c r="J36" s="32"/>
      <c r="K36" s="32"/>
      <c r="L36" s="32"/>
      <c r="M36" s="32"/>
      <c r="N36" s="32"/>
      <c r="O36" s="32"/>
      <c r="P36" s="32"/>
      <c r="Q36" s="32"/>
      <c r="R36" s="42"/>
      <c r="S36" s="41"/>
      <c r="T36" s="41"/>
      <c r="U36" s="41"/>
      <c r="V36" s="41"/>
      <c r="W36" s="41"/>
      <c r="X36" s="41"/>
      <c r="Y36" s="139"/>
      <c r="Z36" s="140"/>
      <c r="AA36" s="141"/>
      <c r="AB36" s="142"/>
      <c r="AC36" s="143"/>
      <c r="AD36" s="72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50"/>
      <c r="AT36" s="51"/>
      <c r="AU36" s="51"/>
      <c r="AV36" s="51"/>
      <c r="AW36" s="51"/>
      <c r="AX36" s="51"/>
      <c r="AY36" s="51"/>
      <c r="AZ36" s="51"/>
      <c r="BA36" s="51"/>
      <c r="BB36" s="51"/>
      <c r="BC36" s="51"/>
      <c r="BD36" s="52"/>
      <c r="BE36" s="53"/>
    </row>
    <row r="37" spans="1:57" ht="15" customHeight="1" x14ac:dyDescent="0.3">
      <c r="A37" s="54" t="str">
        <f>IF(B37="","",COUNTA($B$8:B37))</f>
        <v/>
      </c>
      <c r="B37" s="42"/>
      <c r="C37" s="41"/>
      <c r="D37" s="41"/>
      <c r="E37" s="41"/>
      <c r="F37" s="41"/>
      <c r="G37" s="41"/>
      <c r="H37" s="41"/>
      <c r="I37" s="31"/>
      <c r="J37" s="32"/>
      <c r="K37" s="32"/>
      <c r="L37" s="32"/>
      <c r="M37" s="32"/>
      <c r="N37" s="32"/>
      <c r="O37" s="32"/>
      <c r="P37" s="32"/>
      <c r="Q37" s="32"/>
      <c r="R37" s="42"/>
      <c r="S37" s="41"/>
      <c r="T37" s="41"/>
      <c r="U37" s="41"/>
      <c r="V37" s="41"/>
      <c r="W37" s="41"/>
      <c r="X37" s="41"/>
      <c r="Y37" s="139"/>
      <c r="Z37" s="140"/>
      <c r="AA37" s="141"/>
      <c r="AB37" s="142"/>
      <c r="AC37" s="143"/>
      <c r="AD37" s="72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50"/>
      <c r="AT37" s="51"/>
      <c r="AU37" s="51"/>
      <c r="AV37" s="51"/>
      <c r="AW37" s="51"/>
      <c r="AX37" s="51"/>
      <c r="AY37" s="51"/>
      <c r="AZ37" s="51"/>
      <c r="BA37" s="51"/>
      <c r="BB37" s="51"/>
      <c r="BC37" s="51"/>
      <c r="BD37" s="52"/>
      <c r="BE37" s="53"/>
    </row>
    <row r="38" spans="1:57" ht="15" customHeight="1" x14ac:dyDescent="0.3">
      <c r="A38" s="54" t="str">
        <f>IF(B38="","",COUNTA($B$8:B38))</f>
        <v/>
      </c>
      <c r="B38" s="42"/>
      <c r="C38" s="41"/>
      <c r="D38" s="41"/>
      <c r="E38" s="41"/>
      <c r="F38" s="41"/>
      <c r="G38" s="41"/>
      <c r="H38" s="41"/>
      <c r="I38" s="31"/>
      <c r="J38" s="32"/>
      <c r="K38" s="32"/>
      <c r="L38" s="32"/>
      <c r="M38" s="32"/>
      <c r="N38" s="32"/>
      <c r="O38" s="32"/>
      <c r="P38" s="32"/>
      <c r="Q38" s="32"/>
      <c r="R38" s="42"/>
      <c r="S38" s="41"/>
      <c r="T38" s="41"/>
      <c r="U38" s="41"/>
      <c r="V38" s="41"/>
      <c r="W38" s="41"/>
      <c r="X38" s="41"/>
      <c r="Y38" s="139"/>
      <c r="Z38" s="140"/>
      <c r="AA38" s="141"/>
      <c r="AB38" s="142"/>
      <c r="AC38" s="143"/>
      <c r="AD38" s="72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50"/>
      <c r="AT38" s="51"/>
      <c r="AU38" s="51"/>
      <c r="AV38" s="51"/>
      <c r="AW38" s="51"/>
      <c r="AX38" s="51"/>
      <c r="AY38" s="51"/>
      <c r="AZ38" s="51"/>
      <c r="BA38" s="51"/>
      <c r="BB38" s="51"/>
      <c r="BC38" s="51"/>
      <c r="BD38" s="52"/>
      <c r="BE38" s="53"/>
    </row>
    <row r="39" spans="1:57" ht="15" customHeight="1" x14ac:dyDescent="0.3">
      <c r="A39" s="54" t="str">
        <f>IF(B39="","",COUNTA($B$8:B39))</f>
        <v/>
      </c>
      <c r="B39" s="42"/>
      <c r="C39" s="41"/>
      <c r="D39" s="41"/>
      <c r="E39" s="41"/>
      <c r="F39" s="41"/>
      <c r="G39" s="41"/>
      <c r="H39" s="41"/>
      <c r="I39" s="31"/>
      <c r="J39" s="32"/>
      <c r="K39" s="32"/>
      <c r="L39" s="32"/>
      <c r="M39" s="32"/>
      <c r="N39" s="32"/>
      <c r="O39" s="32"/>
      <c r="P39" s="32"/>
      <c r="Q39" s="32"/>
      <c r="R39" s="42"/>
      <c r="S39" s="41"/>
      <c r="T39" s="41"/>
      <c r="U39" s="41"/>
      <c r="V39" s="41"/>
      <c r="W39" s="41"/>
      <c r="X39" s="41"/>
      <c r="Y39" s="139"/>
      <c r="Z39" s="140"/>
      <c r="AA39" s="141"/>
      <c r="AB39" s="142"/>
      <c r="AC39" s="143"/>
      <c r="AD39" s="72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50"/>
      <c r="AT39" s="51"/>
      <c r="AU39" s="51"/>
      <c r="AV39" s="51"/>
      <c r="AW39" s="51"/>
      <c r="AX39" s="51"/>
      <c r="AY39" s="51"/>
      <c r="AZ39" s="51"/>
      <c r="BA39" s="51"/>
      <c r="BB39" s="51"/>
      <c r="BC39" s="51"/>
      <c r="BD39" s="52"/>
      <c r="BE39" s="53"/>
    </row>
    <row r="40" spans="1:57" ht="15" customHeight="1" x14ac:dyDescent="0.3">
      <c r="A40" s="54" t="str">
        <f>IF(B40="","",COUNTA($B$8:B40))</f>
        <v/>
      </c>
      <c r="B40" s="42"/>
      <c r="C40" s="41"/>
      <c r="D40" s="41"/>
      <c r="E40" s="41"/>
      <c r="F40" s="41"/>
      <c r="G40" s="41"/>
      <c r="H40" s="41"/>
      <c r="I40" s="31"/>
      <c r="J40" s="32"/>
      <c r="K40" s="32"/>
      <c r="L40" s="32"/>
      <c r="M40" s="32"/>
      <c r="N40" s="32"/>
      <c r="O40" s="32"/>
      <c r="P40" s="32"/>
      <c r="Q40" s="32"/>
      <c r="R40" s="42"/>
      <c r="S40" s="41"/>
      <c r="T40" s="41"/>
      <c r="U40" s="41"/>
      <c r="V40" s="41"/>
      <c r="W40" s="41"/>
      <c r="X40" s="41"/>
      <c r="Y40" s="139"/>
      <c r="Z40" s="140"/>
      <c r="AA40" s="141"/>
      <c r="AB40" s="142"/>
      <c r="AC40" s="143"/>
      <c r="AD40" s="72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50"/>
      <c r="AT40" s="51"/>
      <c r="AU40" s="51"/>
      <c r="AV40" s="51"/>
      <c r="AW40" s="51"/>
      <c r="AX40" s="51"/>
      <c r="AY40" s="51"/>
      <c r="AZ40" s="51"/>
      <c r="BA40" s="51"/>
      <c r="BB40" s="51"/>
      <c r="BC40" s="51"/>
      <c r="BD40" s="52"/>
      <c r="BE40" s="53"/>
    </row>
    <row r="41" spans="1:57" ht="15" customHeight="1" x14ac:dyDescent="0.3">
      <c r="A41" s="54" t="str">
        <f>IF(B41="","",COUNTA($B$8:B41))</f>
        <v/>
      </c>
      <c r="B41" s="42"/>
      <c r="C41" s="41"/>
      <c r="D41" s="41"/>
      <c r="E41" s="41"/>
      <c r="F41" s="41"/>
      <c r="G41" s="41"/>
      <c r="H41" s="41"/>
      <c r="I41" s="31"/>
      <c r="J41" s="32"/>
      <c r="K41" s="32"/>
      <c r="L41" s="32"/>
      <c r="M41" s="32"/>
      <c r="N41" s="32"/>
      <c r="O41" s="32"/>
      <c r="P41" s="32"/>
      <c r="Q41" s="32"/>
      <c r="R41" s="42"/>
      <c r="S41" s="41"/>
      <c r="T41" s="41"/>
      <c r="U41" s="41"/>
      <c r="V41" s="41"/>
      <c r="W41" s="41"/>
      <c r="X41" s="41"/>
      <c r="Y41" s="139"/>
      <c r="Z41" s="140"/>
      <c r="AA41" s="141"/>
      <c r="AB41" s="142"/>
      <c r="AC41" s="143"/>
      <c r="AD41" s="72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50"/>
      <c r="AT41" s="51"/>
      <c r="AU41" s="51"/>
      <c r="AV41" s="51"/>
      <c r="AW41" s="51"/>
      <c r="AX41" s="51"/>
      <c r="AY41" s="51"/>
      <c r="AZ41" s="51"/>
      <c r="BA41" s="51"/>
      <c r="BB41" s="51"/>
      <c r="BC41" s="51"/>
      <c r="BD41" s="52"/>
      <c r="BE41" s="53"/>
    </row>
    <row r="42" spans="1:57" ht="15" customHeight="1" x14ac:dyDescent="0.3">
      <c r="A42" s="54" t="str">
        <f>IF(B42="","",COUNTA($B$8:B42))</f>
        <v/>
      </c>
      <c r="B42" s="42"/>
      <c r="C42" s="41"/>
      <c r="D42" s="41"/>
      <c r="E42" s="41"/>
      <c r="F42" s="41"/>
      <c r="G42" s="41"/>
      <c r="H42" s="41"/>
      <c r="I42" s="31"/>
      <c r="J42" s="32"/>
      <c r="K42" s="32"/>
      <c r="L42" s="32"/>
      <c r="M42" s="32"/>
      <c r="N42" s="32"/>
      <c r="O42" s="32"/>
      <c r="P42" s="32"/>
      <c r="Q42" s="32"/>
      <c r="R42" s="42"/>
      <c r="S42" s="41"/>
      <c r="T42" s="41"/>
      <c r="U42" s="41"/>
      <c r="V42" s="41"/>
      <c r="W42" s="41"/>
      <c r="X42" s="41"/>
      <c r="Y42" s="139"/>
      <c r="Z42" s="140"/>
      <c r="AA42" s="141"/>
      <c r="AB42" s="142"/>
      <c r="AC42" s="143"/>
      <c r="AD42" s="72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50"/>
      <c r="AT42" s="51"/>
      <c r="AU42" s="51"/>
      <c r="AV42" s="51"/>
      <c r="AW42" s="51"/>
      <c r="AX42" s="51"/>
      <c r="AY42" s="51"/>
      <c r="AZ42" s="51"/>
      <c r="BA42" s="51"/>
      <c r="BB42" s="51"/>
      <c r="BC42" s="51"/>
      <c r="BD42" s="52"/>
      <c r="BE42" s="53"/>
    </row>
    <row r="43" spans="1:57" ht="15" customHeight="1" x14ac:dyDescent="0.3">
      <c r="A43" s="54" t="str">
        <f>IF(B43="","",COUNTA($B$8:B43))</f>
        <v/>
      </c>
      <c r="B43" s="42"/>
      <c r="C43" s="41"/>
      <c r="D43" s="41"/>
      <c r="E43" s="41"/>
      <c r="F43" s="41"/>
      <c r="G43" s="41"/>
      <c r="H43" s="41"/>
      <c r="I43" s="31"/>
      <c r="J43" s="32"/>
      <c r="K43" s="32"/>
      <c r="L43" s="32"/>
      <c r="M43" s="32"/>
      <c r="N43" s="32"/>
      <c r="O43" s="32"/>
      <c r="P43" s="32"/>
      <c r="Q43" s="32"/>
      <c r="R43" s="42"/>
      <c r="S43" s="41"/>
      <c r="T43" s="41"/>
      <c r="U43" s="41"/>
      <c r="V43" s="41"/>
      <c r="W43" s="41"/>
      <c r="X43" s="41"/>
      <c r="Y43" s="139"/>
      <c r="Z43" s="140"/>
      <c r="AA43" s="141"/>
      <c r="AB43" s="142"/>
      <c r="AC43" s="143"/>
      <c r="AD43" s="72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50"/>
      <c r="AT43" s="51"/>
      <c r="AU43" s="51"/>
      <c r="AV43" s="51"/>
      <c r="AW43" s="51"/>
      <c r="AX43" s="51"/>
      <c r="AY43" s="51"/>
      <c r="AZ43" s="51"/>
      <c r="BA43" s="51"/>
      <c r="BB43" s="51"/>
      <c r="BC43" s="51"/>
      <c r="BD43" s="52"/>
      <c r="BE43" s="53"/>
    </row>
    <row r="44" spans="1:57" ht="15" customHeight="1" x14ac:dyDescent="0.3">
      <c r="A44" s="54" t="str">
        <f>IF(B44="","",COUNTA($B$8:B44))</f>
        <v/>
      </c>
      <c r="B44" s="28"/>
      <c r="C44" s="41"/>
      <c r="D44" s="41"/>
      <c r="E44" s="41"/>
      <c r="F44" s="41"/>
      <c r="G44" s="41"/>
      <c r="H44" s="41"/>
      <c r="I44" s="20"/>
      <c r="J44" s="32"/>
      <c r="K44" s="32"/>
      <c r="L44" s="32"/>
      <c r="M44" s="32"/>
      <c r="N44" s="32"/>
      <c r="O44" s="32"/>
      <c r="P44" s="32"/>
      <c r="Q44" s="32"/>
      <c r="R44" s="28"/>
      <c r="S44" s="41"/>
      <c r="T44" s="41"/>
      <c r="U44" s="41"/>
      <c r="V44" s="41"/>
      <c r="W44" s="41"/>
      <c r="X44" s="41"/>
      <c r="Y44" s="139"/>
      <c r="Z44" s="140"/>
      <c r="AA44" s="141"/>
      <c r="AB44" s="142"/>
      <c r="AC44" s="143"/>
      <c r="AD44" s="55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8"/>
      <c r="AT44" s="69"/>
      <c r="AU44" s="69"/>
      <c r="AV44" s="69"/>
      <c r="AW44" s="69"/>
      <c r="AX44" s="69"/>
      <c r="AY44" s="69"/>
      <c r="AZ44" s="69"/>
      <c r="BA44" s="69"/>
      <c r="BB44" s="69"/>
      <c r="BC44" s="69"/>
      <c r="BD44" s="70"/>
    </row>
  </sheetData>
  <mergeCells count="92">
    <mergeCell ref="I1:Q1"/>
    <mergeCell ref="R1:X1"/>
    <mergeCell ref="Y1:AO1"/>
    <mergeCell ref="AP1:AT1"/>
    <mergeCell ref="AU1:AY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AP4:AT4"/>
    <mergeCell ref="AH6:AH7"/>
    <mergeCell ref="AI6:AR6"/>
    <mergeCell ref="AS6:BD7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U4:AY4"/>
    <mergeCell ref="AZ1:BD1"/>
    <mergeCell ref="Y9:Z9"/>
    <mergeCell ref="AA9:AC9"/>
    <mergeCell ref="Y8:Z8"/>
    <mergeCell ref="AA8:AC8"/>
    <mergeCell ref="AG6:AG7"/>
    <mergeCell ref="Y11:Z11"/>
    <mergeCell ref="AA11:AC11"/>
    <mergeCell ref="Y12:Z12"/>
    <mergeCell ref="AA12:AC12"/>
    <mergeCell ref="Y10:Z10"/>
    <mergeCell ref="AA10:AC10"/>
    <mergeCell ref="Y14:Z14"/>
    <mergeCell ref="AA14:AC14"/>
    <mergeCell ref="Y16:Z16"/>
    <mergeCell ref="AA16:AC16"/>
    <mergeCell ref="Y17:Z17"/>
    <mergeCell ref="AA17:AC17"/>
    <mergeCell ref="Y20:Z20"/>
    <mergeCell ref="AA20:AC20"/>
    <mergeCell ref="Y21:Z21"/>
    <mergeCell ref="AA21:AC21"/>
    <mergeCell ref="Y18:Z18"/>
    <mergeCell ref="AA18:AC18"/>
    <mergeCell ref="Y19:Z19"/>
    <mergeCell ref="AA19:AC19"/>
    <mergeCell ref="Y25:Z25"/>
    <mergeCell ref="AA25:AC25"/>
    <mergeCell ref="Y22:Z22"/>
    <mergeCell ref="AA22:AC22"/>
    <mergeCell ref="Y23:Z23"/>
    <mergeCell ref="AA23:AC23"/>
    <mergeCell ref="Y24:Z24"/>
    <mergeCell ref="AA24:AC24"/>
    <mergeCell ref="Y36:Z36"/>
    <mergeCell ref="AA36:AC36"/>
    <mergeCell ref="Y44:Z44"/>
    <mergeCell ref="AA44:AC44"/>
    <mergeCell ref="Y13:Z13"/>
    <mergeCell ref="AA13:AC13"/>
    <mergeCell ref="Y15:Z15"/>
    <mergeCell ref="AA15:AC15"/>
    <mergeCell ref="Y37:Z37"/>
    <mergeCell ref="AA37:AC37"/>
    <mergeCell ref="Y26:Z26"/>
    <mergeCell ref="AA26:AC26"/>
    <mergeCell ref="Y34:Z34"/>
    <mergeCell ref="AA34:AC34"/>
    <mergeCell ref="Y35:Z35"/>
    <mergeCell ref="AA35:AC35"/>
    <mergeCell ref="Y38:Z38"/>
    <mergeCell ref="AA38:AC38"/>
    <mergeCell ref="Y39:Z39"/>
    <mergeCell ref="AA39:AC39"/>
    <mergeCell ref="Y40:Z40"/>
    <mergeCell ref="AA40:AC40"/>
    <mergeCell ref="Y41:Z41"/>
    <mergeCell ref="AA41:AC41"/>
    <mergeCell ref="Y42:Z42"/>
    <mergeCell ref="AA42:AC42"/>
    <mergeCell ref="Y43:Z43"/>
    <mergeCell ref="AA43:AC43"/>
  </mergeCells>
  <phoneticPr fontId="4"/>
  <dataValidations count="3">
    <dataValidation type="list" allowBlank="1" showInputMessage="1" showErrorMessage="1" sqref="AA8:AA25 AA26:AC27 AA28:AA44" xr:uid="{00000000-0002-0000-0E00-000000000000}">
      <formula1>"datetime,int,numeric,varchar,nvarchar"</formula1>
    </dataValidation>
    <dataValidation imeMode="hiragana" allowBlank="1" showInputMessage="1" showErrorMessage="1" sqref="JG65519:JR65521 TC65519:TN65521 ACY65519:ADJ65521 AMU65519:ANF65521 AWQ65519:AXB65521 BGM65519:BGX65521 BQI65519:BQT65521 CAE65519:CAP65521 CKA65519:CKL65521 CTW65519:CUH65521 DDS65519:DED65521 DNO65519:DNZ65521 DXK65519:DXV65521 EHG65519:EHR65521 ERC65519:ERN65521 FAY65519:FBJ65521 FKU65519:FLF65521 FUQ65519:FVB65521 GEM65519:GEX65521 GOI65519:GOT65521 GYE65519:GYP65521 HIA65519:HIL65521 HRW65519:HSH65521 IBS65519:ICD65521 ILO65519:ILZ65521 IVK65519:IVV65521 JFG65519:JFR65521 JPC65519:JPN65521 JYY65519:JZJ65521 KIU65519:KJF65521 KSQ65519:KTB65521 LCM65519:LCX65521 LMI65519:LMT65521 LWE65519:LWP65521 MGA65519:MGL65521 MPW65519:MQH65521 MZS65519:NAD65521 NJO65519:NJZ65521 NTK65519:NTV65521 ODG65519:ODR65521 ONC65519:ONN65521 OWY65519:OXJ65521 PGU65519:PHF65521 PQQ65519:PRB65521 QAM65519:QAX65521 QKI65519:QKT65521 QUE65519:QUP65521 REA65519:REL65521 RNW65519:ROH65521 RXS65519:RYD65521 SHO65519:SHZ65521 SRK65519:SRV65521 TBG65519:TBR65521 TLC65519:TLN65521 TUY65519:TVJ65521 UEU65519:UFF65521 UOQ65519:UPB65521 UYM65519:UYX65521 VII65519:VIT65521 VSE65519:VSP65521 WCA65519:WCL65521 WLW65519:WMH65521 WVS65519:WWD65521 JG131055:JR131057 TC131055:TN131057 ACY131055:ADJ131057 AMU131055:ANF131057 AWQ131055:AXB131057 BGM131055:BGX131057 BQI131055:BQT131057 CAE131055:CAP131057 CKA131055:CKL131057 CTW131055:CUH131057 DDS131055:DED131057 DNO131055:DNZ131057 DXK131055:DXV131057 EHG131055:EHR131057 ERC131055:ERN131057 FAY131055:FBJ131057 FKU131055:FLF131057 FUQ131055:FVB131057 GEM131055:GEX131057 GOI131055:GOT131057 GYE131055:GYP131057 HIA131055:HIL131057 HRW131055:HSH131057 IBS131055:ICD131057 ILO131055:ILZ131057 IVK131055:IVV131057 JFG131055:JFR131057 JPC131055:JPN131057 JYY131055:JZJ131057 KIU131055:KJF131057 KSQ131055:KTB131057 LCM131055:LCX131057 LMI131055:LMT131057 LWE131055:LWP131057 MGA131055:MGL131057 MPW131055:MQH131057 MZS131055:NAD131057 NJO131055:NJZ131057 NTK131055:NTV131057 ODG131055:ODR131057 ONC131055:ONN131057 OWY131055:OXJ131057 PGU131055:PHF131057 PQQ131055:PRB131057 QAM131055:QAX131057 QKI131055:QKT131057 QUE131055:QUP131057 REA131055:REL131057 RNW131055:ROH131057 RXS131055:RYD131057 SHO131055:SHZ131057 SRK131055:SRV131057 TBG131055:TBR131057 TLC131055:TLN131057 TUY131055:TVJ131057 UEU131055:UFF131057 UOQ131055:UPB131057 UYM131055:UYX131057 VII131055:VIT131057 VSE131055:VSP131057 WCA131055:WCL131057 WLW131055:WMH131057 WVS131055:WWD131057 JG196591:JR196593 TC196591:TN196593 ACY196591:ADJ196593 AMU196591:ANF196593 AWQ196591:AXB196593 BGM196591:BGX196593 BQI196591:BQT196593 CAE196591:CAP196593 CKA196591:CKL196593 CTW196591:CUH196593 DDS196591:DED196593 DNO196591:DNZ196593 DXK196591:DXV196593 EHG196591:EHR196593 ERC196591:ERN196593 FAY196591:FBJ196593 FKU196591:FLF196593 FUQ196591:FVB196593 GEM196591:GEX196593 GOI196591:GOT196593 GYE196591:GYP196593 HIA196591:HIL196593 HRW196591:HSH196593 IBS196591:ICD196593 ILO196591:ILZ196593 IVK196591:IVV196593 JFG196591:JFR196593 JPC196591:JPN196593 JYY196591:JZJ196593 KIU196591:KJF196593 KSQ196591:KTB196593 LCM196591:LCX196593 LMI196591:LMT196593 LWE196591:LWP196593 MGA196591:MGL196593 MPW196591:MQH196593 MZS196591:NAD196593 NJO196591:NJZ196593 NTK196591:NTV196593 ODG196591:ODR196593 ONC196591:ONN196593 OWY196591:OXJ196593 PGU196591:PHF196593 PQQ196591:PRB196593 QAM196591:QAX196593 QKI196591:QKT196593 QUE196591:QUP196593 REA196591:REL196593 RNW196591:ROH196593 RXS196591:RYD196593 SHO196591:SHZ196593 SRK196591:SRV196593 TBG196591:TBR196593 TLC196591:TLN196593 TUY196591:TVJ196593 UEU196591:UFF196593 UOQ196591:UPB196593 UYM196591:UYX196593 VII196591:VIT196593 VSE196591:VSP196593 WCA196591:WCL196593 WLW196591:WMH196593 WVS196591:WWD196593 JG262127:JR262129 TC262127:TN262129 ACY262127:ADJ262129 AMU262127:ANF262129 AWQ262127:AXB262129 BGM262127:BGX262129 BQI262127:BQT262129 CAE262127:CAP262129 CKA262127:CKL262129 CTW262127:CUH262129 DDS262127:DED262129 DNO262127:DNZ262129 DXK262127:DXV262129 EHG262127:EHR262129 ERC262127:ERN262129 FAY262127:FBJ262129 FKU262127:FLF262129 FUQ262127:FVB262129 GEM262127:GEX262129 GOI262127:GOT262129 GYE262127:GYP262129 HIA262127:HIL262129 HRW262127:HSH262129 IBS262127:ICD262129 ILO262127:ILZ262129 IVK262127:IVV262129 JFG262127:JFR262129 JPC262127:JPN262129 JYY262127:JZJ262129 KIU262127:KJF262129 KSQ262127:KTB262129 LCM262127:LCX262129 LMI262127:LMT262129 LWE262127:LWP262129 MGA262127:MGL262129 MPW262127:MQH262129 MZS262127:NAD262129 NJO262127:NJZ262129 NTK262127:NTV262129 ODG262127:ODR262129 ONC262127:ONN262129 OWY262127:OXJ262129 PGU262127:PHF262129 PQQ262127:PRB262129 QAM262127:QAX262129 QKI262127:QKT262129 QUE262127:QUP262129 REA262127:REL262129 RNW262127:ROH262129 RXS262127:RYD262129 SHO262127:SHZ262129 SRK262127:SRV262129 TBG262127:TBR262129 TLC262127:TLN262129 TUY262127:TVJ262129 UEU262127:UFF262129 UOQ262127:UPB262129 UYM262127:UYX262129 VII262127:VIT262129 VSE262127:VSP262129 WCA262127:WCL262129 WLW262127:WMH262129 WVS262127:WWD262129 JG327663:JR327665 TC327663:TN327665 ACY327663:ADJ327665 AMU327663:ANF327665 AWQ327663:AXB327665 BGM327663:BGX327665 BQI327663:BQT327665 CAE327663:CAP327665 CKA327663:CKL327665 CTW327663:CUH327665 DDS327663:DED327665 DNO327663:DNZ327665 DXK327663:DXV327665 EHG327663:EHR327665 ERC327663:ERN327665 FAY327663:FBJ327665 FKU327663:FLF327665 FUQ327663:FVB327665 GEM327663:GEX327665 GOI327663:GOT327665 GYE327663:GYP327665 HIA327663:HIL327665 HRW327663:HSH327665 IBS327663:ICD327665 ILO327663:ILZ327665 IVK327663:IVV327665 JFG327663:JFR327665 JPC327663:JPN327665 JYY327663:JZJ327665 KIU327663:KJF327665 KSQ327663:KTB327665 LCM327663:LCX327665 LMI327663:LMT327665 LWE327663:LWP327665 MGA327663:MGL327665 MPW327663:MQH327665 MZS327663:NAD327665 NJO327663:NJZ327665 NTK327663:NTV327665 ODG327663:ODR327665 ONC327663:ONN327665 OWY327663:OXJ327665 PGU327663:PHF327665 PQQ327663:PRB327665 QAM327663:QAX327665 QKI327663:QKT327665 QUE327663:QUP327665 REA327663:REL327665 RNW327663:ROH327665 RXS327663:RYD327665 SHO327663:SHZ327665 SRK327663:SRV327665 TBG327663:TBR327665 TLC327663:TLN327665 TUY327663:TVJ327665 UEU327663:UFF327665 UOQ327663:UPB327665 UYM327663:UYX327665 VII327663:VIT327665 VSE327663:VSP327665 WCA327663:WCL327665 WLW327663:WMH327665 WVS327663:WWD327665 JG393199:JR393201 TC393199:TN393201 ACY393199:ADJ393201 AMU393199:ANF393201 AWQ393199:AXB393201 BGM393199:BGX393201 BQI393199:BQT393201 CAE393199:CAP393201 CKA393199:CKL393201 CTW393199:CUH393201 DDS393199:DED393201 DNO393199:DNZ393201 DXK393199:DXV393201 EHG393199:EHR393201 ERC393199:ERN393201 FAY393199:FBJ393201 FKU393199:FLF393201 FUQ393199:FVB393201 GEM393199:GEX393201 GOI393199:GOT393201 GYE393199:GYP393201 HIA393199:HIL393201 HRW393199:HSH393201 IBS393199:ICD393201 ILO393199:ILZ393201 IVK393199:IVV393201 JFG393199:JFR393201 JPC393199:JPN393201 JYY393199:JZJ393201 KIU393199:KJF393201 KSQ393199:KTB393201 LCM393199:LCX393201 LMI393199:LMT393201 LWE393199:LWP393201 MGA393199:MGL393201 MPW393199:MQH393201 MZS393199:NAD393201 NJO393199:NJZ393201 NTK393199:NTV393201 ODG393199:ODR393201 ONC393199:ONN393201 OWY393199:OXJ393201 PGU393199:PHF393201 PQQ393199:PRB393201 QAM393199:QAX393201 QKI393199:QKT393201 QUE393199:QUP393201 REA393199:REL393201 RNW393199:ROH393201 RXS393199:RYD393201 SHO393199:SHZ393201 SRK393199:SRV393201 TBG393199:TBR393201 TLC393199:TLN393201 TUY393199:TVJ393201 UEU393199:UFF393201 UOQ393199:UPB393201 UYM393199:UYX393201 VII393199:VIT393201 VSE393199:VSP393201 WCA393199:WCL393201 WLW393199:WMH393201 WVS393199:WWD393201 JG458735:JR458737 TC458735:TN458737 ACY458735:ADJ458737 AMU458735:ANF458737 AWQ458735:AXB458737 BGM458735:BGX458737 BQI458735:BQT458737 CAE458735:CAP458737 CKA458735:CKL458737 CTW458735:CUH458737 DDS458735:DED458737 DNO458735:DNZ458737 DXK458735:DXV458737 EHG458735:EHR458737 ERC458735:ERN458737 FAY458735:FBJ458737 FKU458735:FLF458737 FUQ458735:FVB458737 GEM458735:GEX458737 GOI458735:GOT458737 GYE458735:GYP458737 HIA458735:HIL458737 HRW458735:HSH458737 IBS458735:ICD458737 ILO458735:ILZ458737 IVK458735:IVV458737 JFG458735:JFR458737 JPC458735:JPN458737 JYY458735:JZJ458737 KIU458735:KJF458737 KSQ458735:KTB458737 LCM458735:LCX458737 LMI458735:LMT458737 LWE458735:LWP458737 MGA458735:MGL458737 MPW458735:MQH458737 MZS458735:NAD458737 NJO458735:NJZ458737 NTK458735:NTV458737 ODG458735:ODR458737 ONC458735:ONN458737 OWY458735:OXJ458737 PGU458735:PHF458737 PQQ458735:PRB458737 QAM458735:QAX458737 QKI458735:QKT458737 QUE458735:QUP458737 REA458735:REL458737 RNW458735:ROH458737 RXS458735:RYD458737 SHO458735:SHZ458737 SRK458735:SRV458737 TBG458735:TBR458737 TLC458735:TLN458737 TUY458735:TVJ458737 UEU458735:UFF458737 UOQ458735:UPB458737 UYM458735:UYX458737 VII458735:VIT458737 VSE458735:VSP458737 WCA458735:WCL458737 WLW458735:WMH458737 WVS458735:WWD458737 JG524271:JR524273 TC524271:TN524273 ACY524271:ADJ524273 AMU524271:ANF524273 AWQ524271:AXB524273 BGM524271:BGX524273 BQI524271:BQT524273 CAE524271:CAP524273 CKA524271:CKL524273 CTW524271:CUH524273 DDS524271:DED524273 DNO524271:DNZ524273 DXK524271:DXV524273 EHG524271:EHR524273 ERC524271:ERN524273 FAY524271:FBJ524273 FKU524271:FLF524273 FUQ524271:FVB524273 GEM524271:GEX524273 GOI524271:GOT524273 GYE524271:GYP524273 HIA524271:HIL524273 HRW524271:HSH524273 IBS524271:ICD524273 ILO524271:ILZ524273 IVK524271:IVV524273 JFG524271:JFR524273 JPC524271:JPN524273 JYY524271:JZJ524273 KIU524271:KJF524273 KSQ524271:KTB524273 LCM524271:LCX524273 LMI524271:LMT524273 LWE524271:LWP524273 MGA524271:MGL524273 MPW524271:MQH524273 MZS524271:NAD524273 NJO524271:NJZ524273 NTK524271:NTV524273 ODG524271:ODR524273 ONC524271:ONN524273 OWY524271:OXJ524273 PGU524271:PHF524273 PQQ524271:PRB524273 QAM524271:QAX524273 QKI524271:QKT524273 QUE524271:QUP524273 REA524271:REL524273 RNW524271:ROH524273 RXS524271:RYD524273 SHO524271:SHZ524273 SRK524271:SRV524273 TBG524271:TBR524273 TLC524271:TLN524273 TUY524271:TVJ524273 UEU524271:UFF524273 UOQ524271:UPB524273 UYM524271:UYX524273 VII524271:VIT524273 VSE524271:VSP524273 WCA524271:WCL524273 WLW524271:WMH524273 WVS524271:WWD524273 JG589807:JR589809 TC589807:TN589809 ACY589807:ADJ589809 AMU589807:ANF589809 AWQ589807:AXB589809 BGM589807:BGX589809 BQI589807:BQT589809 CAE589807:CAP589809 CKA589807:CKL589809 CTW589807:CUH589809 DDS589807:DED589809 DNO589807:DNZ589809 DXK589807:DXV589809 EHG589807:EHR589809 ERC589807:ERN589809 FAY589807:FBJ589809 FKU589807:FLF589809 FUQ589807:FVB589809 GEM589807:GEX589809 GOI589807:GOT589809 GYE589807:GYP589809 HIA589807:HIL589809 HRW589807:HSH589809 IBS589807:ICD589809 ILO589807:ILZ589809 IVK589807:IVV589809 JFG589807:JFR589809 JPC589807:JPN589809 JYY589807:JZJ589809 KIU589807:KJF589809 KSQ589807:KTB589809 LCM589807:LCX589809 LMI589807:LMT589809 LWE589807:LWP589809 MGA589807:MGL589809 MPW589807:MQH589809 MZS589807:NAD589809 NJO589807:NJZ589809 NTK589807:NTV589809 ODG589807:ODR589809 ONC589807:ONN589809 OWY589807:OXJ589809 PGU589807:PHF589809 PQQ589807:PRB589809 QAM589807:QAX589809 QKI589807:QKT589809 QUE589807:QUP589809 REA589807:REL589809 RNW589807:ROH589809 RXS589807:RYD589809 SHO589807:SHZ589809 SRK589807:SRV589809 TBG589807:TBR589809 TLC589807:TLN589809 TUY589807:TVJ589809 UEU589807:UFF589809 UOQ589807:UPB589809 UYM589807:UYX589809 VII589807:VIT589809 VSE589807:VSP589809 WCA589807:WCL589809 WLW589807:WMH589809 WVS589807:WWD589809 JG655343:JR655345 TC655343:TN655345 ACY655343:ADJ655345 AMU655343:ANF655345 AWQ655343:AXB655345 BGM655343:BGX655345 BQI655343:BQT655345 CAE655343:CAP655345 CKA655343:CKL655345 CTW655343:CUH655345 DDS655343:DED655345 DNO655343:DNZ655345 DXK655343:DXV655345 EHG655343:EHR655345 ERC655343:ERN655345 FAY655343:FBJ655345 FKU655343:FLF655345 FUQ655343:FVB655345 GEM655343:GEX655345 GOI655343:GOT655345 GYE655343:GYP655345 HIA655343:HIL655345 HRW655343:HSH655345 IBS655343:ICD655345 ILO655343:ILZ655345 IVK655343:IVV655345 JFG655343:JFR655345 JPC655343:JPN655345 JYY655343:JZJ655345 KIU655343:KJF655345 KSQ655343:KTB655345 LCM655343:LCX655345 LMI655343:LMT655345 LWE655343:LWP655345 MGA655343:MGL655345 MPW655343:MQH655345 MZS655343:NAD655345 NJO655343:NJZ655345 NTK655343:NTV655345 ODG655343:ODR655345 ONC655343:ONN655345 OWY655343:OXJ655345 PGU655343:PHF655345 PQQ655343:PRB655345 QAM655343:QAX655345 QKI655343:QKT655345 QUE655343:QUP655345 REA655343:REL655345 RNW655343:ROH655345 RXS655343:RYD655345 SHO655343:SHZ655345 SRK655343:SRV655345 TBG655343:TBR655345 TLC655343:TLN655345 TUY655343:TVJ655345 UEU655343:UFF655345 UOQ655343:UPB655345 UYM655343:UYX655345 VII655343:VIT655345 VSE655343:VSP655345 WCA655343:WCL655345 WLW655343:WMH655345 WVS655343:WWD655345 JG720879:JR720881 TC720879:TN720881 ACY720879:ADJ720881 AMU720879:ANF720881 AWQ720879:AXB720881 BGM720879:BGX720881 BQI720879:BQT720881 CAE720879:CAP720881 CKA720879:CKL720881 CTW720879:CUH720881 DDS720879:DED720881 DNO720879:DNZ720881 DXK720879:DXV720881 EHG720879:EHR720881 ERC720879:ERN720881 FAY720879:FBJ720881 FKU720879:FLF720881 FUQ720879:FVB720881 GEM720879:GEX720881 GOI720879:GOT720881 GYE720879:GYP720881 HIA720879:HIL720881 HRW720879:HSH720881 IBS720879:ICD720881 ILO720879:ILZ720881 IVK720879:IVV720881 JFG720879:JFR720881 JPC720879:JPN720881 JYY720879:JZJ720881 KIU720879:KJF720881 KSQ720879:KTB720881 LCM720879:LCX720881 LMI720879:LMT720881 LWE720879:LWP720881 MGA720879:MGL720881 MPW720879:MQH720881 MZS720879:NAD720881 NJO720879:NJZ720881 NTK720879:NTV720881 ODG720879:ODR720881 ONC720879:ONN720881 OWY720879:OXJ720881 PGU720879:PHF720881 PQQ720879:PRB720881 QAM720879:QAX720881 QKI720879:QKT720881 QUE720879:QUP720881 REA720879:REL720881 RNW720879:ROH720881 RXS720879:RYD720881 SHO720879:SHZ720881 SRK720879:SRV720881 TBG720879:TBR720881 TLC720879:TLN720881 TUY720879:TVJ720881 UEU720879:UFF720881 UOQ720879:UPB720881 UYM720879:UYX720881 VII720879:VIT720881 VSE720879:VSP720881 WCA720879:WCL720881 WLW720879:WMH720881 WVS720879:WWD720881 JG786415:JR786417 TC786415:TN786417 ACY786415:ADJ786417 AMU786415:ANF786417 AWQ786415:AXB786417 BGM786415:BGX786417 BQI786415:BQT786417 CAE786415:CAP786417 CKA786415:CKL786417 CTW786415:CUH786417 DDS786415:DED786417 DNO786415:DNZ786417 DXK786415:DXV786417 EHG786415:EHR786417 ERC786415:ERN786417 FAY786415:FBJ786417 FKU786415:FLF786417 FUQ786415:FVB786417 GEM786415:GEX786417 GOI786415:GOT786417 GYE786415:GYP786417 HIA786415:HIL786417 HRW786415:HSH786417 IBS786415:ICD786417 ILO786415:ILZ786417 IVK786415:IVV786417 JFG786415:JFR786417 JPC786415:JPN786417 JYY786415:JZJ786417 KIU786415:KJF786417 KSQ786415:KTB786417 LCM786415:LCX786417 LMI786415:LMT786417 LWE786415:LWP786417 MGA786415:MGL786417 MPW786415:MQH786417 MZS786415:NAD786417 NJO786415:NJZ786417 NTK786415:NTV786417 ODG786415:ODR786417 ONC786415:ONN786417 OWY786415:OXJ786417 PGU786415:PHF786417 PQQ786415:PRB786417 QAM786415:QAX786417 QKI786415:QKT786417 QUE786415:QUP786417 REA786415:REL786417 RNW786415:ROH786417 RXS786415:RYD786417 SHO786415:SHZ786417 SRK786415:SRV786417 TBG786415:TBR786417 TLC786415:TLN786417 TUY786415:TVJ786417 UEU786415:UFF786417 UOQ786415:UPB786417 UYM786415:UYX786417 VII786415:VIT786417 VSE786415:VSP786417 WCA786415:WCL786417 WLW786415:WMH786417 WVS786415:WWD786417 JG851951:JR851953 TC851951:TN851953 ACY851951:ADJ851953 AMU851951:ANF851953 AWQ851951:AXB851953 BGM851951:BGX851953 BQI851951:BQT851953 CAE851951:CAP851953 CKA851951:CKL851953 CTW851951:CUH851953 DDS851951:DED851953 DNO851951:DNZ851953 DXK851951:DXV851953 EHG851951:EHR851953 ERC851951:ERN851953 FAY851951:FBJ851953 FKU851951:FLF851953 FUQ851951:FVB851953 GEM851951:GEX851953 GOI851951:GOT851953 GYE851951:GYP851953 HIA851951:HIL851953 HRW851951:HSH851953 IBS851951:ICD851953 ILO851951:ILZ851953 IVK851951:IVV851953 JFG851951:JFR851953 JPC851951:JPN851953 JYY851951:JZJ851953 KIU851951:KJF851953 KSQ851951:KTB851953 LCM851951:LCX851953 LMI851951:LMT851953 LWE851951:LWP851953 MGA851951:MGL851953 MPW851951:MQH851953 MZS851951:NAD851953 NJO851951:NJZ851953 NTK851951:NTV851953 ODG851951:ODR851953 ONC851951:ONN851953 OWY851951:OXJ851953 PGU851951:PHF851953 PQQ851951:PRB851953 QAM851951:QAX851953 QKI851951:QKT851953 QUE851951:QUP851953 REA851951:REL851953 RNW851951:ROH851953 RXS851951:RYD851953 SHO851951:SHZ851953 SRK851951:SRV851953 TBG851951:TBR851953 TLC851951:TLN851953 TUY851951:TVJ851953 UEU851951:UFF851953 UOQ851951:UPB851953 UYM851951:UYX851953 VII851951:VIT851953 VSE851951:VSP851953 WCA851951:WCL851953 WLW851951:WMH851953 WVS851951:WWD851953 JG917487:JR917489 TC917487:TN917489 ACY917487:ADJ917489 AMU917487:ANF917489 AWQ917487:AXB917489 BGM917487:BGX917489 BQI917487:BQT917489 CAE917487:CAP917489 CKA917487:CKL917489 CTW917487:CUH917489 DDS917487:DED917489 DNO917487:DNZ917489 DXK917487:DXV917489 EHG917487:EHR917489 ERC917487:ERN917489 FAY917487:FBJ917489 FKU917487:FLF917489 FUQ917487:FVB917489 GEM917487:GEX917489 GOI917487:GOT917489 GYE917487:GYP917489 HIA917487:HIL917489 HRW917487:HSH917489 IBS917487:ICD917489 ILO917487:ILZ917489 IVK917487:IVV917489 JFG917487:JFR917489 JPC917487:JPN917489 JYY917487:JZJ917489 KIU917487:KJF917489 KSQ917487:KTB917489 LCM917487:LCX917489 LMI917487:LMT917489 LWE917487:LWP917489 MGA917487:MGL917489 MPW917487:MQH917489 MZS917487:NAD917489 NJO917487:NJZ917489 NTK917487:NTV917489 ODG917487:ODR917489 ONC917487:ONN917489 OWY917487:OXJ917489 PGU917487:PHF917489 PQQ917487:PRB917489 QAM917487:QAX917489 QKI917487:QKT917489 QUE917487:QUP917489 REA917487:REL917489 RNW917487:ROH917489 RXS917487:RYD917489 SHO917487:SHZ917489 SRK917487:SRV917489 TBG917487:TBR917489 TLC917487:TLN917489 TUY917487:TVJ917489 UEU917487:UFF917489 UOQ917487:UPB917489 UYM917487:UYX917489 VII917487:VIT917489 VSE917487:VSP917489 WCA917487:WCL917489 WLW917487:WMH917489 WVS917487:WWD917489 JG983023:JR983025 TC983023:TN983025 ACY983023:ADJ983025 AMU983023:ANF983025 AWQ983023:AXB983025 BGM983023:BGX983025 BQI983023:BQT983025 CAE983023:CAP983025 CKA983023:CKL983025 CTW983023:CUH983025 DDS983023:DED983025 DNO983023:DNZ983025 DXK983023:DXV983025 EHG983023:EHR983025 ERC983023:ERN983025 FAY983023:FBJ983025 FKU983023:FLF983025 FUQ983023:FVB983025 GEM983023:GEX983025 GOI983023:GOT983025 GYE983023:GYP983025 HIA983023:HIL983025 HRW983023:HSH983025 IBS983023:ICD983025 ILO983023:ILZ983025 IVK983023:IVV983025 JFG983023:JFR983025 JPC983023:JPN983025 JYY983023:JZJ983025 KIU983023:KJF983025 KSQ983023:KTB983025 LCM983023:LCX983025 LMI983023:LMT983025 LWE983023:LWP983025 MGA983023:MGL983025 MPW983023:MQH983025 MZS983023:NAD983025 NJO983023:NJZ983025 NTK983023:NTV983025 ODG983023:ODR983025 ONC983023:ONN983025 OWY983023:OXJ983025 PGU983023:PHF983025 PQQ983023:PRB983025 QAM983023:QAX983025 QKI983023:QKT983025 QUE983023:QUP983025 REA983023:REL983025 RNW983023:ROH983025 RXS983023:RYD983025 SHO983023:SHZ983025 SRK983023:SRV983025 TBG983023:TBR983025 TLC983023:TLN983025 TUY983023:TVJ983025 UEU983023:UFF983025 UOQ983023:UPB983025 UYM983023:UYX983025 VII983023:VIT983025 VSE983023:VSP983025 WCA983023:WCL983025 WLW983023:WMH983025 WVS983023:WWD983025 WVS983028:WWD983030 JG65524:JR65526 TC65524:TN65526 ACY65524:ADJ65526 AMU65524:ANF65526 AWQ65524:AXB65526 BGM65524:BGX65526 BQI65524:BQT65526 CAE65524:CAP65526 CKA65524:CKL65526 CTW65524:CUH65526 DDS65524:DED65526 DNO65524:DNZ65526 DXK65524:DXV65526 EHG65524:EHR65526 ERC65524:ERN65526 FAY65524:FBJ65526 FKU65524:FLF65526 FUQ65524:FVB65526 GEM65524:GEX65526 GOI65524:GOT65526 GYE65524:GYP65526 HIA65524:HIL65526 HRW65524:HSH65526 IBS65524:ICD65526 ILO65524:ILZ65526 IVK65524:IVV65526 JFG65524:JFR65526 JPC65524:JPN65526 JYY65524:JZJ65526 KIU65524:KJF65526 KSQ65524:KTB65526 LCM65524:LCX65526 LMI65524:LMT65526 LWE65524:LWP65526 MGA65524:MGL65526 MPW65524:MQH65526 MZS65524:NAD65526 NJO65524:NJZ65526 NTK65524:NTV65526 ODG65524:ODR65526 ONC65524:ONN65526 OWY65524:OXJ65526 PGU65524:PHF65526 PQQ65524:PRB65526 QAM65524:QAX65526 QKI65524:QKT65526 QUE65524:QUP65526 REA65524:REL65526 RNW65524:ROH65526 RXS65524:RYD65526 SHO65524:SHZ65526 SRK65524:SRV65526 TBG65524:TBR65526 TLC65524:TLN65526 TUY65524:TVJ65526 UEU65524:UFF65526 UOQ65524:UPB65526 UYM65524:UYX65526 VII65524:VIT65526 VSE65524:VSP65526 WCA65524:WCL65526 WLW65524:WMH65526 WVS65524:WWD65526 JG131060:JR131062 TC131060:TN131062 ACY131060:ADJ131062 AMU131060:ANF131062 AWQ131060:AXB131062 BGM131060:BGX131062 BQI131060:BQT131062 CAE131060:CAP131062 CKA131060:CKL131062 CTW131060:CUH131062 DDS131060:DED131062 DNO131060:DNZ131062 DXK131060:DXV131062 EHG131060:EHR131062 ERC131060:ERN131062 FAY131060:FBJ131062 FKU131060:FLF131062 FUQ131060:FVB131062 GEM131060:GEX131062 GOI131060:GOT131062 GYE131060:GYP131062 HIA131060:HIL131062 HRW131060:HSH131062 IBS131060:ICD131062 ILO131060:ILZ131062 IVK131060:IVV131062 JFG131060:JFR131062 JPC131060:JPN131062 JYY131060:JZJ131062 KIU131060:KJF131062 KSQ131060:KTB131062 LCM131060:LCX131062 LMI131060:LMT131062 LWE131060:LWP131062 MGA131060:MGL131062 MPW131060:MQH131062 MZS131060:NAD131062 NJO131060:NJZ131062 NTK131060:NTV131062 ODG131060:ODR131062 ONC131060:ONN131062 OWY131060:OXJ131062 PGU131060:PHF131062 PQQ131060:PRB131062 QAM131060:QAX131062 QKI131060:QKT131062 QUE131060:QUP131062 REA131060:REL131062 RNW131060:ROH131062 RXS131060:RYD131062 SHO131060:SHZ131062 SRK131060:SRV131062 TBG131060:TBR131062 TLC131060:TLN131062 TUY131060:TVJ131062 UEU131060:UFF131062 UOQ131060:UPB131062 UYM131060:UYX131062 VII131060:VIT131062 VSE131060:VSP131062 WCA131060:WCL131062 WLW131060:WMH131062 WVS131060:WWD131062 JG196596:JR196598 TC196596:TN196598 ACY196596:ADJ196598 AMU196596:ANF196598 AWQ196596:AXB196598 BGM196596:BGX196598 BQI196596:BQT196598 CAE196596:CAP196598 CKA196596:CKL196598 CTW196596:CUH196598 DDS196596:DED196598 DNO196596:DNZ196598 DXK196596:DXV196598 EHG196596:EHR196598 ERC196596:ERN196598 FAY196596:FBJ196598 FKU196596:FLF196598 FUQ196596:FVB196598 GEM196596:GEX196598 GOI196596:GOT196598 GYE196596:GYP196598 HIA196596:HIL196598 HRW196596:HSH196598 IBS196596:ICD196598 ILO196596:ILZ196598 IVK196596:IVV196598 JFG196596:JFR196598 JPC196596:JPN196598 JYY196596:JZJ196598 KIU196596:KJF196598 KSQ196596:KTB196598 LCM196596:LCX196598 LMI196596:LMT196598 LWE196596:LWP196598 MGA196596:MGL196598 MPW196596:MQH196598 MZS196596:NAD196598 NJO196596:NJZ196598 NTK196596:NTV196598 ODG196596:ODR196598 ONC196596:ONN196598 OWY196596:OXJ196598 PGU196596:PHF196598 PQQ196596:PRB196598 QAM196596:QAX196598 QKI196596:QKT196598 QUE196596:QUP196598 REA196596:REL196598 RNW196596:ROH196598 RXS196596:RYD196598 SHO196596:SHZ196598 SRK196596:SRV196598 TBG196596:TBR196598 TLC196596:TLN196598 TUY196596:TVJ196598 UEU196596:UFF196598 UOQ196596:UPB196598 UYM196596:UYX196598 VII196596:VIT196598 VSE196596:VSP196598 WCA196596:WCL196598 WLW196596:WMH196598 WVS196596:WWD196598 JG262132:JR262134 TC262132:TN262134 ACY262132:ADJ262134 AMU262132:ANF262134 AWQ262132:AXB262134 BGM262132:BGX262134 BQI262132:BQT262134 CAE262132:CAP262134 CKA262132:CKL262134 CTW262132:CUH262134 DDS262132:DED262134 DNO262132:DNZ262134 DXK262132:DXV262134 EHG262132:EHR262134 ERC262132:ERN262134 FAY262132:FBJ262134 FKU262132:FLF262134 FUQ262132:FVB262134 GEM262132:GEX262134 GOI262132:GOT262134 GYE262132:GYP262134 HIA262132:HIL262134 HRW262132:HSH262134 IBS262132:ICD262134 ILO262132:ILZ262134 IVK262132:IVV262134 JFG262132:JFR262134 JPC262132:JPN262134 JYY262132:JZJ262134 KIU262132:KJF262134 KSQ262132:KTB262134 LCM262132:LCX262134 LMI262132:LMT262134 LWE262132:LWP262134 MGA262132:MGL262134 MPW262132:MQH262134 MZS262132:NAD262134 NJO262132:NJZ262134 NTK262132:NTV262134 ODG262132:ODR262134 ONC262132:ONN262134 OWY262132:OXJ262134 PGU262132:PHF262134 PQQ262132:PRB262134 QAM262132:QAX262134 QKI262132:QKT262134 QUE262132:QUP262134 REA262132:REL262134 RNW262132:ROH262134 RXS262132:RYD262134 SHO262132:SHZ262134 SRK262132:SRV262134 TBG262132:TBR262134 TLC262132:TLN262134 TUY262132:TVJ262134 UEU262132:UFF262134 UOQ262132:UPB262134 UYM262132:UYX262134 VII262132:VIT262134 VSE262132:VSP262134 WCA262132:WCL262134 WLW262132:WMH262134 WVS262132:WWD262134 JG327668:JR327670 TC327668:TN327670 ACY327668:ADJ327670 AMU327668:ANF327670 AWQ327668:AXB327670 BGM327668:BGX327670 BQI327668:BQT327670 CAE327668:CAP327670 CKA327668:CKL327670 CTW327668:CUH327670 DDS327668:DED327670 DNO327668:DNZ327670 DXK327668:DXV327670 EHG327668:EHR327670 ERC327668:ERN327670 FAY327668:FBJ327670 FKU327668:FLF327670 FUQ327668:FVB327670 GEM327668:GEX327670 GOI327668:GOT327670 GYE327668:GYP327670 HIA327668:HIL327670 HRW327668:HSH327670 IBS327668:ICD327670 ILO327668:ILZ327670 IVK327668:IVV327670 JFG327668:JFR327670 JPC327668:JPN327670 JYY327668:JZJ327670 KIU327668:KJF327670 KSQ327668:KTB327670 LCM327668:LCX327670 LMI327668:LMT327670 LWE327668:LWP327670 MGA327668:MGL327670 MPW327668:MQH327670 MZS327668:NAD327670 NJO327668:NJZ327670 NTK327668:NTV327670 ODG327668:ODR327670 ONC327668:ONN327670 OWY327668:OXJ327670 PGU327668:PHF327670 PQQ327668:PRB327670 QAM327668:QAX327670 QKI327668:QKT327670 QUE327668:QUP327670 REA327668:REL327670 RNW327668:ROH327670 RXS327668:RYD327670 SHO327668:SHZ327670 SRK327668:SRV327670 TBG327668:TBR327670 TLC327668:TLN327670 TUY327668:TVJ327670 UEU327668:UFF327670 UOQ327668:UPB327670 UYM327668:UYX327670 VII327668:VIT327670 VSE327668:VSP327670 WCA327668:WCL327670 WLW327668:WMH327670 WVS327668:WWD327670 JG393204:JR393206 TC393204:TN393206 ACY393204:ADJ393206 AMU393204:ANF393206 AWQ393204:AXB393206 BGM393204:BGX393206 BQI393204:BQT393206 CAE393204:CAP393206 CKA393204:CKL393206 CTW393204:CUH393206 DDS393204:DED393206 DNO393204:DNZ393206 DXK393204:DXV393206 EHG393204:EHR393206 ERC393204:ERN393206 FAY393204:FBJ393206 FKU393204:FLF393206 FUQ393204:FVB393206 GEM393204:GEX393206 GOI393204:GOT393206 GYE393204:GYP393206 HIA393204:HIL393206 HRW393204:HSH393206 IBS393204:ICD393206 ILO393204:ILZ393206 IVK393204:IVV393206 JFG393204:JFR393206 JPC393204:JPN393206 JYY393204:JZJ393206 KIU393204:KJF393206 KSQ393204:KTB393206 LCM393204:LCX393206 LMI393204:LMT393206 LWE393204:LWP393206 MGA393204:MGL393206 MPW393204:MQH393206 MZS393204:NAD393206 NJO393204:NJZ393206 NTK393204:NTV393206 ODG393204:ODR393206 ONC393204:ONN393206 OWY393204:OXJ393206 PGU393204:PHF393206 PQQ393204:PRB393206 QAM393204:QAX393206 QKI393204:QKT393206 QUE393204:QUP393206 REA393204:REL393206 RNW393204:ROH393206 RXS393204:RYD393206 SHO393204:SHZ393206 SRK393204:SRV393206 TBG393204:TBR393206 TLC393204:TLN393206 TUY393204:TVJ393206 UEU393204:UFF393206 UOQ393204:UPB393206 UYM393204:UYX393206 VII393204:VIT393206 VSE393204:VSP393206 WCA393204:WCL393206 WLW393204:WMH393206 WVS393204:WWD393206 JG458740:JR458742 TC458740:TN458742 ACY458740:ADJ458742 AMU458740:ANF458742 AWQ458740:AXB458742 BGM458740:BGX458742 BQI458740:BQT458742 CAE458740:CAP458742 CKA458740:CKL458742 CTW458740:CUH458742 DDS458740:DED458742 DNO458740:DNZ458742 DXK458740:DXV458742 EHG458740:EHR458742 ERC458740:ERN458742 FAY458740:FBJ458742 FKU458740:FLF458742 FUQ458740:FVB458742 GEM458740:GEX458742 GOI458740:GOT458742 GYE458740:GYP458742 HIA458740:HIL458742 HRW458740:HSH458742 IBS458740:ICD458742 ILO458740:ILZ458742 IVK458740:IVV458742 JFG458740:JFR458742 JPC458740:JPN458742 JYY458740:JZJ458742 KIU458740:KJF458742 KSQ458740:KTB458742 LCM458740:LCX458742 LMI458740:LMT458742 LWE458740:LWP458742 MGA458740:MGL458742 MPW458740:MQH458742 MZS458740:NAD458742 NJO458740:NJZ458742 NTK458740:NTV458742 ODG458740:ODR458742 ONC458740:ONN458742 OWY458740:OXJ458742 PGU458740:PHF458742 PQQ458740:PRB458742 QAM458740:QAX458742 QKI458740:QKT458742 QUE458740:QUP458742 REA458740:REL458742 RNW458740:ROH458742 RXS458740:RYD458742 SHO458740:SHZ458742 SRK458740:SRV458742 TBG458740:TBR458742 TLC458740:TLN458742 TUY458740:TVJ458742 UEU458740:UFF458742 UOQ458740:UPB458742 UYM458740:UYX458742 VII458740:VIT458742 VSE458740:VSP458742 WCA458740:WCL458742 WLW458740:WMH458742 WVS458740:WWD458742 JG524276:JR524278 TC524276:TN524278 ACY524276:ADJ524278 AMU524276:ANF524278 AWQ524276:AXB524278 BGM524276:BGX524278 BQI524276:BQT524278 CAE524276:CAP524278 CKA524276:CKL524278 CTW524276:CUH524278 DDS524276:DED524278 DNO524276:DNZ524278 DXK524276:DXV524278 EHG524276:EHR524278 ERC524276:ERN524278 FAY524276:FBJ524278 FKU524276:FLF524278 FUQ524276:FVB524278 GEM524276:GEX524278 GOI524276:GOT524278 GYE524276:GYP524278 HIA524276:HIL524278 HRW524276:HSH524278 IBS524276:ICD524278 ILO524276:ILZ524278 IVK524276:IVV524278 JFG524276:JFR524278 JPC524276:JPN524278 JYY524276:JZJ524278 KIU524276:KJF524278 KSQ524276:KTB524278 LCM524276:LCX524278 LMI524276:LMT524278 LWE524276:LWP524278 MGA524276:MGL524278 MPW524276:MQH524278 MZS524276:NAD524278 NJO524276:NJZ524278 NTK524276:NTV524278 ODG524276:ODR524278 ONC524276:ONN524278 OWY524276:OXJ524278 PGU524276:PHF524278 PQQ524276:PRB524278 QAM524276:QAX524278 QKI524276:QKT524278 QUE524276:QUP524278 REA524276:REL524278 RNW524276:ROH524278 RXS524276:RYD524278 SHO524276:SHZ524278 SRK524276:SRV524278 TBG524276:TBR524278 TLC524276:TLN524278 TUY524276:TVJ524278 UEU524276:UFF524278 UOQ524276:UPB524278 UYM524276:UYX524278 VII524276:VIT524278 VSE524276:VSP524278 WCA524276:WCL524278 WLW524276:WMH524278 WVS524276:WWD524278 JG589812:JR589814 TC589812:TN589814 ACY589812:ADJ589814 AMU589812:ANF589814 AWQ589812:AXB589814 BGM589812:BGX589814 BQI589812:BQT589814 CAE589812:CAP589814 CKA589812:CKL589814 CTW589812:CUH589814 DDS589812:DED589814 DNO589812:DNZ589814 DXK589812:DXV589814 EHG589812:EHR589814 ERC589812:ERN589814 FAY589812:FBJ589814 FKU589812:FLF589814 FUQ589812:FVB589814 GEM589812:GEX589814 GOI589812:GOT589814 GYE589812:GYP589814 HIA589812:HIL589814 HRW589812:HSH589814 IBS589812:ICD589814 ILO589812:ILZ589814 IVK589812:IVV589814 JFG589812:JFR589814 JPC589812:JPN589814 JYY589812:JZJ589814 KIU589812:KJF589814 KSQ589812:KTB589814 LCM589812:LCX589814 LMI589812:LMT589814 LWE589812:LWP589814 MGA589812:MGL589814 MPW589812:MQH589814 MZS589812:NAD589814 NJO589812:NJZ589814 NTK589812:NTV589814 ODG589812:ODR589814 ONC589812:ONN589814 OWY589812:OXJ589814 PGU589812:PHF589814 PQQ589812:PRB589814 QAM589812:QAX589814 QKI589812:QKT589814 QUE589812:QUP589814 REA589812:REL589814 RNW589812:ROH589814 RXS589812:RYD589814 SHO589812:SHZ589814 SRK589812:SRV589814 TBG589812:TBR589814 TLC589812:TLN589814 TUY589812:TVJ589814 UEU589812:UFF589814 UOQ589812:UPB589814 UYM589812:UYX589814 VII589812:VIT589814 VSE589812:VSP589814 WCA589812:WCL589814 WLW589812:WMH589814 WVS589812:WWD589814 JG655348:JR655350 TC655348:TN655350 ACY655348:ADJ655350 AMU655348:ANF655350 AWQ655348:AXB655350 BGM655348:BGX655350 BQI655348:BQT655350 CAE655348:CAP655350 CKA655348:CKL655350 CTW655348:CUH655350 DDS655348:DED655350 DNO655348:DNZ655350 DXK655348:DXV655350 EHG655348:EHR655350 ERC655348:ERN655350 FAY655348:FBJ655350 FKU655348:FLF655350 FUQ655348:FVB655350 GEM655348:GEX655350 GOI655348:GOT655350 GYE655348:GYP655350 HIA655348:HIL655350 HRW655348:HSH655350 IBS655348:ICD655350 ILO655348:ILZ655350 IVK655348:IVV655350 JFG655348:JFR655350 JPC655348:JPN655350 JYY655348:JZJ655350 KIU655348:KJF655350 KSQ655348:KTB655350 LCM655348:LCX655350 LMI655348:LMT655350 LWE655348:LWP655350 MGA655348:MGL655350 MPW655348:MQH655350 MZS655348:NAD655350 NJO655348:NJZ655350 NTK655348:NTV655350 ODG655348:ODR655350 ONC655348:ONN655350 OWY655348:OXJ655350 PGU655348:PHF655350 PQQ655348:PRB655350 QAM655348:QAX655350 QKI655348:QKT655350 QUE655348:QUP655350 REA655348:REL655350 RNW655348:ROH655350 RXS655348:RYD655350 SHO655348:SHZ655350 SRK655348:SRV655350 TBG655348:TBR655350 TLC655348:TLN655350 TUY655348:TVJ655350 UEU655348:UFF655350 UOQ655348:UPB655350 UYM655348:UYX655350 VII655348:VIT655350 VSE655348:VSP655350 WCA655348:WCL655350 WLW655348:WMH655350 WVS655348:WWD655350 JG720884:JR720886 TC720884:TN720886 ACY720884:ADJ720886 AMU720884:ANF720886 AWQ720884:AXB720886 BGM720884:BGX720886 BQI720884:BQT720886 CAE720884:CAP720886 CKA720884:CKL720886 CTW720884:CUH720886 DDS720884:DED720886 DNO720884:DNZ720886 DXK720884:DXV720886 EHG720884:EHR720886 ERC720884:ERN720886 FAY720884:FBJ720886 FKU720884:FLF720886 FUQ720884:FVB720886 GEM720884:GEX720886 GOI720884:GOT720886 GYE720884:GYP720886 HIA720884:HIL720886 HRW720884:HSH720886 IBS720884:ICD720886 ILO720884:ILZ720886 IVK720884:IVV720886 JFG720884:JFR720886 JPC720884:JPN720886 JYY720884:JZJ720886 KIU720884:KJF720886 KSQ720884:KTB720886 LCM720884:LCX720886 LMI720884:LMT720886 LWE720884:LWP720886 MGA720884:MGL720886 MPW720884:MQH720886 MZS720884:NAD720886 NJO720884:NJZ720886 NTK720884:NTV720886 ODG720884:ODR720886 ONC720884:ONN720886 OWY720884:OXJ720886 PGU720884:PHF720886 PQQ720884:PRB720886 QAM720884:QAX720886 QKI720884:QKT720886 QUE720884:QUP720886 REA720884:REL720886 RNW720884:ROH720886 RXS720884:RYD720886 SHO720884:SHZ720886 SRK720884:SRV720886 TBG720884:TBR720886 TLC720884:TLN720886 TUY720884:TVJ720886 UEU720884:UFF720886 UOQ720884:UPB720886 UYM720884:UYX720886 VII720884:VIT720886 VSE720884:VSP720886 WCA720884:WCL720886 WLW720884:WMH720886 WVS720884:WWD720886 JG786420:JR786422 TC786420:TN786422 ACY786420:ADJ786422 AMU786420:ANF786422 AWQ786420:AXB786422 BGM786420:BGX786422 BQI786420:BQT786422 CAE786420:CAP786422 CKA786420:CKL786422 CTW786420:CUH786422 DDS786420:DED786422 DNO786420:DNZ786422 DXK786420:DXV786422 EHG786420:EHR786422 ERC786420:ERN786422 FAY786420:FBJ786422 FKU786420:FLF786422 FUQ786420:FVB786422 GEM786420:GEX786422 GOI786420:GOT786422 GYE786420:GYP786422 HIA786420:HIL786422 HRW786420:HSH786422 IBS786420:ICD786422 ILO786420:ILZ786422 IVK786420:IVV786422 JFG786420:JFR786422 JPC786420:JPN786422 JYY786420:JZJ786422 KIU786420:KJF786422 KSQ786420:KTB786422 LCM786420:LCX786422 LMI786420:LMT786422 LWE786420:LWP786422 MGA786420:MGL786422 MPW786420:MQH786422 MZS786420:NAD786422 NJO786420:NJZ786422 NTK786420:NTV786422 ODG786420:ODR786422 ONC786420:ONN786422 OWY786420:OXJ786422 PGU786420:PHF786422 PQQ786420:PRB786422 QAM786420:QAX786422 QKI786420:QKT786422 QUE786420:QUP786422 REA786420:REL786422 RNW786420:ROH786422 RXS786420:RYD786422 SHO786420:SHZ786422 SRK786420:SRV786422 TBG786420:TBR786422 TLC786420:TLN786422 TUY786420:TVJ786422 UEU786420:UFF786422 UOQ786420:UPB786422 UYM786420:UYX786422 VII786420:VIT786422 VSE786420:VSP786422 WCA786420:WCL786422 WLW786420:WMH786422 WVS786420:WWD786422 JG851956:JR851958 TC851956:TN851958 ACY851956:ADJ851958 AMU851956:ANF851958 AWQ851956:AXB851958 BGM851956:BGX851958 BQI851956:BQT851958 CAE851956:CAP851958 CKA851956:CKL851958 CTW851956:CUH851958 DDS851956:DED851958 DNO851956:DNZ851958 DXK851956:DXV851958 EHG851956:EHR851958 ERC851956:ERN851958 FAY851956:FBJ851958 FKU851956:FLF851958 FUQ851956:FVB851958 GEM851956:GEX851958 GOI851956:GOT851958 GYE851956:GYP851958 HIA851956:HIL851958 HRW851956:HSH851958 IBS851956:ICD851958 ILO851956:ILZ851958 IVK851956:IVV851958 JFG851956:JFR851958 JPC851956:JPN851958 JYY851956:JZJ851958 KIU851956:KJF851958 KSQ851956:KTB851958 LCM851956:LCX851958 LMI851956:LMT851958 LWE851956:LWP851958 MGA851956:MGL851958 MPW851956:MQH851958 MZS851956:NAD851958 NJO851956:NJZ851958 NTK851956:NTV851958 ODG851956:ODR851958 ONC851956:ONN851958 OWY851956:OXJ851958 PGU851956:PHF851958 PQQ851956:PRB851958 QAM851956:QAX851958 QKI851956:QKT851958 QUE851956:QUP851958 REA851956:REL851958 RNW851956:ROH851958 RXS851956:RYD851958 SHO851956:SHZ851958 SRK851956:SRV851958 TBG851956:TBR851958 TLC851956:TLN851958 TUY851956:TVJ851958 UEU851956:UFF851958 UOQ851956:UPB851958 UYM851956:UYX851958 VII851956:VIT851958 VSE851956:VSP851958 WCA851956:WCL851958 WLW851956:WMH851958 WVS851956:WWD851958 JG917492:JR917494 TC917492:TN917494 ACY917492:ADJ917494 AMU917492:ANF917494 AWQ917492:AXB917494 BGM917492:BGX917494 BQI917492:BQT917494 CAE917492:CAP917494 CKA917492:CKL917494 CTW917492:CUH917494 DDS917492:DED917494 DNO917492:DNZ917494 DXK917492:DXV917494 EHG917492:EHR917494 ERC917492:ERN917494 FAY917492:FBJ917494 FKU917492:FLF917494 FUQ917492:FVB917494 GEM917492:GEX917494 GOI917492:GOT917494 GYE917492:GYP917494 HIA917492:HIL917494 HRW917492:HSH917494 IBS917492:ICD917494 ILO917492:ILZ917494 IVK917492:IVV917494 JFG917492:JFR917494 JPC917492:JPN917494 JYY917492:JZJ917494 KIU917492:KJF917494 KSQ917492:KTB917494 LCM917492:LCX917494 LMI917492:LMT917494 LWE917492:LWP917494 MGA917492:MGL917494 MPW917492:MQH917494 MZS917492:NAD917494 NJO917492:NJZ917494 NTK917492:NTV917494 ODG917492:ODR917494 ONC917492:ONN917494 OWY917492:OXJ917494 PGU917492:PHF917494 PQQ917492:PRB917494 QAM917492:QAX917494 QKI917492:QKT917494 QUE917492:QUP917494 REA917492:REL917494 RNW917492:ROH917494 RXS917492:RYD917494 SHO917492:SHZ917494 SRK917492:SRV917494 TBG917492:TBR917494 TLC917492:TLN917494 TUY917492:TVJ917494 UEU917492:UFF917494 UOQ917492:UPB917494 UYM917492:UYX917494 VII917492:VIT917494 VSE917492:VSP917494 WCA917492:WCL917494 WLW917492:WMH917494 WVS917492:WWD917494 JG983028:JR983030 TC983028:TN983030 ACY983028:ADJ983030 AMU983028:ANF983030 AWQ983028:AXB983030 BGM983028:BGX983030 BQI983028:BQT983030 CAE983028:CAP983030 CKA983028:CKL983030 CTW983028:CUH983030 DDS983028:DED983030 DNO983028:DNZ983030 DXK983028:DXV983030 EHG983028:EHR983030 ERC983028:ERN983030 FAY983028:FBJ983030 FKU983028:FLF983030 FUQ983028:FVB983030 GEM983028:GEX983030 GOI983028:GOT983030 GYE983028:GYP983030 HIA983028:HIL983030 HRW983028:HSH983030 IBS983028:ICD983030 ILO983028:ILZ983030 IVK983028:IVV983030 JFG983028:JFR983030 JPC983028:JPN983030 JYY983028:JZJ983030 KIU983028:KJF983030 KSQ983028:KTB983030 LCM983028:LCX983030 LMI983028:LMT983030 LWE983028:LWP983030 MGA983028:MGL983030 MPW983028:MQH983030 MZS983028:NAD983030 NJO983028:NJZ983030 NTK983028:NTV983030 ODG983028:ODR983030 ONC983028:ONN983030 OWY983028:OXJ983030 PGU983028:PHF983030 PQQ983028:PRB983030 QAM983028:QAX983030 QKI983028:QKT983030 QUE983028:QUP983030 REA983028:REL983030 RNW983028:ROH983030 RXS983028:RYD983030 SHO983028:SHZ983030 SRK983028:SRV983030 TBG983028:TBR983030 TLC983028:TLN983030 TUY983028:TVJ983030 UEU983028:UFF983030 UOQ983028:UPB983030 UYM983028:UYX983030 VII983028:VIT983030 VSE983028:VSP983030 WCA983028:WCL983030 WLW983028:WMH983030 Z262127:AJ262129 Z196591:AJ196593 Z131055:AJ131057 Z65519:AJ65521 Z983028:AJ983030 Z917492:AJ917494 Z851956:AJ851958 Z786420:AJ786422 Z720884:AJ720886 Z655348:AJ655350 Z589812:AJ589814 Z524276:AJ524278 Z458740:AJ458742 Z393204:AJ393206 Z327668:AJ327670 Z262132:AJ262134 Z196596:AJ196598 Z131060:AJ131062 Z65524:AJ65526 Z983023:AJ983025 Z917487:AJ917489 Z851951:AJ851953 Z786415:AJ786417 Z720879:AJ720881 Z655343:AJ655345 Z589807:AJ589809 Z524271:AJ524273 Z458735:AJ458737 Z393199:AJ393201 Z327663:AJ327665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0E00-000001000000}"/>
    <dataValidation type="list" allowBlank="1" showInputMessage="1" showErrorMessage="1" sqref="Y8:Z44" xr:uid="{00000000-0002-0000-0E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8"/>
  <dimension ref="A1:BE44"/>
  <sheetViews>
    <sheetView showGridLines="0" zoomScaleNormal="10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17" customWidth="1"/>
    <col min="2" max="26" width="2.6328125" style="17"/>
    <col min="27" max="27" width="2.6328125" style="17" customWidth="1"/>
    <col min="28" max="29" width="2.6328125" style="17"/>
    <col min="30" max="30" width="4.6328125" style="17" customWidth="1"/>
    <col min="31" max="31" width="2.6328125" style="17" customWidth="1"/>
    <col min="32" max="33" width="2.6328125" style="17"/>
    <col min="34" max="34" width="6.6328125" style="17" customWidth="1"/>
    <col min="35" max="16384" width="2.6328125" style="17"/>
  </cols>
  <sheetData>
    <row r="1" spans="1:56" s="16" customFormat="1" ht="15" customHeight="1" x14ac:dyDescent="0.3">
      <c r="A1" s="144" t="s">
        <v>100</v>
      </c>
      <c r="B1" s="145"/>
      <c r="C1" s="145"/>
      <c r="D1" s="145"/>
      <c r="E1" s="145"/>
      <c r="F1" s="145"/>
      <c r="G1" s="145"/>
      <c r="H1" s="146"/>
      <c r="I1" s="103" t="s">
        <v>98</v>
      </c>
      <c r="J1" s="104"/>
      <c r="K1" s="104"/>
      <c r="L1" s="104"/>
      <c r="M1" s="104"/>
      <c r="N1" s="104"/>
      <c r="O1" s="104"/>
      <c r="P1" s="104"/>
      <c r="Q1" s="105"/>
      <c r="R1" s="103" t="s">
        <v>99</v>
      </c>
      <c r="S1" s="104"/>
      <c r="T1" s="104"/>
      <c r="U1" s="104"/>
      <c r="V1" s="104"/>
      <c r="W1" s="104"/>
      <c r="X1" s="105"/>
      <c r="Y1" s="103" t="s">
        <v>0</v>
      </c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5"/>
      <c r="AP1" s="153" t="s">
        <v>1</v>
      </c>
      <c r="AQ1" s="154"/>
      <c r="AR1" s="154"/>
      <c r="AS1" s="154"/>
      <c r="AT1" s="155"/>
      <c r="AU1" s="153" t="s">
        <v>2</v>
      </c>
      <c r="AV1" s="154"/>
      <c r="AW1" s="154"/>
      <c r="AX1" s="154"/>
      <c r="AY1" s="155"/>
      <c r="AZ1" s="153" t="s">
        <v>3</v>
      </c>
      <c r="BA1" s="154"/>
      <c r="BB1" s="154"/>
      <c r="BC1" s="154"/>
      <c r="BD1" s="155"/>
    </row>
    <row r="2" spans="1:56" s="16" customFormat="1" ht="15" customHeight="1" x14ac:dyDescent="0.3">
      <c r="A2" s="147"/>
      <c r="B2" s="148"/>
      <c r="C2" s="148"/>
      <c r="D2" s="148"/>
      <c r="E2" s="148"/>
      <c r="F2" s="148"/>
      <c r="G2" s="148"/>
      <c r="H2" s="149"/>
      <c r="I2" s="127" t="s">
        <v>97</v>
      </c>
      <c r="J2" s="128"/>
      <c r="K2" s="128"/>
      <c r="L2" s="128"/>
      <c r="M2" s="128"/>
      <c r="N2" s="128"/>
      <c r="O2" s="128"/>
      <c r="P2" s="128"/>
      <c r="Q2" s="129"/>
      <c r="R2" s="127" t="str">
        <f ca="1">VLOOKUP(RIGHT(CELL("filename",A2),LEN(CELL("filename",A2))-FIND("]",CELL("filename",A2))),テーブル一覧!B:AD,22,FALSE)</f>
        <v>D.出荷</v>
      </c>
      <c r="S2" s="128"/>
      <c r="T2" s="128"/>
      <c r="U2" s="128"/>
      <c r="V2" s="128"/>
      <c r="W2" s="128"/>
      <c r="X2" s="129"/>
      <c r="Y2" s="127" t="str">
        <f ca="1">VLOOKUP(RIGHT(CELL("filename",A2),LEN(CELL("filename",A2))-FIND("]",CELL("filename",A2))),テーブル一覧!B:AD,1,FALSE)</f>
        <v>路線便帳票印刷明細情報</v>
      </c>
      <c r="Z2" s="128"/>
      <c r="AA2" s="128"/>
      <c r="AB2" s="128"/>
      <c r="AC2" s="128"/>
      <c r="AD2" s="128"/>
      <c r="AE2" s="128"/>
      <c r="AF2" s="128"/>
      <c r="AG2" s="128"/>
      <c r="AH2" s="128"/>
      <c r="AI2" s="128"/>
      <c r="AJ2" s="128"/>
      <c r="AK2" s="128"/>
      <c r="AL2" s="128"/>
      <c r="AM2" s="128"/>
      <c r="AN2" s="128"/>
      <c r="AO2" s="129"/>
      <c r="AP2" s="97"/>
      <c r="AQ2" s="98"/>
      <c r="AR2" s="98"/>
      <c r="AS2" s="98"/>
      <c r="AT2" s="99"/>
      <c r="AU2" s="60" t="s">
        <v>188</v>
      </c>
      <c r="AV2" s="61"/>
      <c r="AW2" s="61"/>
      <c r="AX2" s="61"/>
      <c r="AY2" s="62"/>
      <c r="AZ2" s="181" t="s">
        <v>15</v>
      </c>
      <c r="BA2" s="182"/>
      <c r="BB2" s="182"/>
      <c r="BC2" s="182"/>
      <c r="BD2" s="183"/>
    </row>
    <row r="3" spans="1:56" s="16" customFormat="1" ht="15" customHeight="1" x14ac:dyDescent="0.3">
      <c r="A3" s="147"/>
      <c r="B3" s="148"/>
      <c r="C3" s="148"/>
      <c r="D3" s="148"/>
      <c r="E3" s="148"/>
      <c r="F3" s="148"/>
      <c r="G3" s="148"/>
      <c r="H3" s="149"/>
      <c r="I3" s="130"/>
      <c r="J3" s="131"/>
      <c r="K3" s="131"/>
      <c r="L3" s="131"/>
      <c r="M3" s="131"/>
      <c r="N3" s="131"/>
      <c r="O3" s="131"/>
      <c r="P3" s="131"/>
      <c r="Q3" s="132"/>
      <c r="R3" s="130"/>
      <c r="S3" s="131"/>
      <c r="T3" s="131"/>
      <c r="U3" s="131"/>
      <c r="V3" s="131"/>
      <c r="W3" s="131"/>
      <c r="X3" s="132"/>
      <c r="Y3" s="133"/>
      <c r="Z3" s="134"/>
      <c r="AA3" s="134"/>
      <c r="AB3" s="134"/>
      <c r="AC3" s="134"/>
      <c r="AD3" s="134"/>
      <c r="AE3" s="134"/>
      <c r="AF3" s="134"/>
      <c r="AG3" s="134"/>
      <c r="AH3" s="134"/>
      <c r="AI3" s="134"/>
      <c r="AJ3" s="134"/>
      <c r="AK3" s="134"/>
      <c r="AL3" s="134"/>
      <c r="AM3" s="134"/>
      <c r="AN3" s="134"/>
      <c r="AO3" s="135"/>
      <c r="AP3" s="100"/>
      <c r="AQ3" s="101"/>
      <c r="AR3" s="101"/>
      <c r="AS3" s="101"/>
      <c r="AT3" s="102"/>
      <c r="AU3" s="178"/>
      <c r="AV3" s="179"/>
      <c r="AW3" s="179"/>
      <c r="AX3" s="179"/>
      <c r="AY3" s="180"/>
      <c r="AZ3" s="181"/>
      <c r="BA3" s="182"/>
      <c r="BB3" s="182"/>
      <c r="BC3" s="182"/>
      <c r="BD3" s="183"/>
    </row>
    <row r="4" spans="1:56" s="16" customFormat="1" ht="15" customHeight="1" x14ac:dyDescent="0.3">
      <c r="A4" s="150"/>
      <c r="B4" s="151"/>
      <c r="C4" s="151"/>
      <c r="D4" s="151"/>
      <c r="E4" s="151"/>
      <c r="F4" s="151"/>
      <c r="G4" s="151"/>
      <c r="H4" s="152"/>
      <c r="I4" s="133"/>
      <c r="J4" s="134"/>
      <c r="K4" s="134"/>
      <c r="L4" s="134"/>
      <c r="M4" s="134"/>
      <c r="N4" s="134"/>
      <c r="O4" s="134"/>
      <c r="P4" s="134"/>
      <c r="Q4" s="135"/>
      <c r="R4" s="133"/>
      <c r="S4" s="134"/>
      <c r="T4" s="134"/>
      <c r="U4" s="134"/>
      <c r="V4" s="134"/>
      <c r="W4" s="134"/>
      <c r="X4" s="135"/>
      <c r="Y4" s="175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t_rosenbin_print_m</v>
      </c>
      <c r="Z4" s="176"/>
      <c r="AA4" s="176"/>
      <c r="AB4" s="176"/>
      <c r="AC4" s="176"/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  <c r="AO4" s="177"/>
      <c r="AP4" s="100"/>
      <c r="AQ4" s="101"/>
      <c r="AR4" s="101"/>
      <c r="AS4" s="101"/>
      <c r="AT4" s="102"/>
      <c r="AU4" s="178"/>
      <c r="AV4" s="179"/>
      <c r="AW4" s="179"/>
      <c r="AX4" s="179"/>
      <c r="AY4" s="180"/>
      <c r="AZ4" s="181"/>
      <c r="BA4" s="182"/>
      <c r="BB4" s="182"/>
      <c r="BC4" s="182"/>
      <c r="BD4" s="183"/>
    </row>
    <row r="6" spans="1:56" ht="15" customHeight="1" x14ac:dyDescent="0.3">
      <c r="A6" s="156" t="s">
        <v>101</v>
      </c>
      <c r="B6" s="158" t="s">
        <v>4</v>
      </c>
      <c r="C6" s="159"/>
      <c r="D6" s="159"/>
      <c r="E6" s="159"/>
      <c r="F6" s="159"/>
      <c r="G6" s="159"/>
      <c r="H6" s="160"/>
      <c r="I6" s="158" t="s">
        <v>5</v>
      </c>
      <c r="J6" s="159"/>
      <c r="K6" s="159"/>
      <c r="L6" s="159"/>
      <c r="M6" s="159"/>
      <c r="N6" s="159"/>
      <c r="O6" s="159"/>
      <c r="P6" s="159"/>
      <c r="Q6" s="160"/>
      <c r="R6" s="158" t="s">
        <v>145</v>
      </c>
      <c r="S6" s="159"/>
      <c r="T6" s="159"/>
      <c r="U6" s="159"/>
      <c r="V6" s="159"/>
      <c r="W6" s="159"/>
      <c r="X6" s="160"/>
      <c r="Y6" s="158" t="s">
        <v>6</v>
      </c>
      <c r="Z6" s="160"/>
      <c r="AA6" s="158" t="s">
        <v>7</v>
      </c>
      <c r="AB6" s="159"/>
      <c r="AC6" s="160"/>
      <c r="AD6" s="164" t="s">
        <v>8</v>
      </c>
      <c r="AE6" s="185" t="s">
        <v>9</v>
      </c>
      <c r="AF6" s="164" t="s">
        <v>10</v>
      </c>
      <c r="AG6" s="164" t="s">
        <v>11</v>
      </c>
      <c r="AH6" s="164" t="s">
        <v>12</v>
      </c>
      <c r="AI6" s="166" t="s">
        <v>13</v>
      </c>
      <c r="AJ6" s="167"/>
      <c r="AK6" s="167"/>
      <c r="AL6" s="167"/>
      <c r="AM6" s="167"/>
      <c r="AN6" s="167"/>
      <c r="AO6" s="167"/>
      <c r="AP6" s="167"/>
      <c r="AQ6" s="167"/>
      <c r="AR6" s="168"/>
      <c r="AS6" s="169" t="s">
        <v>14</v>
      </c>
      <c r="AT6" s="170"/>
      <c r="AU6" s="170"/>
      <c r="AV6" s="170"/>
      <c r="AW6" s="170"/>
      <c r="AX6" s="170"/>
      <c r="AY6" s="170"/>
      <c r="AZ6" s="170"/>
      <c r="BA6" s="170"/>
      <c r="BB6" s="170"/>
      <c r="BC6" s="170"/>
      <c r="BD6" s="171"/>
    </row>
    <row r="7" spans="1:56" ht="15" customHeight="1" x14ac:dyDescent="0.3">
      <c r="A7" s="157"/>
      <c r="B7" s="161"/>
      <c r="C7" s="162"/>
      <c r="D7" s="162"/>
      <c r="E7" s="162"/>
      <c r="F7" s="162"/>
      <c r="G7" s="162"/>
      <c r="H7" s="163"/>
      <c r="I7" s="161"/>
      <c r="J7" s="162"/>
      <c r="K7" s="162"/>
      <c r="L7" s="162"/>
      <c r="M7" s="162"/>
      <c r="N7" s="162"/>
      <c r="O7" s="162"/>
      <c r="P7" s="162"/>
      <c r="Q7" s="163"/>
      <c r="R7" s="161"/>
      <c r="S7" s="162"/>
      <c r="T7" s="162"/>
      <c r="U7" s="162"/>
      <c r="V7" s="162"/>
      <c r="W7" s="162"/>
      <c r="X7" s="163"/>
      <c r="Y7" s="161"/>
      <c r="Z7" s="163"/>
      <c r="AA7" s="161"/>
      <c r="AB7" s="162"/>
      <c r="AC7" s="163"/>
      <c r="AD7" s="165"/>
      <c r="AE7" s="186"/>
      <c r="AF7" s="165"/>
      <c r="AG7" s="165"/>
      <c r="AH7" s="165"/>
      <c r="AI7" s="56">
        <v>1</v>
      </c>
      <c r="AJ7" s="56">
        <v>2</v>
      </c>
      <c r="AK7" s="56">
        <v>3</v>
      </c>
      <c r="AL7" s="56">
        <v>4</v>
      </c>
      <c r="AM7" s="56">
        <v>5</v>
      </c>
      <c r="AN7" s="56">
        <v>6</v>
      </c>
      <c r="AO7" s="56">
        <v>7</v>
      </c>
      <c r="AP7" s="56">
        <v>8</v>
      </c>
      <c r="AQ7" s="56">
        <v>9</v>
      </c>
      <c r="AR7" s="56">
        <v>10</v>
      </c>
      <c r="AS7" s="172"/>
      <c r="AT7" s="173"/>
      <c r="AU7" s="173"/>
      <c r="AV7" s="173"/>
      <c r="AW7" s="173"/>
      <c r="AX7" s="173"/>
      <c r="AY7" s="173"/>
      <c r="AZ7" s="173"/>
      <c r="BA7" s="173"/>
      <c r="BB7" s="173"/>
      <c r="BC7" s="173"/>
      <c r="BD7" s="174"/>
    </row>
    <row r="8" spans="1:56" ht="15" customHeight="1" x14ac:dyDescent="0.3">
      <c r="A8" s="54">
        <f>IF(B8="","",COUNTA($B$8:B8))</f>
        <v>1</v>
      </c>
      <c r="B8" s="42" t="s">
        <v>151</v>
      </c>
      <c r="C8" s="41"/>
      <c r="D8" s="41"/>
      <c r="E8" s="41"/>
      <c r="F8" s="41"/>
      <c r="G8" s="41"/>
      <c r="H8" s="41"/>
      <c r="I8" s="31" t="str">
        <f>VLOOKUP(B8,Sheet1!A:B,2,FALSE)</f>
        <v>shukka_date</v>
      </c>
      <c r="J8" s="32"/>
      <c r="K8" s="32"/>
      <c r="L8" s="32"/>
      <c r="M8" s="32"/>
      <c r="N8" s="32"/>
      <c r="O8" s="32"/>
      <c r="P8" s="32"/>
      <c r="Q8" s="32"/>
      <c r="R8" s="42" t="s">
        <v>151</v>
      </c>
      <c r="S8" s="41"/>
      <c r="T8" s="41"/>
      <c r="U8" s="41"/>
      <c r="V8" s="41"/>
      <c r="W8" s="41"/>
      <c r="X8" s="41"/>
      <c r="Y8" s="139" t="s">
        <v>87</v>
      </c>
      <c r="Z8" s="140"/>
      <c r="AA8" s="141" t="s">
        <v>109</v>
      </c>
      <c r="AB8" s="142"/>
      <c r="AC8" s="143"/>
      <c r="AD8" s="72"/>
      <c r="AE8" s="27"/>
      <c r="AF8" s="26" t="s">
        <v>119</v>
      </c>
      <c r="AG8" s="27" t="s">
        <v>85</v>
      </c>
      <c r="AH8" s="27"/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42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68"/>
    </row>
    <row r="9" spans="1:56" ht="15" customHeight="1" x14ac:dyDescent="0.3">
      <c r="A9" s="54">
        <f>IF(B9="","",COUNTA($B$8:B9))</f>
        <v>2</v>
      </c>
      <c r="B9" s="18" t="s">
        <v>1522</v>
      </c>
      <c r="C9" s="19"/>
      <c r="D9" s="19"/>
      <c r="E9" s="19"/>
      <c r="F9" s="19"/>
      <c r="G9" s="19"/>
      <c r="H9" s="19"/>
      <c r="I9" s="31" t="str">
        <f>VLOOKUP(B9,Sheet1!A:B,2,FALSE)</f>
        <v>shukka_no</v>
      </c>
      <c r="J9" s="21"/>
      <c r="K9" s="21"/>
      <c r="L9" s="21"/>
      <c r="M9" s="21"/>
      <c r="N9" s="21"/>
      <c r="O9" s="21"/>
      <c r="P9" s="21"/>
      <c r="Q9" s="21"/>
      <c r="R9" s="18" t="s">
        <v>1522</v>
      </c>
      <c r="S9" s="19"/>
      <c r="T9" s="19"/>
      <c r="U9" s="19"/>
      <c r="V9" s="19"/>
      <c r="W9" s="19"/>
      <c r="X9" s="19"/>
      <c r="Y9" s="139" t="s">
        <v>111</v>
      </c>
      <c r="Z9" s="140"/>
      <c r="AA9" s="141" t="s">
        <v>107</v>
      </c>
      <c r="AB9" s="142"/>
      <c r="AC9" s="143"/>
      <c r="AD9" s="25">
        <v>5</v>
      </c>
      <c r="AE9" s="26"/>
      <c r="AF9" s="26" t="s">
        <v>205</v>
      </c>
      <c r="AG9" s="26" t="s">
        <v>85</v>
      </c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42" t="s">
        <v>1530</v>
      </c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68"/>
    </row>
    <row r="10" spans="1:56" ht="15" customHeight="1" x14ac:dyDescent="0.3">
      <c r="A10" s="54">
        <f>IF(B10="","",COUNTA($B$8:B10))</f>
        <v>3</v>
      </c>
      <c r="B10" s="42" t="s">
        <v>1536</v>
      </c>
      <c r="C10" s="44"/>
      <c r="D10" s="44"/>
      <c r="E10" s="44"/>
      <c r="F10" s="44"/>
      <c r="G10" s="44"/>
      <c r="H10" s="44"/>
      <c r="I10" s="31" t="str">
        <f>VLOOKUP(B10,Sheet1!A:B,2,FALSE)</f>
        <v>renban</v>
      </c>
      <c r="J10" s="32"/>
      <c r="K10" s="32"/>
      <c r="L10" s="32"/>
      <c r="M10" s="32"/>
      <c r="N10" s="32"/>
      <c r="O10" s="32"/>
      <c r="P10" s="32"/>
      <c r="Q10" s="32"/>
      <c r="R10" s="42" t="s">
        <v>1536</v>
      </c>
      <c r="S10" s="44"/>
      <c r="T10" s="44"/>
      <c r="U10" s="44"/>
      <c r="V10" s="44"/>
      <c r="W10" s="44"/>
      <c r="X10" s="44"/>
      <c r="Y10" s="139" t="s">
        <v>108</v>
      </c>
      <c r="Z10" s="140"/>
      <c r="AA10" s="141" t="s">
        <v>110</v>
      </c>
      <c r="AB10" s="142"/>
      <c r="AC10" s="143"/>
      <c r="AD10" s="45">
        <v>3</v>
      </c>
      <c r="AE10" s="27"/>
      <c r="AF10" s="26" t="s">
        <v>1539</v>
      </c>
      <c r="AG10" s="26" t="s">
        <v>85</v>
      </c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42" t="s">
        <v>1540</v>
      </c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68"/>
    </row>
    <row r="11" spans="1:56" ht="15" customHeight="1" x14ac:dyDescent="0.3">
      <c r="A11" s="54">
        <f>IF(B11="","",COUNTA($B$8:B11))</f>
        <v>4</v>
      </c>
      <c r="B11" s="42" t="s">
        <v>1534</v>
      </c>
      <c r="C11" s="41"/>
      <c r="D11" s="41"/>
      <c r="E11" s="41"/>
      <c r="F11" s="41"/>
      <c r="G11" s="41"/>
      <c r="H11" s="41"/>
      <c r="I11" s="31" t="str">
        <f>VLOOKUP(B11,Sheet1!A:B,2,FALSE)</f>
        <v>name</v>
      </c>
      <c r="J11" s="32"/>
      <c r="K11" s="32"/>
      <c r="L11" s="32"/>
      <c r="M11" s="32"/>
      <c r="N11" s="32"/>
      <c r="O11" s="32"/>
      <c r="P11" s="32"/>
      <c r="Q11" s="32"/>
      <c r="R11" s="42" t="s">
        <v>1534</v>
      </c>
      <c r="S11" s="41"/>
      <c r="T11" s="41"/>
      <c r="U11" s="41"/>
      <c r="V11" s="41"/>
      <c r="W11" s="41"/>
      <c r="X11" s="41"/>
      <c r="Y11" s="139" t="s">
        <v>111</v>
      </c>
      <c r="Z11" s="140"/>
      <c r="AA11" s="141" t="s">
        <v>107</v>
      </c>
      <c r="AB11" s="142"/>
      <c r="AC11" s="143"/>
      <c r="AD11" s="72">
        <v>30</v>
      </c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42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68"/>
    </row>
    <row r="12" spans="1:56" ht="15" customHeight="1" x14ac:dyDescent="0.3">
      <c r="A12" s="54">
        <f>IF(B12="","",COUNTA($B$8:B12))</f>
        <v>5</v>
      </c>
      <c r="B12" s="42" t="s">
        <v>1535</v>
      </c>
      <c r="C12" s="41"/>
      <c r="D12" s="41"/>
      <c r="E12" s="41"/>
      <c r="F12" s="41"/>
      <c r="G12" s="41"/>
      <c r="H12" s="41"/>
      <c r="I12" s="31" t="str">
        <f>VLOOKUP(B12,Sheet1!A:B,2,FALSE)</f>
        <v>koguchi_su</v>
      </c>
      <c r="J12" s="32"/>
      <c r="K12" s="32"/>
      <c r="L12" s="32"/>
      <c r="M12" s="32"/>
      <c r="N12" s="32"/>
      <c r="O12" s="32"/>
      <c r="P12" s="32"/>
      <c r="Q12" s="32"/>
      <c r="R12" s="42" t="s">
        <v>1535</v>
      </c>
      <c r="S12" s="41"/>
      <c r="T12" s="41"/>
      <c r="U12" s="41"/>
      <c r="V12" s="41"/>
      <c r="W12" s="41"/>
      <c r="X12" s="41"/>
      <c r="Y12" s="139" t="s">
        <v>108</v>
      </c>
      <c r="Z12" s="140"/>
      <c r="AA12" s="141" t="s">
        <v>110</v>
      </c>
      <c r="AB12" s="142"/>
      <c r="AC12" s="143"/>
      <c r="AD12" s="72">
        <v>3</v>
      </c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42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68"/>
    </row>
    <row r="13" spans="1:56" ht="15" customHeight="1" x14ac:dyDescent="0.3">
      <c r="A13" s="54">
        <f>IF(B13="","",COUNTA($B$8:B13))</f>
        <v>6</v>
      </c>
      <c r="B13" s="18" t="s">
        <v>182</v>
      </c>
      <c r="C13" s="19"/>
      <c r="D13" s="19"/>
      <c r="E13" s="19"/>
      <c r="F13" s="19"/>
      <c r="G13" s="19"/>
      <c r="H13" s="22"/>
      <c r="I13" s="31" t="str">
        <f>VLOOKUP(B13,Sheet1!A:B,2,FALSE)</f>
        <v>shukan_busho_cd</v>
      </c>
      <c r="J13" s="21"/>
      <c r="K13" s="21"/>
      <c r="L13" s="21"/>
      <c r="M13" s="21"/>
      <c r="N13" s="21"/>
      <c r="O13" s="21"/>
      <c r="P13" s="21"/>
      <c r="Q13" s="33"/>
      <c r="R13" s="18" t="s">
        <v>184</v>
      </c>
      <c r="S13" s="21"/>
      <c r="T13" s="21"/>
      <c r="U13" s="21"/>
      <c r="V13" s="21"/>
      <c r="W13" s="21"/>
      <c r="X13" s="22"/>
      <c r="Y13" s="139" t="s">
        <v>56</v>
      </c>
      <c r="Z13" s="184"/>
      <c r="AA13" s="141" t="s">
        <v>107</v>
      </c>
      <c r="AB13" s="142"/>
      <c r="AC13" s="143"/>
      <c r="AD13" s="25">
        <v>4</v>
      </c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7"/>
      <c r="AP13" s="27"/>
      <c r="AQ13" s="27"/>
      <c r="AR13" s="27"/>
      <c r="AS13" s="28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70"/>
    </row>
    <row r="14" spans="1:56" ht="15" customHeight="1" x14ac:dyDescent="0.3">
      <c r="A14" s="54">
        <f>IF(B14="","",COUNTA($B$8:B14))</f>
        <v>7</v>
      </c>
      <c r="B14" s="18" t="s">
        <v>183</v>
      </c>
      <c r="C14" s="19"/>
      <c r="D14" s="19"/>
      <c r="E14" s="19"/>
      <c r="F14" s="19"/>
      <c r="G14" s="19"/>
      <c r="H14" s="22"/>
      <c r="I14" s="31" t="str">
        <f>VLOOKUP(B14,Sheet1!A:B,2,FALSE)</f>
        <v>shukan_kotei_cd</v>
      </c>
      <c r="J14" s="21"/>
      <c r="K14" s="21"/>
      <c r="L14" s="21"/>
      <c r="M14" s="21"/>
      <c r="N14" s="21"/>
      <c r="O14" s="21"/>
      <c r="P14" s="21"/>
      <c r="Q14" s="33"/>
      <c r="R14" s="18" t="s">
        <v>183</v>
      </c>
      <c r="S14" s="21"/>
      <c r="T14" s="21"/>
      <c r="U14" s="21"/>
      <c r="V14" s="21"/>
      <c r="W14" s="21"/>
      <c r="X14" s="22"/>
      <c r="Y14" s="18" t="s">
        <v>56</v>
      </c>
      <c r="Z14" s="35"/>
      <c r="AA14" s="23" t="s">
        <v>107</v>
      </c>
      <c r="AB14" s="24"/>
      <c r="AC14" s="36"/>
      <c r="AD14" s="25">
        <v>4</v>
      </c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7"/>
      <c r="AP14" s="27"/>
      <c r="AQ14" s="27"/>
      <c r="AR14" s="27"/>
      <c r="AS14" s="28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70"/>
    </row>
    <row r="15" spans="1:56" ht="15" customHeight="1" x14ac:dyDescent="0.3">
      <c r="A15" s="54">
        <f>IF(B15="","",COUNTA($B$8:B15))</f>
        <v>8</v>
      </c>
      <c r="B15" s="18" t="s">
        <v>1095</v>
      </c>
      <c r="C15" s="41"/>
      <c r="D15" s="41"/>
      <c r="E15" s="41"/>
      <c r="F15" s="41"/>
      <c r="G15" s="41"/>
      <c r="H15" s="41"/>
      <c r="I15" s="31" t="str">
        <f>VLOOKUP(B15,Sheet1!A:B,2,FALSE)</f>
        <v>insert_func_cd</v>
      </c>
      <c r="J15" s="32"/>
      <c r="K15" s="32"/>
      <c r="L15" s="32"/>
      <c r="M15" s="32"/>
      <c r="N15" s="32"/>
      <c r="O15" s="32"/>
      <c r="P15" s="32"/>
      <c r="Q15" s="32"/>
      <c r="R15" s="18" t="s">
        <v>1095</v>
      </c>
      <c r="S15" s="41"/>
      <c r="T15" s="41"/>
      <c r="U15" s="41"/>
      <c r="V15" s="41"/>
      <c r="W15" s="41"/>
      <c r="X15" s="41"/>
      <c r="Y15" s="18" t="s">
        <v>111</v>
      </c>
      <c r="Z15" s="34"/>
      <c r="AA15" s="23" t="s">
        <v>107</v>
      </c>
      <c r="AB15" s="24"/>
      <c r="AC15" s="36"/>
      <c r="AD15" s="25">
        <v>10</v>
      </c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8"/>
      <c r="AP15" s="38"/>
      <c r="AQ15" s="38"/>
      <c r="AR15" s="38"/>
      <c r="AS15" s="39"/>
      <c r="AT15" s="40"/>
      <c r="AU15" s="69"/>
      <c r="AV15" s="69"/>
      <c r="AW15" s="43"/>
      <c r="AX15" s="43"/>
      <c r="AY15" s="43"/>
      <c r="AZ15" s="43"/>
      <c r="BA15" s="43"/>
      <c r="BB15" s="43"/>
      <c r="BC15" s="43"/>
      <c r="BD15" s="68"/>
    </row>
    <row r="16" spans="1:56" ht="15" customHeight="1" x14ac:dyDescent="0.3">
      <c r="A16" s="54">
        <f>IF(B16="","",COUNTA($B$8:B16))</f>
        <v>9</v>
      </c>
      <c r="B16" s="18" t="s">
        <v>112</v>
      </c>
      <c r="C16" s="41"/>
      <c r="D16" s="41"/>
      <c r="E16" s="41"/>
      <c r="F16" s="41"/>
      <c r="G16" s="41"/>
      <c r="H16" s="41"/>
      <c r="I16" s="31" t="str">
        <f>VLOOKUP(B16,Sheet1!A:B,2,FALSE)</f>
        <v>insert_user_cd</v>
      </c>
      <c r="J16" s="32"/>
      <c r="K16" s="32"/>
      <c r="L16" s="32"/>
      <c r="M16" s="32"/>
      <c r="N16" s="32"/>
      <c r="O16" s="32"/>
      <c r="P16" s="32"/>
      <c r="Q16" s="32"/>
      <c r="R16" s="18" t="s">
        <v>112</v>
      </c>
      <c r="S16" s="41"/>
      <c r="T16" s="41"/>
      <c r="U16" s="41"/>
      <c r="V16" s="41"/>
      <c r="W16" s="41"/>
      <c r="X16" s="41"/>
      <c r="Y16" s="18" t="s">
        <v>111</v>
      </c>
      <c r="Z16" s="34"/>
      <c r="AA16" s="23" t="s">
        <v>107</v>
      </c>
      <c r="AB16" s="24"/>
      <c r="AC16" s="36"/>
      <c r="AD16" s="25">
        <v>10</v>
      </c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7"/>
      <c r="AP16" s="27"/>
      <c r="AQ16" s="27"/>
      <c r="AR16" s="27"/>
      <c r="AS16" s="39"/>
      <c r="AT16" s="46"/>
      <c r="AU16" s="43"/>
      <c r="AV16" s="43"/>
      <c r="AW16" s="43"/>
      <c r="AX16" s="43"/>
      <c r="AY16" s="43"/>
      <c r="AZ16" s="43"/>
      <c r="BA16" s="43"/>
      <c r="BB16" s="43"/>
      <c r="BC16" s="43"/>
      <c r="BD16" s="68"/>
    </row>
    <row r="17" spans="1:57" ht="15" customHeight="1" x14ac:dyDescent="0.3">
      <c r="A17" s="54">
        <f>IF(B17="","",COUNTA($B$8:B17))</f>
        <v>10</v>
      </c>
      <c r="B17" s="18" t="s">
        <v>113</v>
      </c>
      <c r="C17" s="41"/>
      <c r="D17" s="41"/>
      <c r="E17" s="41"/>
      <c r="F17" s="41"/>
      <c r="G17" s="41"/>
      <c r="H17" s="41"/>
      <c r="I17" s="31" t="str">
        <f>VLOOKUP(B17,Sheet1!A:B,2,FALSE)</f>
        <v>insert_datetime</v>
      </c>
      <c r="J17" s="32"/>
      <c r="K17" s="32"/>
      <c r="L17" s="32"/>
      <c r="M17" s="32"/>
      <c r="N17" s="32"/>
      <c r="O17" s="32"/>
      <c r="P17" s="32"/>
      <c r="Q17" s="32"/>
      <c r="R17" s="18" t="s">
        <v>113</v>
      </c>
      <c r="S17" s="41"/>
      <c r="T17" s="41"/>
      <c r="U17" s="41"/>
      <c r="V17" s="41"/>
      <c r="W17" s="41"/>
      <c r="X17" s="41"/>
      <c r="Y17" s="18" t="s">
        <v>87</v>
      </c>
      <c r="Z17" s="34"/>
      <c r="AA17" s="23" t="s">
        <v>109</v>
      </c>
      <c r="AB17" s="24"/>
      <c r="AC17" s="36"/>
      <c r="AD17" s="55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7"/>
      <c r="AP17" s="27"/>
      <c r="AQ17" s="27"/>
      <c r="AR17" s="27"/>
      <c r="AS17" s="39"/>
      <c r="AT17" s="46"/>
      <c r="AU17" s="43"/>
      <c r="AV17" s="43"/>
      <c r="AW17" s="43"/>
      <c r="AX17" s="43"/>
      <c r="AY17" s="43"/>
      <c r="AZ17" s="43"/>
      <c r="BA17" s="43"/>
      <c r="BB17" s="43"/>
      <c r="BC17" s="43"/>
      <c r="BD17" s="68"/>
    </row>
    <row r="18" spans="1:57" ht="15" customHeight="1" x14ac:dyDescent="0.3">
      <c r="A18" s="54">
        <f>IF(B18="","",COUNTA($B$8:B18))</f>
        <v>11</v>
      </c>
      <c r="B18" s="18" t="s">
        <v>1094</v>
      </c>
      <c r="C18" s="41"/>
      <c r="D18" s="41"/>
      <c r="E18" s="41"/>
      <c r="F18" s="41"/>
      <c r="G18" s="41"/>
      <c r="H18" s="41"/>
      <c r="I18" s="31" t="str">
        <f>VLOOKUP(B18,Sheet1!A:B,2,FALSE)</f>
        <v>update_func_cd</v>
      </c>
      <c r="J18" s="32"/>
      <c r="K18" s="32"/>
      <c r="L18" s="32"/>
      <c r="M18" s="32"/>
      <c r="N18" s="32"/>
      <c r="O18" s="32"/>
      <c r="P18" s="32"/>
      <c r="Q18" s="32"/>
      <c r="R18" s="18" t="s">
        <v>1094</v>
      </c>
      <c r="S18" s="41"/>
      <c r="T18" s="41"/>
      <c r="U18" s="41"/>
      <c r="V18" s="41"/>
      <c r="W18" s="41"/>
      <c r="X18" s="41"/>
      <c r="Y18" s="18" t="s">
        <v>111</v>
      </c>
      <c r="Z18" s="34"/>
      <c r="AA18" s="23" t="s">
        <v>107</v>
      </c>
      <c r="AB18" s="24"/>
      <c r="AC18" s="36"/>
      <c r="AD18" s="25">
        <v>10</v>
      </c>
      <c r="AE18" s="37"/>
      <c r="AF18" s="37"/>
      <c r="AG18" s="37"/>
      <c r="AH18" s="37"/>
      <c r="AI18" s="37"/>
      <c r="AJ18" s="37"/>
      <c r="AK18" s="37"/>
      <c r="AL18" s="37"/>
      <c r="AM18" s="37"/>
      <c r="AN18" s="37"/>
      <c r="AO18" s="38"/>
      <c r="AP18" s="38"/>
      <c r="AQ18" s="38"/>
      <c r="AR18" s="38"/>
      <c r="AS18" s="39"/>
      <c r="AT18" s="40"/>
      <c r="AU18" s="43"/>
      <c r="AV18" s="43"/>
      <c r="AW18" s="43"/>
      <c r="AX18" s="43"/>
      <c r="AY18" s="43"/>
      <c r="AZ18" s="43"/>
      <c r="BA18" s="43"/>
      <c r="BB18" s="43"/>
      <c r="BC18" s="43"/>
      <c r="BD18" s="68"/>
    </row>
    <row r="19" spans="1:57" ht="15" customHeight="1" x14ac:dyDescent="0.3">
      <c r="A19" s="54">
        <f>IF(B19="","",COUNTA($B$8:B19))</f>
        <v>12</v>
      </c>
      <c r="B19" s="18" t="s">
        <v>114</v>
      </c>
      <c r="C19" s="19"/>
      <c r="D19" s="19"/>
      <c r="E19" s="19"/>
      <c r="F19" s="19"/>
      <c r="G19" s="19"/>
      <c r="H19" s="19"/>
      <c r="I19" s="31" t="str">
        <f>VLOOKUP(B19,Sheet1!A:B,2,FALSE)</f>
        <v>update_user_cd</v>
      </c>
      <c r="J19" s="21"/>
      <c r="K19" s="21"/>
      <c r="L19" s="21"/>
      <c r="M19" s="21"/>
      <c r="N19" s="21"/>
      <c r="O19" s="21"/>
      <c r="P19" s="21"/>
      <c r="Q19" s="21"/>
      <c r="R19" s="18" t="s">
        <v>114</v>
      </c>
      <c r="S19" s="19"/>
      <c r="T19" s="19"/>
      <c r="U19" s="19"/>
      <c r="V19" s="19"/>
      <c r="W19" s="19"/>
      <c r="X19" s="19"/>
      <c r="Y19" s="18" t="s">
        <v>111</v>
      </c>
      <c r="Z19" s="34"/>
      <c r="AA19" s="23" t="s">
        <v>107</v>
      </c>
      <c r="AB19" s="24"/>
      <c r="AC19" s="36"/>
      <c r="AD19" s="55">
        <v>10</v>
      </c>
      <c r="AE19" s="37"/>
      <c r="AF19" s="37"/>
      <c r="AG19" s="37"/>
      <c r="AH19" s="37"/>
      <c r="AI19" s="37"/>
      <c r="AJ19" s="37"/>
      <c r="AK19" s="37"/>
      <c r="AL19" s="37"/>
      <c r="AM19" s="37"/>
      <c r="AN19" s="37"/>
      <c r="AO19" s="38"/>
      <c r="AP19" s="38"/>
      <c r="AQ19" s="38"/>
      <c r="AR19" s="38"/>
      <c r="AS19" s="39"/>
      <c r="AT19" s="40"/>
      <c r="AU19" s="43"/>
      <c r="AV19" s="43"/>
      <c r="AW19" s="43"/>
      <c r="AX19" s="43"/>
      <c r="AY19" s="43"/>
      <c r="AZ19" s="43"/>
      <c r="BA19" s="43"/>
      <c r="BB19" s="43"/>
      <c r="BC19" s="43"/>
      <c r="BD19" s="68"/>
    </row>
    <row r="20" spans="1:57" ht="15" customHeight="1" x14ac:dyDescent="0.3">
      <c r="A20" s="54">
        <f>IF(B20="","",COUNTA($B$8:B20))</f>
        <v>13</v>
      </c>
      <c r="B20" s="18" t="s">
        <v>115</v>
      </c>
      <c r="C20" s="19"/>
      <c r="D20" s="19"/>
      <c r="E20" s="19"/>
      <c r="F20" s="19"/>
      <c r="G20" s="19"/>
      <c r="H20" s="19"/>
      <c r="I20" s="31" t="str">
        <f>VLOOKUP(B20,Sheet1!A:B,2,FALSE)</f>
        <v>update_datetime</v>
      </c>
      <c r="J20" s="21"/>
      <c r="K20" s="21"/>
      <c r="L20" s="21"/>
      <c r="M20" s="21"/>
      <c r="N20" s="21"/>
      <c r="O20" s="21"/>
      <c r="P20" s="21"/>
      <c r="Q20" s="21"/>
      <c r="R20" s="18" t="s">
        <v>115</v>
      </c>
      <c r="S20" s="19"/>
      <c r="T20" s="19"/>
      <c r="U20" s="19"/>
      <c r="V20" s="19"/>
      <c r="W20" s="19"/>
      <c r="X20" s="19"/>
      <c r="Y20" s="18" t="s">
        <v>87</v>
      </c>
      <c r="Z20" s="34"/>
      <c r="AA20" s="23" t="s">
        <v>109</v>
      </c>
      <c r="AB20" s="24"/>
      <c r="AC20" s="36"/>
      <c r="AD20" s="55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42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68"/>
    </row>
    <row r="21" spans="1:57" s="49" customFormat="1" ht="15" customHeight="1" x14ac:dyDescent="0.3">
      <c r="A21" s="54" t="str">
        <f>IF(B21="","",COUNTA($B$8:B21))</f>
        <v/>
      </c>
      <c r="B21" s="18"/>
      <c r="C21" s="19"/>
      <c r="D21" s="19"/>
      <c r="E21" s="19"/>
      <c r="F21" s="19"/>
      <c r="G21" s="19"/>
      <c r="H21" s="19"/>
      <c r="I21" s="20"/>
      <c r="J21" s="21"/>
      <c r="K21" s="21"/>
      <c r="L21" s="21"/>
      <c r="M21" s="21"/>
      <c r="N21" s="21"/>
      <c r="O21" s="21"/>
      <c r="P21" s="21"/>
      <c r="Q21" s="21"/>
      <c r="R21" s="18"/>
      <c r="S21" s="19"/>
      <c r="T21" s="19"/>
      <c r="U21" s="19"/>
      <c r="V21" s="19"/>
      <c r="W21" s="19"/>
      <c r="X21" s="19"/>
      <c r="Y21" s="139"/>
      <c r="Z21" s="140"/>
      <c r="AA21" s="141"/>
      <c r="AB21" s="142"/>
      <c r="AC21" s="143"/>
      <c r="AD21" s="55"/>
      <c r="AE21" s="26"/>
      <c r="AF21" s="47"/>
      <c r="AG21" s="47"/>
      <c r="AH21" s="47"/>
      <c r="AI21" s="47"/>
      <c r="AJ21" s="47"/>
      <c r="AK21" s="47"/>
      <c r="AL21" s="47"/>
      <c r="AM21" s="47"/>
      <c r="AN21" s="47"/>
      <c r="AO21" s="48"/>
      <c r="AP21" s="48"/>
      <c r="AQ21" s="48"/>
      <c r="AR21" s="48"/>
      <c r="AS21" s="28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30"/>
    </row>
    <row r="22" spans="1:57" ht="15" customHeight="1" x14ac:dyDescent="0.3">
      <c r="A22" s="54" t="str">
        <f>IF(B22="","",COUNTA($B$8:B22))</f>
        <v/>
      </c>
      <c r="B22" s="42"/>
      <c r="C22" s="41"/>
      <c r="D22" s="41"/>
      <c r="E22" s="41"/>
      <c r="F22" s="41"/>
      <c r="G22" s="41"/>
      <c r="H22" s="41"/>
      <c r="I22" s="31"/>
      <c r="J22" s="32"/>
      <c r="K22" s="32"/>
      <c r="L22" s="32"/>
      <c r="M22" s="32"/>
      <c r="N22" s="32"/>
      <c r="O22" s="32"/>
      <c r="P22" s="32"/>
      <c r="Q22" s="32"/>
      <c r="R22" s="42"/>
      <c r="S22" s="41"/>
      <c r="T22" s="41"/>
      <c r="U22" s="41"/>
      <c r="V22" s="41"/>
      <c r="W22" s="41"/>
      <c r="X22" s="41"/>
      <c r="Y22" s="139"/>
      <c r="Z22" s="140"/>
      <c r="AA22" s="141"/>
      <c r="AB22" s="142"/>
      <c r="AC22" s="143"/>
      <c r="AD22" s="72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42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68"/>
    </row>
    <row r="23" spans="1:57" ht="15" customHeight="1" x14ac:dyDescent="0.3">
      <c r="A23" s="54" t="str">
        <f>IF(B23="","",COUNTA($B$8:B23))</f>
        <v/>
      </c>
      <c r="B23" s="42"/>
      <c r="C23" s="41"/>
      <c r="D23" s="41"/>
      <c r="E23" s="41"/>
      <c r="F23" s="41"/>
      <c r="G23" s="41"/>
      <c r="H23" s="41"/>
      <c r="I23" s="31"/>
      <c r="J23" s="32"/>
      <c r="K23" s="32"/>
      <c r="L23" s="32"/>
      <c r="M23" s="32"/>
      <c r="N23" s="32"/>
      <c r="O23" s="32"/>
      <c r="P23" s="32"/>
      <c r="Q23" s="32"/>
      <c r="R23" s="42"/>
      <c r="S23" s="41"/>
      <c r="T23" s="41"/>
      <c r="U23" s="41"/>
      <c r="V23" s="41"/>
      <c r="W23" s="41"/>
      <c r="X23" s="41"/>
      <c r="Y23" s="139"/>
      <c r="Z23" s="140"/>
      <c r="AA23" s="141"/>
      <c r="AB23" s="142"/>
      <c r="AC23" s="143"/>
      <c r="AD23" s="72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50"/>
      <c r="AT23" s="51"/>
      <c r="AU23" s="51"/>
      <c r="AV23" s="51"/>
      <c r="AW23" s="51"/>
      <c r="AX23" s="51"/>
      <c r="AY23" s="51"/>
      <c r="AZ23" s="51"/>
      <c r="BA23" s="51"/>
      <c r="BB23" s="51"/>
      <c r="BC23" s="51"/>
      <c r="BD23" s="52"/>
      <c r="BE23" s="53"/>
    </row>
    <row r="24" spans="1:57" ht="15" customHeight="1" x14ac:dyDescent="0.3">
      <c r="A24" s="54" t="str">
        <f>IF(B24="","",COUNTA($B$8:B24))</f>
        <v/>
      </c>
      <c r="B24" s="42"/>
      <c r="C24" s="41"/>
      <c r="D24" s="41"/>
      <c r="E24" s="41"/>
      <c r="F24" s="41"/>
      <c r="G24" s="41"/>
      <c r="H24" s="41"/>
      <c r="I24" s="31"/>
      <c r="J24" s="32"/>
      <c r="K24" s="32"/>
      <c r="L24" s="32"/>
      <c r="M24" s="32"/>
      <c r="N24" s="32"/>
      <c r="O24" s="32"/>
      <c r="P24" s="32"/>
      <c r="Q24" s="32"/>
      <c r="R24" s="42"/>
      <c r="S24" s="41"/>
      <c r="T24" s="41"/>
      <c r="U24" s="41"/>
      <c r="V24" s="41"/>
      <c r="W24" s="41"/>
      <c r="X24" s="41"/>
      <c r="Y24" s="139"/>
      <c r="Z24" s="140"/>
      <c r="AA24" s="141"/>
      <c r="AB24" s="142"/>
      <c r="AC24" s="143"/>
      <c r="AD24" s="72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50"/>
      <c r="AT24" s="51"/>
      <c r="AU24" s="51"/>
      <c r="AV24" s="51"/>
      <c r="AW24" s="51"/>
      <c r="AX24" s="51"/>
      <c r="AY24" s="51"/>
      <c r="AZ24" s="51"/>
      <c r="BA24" s="51"/>
      <c r="BB24" s="51"/>
      <c r="BC24" s="51"/>
      <c r="BD24" s="52"/>
      <c r="BE24" s="53"/>
    </row>
    <row r="25" spans="1:57" ht="15" customHeight="1" x14ac:dyDescent="0.3">
      <c r="A25" s="54" t="str">
        <f>IF(B25="","",COUNTA($B$8:B25))</f>
        <v/>
      </c>
      <c r="B25" s="42"/>
      <c r="C25" s="41"/>
      <c r="D25" s="41"/>
      <c r="E25" s="41"/>
      <c r="F25" s="41"/>
      <c r="G25" s="41"/>
      <c r="H25" s="41"/>
      <c r="I25" s="31"/>
      <c r="J25" s="32"/>
      <c r="K25" s="32"/>
      <c r="L25" s="32"/>
      <c r="M25" s="32"/>
      <c r="N25" s="32"/>
      <c r="O25" s="32"/>
      <c r="P25" s="32"/>
      <c r="Q25" s="32"/>
      <c r="R25" s="42"/>
      <c r="S25" s="41"/>
      <c r="T25" s="41"/>
      <c r="U25" s="41"/>
      <c r="V25" s="41"/>
      <c r="W25" s="41"/>
      <c r="X25" s="41"/>
      <c r="Y25" s="139"/>
      <c r="Z25" s="140"/>
      <c r="AA25" s="141"/>
      <c r="AB25" s="142"/>
      <c r="AC25" s="143"/>
      <c r="AD25" s="72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50"/>
      <c r="AT25" s="51"/>
      <c r="AU25" s="51"/>
      <c r="AV25" s="51"/>
      <c r="AW25" s="51"/>
      <c r="AX25" s="51"/>
      <c r="AY25" s="51"/>
      <c r="AZ25" s="51"/>
      <c r="BA25" s="51"/>
      <c r="BB25" s="51"/>
      <c r="BC25" s="51"/>
      <c r="BD25" s="52"/>
      <c r="BE25" s="53"/>
    </row>
    <row r="26" spans="1:57" ht="15" customHeight="1" x14ac:dyDescent="0.3">
      <c r="A26" s="54" t="str">
        <f>IF(B26="","",COUNTA($B$8:B26))</f>
        <v/>
      </c>
      <c r="B26" s="42"/>
      <c r="C26" s="41"/>
      <c r="D26" s="41"/>
      <c r="E26" s="41"/>
      <c r="F26" s="41"/>
      <c r="G26" s="41"/>
      <c r="H26" s="41"/>
      <c r="I26" s="31"/>
      <c r="J26" s="32"/>
      <c r="K26" s="32"/>
      <c r="L26" s="32"/>
      <c r="M26" s="32"/>
      <c r="N26" s="32"/>
      <c r="O26" s="32"/>
      <c r="P26" s="32"/>
      <c r="Q26" s="32"/>
      <c r="R26" s="42"/>
      <c r="S26" s="41"/>
      <c r="T26" s="41"/>
      <c r="U26" s="41"/>
      <c r="V26" s="41"/>
      <c r="W26" s="41"/>
      <c r="X26" s="41"/>
      <c r="Y26" s="139"/>
      <c r="Z26" s="140"/>
      <c r="AA26" s="141"/>
      <c r="AB26" s="142"/>
      <c r="AC26" s="143"/>
      <c r="AD26" s="72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50"/>
      <c r="AT26" s="51"/>
      <c r="AU26" s="51"/>
      <c r="AV26" s="51"/>
      <c r="AW26" s="51"/>
      <c r="AX26" s="51"/>
      <c r="AY26" s="51"/>
      <c r="AZ26" s="51"/>
      <c r="BA26" s="51"/>
      <c r="BB26" s="51"/>
      <c r="BC26" s="51"/>
      <c r="BD26" s="52"/>
      <c r="BE26" s="53"/>
    </row>
    <row r="27" spans="1:57" ht="15" customHeight="1" x14ac:dyDescent="0.3">
      <c r="A27" s="54" t="str">
        <f>IF(B27="","",COUNTA($B$8:B27))</f>
        <v/>
      </c>
      <c r="B27" s="42"/>
      <c r="C27" s="41"/>
      <c r="D27" s="41"/>
      <c r="E27" s="41"/>
      <c r="F27" s="41"/>
      <c r="G27" s="41"/>
      <c r="H27" s="41"/>
      <c r="I27" s="31"/>
      <c r="J27" s="32"/>
      <c r="K27" s="32"/>
      <c r="L27" s="32"/>
      <c r="M27" s="32"/>
      <c r="N27" s="32"/>
      <c r="O27" s="32"/>
      <c r="P27" s="32"/>
      <c r="Q27" s="32"/>
      <c r="R27" s="42"/>
      <c r="S27" s="41"/>
      <c r="T27" s="41"/>
      <c r="U27" s="41"/>
      <c r="V27" s="41"/>
      <c r="W27" s="41"/>
      <c r="X27" s="41"/>
      <c r="Y27" s="139"/>
      <c r="Z27" s="140"/>
      <c r="AA27" s="141"/>
      <c r="AB27" s="142"/>
      <c r="AC27" s="143"/>
      <c r="AD27" s="72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50"/>
      <c r="AT27" s="51"/>
      <c r="AU27" s="51"/>
      <c r="AV27" s="51"/>
      <c r="AW27" s="51"/>
      <c r="AX27" s="51"/>
      <c r="AY27" s="51"/>
      <c r="AZ27" s="51"/>
      <c r="BA27" s="51"/>
      <c r="BB27" s="51"/>
      <c r="BC27" s="51"/>
      <c r="BD27" s="52"/>
      <c r="BE27" s="53"/>
    </row>
    <row r="28" spans="1:57" ht="15" customHeight="1" x14ac:dyDescent="0.3">
      <c r="A28" s="54" t="str">
        <f>IF(B28="","",COUNTA($B$8:B28))</f>
        <v/>
      </c>
      <c r="B28" s="42"/>
      <c r="C28" s="41"/>
      <c r="D28" s="41"/>
      <c r="E28" s="41"/>
      <c r="F28" s="41"/>
      <c r="G28" s="41"/>
      <c r="H28" s="41"/>
      <c r="I28" s="31"/>
      <c r="J28" s="32"/>
      <c r="K28" s="32"/>
      <c r="L28" s="32"/>
      <c r="M28" s="32"/>
      <c r="N28" s="32"/>
      <c r="O28" s="32"/>
      <c r="P28" s="32"/>
      <c r="Q28" s="32"/>
      <c r="R28" s="42"/>
      <c r="S28" s="41"/>
      <c r="T28" s="41"/>
      <c r="U28" s="41"/>
      <c r="V28" s="41"/>
      <c r="W28" s="41"/>
      <c r="X28" s="41"/>
      <c r="Y28" s="139"/>
      <c r="Z28" s="140"/>
      <c r="AA28" s="141"/>
      <c r="AB28" s="142"/>
      <c r="AC28" s="143"/>
      <c r="AD28" s="72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50"/>
      <c r="AT28" s="51"/>
      <c r="AU28" s="51"/>
      <c r="AV28" s="51"/>
      <c r="AW28" s="51"/>
      <c r="AX28" s="51"/>
      <c r="AY28" s="51"/>
      <c r="AZ28" s="51"/>
      <c r="BA28" s="51"/>
      <c r="BB28" s="51"/>
      <c r="BC28" s="51"/>
      <c r="BD28" s="52"/>
      <c r="BE28" s="53"/>
    </row>
    <row r="29" spans="1:57" ht="15" customHeight="1" x14ac:dyDescent="0.3">
      <c r="A29" s="54" t="str">
        <f>IF(B29="","",COUNTA($B$8:B29))</f>
        <v/>
      </c>
      <c r="B29" s="42"/>
      <c r="C29" s="41"/>
      <c r="D29" s="41"/>
      <c r="E29" s="41"/>
      <c r="F29" s="41"/>
      <c r="G29" s="41"/>
      <c r="H29" s="41"/>
      <c r="I29" s="31"/>
      <c r="J29" s="32"/>
      <c r="K29" s="32"/>
      <c r="L29" s="32"/>
      <c r="M29" s="32"/>
      <c r="N29" s="32"/>
      <c r="O29" s="32"/>
      <c r="P29" s="32"/>
      <c r="Q29" s="32"/>
      <c r="R29" s="42"/>
      <c r="S29" s="41"/>
      <c r="T29" s="41"/>
      <c r="U29" s="41"/>
      <c r="V29" s="41"/>
      <c r="W29" s="41"/>
      <c r="X29" s="41"/>
      <c r="Y29" s="139"/>
      <c r="Z29" s="140"/>
      <c r="AA29" s="141"/>
      <c r="AB29" s="142"/>
      <c r="AC29" s="143"/>
      <c r="AD29" s="72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50"/>
      <c r="AT29" s="51"/>
      <c r="AU29" s="51"/>
      <c r="AV29" s="51"/>
      <c r="AW29" s="51"/>
      <c r="AX29" s="51"/>
      <c r="AY29" s="51"/>
      <c r="AZ29" s="51"/>
      <c r="BA29" s="51"/>
      <c r="BB29" s="51"/>
      <c r="BC29" s="51"/>
      <c r="BD29" s="52"/>
      <c r="BE29" s="53"/>
    </row>
    <row r="30" spans="1:57" ht="15" customHeight="1" x14ac:dyDescent="0.3">
      <c r="A30" s="54" t="str">
        <f>IF(B30="","",COUNTA($B$8:B30))</f>
        <v/>
      </c>
      <c r="B30" s="42"/>
      <c r="C30" s="41"/>
      <c r="D30" s="41"/>
      <c r="E30" s="41"/>
      <c r="F30" s="41"/>
      <c r="G30" s="41"/>
      <c r="H30" s="41"/>
      <c r="I30" s="31"/>
      <c r="J30" s="32"/>
      <c r="K30" s="32"/>
      <c r="L30" s="32"/>
      <c r="M30" s="32"/>
      <c r="N30" s="32"/>
      <c r="O30" s="32"/>
      <c r="P30" s="32"/>
      <c r="Q30" s="32"/>
      <c r="R30" s="42"/>
      <c r="S30" s="41"/>
      <c r="T30" s="41"/>
      <c r="U30" s="41"/>
      <c r="V30" s="41"/>
      <c r="W30" s="41"/>
      <c r="X30" s="41"/>
      <c r="Y30" s="139"/>
      <c r="Z30" s="140"/>
      <c r="AA30" s="141"/>
      <c r="AB30" s="142"/>
      <c r="AC30" s="143"/>
      <c r="AD30" s="72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50"/>
      <c r="AT30" s="51"/>
      <c r="AU30" s="51"/>
      <c r="AV30" s="51"/>
      <c r="AW30" s="51"/>
      <c r="AX30" s="51"/>
      <c r="AY30" s="51"/>
      <c r="AZ30" s="51"/>
      <c r="BA30" s="51"/>
      <c r="BB30" s="51"/>
      <c r="BC30" s="51"/>
      <c r="BD30" s="52"/>
      <c r="BE30" s="53"/>
    </row>
    <row r="31" spans="1:57" ht="15" customHeight="1" x14ac:dyDescent="0.3">
      <c r="A31" s="54" t="str">
        <f>IF(B31="","",COUNTA($B$8:B31))</f>
        <v/>
      </c>
      <c r="B31" s="42"/>
      <c r="C31" s="41"/>
      <c r="D31" s="41"/>
      <c r="E31" s="41"/>
      <c r="F31" s="41"/>
      <c r="G31" s="41"/>
      <c r="H31" s="41"/>
      <c r="I31" s="31"/>
      <c r="J31" s="32"/>
      <c r="K31" s="32"/>
      <c r="L31" s="32"/>
      <c r="M31" s="32"/>
      <c r="N31" s="32"/>
      <c r="O31" s="32"/>
      <c r="P31" s="32"/>
      <c r="Q31" s="32"/>
      <c r="R31" s="42"/>
      <c r="S31" s="41"/>
      <c r="T31" s="41"/>
      <c r="U31" s="41"/>
      <c r="V31" s="41"/>
      <c r="W31" s="41"/>
      <c r="X31" s="41"/>
      <c r="Y31" s="139"/>
      <c r="Z31" s="140"/>
      <c r="AA31" s="141"/>
      <c r="AB31" s="142"/>
      <c r="AC31" s="143"/>
      <c r="AD31" s="72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50"/>
      <c r="AT31" s="51"/>
      <c r="AU31" s="51"/>
      <c r="AV31" s="51"/>
      <c r="AW31" s="51"/>
      <c r="AX31" s="51"/>
      <c r="AY31" s="51"/>
      <c r="AZ31" s="51"/>
      <c r="BA31" s="51"/>
      <c r="BB31" s="51"/>
      <c r="BC31" s="51"/>
      <c r="BD31" s="52"/>
      <c r="BE31" s="53"/>
    </row>
    <row r="32" spans="1:57" ht="15" customHeight="1" x14ac:dyDescent="0.3">
      <c r="A32" s="54" t="str">
        <f>IF(B32="","",COUNTA($B$8:B32))</f>
        <v/>
      </c>
      <c r="B32" s="42"/>
      <c r="C32" s="41"/>
      <c r="D32" s="41"/>
      <c r="E32" s="41"/>
      <c r="F32" s="41"/>
      <c r="G32" s="41"/>
      <c r="H32" s="41"/>
      <c r="I32" s="31"/>
      <c r="J32" s="32"/>
      <c r="K32" s="32"/>
      <c r="L32" s="32"/>
      <c r="M32" s="32"/>
      <c r="N32" s="32"/>
      <c r="O32" s="32"/>
      <c r="P32" s="32"/>
      <c r="Q32" s="32"/>
      <c r="R32" s="42"/>
      <c r="S32" s="41"/>
      <c r="T32" s="41"/>
      <c r="U32" s="41"/>
      <c r="V32" s="41"/>
      <c r="W32" s="41"/>
      <c r="X32" s="41"/>
      <c r="Y32" s="139"/>
      <c r="Z32" s="140"/>
      <c r="AA32" s="141"/>
      <c r="AB32" s="142"/>
      <c r="AC32" s="143"/>
      <c r="AD32" s="72"/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50"/>
      <c r="AT32" s="51"/>
      <c r="AU32" s="51"/>
      <c r="AV32" s="51"/>
      <c r="AW32" s="51"/>
      <c r="AX32" s="51"/>
      <c r="AY32" s="51"/>
      <c r="AZ32" s="51"/>
      <c r="BA32" s="51"/>
      <c r="BB32" s="51"/>
      <c r="BC32" s="51"/>
      <c r="BD32" s="52"/>
      <c r="BE32" s="53"/>
    </row>
    <row r="33" spans="1:57" ht="15" customHeight="1" x14ac:dyDescent="0.3">
      <c r="A33" s="54" t="str">
        <f>IF(B33="","",COUNTA($B$8:B33))</f>
        <v/>
      </c>
      <c r="B33" s="42"/>
      <c r="C33" s="41"/>
      <c r="D33" s="41"/>
      <c r="E33" s="41"/>
      <c r="F33" s="41"/>
      <c r="G33" s="41"/>
      <c r="H33" s="41"/>
      <c r="I33" s="31"/>
      <c r="J33" s="32"/>
      <c r="K33" s="32"/>
      <c r="L33" s="32"/>
      <c r="M33" s="32"/>
      <c r="N33" s="32"/>
      <c r="O33" s="32"/>
      <c r="P33" s="32"/>
      <c r="Q33" s="32"/>
      <c r="R33" s="42"/>
      <c r="S33" s="41"/>
      <c r="T33" s="41"/>
      <c r="U33" s="41"/>
      <c r="V33" s="41"/>
      <c r="W33" s="41"/>
      <c r="X33" s="41"/>
      <c r="Y33" s="139"/>
      <c r="Z33" s="140"/>
      <c r="AA33" s="141"/>
      <c r="AB33" s="142"/>
      <c r="AC33" s="143"/>
      <c r="AD33" s="72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50"/>
      <c r="AT33" s="51"/>
      <c r="AU33" s="51"/>
      <c r="AV33" s="51"/>
      <c r="AW33" s="51"/>
      <c r="AX33" s="51"/>
      <c r="AY33" s="51"/>
      <c r="AZ33" s="51"/>
      <c r="BA33" s="51"/>
      <c r="BB33" s="51"/>
      <c r="BC33" s="51"/>
      <c r="BD33" s="52"/>
      <c r="BE33" s="53"/>
    </row>
    <row r="34" spans="1:57" ht="15" customHeight="1" x14ac:dyDescent="0.3">
      <c r="A34" s="54" t="str">
        <f>IF(B34="","",COUNTA($B$8:B34))</f>
        <v/>
      </c>
      <c r="B34" s="42"/>
      <c r="C34" s="41"/>
      <c r="D34" s="41"/>
      <c r="E34" s="41"/>
      <c r="F34" s="41"/>
      <c r="G34" s="41"/>
      <c r="H34" s="41"/>
      <c r="I34" s="31"/>
      <c r="J34" s="32"/>
      <c r="K34" s="32"/>
      <c r="L34" s="32"/>
      <c r="M34" s="32"/>
      <c r="N34" s="32"/>
      <c r="O34" s="32"/>
      <c r="P34" s="32"/>
      <c r="Q34" s="32"/>
      <c r="R34" s="42"/>
      <c r="S34" s="41"/>
      <c r="T34" s="41"/>
      <c r="U34" s="41"/>
      <c r="V34" s="41"/>
      <c r="W34" s="41"/>
      <c r="X34" s="41"/>
      <c r="Y34" s="139"/>
      <c r="Z34" s="140"/>
      <c r="AA34" s="141"/>
      <c r="AB34" s="142"/>
      <c r="AC34" s="143"/>
      <c r="AD34" s="72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50"/>
      <c r="AT34" s="51"/>
      <c r="AU34" s="51"/>
      <c r="AV34" s="51"/>
      <c r="AW34" s="51"/>
      <c r="AX34" s="51"/>
      <c r="AY34" s="51"/>
      <c r="AZ34" s="51"/>
      <c r="BA34" s="51"/>
      <c r="BB34" s="51"/>
      <c r="BC34" s="51"/>
      <c r="BD34" s="52"/>
      <c r="BE34" s="53"/>
    </row>
    <row r="35" spans="1:57" ht="15" customHeight="1" x14ac:dyDescent="0.3">
      <c r="A35" s="54" t="str">
        <f>IF(B35="","",COUNTA($B$8:B35))</f>
        <v/>
      </c>
      <c r="B35" s="42"/>
      <c r="C35" s="41"/>
      <c r="D35" s="41"/>
      <c r="E35" s="41"/>
      <c r="F35" s="41"/>
      <c r="G35" s="41"/>
      <c r="H35" s="41"/>
      <c r="I35" s="31"/>
      <c r="J35" s="32"/>
      <c r="K35" s="32"/>
      <c r="L35" s="32"/>
      <c r="M35" s="32"/>
      <c r="N35" s="32"/>
      <c r="O35" s="32"/>
      <c r="P35" s="32"/>
      <c r="Q35" s="32"/>
      <c r="R35" s="42"/>
      <c r="S35" s="41"/>
      <c r="T35" s="41"/>
      <c r="U35" s="41"/>
      <c r="V35" s="41"/>
      <c r="W35" s="41"/>
      <c r="X35" s="41"/>
      <c r="Y35" s="139"/>
      <c r="Z35" s="140"/>
      <c r="AA35" s="141"/>
      <c r="AB35" s="142"/>
      <c r="AC35" s="143"/>
      <c r="AD35" s="72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50"/>
      <c r="AT35" s="51"/>
      <c r="AU35" s="51"/>
      <c r="AV35" s="51"/>
      <c r="AW35" s="51"/>
      <c r="AX35" s="51"/>
      <c r="AY35" s="51"/>
      <c r="AZ35" s="51"/>
      <c r="BA35" s="51"/>
      <c r="BB35" s="51"/>
      <c r="BC35" s="51"/>
      <c r="BD35" s="52"/>
      <c r="BE35" s="53"/>
    </row>
    <row r="36" spans="1:57" ht="15" customHeight="1" x14ac:dyDescent="0.3">
      <c r="A36" s="54" t="str">
        <f>IF(B36="","",COUNTA($B$8:B36))</f>
        <v/>
      </c>
      <c r="B36" s="42"/>
      <c r="C36" s="41"/>
      <c r="D36" s="41"/>
      <c r="E36" s="41"/>
      <c r="F36" s="41"/>
      <c r="G36" s="41"/>
      <c r="H36" s="41"/>
      <c r="I36" s="31"/>
      <c r="J36" s="32"/>
      <c r="K36" s="32"/>
      <c r="L36" s="32"/>
      <c r="M36" s="32"/>
      <c r="N36" s="32"/>
      <c r="O36" s="32"/>
      <c r="P36" s="32"/>
      <c r="Q36" s="32"/>
      <c r="R36" s="42"/>
      <c r="S36" s="41"/>
      <c r="T36" s="41"/>
      <c r="U36" s="41"/>
      <c r="V36" s="41"/>
      <c r="W36" s="41"/>
      <c r="X36" s="41"/>
      <c r="Y36" s="139"/>
      <c r="Z36" s="140"/>
      <c r="AA36" s="141"/>
      <c r="AB36" s="142"/>
      <c r="AC36" s="143"/>
      <c r="AD36" s="72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50"/>
      <c r="AT36" s="51"/>
      <c r="AU36" s="51"/>
      <c r="AV36" s="51"/>
      <c r="AW36" s="51"/>
      <c r="AX36" s="51"/>
      <c r="AY36" s="51"/>
      <c r="AZ36" s="51"/>
      <c r="BA36" s="51"/>
      <c r="BB36" s="51"/>
      <c r="BC36" s="51"/>
      <c r="BD36" s="52"/>
      <c r="BE36" s="53"/>
    </row>
    <row r="37" spans="1:57" ht="15" customHeight="1" x14ac:dyDescent="0.3">
      <c r="A37" s="54" t="str">
        <f>IF(B37="","",COUNTA($B$8:B37))</f>
        <v/>
      </c>
      <c r="B37" s="42"/>
      <c r="C37" s="41"/>
      <c r="D37" s="41"/>
      <c r="E37" s="41"/>
      <c r="F37" s="41"/>
      <c r="G37" s="41"/>
      <c r="H37" s="41"/>
      <c r="I37" s="31"/>
      <c r="J37" s="32"/>
      <c r="K37" s="32"/>
      <c r="L37" s="32"/>
      <c r="M37" s="32"/>
      <c r="N37" s="32"/>
      <c r="O37" s="32"/>
      <c r="P37" s="32"/>
      <c r="Q37" s="32"/>
      <c r="R37" s="42"/>
      <c r="S37" s="41"/>
      <c r="T37" s="41"/>
      <c r="U37" s="41"/>
      <c r="V37" s="41"/>
      <c r="W37" s="41"/>
      <c r="X37" s="41"/>
      <c r="Y37" s="139"/>
      <c r="Z37" s="140"/>
      <c r="AA37" s="141"/>
      <c r="AB37" s="142"/>
      <c r="AC37" s="143"/>
      <c r="AD37" s="72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50"/>
      <c r="AT37" s="51"/>
      <c r="AU37" s="51"/>
      <c r="AV37" s="51"/>
      <c r="AW37" s="51"/>
      <c r="AX37" s="51"/>
      <c r="AY37" s="51"/>
      <c r="AZ37" s="51"/>
      <c r="BA37" s="51"/>
      <c r="BB37" s="51"/>
      <c r="BC37" s="51"/>
      <c r="BD37" s="52"/>
      <c r="BE37" s="53"/>
    </row>
    <row r="38" spans="1:57" ht="15" customHeight="1" x14ac:dyDescent="0.3">
      <c r="A38" s="54" t="str">
        <f>IF(B38="","",COUNTA($B$8:B38))</f>
        <v/>
      </c>
      <c r="B38" s="42"/>
      <c r="C38" s="41"/>
      <c r="D38" s="41"/>
      <c r="E38" s="41"/>
      <c r="F38" s="41"/>
      <c r="G38" s="41"/>
      <c r="H38" s="41"/>
      <c r="I38" s="31"/>
      <c r="J38" s="32"/>
      <c r="K38" s="32"/>
      <c r="L38" s="32"/>
      <c r="M38" s="32"/>
      <c r="N38" s="32"/>
      <c r="O38" s="32"/>
      <c r="P38" s="32"/>
      <c r="Q38" s="32"/>
      <c r="R38" s="42"/>
      <c r="S38" s="41"/>
      <c r="T38" s="41"/>
      <c r="U38" s="41"/>
      <c r="V38" s="41"/>
      <c r="W38" s="41"/>
      <c r="X38" s="41"/>
      <c r="Y38" s="139"/>
      <c r="Z38" s="140"/>
      <c r="AA38" s="141"/>
      <c r="AB38" s="142"/>
      <c r="AC38" s="143"/>
      <c r="AD38" s="72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50"/>
      <c r="AT38" s="51"/>
      <c r="AU38" s="51"/>
      <c r="AV38" s="51"/>
      <c r="AW38" s="51"/>
      <c r="AX38" s="51"/>
      <c r="AY38" s="51"/>
      <c r="AZ38" s="51"/>
      <c r="BA38" s="51"/>
      <c r="BB38" s="51"/>
      <c r="BC38" s="51"/>
      <c r="BD38" s="52"/>
      <c r="BE38" s="53"/>
    </row>
    <row r="39" spans="1:57" ht="15" customHeight="1" x14ac:dyDescent="0.3">
      <c r="A39" s="54" t="str">
        <f>IF(B39="","",COUNTA($B$8:B39))</f>
        <v/>
      </c>
      <c r="B39" s="42"/>
      <c r="C39" s="41"/>
      <c r="D39" s="41"/>
      <c r="E39" s="41"/>
      <c r="F39" s="41"/>
      <c r="G39" s="41"/>
      <c r="H39" s="41"/>
      <c r="I39" s="31"/>
      <c r="J39" s="32"/>
      <c r="K39" s="32"/>
      <c r="L39" s="32"/>
      <c r="M39" s="32"/>
      <c r="N39" s="32"/>
      <c r="O39" s="32"/>
      <c r="P39" s="32"/>
      <c r="Q39" s="32"/>
      <c r="R39" s="42"/>
      <c r="S39" s="41"/>
      <c r="T39" s="41"/>
      <c r="U39" s="41"/>
      <c r="V39" s="41"/>
      <c r="W39" s="41"/>
      <c r="X39" s="41"/>
      <c r="Y39" s="139"/>
      <c r="Z39" s="140"/>
      <c r="AA39" s="141"/>
      <c r="AB39" s="142"/>
      <c r="AC39" s="143"/>
      <c r="AD39" s="72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50"/>
      <c r="AT39" s="51"/>
      <c r="AU39" s="51"/>
      <c r="AV39" s="51"/>
      <c r="AW39" s="51"/>
      <c r="AX39" s="51"/>
      <c r="AY39" s="51"/>
      <c r="AZ39" s="51"/>
      <c r="BA39" s="51"/>
      <c r="BB39" s="51"/>
      <c r="BC39" s="51"/>
      <c r="BD39" s="52"/>
      <c r="BE39" s="53"/>
    </row>
    <row r="40" spans="1:57" ht="15" customHeight="1" x14ac:dyDescent="0.3">
      <c r="A40" s="54" t="str">
        <f>IF(B40="","",COUNTA($B$8:B40))</f>
        <v/>
      </c>
      <c r="B40" s="42"/>
      <c r="C40" s="41"/>
      <c r="D40" s="41"/>
      <c r="E40" s="41"/>
      <c r="F40" s="41"/>
      <c r="G40" s="41"/>
      <c r="H40" s="41"/>
      <c r="I40" s="31"/>
      <c r="J40" s="32"/>
      <c r="K40" s="32"/>
      <c r="L40" s="32"/>
      <c r="M40" s="32"/>
      <c r="N40" s="32"/>
      <c r="O40" s="32"/>
      <c r="P40" s="32"/>
      <c r="Q40" s="32"/>
      <c r="R40" s="42"/>
      <c r="S40" s="41"/>
      <c r="T40" s="41"/>
      <c r="U40" s="41"/>
      <c r="V40" s="41"/>
      <c r="W40" s="41"/>
      <c r="X40" s="41"/>
      <c r="Y40" s="139"/>
      <c r="Z40" s="140"/>
      <c r="AA40" s="141"/>
      <c r="AB40" s="142"/>
      <c r="AC40" s="143"/>
      <c r="AD40" s="72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50"/>
      <c r="AT40" s="51"/>
      <c r="AU40" s="51"/>
      <c r="AV40" s="51"/>
      <c r="AW40" s="51"/>
      <c r="AX40" s="51"/>
      <c r="AY40" s="51"/>
      <c r="AZ40" s="51"/>
      <c r="BA40" s="51"/>
      <c r="BB40" s="51"/>
      <c r="BC40" s="51"/>
      <c r="BD40" s="52"/>
      <c r="BE40" s="53"/>
    </row>
    <row r="41" spans="1:57" ht="15" customHeight="1" x14ac:dyDescent="0.3">
      <c r="A41" s="54" t="str">
        <f>IF(B41="","",COUNTA($B$8:B41))</f>
        <v/>
      </c>
      <c r="B41" s="42"/>
      <c r="C41" s="41"/>
      <c r="D41" s="41"/>
      <c r="E41" s="41"/>
      <c r="F41" s="41"/>
      <c r="G41" s="41"/>
      <c r="H41" s="41"/>
      <c r="I41" s="31"/>
      <c r="J41" s="32"/>
      <c r="K41" s="32"/>
      <c r="L41" s="32"/>
      <c r="M41" s="32"/>
      <c r="N41" s="32"/>
      <c r="O41" s="32"/>
      <c r="P41" s="32"/>
      <c r="Q41" s="32"/>
      <c r="R41" s="42"/>
      <c r="S41" s="41"/>
      <c r="T41" s="41"/>
      <c r="U41" s="41"/>
      <c r="V41" s="41"/>
      <c r="W41" s="41"/>
      <c r="X41" s="41"/>
      <c r="Y41" s="139"/>
      <c r="Z41" s="140"/>
      <c r="AA41" s="141"/>
      <c r="AB41" s="142"/>
      <c r="AC41" s="143"/>
      <c r="AD41" s="72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50"/>
      <c r="AT41" s="51"/>
      <c r="AU41" s="51"/>
      <c r="AV41" s="51"/>
      <c r="AW41" s="51"/>
      <c r="AX41" s="51"/>
      <c r="AY41" s="51"/>
      <c r="AZ41" s="51"/>
      <c r="BA41" s="51"/>
      <c r="BB41" s="51"/>
      <c r="BC41" s="51"/>
      <c r="BD41" s="52"/>
      <c r="BE41" s="53"/>
    </row>
    <row r="42" spans="1:57" ht="15" customHeight="1" x14ac:dyDescent="0.3">
      <c r="A42" s="54" t="str">
        <f>IF(B42="","",COUNTA($B$8:B42))</f>
        <v/>
      </c>
      <c r="B42" s="42"/>
      <c r="C42" s="41"/>
      <c r="D42" s="41"/>
      <c r="E42" s="41"/>
      <c r="F42" s="41"/>
      <c r="G42" s="41"/>
      <c r="H42" s="41"/>
      <c r="I42" s="31"/>
      <c r="J42" s="32"/>
      <c r="K42" s="32"/>
      <c r="L42" s="32"/>
      <c r="M42" s="32"/>
      <c r="N42" s="32"/>
      <c r="O42" s="32"/>
      <c r="P42" s="32"/>
      <c r="Q42" s="32"/>
      <c r="R42" s="42"/>
      <c r="S42" s="41"/>
      <c r="T42" s="41"/>
      <c r="U42" s="41"/>
      <c r="V42" s="41"/>
      <c r="W42" s="41"/>
      <c r="X42" s="41"/>
      <c r="Y42" s="139"/>
      <c r="Z42" s="140"/>
      <c r="AA42" s="141"/>
      <c r="AB42" s="142"/>
      <c r="AC42" s="143"/>
      <c r="AD42" s="72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50"/>
      <c r="AT42" s="51"/>
      <c r="AU42" s="51"/>
      <c r="AV42" s="51"/>
      <c r="AW42" s="51"/>
      <c r="AX42" s="51"/>
      <c r="AY42" s="51"/>
      <c r="AZ42" s="51"/>
      <c r="BA42" s="51"/>
      <c r="BB42" s="51"/>
      <c r="BC42" s="51"/>
      <c r="BD42" s="52"/>
      <c r="BE42" s="53"/>
    </row>
    <row r="43" spans="1:57" ht="15" customHeight="1" x14ac:dyDescent="0.3">
      <c r="A43" s="54" t="str">
        <f>IF(B43="","",COUNTA($B$8:B43))</f>
        <v/>
      </c>
      <c r="B43" s="42"/>
      <c r="C43" s="41"/>
      <c r="D43" s="41"/>
      <c r="E43" s="41"/>
      <c r="F43" s="41"/>
      <c r="G43" s="41"/>
      <c r="H43" s="41"/>
      <c r="I43" s="31"/>
      <c r="J43" s="32"/>
      <c r="K43" s="32"/>
      <c r="L43" s="32"/>
      <c r="M43" s="32"/>
      <c r="N43" s="32"/>
      <c r="O43" s="32"/>
      <c r="P43" s="32"/>
      <c r="Q43" s="32"/>
      <c r="R43" s="42"/>
      <c r="S43" s="41"/>
      <c r="T43" s="41"/>
      <c r="U43" s="41"/>
      <c r="V43" s="41"/>
      <c r="W43" s="41"/>
      <c r="X43" s="41"/>
      <c r="Y43" s="139"/>
      <c r="Z43" s="140"/>
      <c r="AA43" s="141"/>
      <c r="AB43" s="142"/>
      <c r="AC43" s="143"/>
      <c r="AD43" s="72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50"/>
      <c r="AT43" s="51"/>
      <c r="AU43" s="51"/>
      <c r="AV43" s="51"/>
      <c r="AW43" s="51"/>
      <c r="AX43" s="51"/>
      <c r="AY43" s="51"/>
      <c r="AZ43" s="51"/>
      <c r="BA43" s="51"/>
      <c r="BB43" s="51"/>
      <c r="BC43" s="51"/>
      <c r="BD43" s="52"/>
      <c r="BE43" s="53"/>
    </row>
    <row r="44" spans="1:57" ht="15" customHeight="1" x14ac:dyDescent="0.3">
      <c r="A44" s="54" t="str">
        <f>IF(B44="","",COUNTA($B$8:B44))</f>
        <v/>
      </c>
      <c r="B44" s="28"/>
      <c r="C44" s="41"/>
      <c r="D44" s="41"/>
      <c r="E44" s="41"/>
      <c r="F44" s="41"/>
      <c r="G44" s="41"/>
      <c r="H44" s="41"/>
      <c r="I44" s="20"/>
      <c r="J44" s="32"/>
      <c r="K44" s="32"/>
      <c r="L44" s="32"/>
      <c r="M44" s="32"/>
      <c r="N44" s="32"/>
      <c r="O44" s="32"/>
      <c r="P44" s="32"/>
      <c r="Q44" s="32"/>
      <c r="R44" s="28"/>
      <c r="S44" s="41"/>
      <c r="T44" s="41"/>
      <c r="U44" s="41"/>
      <c r="V44" s="41"/>
      <c r="W44" s="41"/>
      <c r="X44" s="41"/>
      <c r="Y44" s="139"/>
      <c r="Z44" s="140"/>
      <c r="AA44" s="141"/>
      <c r="AB44" s="142"/>
      <c r="AC44" s="143"/>
      <c r="AD44" s="55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8"/>
      <c r="AT44" s="69"/>
      <c r="AU44" s="69"/>
      <c r="AV44" s="69"/>
      <c r="AW44" s="69"/>
      <c r="AX44" s="69"/>
      <c r="AY44" s="69"/>
      <c r="AZ44" s="69"/>
      <c r="BA44" s="69"/>
      <c r="BB44" s="69"/>
      <c r="BC44" s="69"/>
      <c r="BD44" s="70"/>
    </row>
  </sheetData>
  <mergeCells count="92"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U4:AY4"/>
    <mergeCell ref="AG6:AG7"/>
    <mergeCell ref="AH6:AH7"/>
    <mergeCell ref="AI6:AR6"/>
    <mergeCell ref="AS6:BD7"/>
    <mergeCell ref="Y8:Z8"/>
    <mergeCell ref="AA8:AC8"/>
    <mergeCell ref="Y13:Z13"/>
    <mergeCell ref="AA13:AC13"/>
    <mergeCell ref="Y12:Z12"/>
    <mergeCell ref="AA12:AC12"/>
    <mergeCell ref="Y9:Z9"/>
    <mergeCell ref="AA9:AC9"/>
    <mergeCell ref="Y10:Z10"/>
    <mergeCell ref="AA10:AC10"/>
    <mergeCell ref="Y11:Z11"/>
    <mergeCell ref="AA11:AC11"/>
    <mergeCell ref="Y21:Z21"/>
    <mergeCell ref="AA21:AC21"/>
    <mergeCell ref="Y22:Z22"/>
    <mergeCell ref="AA22:AC22"/>
    <mergeCell ref="Y23:Z23"/>
    <mergeCell ref="AA23:AC23"/>
    <mergeCell ref="Y24:Z24"/>
    <mergeCell ref="AA24:AC24"/>
    <mergeCell ref="Y25:Z25"/>
    <mergeCell ref="AA25:AC25"/>
    <mergeCell ref="Y26:Z26"/>
    <mergeCell ref="AA26:AC26"/>
    <mergeCell ref="Y27:Z27"/>
    <mergeCell ref="AA27:AC27"/>
    <mergeCell ref="Y28:Z28"/>
    <mergeCell ref="AA28:AC28"/>
    <mergeCell ref="Y29:Z29"/>
    <mergeCell ref="AA29:AC29"/>
    <mergeCell ref="Y30:Z30"/>
    <mergeCell ref="AA30:AC30"/>
    <mergeCell ref="Y44:Z44"/>
    <mergeCell ref="AA44:AC44"/>
    <mergeCell ref="Y31:Z31"/>
    <mergeCell ref="AA31:AC31"/>
    <mergeCell ref="Y32:Z32"/>
    <mergeCell ref="AA32:AC32"/>
    <mergeCell ref="Y33:Z33"/>
    <mergeCell ref="AA33:AC33"/>
    <mergeCell ref="Y34:Z34"/>
    <mergeCell ref="AA34:AC34"/>
    <mergeCell ref="Y35:Z35"/>
    <mergeCell ref="AA35:AC35"/>
    <mergeCell ref="Y36:Z36"/>
    <mergeCell ref="AA36:AC36"/>
    <mergeCell ref="Y37:Z37"/>
    <mergeCell ref="AA37:AC37"/>
    <mergeCell ref="Y38:Z38"/>
    <mergeCell ref="AA38:AC38"/>
    <mergeCell ref="Y39:Z39"/>
    <mergeCell ref="AA39:AC39"/>
    <mergeCell ref="Y43:Z43"/>
    <mergeCell ref="AA43:AC43"/>
    <mergeCell ref="Y40:Z40"/>
    <mergeCell ref="AA40:AC40"/>
    <mergeCell ref="Y41:Z41"/>
    <mergeCell ref="AA41:AC41"/>
    <mergeCell ref="Y42:Z42"/>
    <mergeCell ref="AA42:AC42"/>
  </mergeCells>
  <phoneticPr fontId="4"/>
  <dataValidations count="3">
    <dataValidation imeMode="hiragana" allowBlank="1" showInputMessage="1" showErrorMessage="1" sqref="JG65519:JR65521 TC65519:TN65521 ACY65519:ADJ65521 AMU65519:ANF65521 AWQ65519:AXB65521 BGM65519:BGX65521 BQI65519:BQT65521 CAE65519:CAP65521 CKA65519:CKL65521 CTW65519:CUH65521 DDS65519:DED65521 DNO65519:DNZ65521 DXK65519:DXV65521 EHG65519:EHR65521 ERC65519:ERN65521 FAY65519:FBJ65521 FKU65519:FLF65521 FUQ65519:FVB65521 GEM65519:GEX65521 GOI65519:GOT65521 GYE65519:GYP65521 HIA65519:HIL65521 HRW65519:HSH65521 IBS65519:ICD65521 ILO65519:ILZ65521 IVK65519:IVV65521 JFG65519:JFR65521 JPC65519:JPN65521 JYY65519:JZJ65521 KIU65519:KJF65521 KSQ65519:KTB65521 LCM65519:LCX65521 LMI65519:LMT65521 LWE65519:LWP65521 MGA65519:MGL65521 MPW65519:MQH65521 MZS65519:NAD65521 NJO65519:NJZ65521 NTK65519:NTV65521 ODG65519:ODR65521 ONC65519:ONN65521 OWY65519:OXJ65521 PGU65519:PHF65521 PQQ65519:PRB65521 QAM65519:QAX65521 QKI65519:QKT65521 QUE65519:QUP65521 REA65519:REL65521 RNW65519:ROH65521 RXS65519:RYD65521 SHO65519:SHZ65521 SRK65519:SRV65521 TBG65519:TBR65521 TLC65519:TLN65521 TUY65519:TVJ65521 UEU65519:UFF65521 UOQ65519:UPB65521 UYM65519:UYX65521 VII65519:VIT65521 VSE65519:VSP65521 WCA65519:WCL65521 WLW65519:WMH65521 WVS65519:WWD65521 JG131055:JR131057 TC131055:TN131057 ACY131055:ADJ131057 AMU131055:ANF131057 AWQ131055:AXB131057 BGM131055:BGX131057 BQI131055:BQT131057 CAE131055:CAP131057 CKA131055:CKL131057 CTW131055:CUH131057 DDS131055:DED131057 DNO131055:DNZ131057 DXK131055:DXV131057 EHG131055:EHR131057 ERC131055:ERN131057 FAY131055:FBJ131057 FKU131055:FLF131057 FUQ131055:FVB131057 GEM131055:GEX131057 GOI131055:GOT131057 GYE131055:GYP131057 HIA131055:HIL131057 HRW131055:HSH131057 IBS131055:ICD131057 ILO131055:ILZ131057 IVK131055:IVV131057 JFG131055:JFR131057 JPC131055:JPN131057 JYY131055:JZJ131057 KIU131055:KJF131057 KSQ131055:KTB131057 LCM131055:LCX131057 LMI131055:LMT131057 LWE131055:LWP131057 MGA131055:MGL131057 MPW131055:MQH131057 MZS131055:NAD131057 NJO131055:NJZ131057 NTK131055:NTV131057 ODG131055:ODR131057 ONC131055:ONN131057 OWY131055:OXJ131057 PGU131055:PHF131057 PQQ131055:PRB131057 QAM131055:QAX131057 QKI131055:QKT131057 QUE131055:QUP131057 REA131055:REL131057 RNW131055:ROH131057 RXS131055:RYD131057 SHO131055:SHZ131057 SRK131055:SRV131057 TBG131055:TBR131057 TLC131055:TLN131057 TUY131055:TVJ131057 UEU131055:UFF131057 UOQ131055:UPB131057 UYM131055:UYX131057 VII131055:VIT131057 VSE131055:VSP131057 WCA131055:WCL131057 WLW131055:WMH131057 WVS131055:WWD131057 JG196591:JR196593 TC196591:TN196593 ACY196591:ADJ196593 AMU196591:ANF196593 AWQ196591:AXB196593 BGM196591:BGX196593 BQI196591:BQT196593 CAE196591:CAP196593 CKA196591:CKL196593 CTW196591:CUH196593 DDS196591:DED196593 DNO196591:DNZ196593 DXK196591:DXV196593 EHG196591:EHR196593 ERC196591:ERN196593 FAY196591:FBJ196593 FKU196591:FLF196593 FUQ196591:FVB196593 GEM196591:GEX196593 GOI196591:GOT196593 GYE196591:GYP196593 HIA196591:HIL196593 HRW196591:HSH196593 IBS196591:ICD196593 ILO196591:ILZ196593 IVK196591:IVV196593 JFG196591:JFR196593 JPC196591:JPN196593 JYY196591:JZJ196593 KIU196591:KJF196593 KSQ196591:KTB196593 LCM196591:LCX196593 LMI196591:LMT196593 LWE196591:LWP196593 MGA196591:MGL196593 MPW196591:MQH196593 MZS196591:NAD196593 NJO196591:NJZ196593 NTK196591:NTV196593 ODG196591:ODR196593 ONC196591:ONN196593 OWY196591:OXJ196593 PGU196591:PHF196593 PQQ196591:PRB196593 QAM196591:QAX196593 QKI196591:QKT196593 QUE196591:QUP196593 REA196591:REL196593 RNW196591:ROH196593 RXS196591:RYD196593 SHO196591:SHZ196593 SRK196591:SRV196593 TBG196591:TBR196593 TLC196591:TLN196593 TUY196591:TVJ196593 UEU196591:UFF196593 UOQ196591:UPB196593 UYM196591:UYX196593 VII196591:VIT196593 VSE196591:VSP196593 WCA196591:WCL196593 WLW196591:WMH196593 WVS196591:WWD196593 JG262127:JR262129 TC262127:TN262129 ACY262127:ADJ262129 AMU262127:ANF262129 AWQ262127:AXB262129 BGM262127:BGX262129 BQI262127:BQT262129 CAE262127:CAP262129 CKA262127:CKL262129 CTW262127:CUH262129 DDS262127:DED262129 DNO262127:DNZ262129 DXK262127:DXV262129 EHG262127:EHR262129 ERC262127:ERN262129 FAY262127:FBJ262129 FKU262127:FLF262129 FUQ262127:FVB262129 GEM262127:GEX262129 GOI262127:GOT262129 GYE262127:GYP262129 HIA262127:HIL262129 HRW262127:HSH262129 IBS262127:ICD262129 ILO262127:ILZ262129 IVK262127:IVV262129 JFG262127:JFR262129 JPC262127:JPN262129 JYY262127:JZJ262129 KIU262127:KJF262129 KSQ262127:KTB262129 LCM262127:LCX262129 LMI262127:LMT262129 LWE262127:LWP262129 MGA262127:MGL262129 MPW262127:MQH262129 MZS262127:NAD262129 NJO262127:NJZ262129 NTK262127:NTV262129 ODG262127:ODR262129 ONC262127:ONN262129 OWY262127:OXJ262129 PGU262127:PHF262129 PQQ262127:PRB262129 QAM262127:QAX262129 QKI262127:QKT262129 QUE262127:QUP262129 REA262127:REL262129 RNW262127:ROH262129 RXS262127:RYD262129 SHO262127:SHZ262129 SRK262127:SRV262129 TBG262127:TBR262129 TLC262127:TLN262129 TUY262127:TVJ262129 UEU262127:UFF262129 UOQ262127:UPB262129 UYM262127:UYX262129 VII262127:VIT262129 VSE262127:VSP262129 WCA262127:WCL262129 WLW262127:WMH262129 WVS262127:WWD262129 JG327663:JR327665 TC327663:TN327665 ACY327663:ADJ327665 AMU327663:ANF327665 AWQ327663:AXB327665 BGM327663:BGX327665 BQI327663:BQT327665 CAE327663:CAP327665 CKA327663:CKL327665 CTW327663:CUH327665 DDS327663:DED327665 DNO327663:DNZ327665 DXK327663:DXV327665 EHG327663:EHR327665 ERC327663:ERN327665 FAY327663:FBJ327665 FKU327663:FLF327665 FUQ327663:FVB327665 GEM327663:GEX327665 GOI327663:GOT327665 GYE327663:GYP327665 HIA327663:HIL327665 HRW327663:HSH327665 IBS327663:ICD327665 ILO327663:ILZ327665 IVK327663:IVV327665 JFG327663:JFR327665 JPC327663:JPN327665 JYY327663:JZJ327665 KIU327663:KJF327665 KSQ327663:KTB327665 LCM327663:LCX327665 LMI327663:LMT327665 LWE327663:LWP327665 MGA327663:MGL327665 MPW327663:MQH327665 MZS327663:NAD327665 NJO327663:NJZ327665 NTK327663:NTV327665 ODG327663:ODR327665 ONC327663:ONN327665 OWY327663:OXJ327665 PGU327663:PHF327665 PQQ327663:PRB327665 QAM327663:QAX327665 QKI327663:QKT327665 QUE327663:QUP327665 REA327663:REL327665 RNW327663:ROH327665 RXS327663:RYD327665 SHO327663:SHZ327665 SRK327663:SRV327665 TBG327663:TBR327665 TLC327663:TLN327665 TUY327663:TVJ327665 UEU327663:UFF327665 UOQ327663:UPB327665 UYM327663:UYX327665 VII327663:VIT327665 VSE327663:VSP327665 WCA327663:WCL327665 WLW327663:WMH327665 WVS327663:WWD327665 JG393199:JR393201 TC393199:TN393201 ACY393199:ADJ393201 AMU393199:ANF393201 AWQ393199:AXB393201 BGM393199:BGX393201 BQI393199:BQT393201 CAE393199:CAP393201 CKA393199:CKL393201 CTW393199:CUH393201 DDS393199:DED393201 DNO393199:DNZ393201 DXK393199:DXV393201 EHG393199:EHR393201 ERC393199:ERN393201 FAY393199:FBJ393201 FKU393199:FLF393201 FUQ393199:FVB393201 GEM393199:GEX393201 GOI393199:GOT393201 GYE393199:GYP393201 HIA393199:HIL393201 HRW393199:HSH393201 IBS393199:ICD393201 ILO393199:ILZ393201 IVK393199:IVV393201 JFG393199:JFR393201 JPC393199:JPN393201 JYY393199:JZJ393201 KIU393199:KJF393201 KSQ393199:KTB393201 LCM393199:LCX393201 LMI393199:LMT393201 LWE393199:LWP393201 MGA393199:MGL393201 MPW393199:MQH393201 MZS393199:NAD393201 NJO393199:NJZ393201 NTK393199:NTV393201 ODG393199:ODR393201 ONC393199:ONN393201 OWY393199:OXJ393201 PGU393199:PHF393201 PQQ393199:PRB393201 QAM393199:QAX393201 QKI393199:QKT393201 QUE393199:QUP393201 REA393199:REL393201 RNW393199:ROH393201 RXS393199:RYD393201 SHO393199:SHZ393201 SRK393199:SRV393201 TBG393199:TBR393201 TLC393199:TLN393201 TUY393199:TVJ393201 UEU393199:UFF393201 UOQ393199:UPB393201 UYM393199:UYX393201 VII393199:VIT393201 VSE393199:VSP393201 WCA393199:WCL393201 WLW393199:WMH393201 WVS393199:WWD393201 JG458735:JR458737 TC458735:TN458737 ACY458735:ADJ458737 AMU458735:ANF458737 AWQ458735:AXB458737 BGM458735:BGX458737 BQI458735:BQT458737 CAE458735:CAP458737 CKA458735:CKL458737 CTW458735:CUH458737 DDS458735:DED458737 DNO458735:DNZ458737 DXK458735:DXV458737 EHG458735:EHR458737 ERC458735:ERN458737 FAY458735:FBJ458737 FKU458735:FLF458737 FUQ458735:FVB458737 GEM458735:GEX458737 GOI458735:GOT458737 GYE458735:GYP458737 HIA458735:HIL458737 HRW458735:HSH458737 IBS458735:ICD458737 ILO458735:ILZ458737 IVK458735:IVV458737 JFG458735:JFR458737 JPC458735:JPN458737 JYY458735:JZJ458737 KIU458735:KJF458737 KSQ458735:KTB458737 LCM458735:LCX458737 LMI458735:LMT458737 LWE458735:LWP458737 MGA458735:MGL458737 MPW458735:MQH458737 MZS458735:NAD458737 NJO458735:NJZ458737 NTK458735:NTV458737 ODG458735:ODR458737 ONC458735:ONN458737 OWY458735:OXJ458737 PGU458735:PHF458737 PQQ458735:PRB458737 QAM458735:QAX458737 QKI458735:QKT458737 QUE458735:QUP458737 REA458735:REL458737 RNW458735:ROH458737 RXS458735:RYD458737 SHO458735:SHZ458737 SRK458735:SRV458737 TBG458735:TBR458737 TLC458735:TLN458737 TUY458735:TVJ458737 UEU458735:UFF458737 UOQ458735:UPB458737 UYM458735:UYX458737 VII458735:VIT458737 VSE458735:VSP458737 WCA458735:WCL458737 WLW458735:WMH458737 WVS458735:WWD458737 JG524271:JR524273 TC524271:TN524273 ACY524271:ADJ524273 AMU524271:ANF524273 AWQ524271:AXB524273 BGM524271:BGX524273 BQI524271:BQT524273 CAE524271:CAP524273 CKA524271:CKL524273 CTW524271:CUH524273 DDS524271:DED524273 DNO524271:DNZ524273 DXK524271:DXV524273 EHG524271:EHR524273 ERC524271:ERN524273 FAY524271:FBJ524273 FKU524271:FLF524273 FUQ524271:FVB524273 GEM524271:GEX524273 GOI524271:GOT524273 GYE524271:GYP524273 HIA524271:HIL524273 HRW524271:HSH524273 IBS524271:ICD524273 ILO524271:ILZ524273 IVK524271:IVV524273 JFG524271:JFR524273 JPC524271:JPN524273 JYY524271:JZJ524273 KIU524271:KJF524273 KSQ524271:KTB524273 LCM524271:LCX524273 LMI524271:LMT524273 LWE524271:LWP524273 MGA524271:MGL524273 MPW524271:MQH524273 MZS524271:NAD524273 NJO524271:NJZ524273 NTK524271:NTV524273 ODG524271:ODR524273 ONC524271:ONN524273 OWY524271:OXJ524273 PGU524271:PHF524273 PQQ524271:PRB524273 QAM524271:QAX524273 QKI524271:QKT524273 QUE524271:QUP524273 REA524271:REL524273 RNW524271:ROH524273 RXS524271:RYD524273 SHO524271:SHZ524273 SRK524271:SRV524273 TBG524271:TBR524273 TLC524271:TLN524273 TUY524271:TVJ524273 UEU524271:UFF524273 UOQ524271:UPB524273 UYM524271:UYX524273 VII524271:VIT524273 VSE524271:VSP524273 WCA524271:WCL524273 WLW524271:WMH524273 WVS524271:WWD524273 JG589807:JR589809 TC589807:TN589809 ACY589807:ADJ589809 AMU589807:ANF589809 AWQ589807:AXB589809 BGM589807:BGX589809 BQI589807:BQT589809 CAE589807:CAP589809 CKA589807:CKL589809 CTW589807:CUH589809 DDS589807:DED589809 DNO589807:DNZ589809 DXK589807:DXV589809 EHG589807:EHR589809 ERC589807:ERN589809 FAY589807:FBJ589809 FKU589807:FLF589809 FUQ589807:FVB589809 GEM589807:GEX589809 GOI589807:GOT589809 GYE589807:GYP589809 HIA589807:HIL589809 HRW589807:HSH589809 IBS589807:ICD589809 ILO589807:ILZ589809 IVK589807:IVV589809 JFG589807:JFR589809 JPC589807:JPN589809 JYY589807:JZJ589809 KIU589807:KJF589809 KSQ589807:KTB589809 LCM589807:LCX589809 LMI589807:LMT589809 LWE589807:LWP589809 MGA589807:MGL589809 MPW589807:MQH589809 MZS589807:NAD589809 NJO589807:NJZ589809 NTK589807:NTV589809 ODG589807:ODR589809 ONC589807:ONN589809 OWY589807:OXJ589809 PGU589807:PHF589809 PQQ589807:PRB589809 QAM589807:QAX589809 QKI589807:QKT589809 QUE589807:QUP589809 REA589807:REL589809 RNW589807:ROH589809 RXS589807:RYD589809 SHO589807:SHZ589809 SRK589807:SRV589809 TBG589807:TBR589809 TLC589807:TLN589809 TUY589807:TVJ589809 UEU589807:UFF589809 UOQ589807:UPB589809 UYM589807:UYX589809 VII589807:VIT589809 VSE589807:VSP589809 WCA589807:WCL589809 WLW589807:WMH589809 WVS589807:WWD589809 JG655343:JR655345 TC655343:TN655345 ACY655343:ADJ655345 AMU655343:ANF655345 AWQ655343:AXB655345 BGM655343:BGX655345 BQI655343:BQT655345 CAE655343:CAP655345 CKA655343:CKL655345 CTW655343:CUH655345 DDS655343:DED655345 DNO655343:DNZ655345 DXK655343:DXV655345 EHG655343:EHR655345 ERC655343:ERN655345 FAY655343:FBJ655345 FKU655343:FLF655345 FUQ655343:FVB655345 GEM655343:GEX655345 GOI655343:GOT655345 GYE655343:GYP655345 HIA655343:HIL655345 HRW655343:HSH655345 IBS655343:ICD655345 ILO655343:ILZ655345 IVK655343:IVV655345 JFG655343:JFR655345 JPC655343:JPN655345 JYY655343:JZJ655345 KIU655343:KJF655345 KSQ655343:KTB655345 LCM655343:LCX655345 LMI655343:LMT655345 LWE655343:LWP655345 MGA655343:MGL655345 MPW655343:MQH655345 MZS655343:NAD655345 NJO655343:NJZ655345 NTK655343:NTV655345 ODG655343:ODR655345 ONC655343:ONN655345 OWY655343:OXJ655345 PGU655343:PHF655345 PQQ655343:PRB655345 QAM655343:QAX655345 QKI655343:QKT655345 QUE655343:QUP655345 REA655343:REL655345 RNW655343:ROH655345 RXS655343:RYD655345 SHO655343:SHZ655345 SRK655343:SRV655345 TBG655343:TBR655345 TLC655343:TLN655345 TUY655343:TVJ655345 UEU655343:UFF655345 UOQ655343:UPB655345 UYM655343:UYX655345 VII655343:VIT655345 VSE655343:VSP655345 WCA655343:WCL655345 WLW655343:WMH655345 WVS655343:WWD655345 JG720879:JR720881 TC720879:TN720881 ACY720879:ADJ720881 AMU720879:ANF720881 AWQ720879:AXB720881 BGM720879:BGX720881 BQI720879:BQT720881 CAE720879:CAP720881 CKA720879:CKL720881 CTW720879:CUH720881 DDS720879:DED720881 DNO720879:DNZ720881 DXK720879:DXV720881 EHG720879:EHR720881 ERC720879:ERN720881 FAY720879:FBJ720881 FKU720879:FLF720881 FUQ720879:FVB720881 GEM720879:GEX720881 GOI720879:GOT720881 GYE720879:GYP720881 HIA720879:HIL720881 HRW720879:HSH720881 IBS720879:ICD720881 ILO720879:ILZ720881 IVK720879:IVV720881 JFG720879:JFR720881 JPC720879:JPN720881 JYY720879:JZJ720881 KIU720879:KJF720881 KSQ720879:KTB720881 LCM720879:LCX720881 LMI720879:LMT720881 LWE720879:LWP720881 MGA720879:MGL720881 MPW720879:MQH720881 MZS720879:NAD720881 NJO720879:NJZ720881 NTK720879:NTV720881 ODG720879:ODR720881 ONC720879:ONN720881 OWY720879:OXJ720881 PGU720879:PHF720881 PQQ720879:PRB720881 QAM720879:QAX720881 QKI720879:QKT720881 QUE720879:QUP720881 REA720879:REL720881 RNW720879:ROH720881 RXS720879:RYD720881 SHO720879:SHZ720881 SRK720879:SRV720881 TBG720879:TBR720881 TLC720879:TLN720881 TUY720879:TVJ720881 UEU720879:UFF720881 UOQ720879:UPB720881 UYM720879:UYX720881 VII720879:VIT720881 VSE720879:VSP720881 WCA720879:WCL720881 WLW720879:WMH720881 WVS720879:WWD720881 JG786415:JR786417 TC786415:TN786417 ACY786415:ADJ786417 AMU786415:ANF786417 AWQ786415:AXB786417 BGM786415:BGX786417 BQI786415:BQT786417 CAE786415:CAP786417 CKA786415:CKL786417 CTW786415:CUH786417 DDS786415:DED786417 DNO786415:DNZ786417 DXK786415:DXV786417 EHG786415:EHR786417 ERC786415:ERN786417 FAY786415:FBJ786417 FKU786415:FLF786417 FUQ786415:FVB786417 GEM786415:GEX786417 GOI786415:GOT786417 GYE786415:GYP786417 HIA786415:HIL786417 HRW786415:HSH786417 IBS786415:ICD786417 ILO786415:ILZ786417 IVK786415:IVV786417 JFG786415:JFR786417 JPC786415:JPN786417 JYY786415:JZJ786417 KIU786415:KJF786417 KSQ786415:KTB786417 LCM786415:LCX786417 LMI786415:LMT786417 LWE786415:LWP786417 MGA786415:MGL786417 MPW786415:MQH786417 MZS786415:NAD786417 NJO786415:NJZ786417 NTK786415:NTV786417 ODG786415:ODR786417 ONC786415:ONN786417 OWY786415:OXJ786417 PGU786415:PHF786417 PQQ786415:PRB786417 QAM786415:QAX786417 QKI786415:QKT786417 QUE786415:QUP786417 REA786415:REL786417 RNW786415:ROH786417 RXS786415:RYD786417 SHO786415:SHZ786417 SRK786415:SRV786417 TBG786415:TBR786417 TLC786415:TLN786417 TUY786415:TVJ786417 UEU786415:UFF786417 UOQ786415:UPB786417 UYM786415:UYX786417 VII786415:VIT786417 VSE786415:VSP786417 WCA786415:WCL786417 WLW786415:WMH786417 WVS786415:WWD786417 JG851951:JR851953 TC851951:TN851953 ACY851951:ADJ851953 AMU851951:ANF851953 AWQ851951:AXB851953 BGM851951:BGX851953 BQI851951:BQT851953 CAE851951:CAP851953 CKA851951:CKL851953 CTW851951:CUH851953 DDS851951:DED851953 DNO851951:DNZ851953 DXK851951:DXV851953 EHG851951:EHR851953 ERC851951:ERN851953 FAY851951:FBJ851953 FKU851951:FLF851953 FUQ851951:FVB851953 GEM851951:GEX851953 GOI851951:GOT851953 GYE851951:GYP851953 HIA851951:HIL851953 HRW851951:HSH851953 IBS851951:ICD851953 ILO851951:ILZ851953 IVK851951:IVV851953 JFG851951:JFR851953 JPC851951:JPN851953 JYY851951:JZJ851953 KIU851951:KJF851953 KSQ851951:KTB851953 LCM851951:LCX851953 LMI851951:LMT851953 LWE851951:LWP851953 MGA851951:MGL851953 MPW851951:MQH851953 MZS851951:NAD851953 NJO851951:NJZ851953 NTK851951:NTV851953 ODG851951:ODR851953 ONC851951:ONN851953 OWY851951:OXJ851953 PGU851951:PHF851953 PQQ851951:PRB851953 QAM851951:QAX851953 QKI851951:QKT851953 QUE851951:QUP851953 REA851951:REL851953 RNW851951:ROH851953 RXS851951:RYD851953 SHO851951:SHZ851953 SRK851951:SRV851953 TBG851951:TBR851953 TLC851951:TLN851953 TUY851951:TVJ851953 UEU851951:UFF851953 UOQ851951:UPB851953 UYM851951:UYX851953 VII851951:VIT851953 VSE851951:VSP851953 WCA851951:WCL851953 WLW851951:WMH851953 WVS851951:WWD851953 JG917487:JR917489 TC917487:TN917489 ACY917487:ADJ917489 AMU917487:ANF917489 AWQ917487:AXB917489 BGM917487:BGX917489 BQI917487:BQT917489 CAE917487:CAP917489 CKA917487:CKL917489 CTW917487:CUH917489 DDS917487:DED917489 DNO917487:DNZ917489 DXK917487:DXV917489 EHG917487:EHR917489 ERC917487:ERN917489 FAY917487:FBJ917489 FKU917487:FLF917489 FUQ917487:FVB917489 GEM917487:GEX917489 GOI917487:GOT917489 GYE917487:GYP917489 HIA917487:HIL917489 HRW917487:HSH917489 IBS917487:ICD917489 ILO917487:ILZ917489 IVK917487:IVV917489 JFG917487:JFR917489 JPC917487:JPN917489 JYY917487:JZJ917489 KIU917487:KJF917489 KSQ917487:KTB917489 LCM917487:LCX917489 LMI917487:LMT917489 LWE917487:LWP917489 MGA917487:MGL917489 MPW917487:MQH917489 MZS917487:NAD917489 NJO917487:NJZ917489 NTK917487:NTV917489 ODG917487:ODR917489 ONC917487:ONN917489 OWY917487:OXJ917489 PGU917487:PHF917489 PQQ917487:PRB917489 QAM917487:QAX917489 QKI917487:QKT917489 QUE917487:QUP917489 REA917487:REL917489 RNW917487:ROH917489 RXS917487:RYD917489 SHO917487:SHZ917489 SRK917487:SRV917489 TBG917487:TBR917489 TLC917487:TLN917489 TUY917487:TVJ917489 UEU917487:UFF917489 UOQ917487:UPB917489 UYM917487:UYX917489 VII917487:VIT917489 VSE917487:VSP917489 WCA917487:WCL917489 WLW917487:WMH917489 WVS917487:WWD917489 JG983023:JR983025 TC983023:TN983025 ACY983023:ADJ983025 AMU983023:ANF983025 AWQ983023:AXB983025 BGM983023:BGX983025 BQI983023:BQT983025 CAE983023:CAP983025 CKA983023:CKL983025 CTW983023:CUH983025 DDS983023:DED983025 DNO983023:DNZ983025 DXK983023:DXV983025 EHG983023:EHR983025 ERC983023:ERN983025 FAY983023:FBJ983025 FKU983023:FLF983025 FUQ983023:FVB983025 GEM983023:GEX983025 GOI983023:GOT983025 GYE983023:GYP983025 HIA983023:HIL983025 HRW983023:HSH983025 IBS983023:ICD983025 ILO983023:ILZ983025 IVK983023:IVV983025 JFG983023:JFR983025 JPC983023:JPN983025 JYY983023:JZJ983025 KIU983023:KJF983025 KSQ983023:KTB983025 LCM983023:LCX983025 LMI983023:LMT983025 LWE983023:LWP983025 MGA983023:MGL983025 MPW983023:MQH983025 MZS983023:NAD983025 NJO983023:NJZ983025 NTK983023:NTV983025 ODG983023:ODR983025 ONC983023:ONN983025 OWY983023:OXJ983025 PGU983023:PHF983025 PQQ983023:PRB983025 QAM983023:QAX983025 QKI983023:QKT983025 QUE983023:QUP983025 REA983023:REL983025 RNW983023:ROH983025 RXS983023:RYD983025 SHO983023:SHZ983025 SRK983023:SRV983025 TBG983023:TBR983025 TLC983023:TLN983025 TUY983023:TVJ983025 UEU983023:UFF983025 UOQ983023:UPB983025 UYM983023:UYX983025 VII983023:VIT983025 VSE983023:VSP983025 WCA983023:WCL983025 WLW983023:WMH983025 WVS983023:WWD983025 WVS983028:WWD983030 JG65524:JR65526 TC65524:TN65526 ACY65524:ADJ65526 AMU65524:ANF65526 AWQ65524:AXB65526 BGM65524:BGX65526 BQI65524:BQT65526 CAE65524:CAP65526 CKA65524:CKL65526 CTW65524:CUH65526 DDS65524:DED65526 DNO65524:DNZ65526 DXK65524:DXV65526 EHG65524:EHR65526 ERC65524:ERN65526 FAY65524:FBJ65526 FKU65524:FLF65526 FUQ65524:FVB65526 GEM65524:GEX65526 GOI65524:GOT65526 GYE65524:GYP65526 HIA65524:HIL65526 HRW65524:HSH65526 IBS65524:ICD65526 ILO65524:ILZ65526 IVK65524:IVV65526 JFG65524:JFR65526 JPC65524:JPN65526 JYY65524:JZJ65526 KIU65524:KJF65526 KSQ65524:KTB65526 LCM65524:LCX65526 LMI65524:LMT65526 LWE65524:LWP65526 MGA65524:MGL65526 MPW65524:MQH65526 MZS65524:NAD65526 NJO65524:NJZ65526 NTK65524:NTV65526 ODG65524:ODR65526 ONC65524:ONN65526 OWY65524:OXJ65526 PGU65524:PHF65526 PQQ65524:PRB65526 QAM65524:QAX65526 QKI65524:QKT65526 QUE65524:QUP65526 REA65524:REL65526 RNW65524:ROH65526 RXS65524:RYD65526 SHO65524:SHZ65526 SRK65524:SRV65526 TBG65524:TBR65526 TLC65524:TLN65526 TUY65524:TVJ65526 UEU65524:UFF65526 UOQ65524:UPB65526 UYM65524:UYX65526 VII65524:VIT65526 VSE65524:VSP65526 WCA65524:WCL65526 WLW65524:WMH65526 WVS65524:WWD65526 JG131060:JR131062 TC131060:TN131062 ACY131060:ADJ131062 AMU131060:ANF131062 AWQ131060:AXB131062 BGM131060:BGX131062 BQI131060:BQT131062 CAE131060:CAP131062 CKA131060:CKL131062 CTW131060:CUH131062 DDS131060:DED131062 DNO131060:DNZ131062 DXK131060:DXV131062 EHG131060:EHR131062 ERC131060:ERN131062 FAY131060:FBJ131062 FKU131060:FLF131062 FUQ131060:FVB131062 GEM131060:GEX131062 GOI131060:GOT131062 GYE131060:GYP131062 HIA131060:HIL131062 HRW131060:HSH131062 IBS131060:ICD131062 ILO131060:ILZ131062 IVK131060:IVV131062 JFG131060:JFR131062 JPC131060:JPN131062 JYY131060:JZJ131062 KIU131060:KJF131062 KSQ131060:KTB131062 LCM131060:LCX131062 LMI131060:LMT131062 LWE131060:LWP131062 MGA131060:MGL131062 MPW131060:MQH131062 MZS131060:NAD131062 NJO131060:NJZ131062 NTK131060:NTV131062 ODG131060:ODR131062 ONC131060:ONN131062 OWY131060:OXJ131062 PGU131060:PHF131062 PQQ131060:PRB131062 QAM131060:QAX131062 QKI131060:QKT131062 QUE131060:QUP131062 REA131060:REL131062 RNW131060:ROH131062 RXS131060:RYD131062 SHO131060:SHZ131062 SRK131060:SRV131062 TBG131060:TBR131062 TLC131060:TLN131062 TUY131060:TVJ131062 UEU131060:UFF131062 UOQ131060:UPB131062 UYM131060:UYX131062 VII131060:VIT131062 VSE131060:VSP131062 WCA131060:WCL131062 WLW131060:WMH131062 WVS131060:WWD131062 JG196596:JR196598 TC196596:TN196598 ACY196596:ADJ196598 AMU196596:ANF196598 AWQ196596:AXB196598 BGM196596:BGX196598 BQI196596:BQT196598 CAE196596:CAP196598 CKA196596:CKL196598 CTW196596:CUH196598 DDS196596:DED196598 DNO196596:DNZ196598 DXK196596:DXV196598 EHG196596:EHR196598 ERC196596:ERN196598 FAY196596:FBJ196598 FKU196596:FLF196598 FUQ196596:FVB196598 GEM196596:GEX196598 GOI196596:GOT196598 GYE196596:GYP196598 HIA196596:HIL196598 HRW196596:HSH196598 IBS196596:ICD196598 ILO196596:ILZ196598 IVK196596:IVV196598 JFG196596:JFR196598 JPC196596:JPN196598 JYY196596:JZJ196598 KIU196596:KJF196598 KSQ196596:KTB196598 LCM196596:LCX196598 LMI196596:LMT196598 LWE196596:LWP196598 MGA196596:MGL196598 MPW196596:MQH196598 MZS196596:NAD196598 NJO196596:NJZ196598 NTK196596:NTV196598 ODG196596:ODR196598 ONC196596:ONN196598 OWY196596:OXJ196598 PGU196596:PHF196598 PQQ196596:PRB196598 QAM196596:QAX196598 QKI196596:QKT196598 QUE196596:QUP196598 REA196596:REL196598 RNW196596:ROH196598 RXS196596:RYD196598 SHO196596:SHZ196598 SRK196596:SRV196598 TBG196596:TBR196598 TLC196596:TLN196598 TUY196596:TVJ196598 UEU196596:UFF196598 UOQ196596:UPB196598 UYM196596:UYX196598 VII196596:VIT196598 VSE196596:VSP196598 WCA196596:WCL196598 WLW196596:WMH196598 WVS196596:WWD196598 JG262132:JR262134 TC262132:TN262134 ACY262132:ADJ262134 AMU262132:ANF262134 AWQ262132:AXB262134 BGM262132:BGX262134 BQI262132:BQT262134 CAE262132:CAP262134 CKA262132:CKL262134 CTW262132:CUH262134 DDS262132:DED262134 DNO262132:DNZ262134 DXK262132:DXV262134 EHG262132:EHR262134 ERC262132:ERN262134 FAY262132:FBJ262134 FKU262132:FLF262134 FUQ262132:FVB262134 GEM262132:GEX262134 GOI262132:GOT262134 GYE262132:GYP262134 HIA262132:HIL262134 HRW262132:HSH262134 IBS262132:ICD262134 ILO262132:ILZ262134 IVK262132:IVV262134 JFG262132:JFR262134 JPC262132:JPN262134 JYY262132:JZJ262134 KIU262132:KJF262134 KSQ262132:KTB262134 LCM262132:LCX262134 LMI262132:LMT262134 LWE262132:LWP262134 MGA262132:MGL262134 MPW262132:MQH262134 MZS262132:NAD262134 NJO262132:NJZ262134 NTK262132:NTV262134 ODG262132:ODR262134 ONC262132:ONN262134 OWY262132:OXJ262134 PGU262132:PHF262134 PQQ262132:PRB262134 QAM262132:QAX262134 QKI262132:QKT262134 QUE262132:QUP262134 REA262132:REL262134 RNW262132:ROH262134 RXS262132:RYD262134 SHO262132:SHZ262134 SRK262132:SRV262134 TBG262132:TBR262134 TLC262132:TLN262134 TUY262132:TVJ262134 UEU262132:UFF262134 UOQ262132:UPB262134 UYM262132:UYX262134 VII262132:VIT262134 VSE262132:VSP262134 WCA262132:WCL262134 WLW262132:WMH262134 WVS262132:WWD262134 JG327668:JR327670 TC327668:TN327670 ACY327668:ADJ327670 AMU327668:ANF327670 AWQ327668:AXB327670 BGM327668:BGX327670 BQI327668:BQT327670 CAE327668:CAP327670 CKA327668:CKL327670 CTW327668:CUH327670 DDS327668:DED327670 DNO327668:DNZ327670 DXK327668:DXV327670 EHG327668:EHR327670 ERC327668:ERN327670 FAY327668:FBJ327670 FKU327668:FLF327670 FUQ327668:FVB327670 GEM327668:GEX327670 GOI327668:GOT327670 GYE327668:GYP327670 HIA327668:HIL327670 HRW327668:HSH327670 IBS327668:ICD327670 ILO327668:ILZ327670 IVK327668:IVV327670 JFG327668:JFR327670 JPC327668:JPN327670 JYY327668:JZJ327670 KIU327668:KJF327670 KSQ327668:KTB327670 LCM327668:LCX327670 LMI327668:LMT327670 LWE327668:LWP327670 MGA327668:MGL327670 MPW327668:MQH327670 MZS327668:NAD327670 NJO327668:NJZ327670 NTK327668:NTV327670 ODG327668:ODR327670 ONC327668:ONN327670 OWY327668:OXJ327670 PGU327668:PHF327670 PQQ327668:PRB327670 QAM327668:QAX327670 QKI327668:QKT327670 QUE327668:QUP327670 REA327668:REL327670 RNW327668:ROH327670 RXS327668:RYD327670 SHO327668:SHZ327670 SRK327668:SRV327670 TBG327668:TBR327670 TLC327668:TLN327670 TUY327668:TVJ327670 UEU327668:UFF327670 UOQ327668:UPB327670 UYM327668:UYX327670 VII327668:VIT327670 VSE327668:VSP327670 WCA327668:WCL327670 WLW327668:WMH327670 WVS327668:WWD327670 JG393204:JR393206 TC393204:TN393206 ACY393204:ADJ393206 AMU393204:ANF393206 AWQ393204:AXB393206 BGM393204:BGX393206 BQI393204:BQT393206 CAE393204:CAP393206 CKA393204:CKL393206 CTW393204:CUH393206 DDS393204:DED393206 DNO393204:DNZ393206 DXK393204:DXV393206 EHG393204:EHR393206 ERC393204:ERN393206 FAY393204:FBJ393206 FKU393204:FLF393206 FUQ393204:FVB393206 GEM393204:GEX393206 GOI393204:GOT393206 GYE393204:GYP393206 HIA393204:HIL393206 HRW393204:HSH393206 IBS393204:ICD393206 ILO393204:ILZ393206 IVK393204:IVV393206 JFG393204:JFR393206 JPC393204:JPN393206 JYY393204:JZJ393206 KIU393204:KJF393206 KSQ393204:KTB393206 LCM393204:LCX393206 LMI393204:LMT393206 LWE393204:LWP393206 MGA393204:MGL393206 MPW393204:MQH393206 MZS393204:NAD393206 NJO393204:NJZ393206 NTK393204:NTV393206 ODG393204:ODR393206 ONC393204:ONN393206 OWY393204:OXJ393206 PGU393204:PHF393206 PQQ393204:PRB393206 QAM393204:QAX393206 QKI393204:QKT393206 QUE393204:QUP393206 REA393204:REL393206 RNW393204:ROH393206 RXS393204:RYD393206 SHO393204:SHZ393206 SRK393204:SRV393206 TBG393204:TBR393206 TLC393204:TLN393206 TUY393204:TVJ393206 UEU393204:UFF393206 UOQ393204:UPB393206 UYM393204:UYX393206 VII393204:VIT393206 VSE393204:VSP393206 WCA393204:WCL393206 WLW393204:WMH393206 WVS393204:WWD393206 JG458740:JR458742 TC458740:TN458742 ACY458740:ADJ458742 AMU458740:ANF458742 AWQ458740:AXB458742 BGM458740:BGX458742 BQI458740:BQT458742 CAE458740:CAP458742 CKA458740:CKL458742 CTW458740:CUH458742 DDS458740:DED458742 DNO458740:DNZ458742 DXK458740:DXV458742 EHG458740:EHR458742 ERC458740:ERN458742 FAY458740:FBJ458742 FKU458740:FLF458742 FUQ458740:FVB458742 GEM458740:GEX458742 GOI458740:GOT458742 GYE458740:GYP458742 HIA458740:HIL458742 HRW458740:HSH458742 IBS458740:ICD458742 ILO458740:ILZ458742 IVK458740:IVV458742 JFG458740:JFR458742 JPC458740:JPN458742 JYY458740:JZJ458742 KIU458740:KJF458742 KSQ458740:KTB458742 LCM458740:LCX458742 LMI458740:LMT458742 LWE458740:LWP458742 MGA458740:MGL458742 MPW458740:MQH458742 MZS458740:NAD458742 NJO458740:NJZ458742 NTK458740:NTV458742 ODG458740:ODR458742 ONC458740:ONN458742 OWY458740:OXJ458742 PGU458740:PHF458742 PQQ458740:PRB458742 QAM458740:QAX458742 QKI458740:QKT458742 QUE458740:QUP458742 REA458740:REL458742 RNW458740:ROH458742 RXS458740:RYD458742 SHO458740:SHZ458742 SRK458740:SRV458742 TBG458740:TBR458742 TLC458740:TLN458742 TUY458740:TVJ458742 UEU458740:UFF458742 UOQ458740:UPB458742 UYM458740:UYX458742 VII458740:VIT458742 VSE458740:VSP458742 WCA458740:WCL458742 WLW458740:WMH458742 WVS458740:WWD458742 JG524276:JR524278 TC524276:TN524278 ACY524276:ADJ524278 AMU524276:ANF524278 AWQ524276:AXB524278 BGM524276:BGX524278 BQI524276:BQT524278 CAE524276:CAP524278 CKA524276:CKL524278 CTW524276:CUH524278 DDS524276:DED524278 DNO524276:DNZ524278 DXK524276:DXV524278 EHG524276:EHR524278 ERC524276:ERN524278 FAY524276:FBJ524278 FKU524276:FLF524278 FUQ524276:FVB524278 GEM524276:GEX524278 GOI524276:GOT524278 GYE524276:GYP524278 HIA524276:HIL524278 HRW524276:HSH524278 IBS524276:ICD524278 ILO524276:ILZ524278 IVK524276:IVV524278 JFG524276:JFR524278 JPC524276:JPN524278 JYY524276:JZJ524278 KIU524276:KJF524278 KSQ524276:KTB524278 LCM524276:LCX524278 LMI524276:LMT524278 LWE524276:LWP524278 MGA524276:MGL524278 MPW524276:MQH524278 MZS524276:NAD524278 NJO524276:NJZ524278 NTK524276:NTV524278 ODG524276:ODR524278 ONC524276:ONN524278 OWY524276:OXJ524278 PGU524276:PHF524278 PQQ524276:PRB524278 QAM524276:QAX524278 QKI524276:QKT524278 QUE524276:QUP524278 REA524276:REL524278 RNW524276:ROH524278 RXS524276:RYD524278 SHO524276:SHZ524278 SRK524276:SRV524278 TBG524276:TBR524278 TLC524276:TLN524278 TUY524276:TVJ524278 UEU524276:UFF524278 UOQ524276:UPB524278 UYM524276:UYX524278 VII524276:VIT524278 VSE524276:VSP524278 WCA524276:WCL524278 WLW524276:WMH524278 WVS524276:WWD524278 JG589812:JR589814 TC589812:TN589814 ACY589812:ADJ589814 AMU589812:ANF589814 AWQ589812:AXB589814 BGM589812:BGX589814 BQI589812:BQT589814 CAE589812:CAP589814 CKA589812:CKL589814 CTW589812:CUH589814 DDS589812:DED589814 DNO589812:DNZ589814 DXK589812:DXV589814 EHG589812:EHR589814 ERC589812:ERN589814 FAY589812:FBJ589814 FKU589812:FLF589814 FUQ589812:FVB589814 GEM589812:GEX589814 GOI589812:GOT589814 GYE589812:GYP589814 HIA589812:HIL589814 HRW589812:HSH589814 IBS589812:ICD589814 ILO589812:ILZ589814 IVK589812:IVV589814 JFG589812:JFR589814 JPC589812:JPN589814 JYY589812:JZJ589814 KIU589812:KJF589814 KSQ589812:KTB589814 LCM589812:LCX589814 LMI589812:LMT589814 LWE589812:LWP589814 MGA589812:MGL589814 MPW589812:MQH589814 MZS589812:NAD589814 NJO589812:NJZ589814 NTK589812:NTV589814 ODG589812:ODR589814 ONC589812:ONN589814 OWY589812:OXJ589814 PGU589812:PHF589814 PQQ589812:PRB589814 QAM589812:QAX589814 QKI589812:QKT589814 QUE589812:QUP589814 REA589812:REL589814 RNW589812:ROH589814 RXS589812:RYD589814 SHO589812:SHZ589814 SRK589812:SRV589814 TBG589812:TBR589814 TLC589812:TLN589814 TUY589812:TVJ589814 UEU589812:UFF589814 UOQ589812:UPB589814 UYM589812:UYX589814 VII589812:VIT589814 VSE589812:VSP589814 WCA589812:WCL589814 WLW589812:WMH589814 WVS589812:WWD589814 JG655348:JR655350 TC655348:TN655350 ACY655348:ADJ655350 AMU655348:ANF655350 AWQ655348:AXB655350 BGM655348:BGX655350 BQI655348:BQT655350 CAE655348:CAP655350 CKA655348:CKL655350 CTW655348:CUH655350 DDS655348:DED655350 DNO655348:DNZ655350 DXK655348:DXV655350 EHG655348:EHR655350 ERC655348:ERN655350 FAY655348:FBJ655350 FKU655348:FLF655350 FUQ655348:FVB655350 GEM655348:GEX655350 GOI655348:GOT655350 GYE655348:GYP655350 HIA655348:HIL655350 HRW655348:HSH655350 IBS655348:ICD655350 ILO655348:ILZ655350 IVK655348:IVV655350 JFG655348:JFR655350 JPC655348:JPN655350 JYY655348:JZJ655350 KIU655348:KJF655350 KSQ655348:KTB655350 LCM655348:LCX655350 LMI655348:LMT655350 LWE655348:LWP655350 MGA655348:MGL655350 MPW655348:MQH655350 MZS655348:NAD655350 NJO655348:NJZ655350 NTK655348:NTV655350 ODG655348:ODR655350 ONC655348:ONN655350 OWY655348:OXJ655350 PGU655348:PHF655350 PQQ655348:PRB655350 QAM655348:QAX655350 QKI655348:QKT655350 QUE655348:QUP655350 REA655348:REL655350 RNW655348:ROH655350 RXS655348:RYD655350 SHO655348:SHZ655350 SRK655348:SRV655350 TBG655348:TBR655350 TLC655348:TLN655350 TUY655348:TVJ655350 UEU655348:UFF655350 UOQ655348:UPB655350 UYM655348:UYX655350 VII655348:VIT655350 VSE655348:VSP655350 WCA655348:WCL655350 WLW655348:WMH655350 WVS655348:WWD655350 JG720884:JR720886 TC720884:TN720886 ACY720884:ADJ720886 AMU720884:ANF720886 AWQ720884:AXB720886 BGM720884:BGX720886 BQI720884:BQT720886 CAE720884:CAP720886 CKA720884:CKL720886 CTW720884:CUH720886 DDS720884:DED720886 DNO720884:DNZ720886 DXK720884:DXV720886 EHG720884:EHR720886 ERC720884:ERN720886 FAY720884:FBJ720886 FKU720884:FLF720886 FUQ720884:FVB720886 GEM720884:GEX720886 GOI720884:GOT720886 GYE720884:GYP720886 HIA720884:HIL720886 HRW720884:HSH720886 IBS720884:ICD720886 ILO720884:ILZ720886 IVK720884:IVV720886 JFG720884:JFR720886 JPC720884:JPN720886 JYY720884:JZJ720886 KIU720884:KJF720886 KSQ720884:KTB720886 LCM720884:LCX720886 LMI720884:LMT720886 LWE720884:LWP720886 MGA720884:MGL720886 MPW720884:MQH720886 MZS720884:NAD720886 NJO720884:NJZ720886 NTK720884:NTV720886 ODG720884:ODR720886 ONC720884:ONN720886 OWY720884:OXJ720886 PGU720884:PHF720886 PQQ720884:PRB720886 QAM720884:QAX720886 QKI720884:QKT720886 QUE720884:QUP720886 REA720884:REL720886 RNW720884:ROH720886 RXS720884:RYD720886 SHO720884:SHZ720886 SRK720884:SRV720886 TBG720884:TBR720886 TLC720884:TLN720886 TUY720884:TVJ720886 UEU720884:UFF720886 UOQ720884:UPB720886 UYM720884:UYX720886 VII720884:VIT720886 VSE720884:VSP720886 WCA720884:WCL720886 WLW720884:WMH720886 WVS720884:WWD720886 JG786420:JR786422 TC786420:TN786422 ACY786420:ADJ786422 AMU786420:ANF786422 AWQ786420:AXB786422 BGM786420:BGX786422 BQI786420:BQT786422 CAE786420:CAP786422 CKA786420:CKL786422 CTW786420:CUH786422 DDS786420:DED786422 DNO786420:DNZ786422 DXK786420:DXV786422 EHG786420:EHR786422 ERC786420:ERN786422 FAY786420:FBJ786422 FKU786420:FLF786422 FUQ786420:FVB786422 GEM786420:GEX786422 GOI786420:GOT786422 GYE786420:GYP786422 HIA786420:HIL786422 HRW786420:HSH786422 IBS786420:ICD786422 ILO786420:ILZ786422 IVK786420:IVV786422 JFG786420:JFR786422 JPC786420:JPN786422 JYY786420:JZJ786422 KIU786420:KJF786422 KSQ786420:KTB786422 LCM786420:LCX786422 LMI786420:LMT786422 LWE786420:LWP786422 MGA786420:MGL786422 MPW786420:MQH786422 MZS786420:NAD786422 NJO786420:NJZ786422 NTK786420:NTV786422 ODG786420:ODR786422 ONC786420:ONN786422 OWY786420:OXJ786422 PGU786420:PHF786422 PQQ786420:PRB786422 QAM786420:QAX786422 QKI786420:QKT786422 QUE786420:QUP786422 REA786420:REL786422 RNW786420:ROH786422 RXS786420:RYD786422 SHO786420:SHZ786422 SRK786420:SRV786422 TBG786420:TBR786422 TLC786420:TLN786422 TUY786420:TVJ786422 UEU786420:UFF786422 UOQ786420:UPB786422 UYM786420:UYX786422 VII786420:VIT786422 VSE786420:VSP786422 WCA786420:WCL786422 WLW786420:WMH786422 WVS786420:WWD786422 JG851956:JR851958 TC851956:TN851958 ACY851956:ADJ851958 AMU851956:ANF851958 AWQ851956:AXB851958 BGM851956:BGX851958 BQI851956:BQT851958 CAE851956:CAP851958 CKA851956:CKL851958 CTW851956:CUH851958 DDS851956:DED851958 DNO851956:DNZ851958 DXK851956:DXV851958 EHG851956:EHR851958 ERC851956:ERN851958 FAY851956:FBJ851958 FKU851956:FLF851958 FUQ851956:FVB851958 GEM851956:GEX851958 GOI851956:GOT851958 GYE851956:GYP851958 HIA851956:HIL851958 HRW851956:HSH851958 IBS851956:ICD851958 ILO851956:ILZ851958 IVK851956:IVV851958 JFG851956:JFR851958 JPC851956:JPN851958 JYY851956:JZJ851958 KIU851956:KJF851958 KSQ851956:KTB851958 LCM851956:LCX851958 LMI851956:LMT851958 LWE851956:LWP851958 MGA851956:MGL851958 MPW851956:MQH851958 MZS851956:NAD851958 NJO851956:NJZ851958 NTK851956:NTV851958 ODG851956:ODR851958 ONC851956:ONN851958 OWY851956:OXJ851958 PGU851956:PHF851958 PQQ851956:PRB851958 QAM851956:QAX851958 QKI851956:QKT851958 QUE851956:QUP851958 REA851956:REL851958 RNW851956:ROH851958 RXS851956:RYD851958 SHO851956:SHZ851958 SRK851956:SRV851958 TBG851956:TBR851958 TLC851956:TLN851958 TUY851956:TVJ851958 UEU851956:UFF851958 UOQ851956:UPB851958 UYM851956:UYX851958 VII851956:VIT851958 VSE851956:VSP851958 WCA851956:WCL851958 WLW851956:WMH851958 WVS851956:WWD851958 JG917492:JR917494 TC917492:TN917494 ACY917492:ADJ917494 AMU917492:ANF917494 AWQ917492:AXB917494 BGM917492:BGX917494 BQI917492:BQT917494 CAE917492:CAP917494 CKA917492:CKL917494 CTW917492:CUH917494 DDS917492:DED917494 DNO917492:DNZ917494 DXK917492:DXV917494 EHG917492:EHR917494 ERC917492:ERN917494 FAY917492:FBJ917494 FKU917492:FLF917494 FUQ917492:FVB917494 GEM917492:GEX917494 GOI917492:GOT917494 GYE917492:GYP917494 HIA917492:HIL917494 HRW917492:HSH917494 IBS917492:ICD917494 ILO917492:ILZ917494 IVK917492:IVV917494 JFG917492:JFR917494 JPC917492:JPN917494 JYY917492:JZJ917494 KIU917492:KJF917494 KSQ917492:KTB917494 LCM917492:LCX917494 LMI917492:LMT917494 LWE917492:LWP917494 MGA917492:MGL917494 MPW917492:MQH917494 MZS917492:NAD917494 NJO917492:NJZ917494 NTK917492:NTV917494 ODG917492:ODR917494 ONC917492:ONN917494 OWY917492:OXJ917494 PGU917492:PHF917494 PQQ917492:PRB917494 QAM917492:QAX917494 QKI917492:QKT917494 QUE917492:QUP917494 REA917492:REL917494 RNW917492:ROH917494 RXS917492:RYD917494 SHO917492:SHZ917494 SRK917492:SRV917494 TBG917492:TBR917494 TLC917492:TLN917494 TUY917492:TVJ917494 UEU917492:UFF917494 UOQ917492:UPB917494 UYM917492:UYX917494 VII917492:VIT917494 VSE917492:VSP917494 WCA917492:WCL917494 WLW917492:WMH917494 WVS917492:WWD917494 JG983028:JR983030 TC983028:TN983030 ACY983028:ADJ983030 AMU983028:ANF983030 AWQ983028:AXB983030 BGM983028:BGX983030 BQI983028:BQT983030 CAE983028:CAP983030 CKA983028:CKL983030 CTW983028:CUH983030 DDS983028:DED983030 DNO983028:DNZ983030 DXK983028:DXV983030 EHG983028:EHR983030 ERC983028:ERN983030 FAY983028:FBJ983030 FKU983028:FLF983030 FUQ983028:FVB983030 GEM983028:GEX983030 GOI983028:GOT983030 GYE983028:GYP983030 HIA983028:HIL983030 HRW983028:HSH983030 IBS983028:ICD983030 ILO983028:ILZ983030 IVK983028:IVV983030 JFG983028:JFR983030 JPC983028:JPN983030 JYY983028:JZJ983030 KIU983028:KJF983030 KSQ983028:KTB983030 LCM983028:LCX983030 LMI983028:LMT983030 LWE983028:LWP983030 MGA983028:MGL983030 MPW983028:MQH983030 MZS983028:NAD983030 NJO983028:NJZ983030 NTK983028:NTV983030 ODG983028:ODR983030 ONC983028:ONN983030 OWY983028:OXJ983030 PGU983028:PHF983030 PQQ983028:PRB983030 QAM983028:QAX983030 QKI983028:QKT983030 QUE983028:QUP983030 REA983028:REL983030 RNW983028:ROH983030 RXS983028:RYD983030 SHO983028:SHZ983030 SRK983028:SRV983030 TBG983028:TBR983030 TLC983028:TLN983030 TUY983028:TVJ983030 UEU983028:UFF983030 UOQ983028:UPB983030 UYM983028:UYX983030 VII983028:VIT983030 VSE983028:VSP983030 WCA983028:WCL983030 WLW983028:WMH983030 Z262127:AJ262129 Z196591:AJ196593 Z131055:AJ131057 Z65519:AJ65521 Z983028:AJ983030 Z917492:AJ917494 Z851956:AJ851958 Z786420:AJ786422 Z720884:AJ720886 Z655348:AJ655350 Z589812:AJ589814 Z524276:AJ524278 Z458740:AJ458742 Z393204:AJ393206 Z327668:AJ327670 Z262132:AJ262134 Z196596:AJ196598 Z131060:AJ131062 Z65524:AJ65526 Z983023:AJ983025 Z917487:AJ917489 Z851951:AJ851953 Z786415:AJ786417 Z720879:AJ720881 Z655343:AJ655345 Z589807:AJ589809 Z524271:AJ524273 Z458735:AJ458737 Z393199:AJ393201 Z327663:AJ327665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0F00-000000000000}"/>
    <dataValidation type="list" allowBlank="1" showInputMessage="1" showErrorMessage="1" sqref="AA8:AA12 AA13:AC14 AA15:AA44" xr:uid="{00000000-0002-0000-0F00-000001000000}">
      <formula1>"datetime,int,numeric,varchar,nvarchar"</formula1>
    </dataValidation>
    <dataValidation type="list" allowBlank="1" showInputMessage="1" showErrorMessage="1" sqref="Y8:Z44" xr:uid="{00000000-0002-0000-0F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>
    <tabColor rgb="FF92D050"/>
  </sheetPr>
  <dimension ref="A1:I813"/>
  <sheetViews>
    <sheetView workbookViewId="0">
      <pane ySplit="3" topLeftCell="A4" activePane="bottomLeft" state="frozen"/>
      <selection sqref="A1:T4"/>
      <selection pane="bottomLeft"/>
    </sheetView>
  </sheetViews>
  <sheetFormatPr defaultRowHeight="14.4" x14ac:dyDescent="0.3"/>
  <cols>
    <col min="1" max="1" width="4.6328125" customWidth="1"/>
    <col min="2" max="2" width="20.6328125" customWidth="1"/>
    <col min="3" max="3" width="25.6328125" customWidth="1"/>
    <col min="4" max="4" width="35.6328125" customWidth="1"/>
    <col min="5" max="5" width="10.6328125" customWidth="1"/>
    <col min="6" max="6" width="14.6328125" customWidth="1"/>
    <col min="7" max="8" width="5.6328125" customWidth="1"/>
    <col min="9" max="9" width="8.7265625" style="15"/>
  </cols>
  <sheetData>
    <row r="1" spans="1:9" ht="18.600000000000001" x14ac:dyDescent="0.3">
      <c r="A1" s="8" t="str">
        <f ca="1">RIGHT(CELL("filename",A1),LEN(CELL("filename",A1))-FIND("]",CELL("filename",A1)))</f>
        <v>項目一覧</v>
      </c>
      <c r="B1" s="9"/>
      <c r="C1" s="9"/>
      <c r="D1" s="9"/>
      <c r="E1" s="9"/>
      <c r="F1" s="9"/>
      <c r="G1" s="9"/>
      <c r="H1" s="9"/>
      <c r="I1" s="10"/>
    </row>
    <row r="3" spans="1:9" x14ac:dyDescent="0.3">
      <c r="A3" s="11" t="s">
        <v>88</v>
      </c>
      <c r="B3" s="11" t="s">
        <v>89</v>
      </c>
      <c r="C3" s="11" t="s">
        <v>90</v>
      </c>
      <c r="D3" s="11" t="s">
        <v>91</v>
      </c>
      <c r="E3" s="11" t="s">
        <v>92</v>
      </c>
      <c r="F3" s="11" t="s">
        <v>93</v>
      </c>
      <c r="G3" s="11" t="s">
        <v>94</v>
      </c>
      <c r="H3" s="11" t="s">
        <v>95</v>
      </c>
      <c r="I3" s="12" t="s">
        <v>96</v>
      </c>
    </row>
    <row r="4" spans="1:9" x14ac:dyDescent="0.3">
      <c r="A4" s="13" t="str">
        <f>IF(B4="","",COUNTA($B$4:B4))</f>
        <v/>
      </c>
      <c r="B4" s="13"/>
      <c r="C4" s="13"/>
      <c r="D4" s="13"/>
      <c r="E4" s="13"/>
      <c r="F4" s="13"/>
      <c r="G4" s="13"/>
      <c r="H4" s="13"/>
      <c r="I4" s="14"/>
    </row>
    <row r="5" spans="1:9" x14ac:dyDescent="0.3">
      <c r="A5" s="13" t="str">
        <f>IF(B5="","",COUNTA($B$4:B5))</f>
        <v/>
      </c>
      <c r="B5" s="13"/>
      <c r="C5" s="13"/>
      <c r="D5" s="13"/>
      <c r="E5" s="13"/>
      <c r="F5" s="13"/>
      <c r="G5" s="13"/>
      <c r="H5" s="13"/>
      <c r="I5" s="14"/>
    </row>
    <row r="6" spans="1:9" x14ac:dyDescent="0.3">
      <c r="A6" s="13" t="str">
        <f>IF(B6="","",COUNTA($B$4:B6))</f>
        <v/>
      </c>
      <c r="B6" s="13"/>
      <c r="C6" s="13"/>
      <c r="D6" s="13"/>
      <c r="E6" s="13"/>
      <c r="F6" s="13"/>
      <c r="G6" s="13"/>
      <c r="H6" s="13"/>
      <c r="I6" s="14"/>
    </row>
    <row r="7" spans="1:9" x14ac:dyDescent="0.3">
      <c r="A7" s="13" t="str">
        <f>IF(B7="","",COUNTA($B$4:B7))</f>
        <v/>
      </c>
      <c r="B7" s="13"/>
      <c r="C7" s="13"/>
      <c r="D7" s="13"/>
      <c r="E7" s="13"/>
      <c r="F7" s="13"/>
      <c r="G7" s="13"/>
      <c r="H7" s="13"/>
      <c r="I7" s="14"/>
    </row>
    <row r="8" spans="1:9" x14ac:dyDescent="0.3">
      <c r="A8" s="13" t="str">
        <f>IF(B8="","",COUNTA($B$4:B8))</f>
        <v/>
      </c>
      <c r="B8" s="13"/>
      <c r="C8" s="13"/>
      <c r="D8" s="13"/>
      <c r="E8" s="13"/>
      <c r="F8" s="13"/>
      <c r="G8" s="13"/>
      <c r="H8" s="13"/>
      <c r="I8" s="14"/>
    </row>
    <row r="9" spans="1:9" x14ac:dyDescent="0.3">
      <c r="A9" s="13" t="str">
        <f>IF(B9="","",COUNTA($B$4:B9))</f>
        <v/>
      </c>
      <c r="B9" s="13"/>
      <c r="C9" s="13"/>
      <c r="D9" s="13"/>
      <c r="E9" s="13"/>
      <c r="F9" s="13"/>
      <c r="G9" s="13"/>
      <c r="H9" s="13"/>
      <c r="I9" s="14"/>
    </row>
    <row r="10" spans="1:9" x14ac:dyDescent="0.3">
      <c r="A10" s="13" t="str">
        <f>IF(B10="","",COUNTA($B$4:B10))</f>
        <v/>
      </c>
      <c r="B10" s="13"/>
      <c r="C10" s="13"/>
      <c r="D10" s="13"/>
      <c r="E10" s="13"/>
      <c r="F10" s="13"/>
      <c r="G10" s="13"/>
      <c r="H10" s="13"/>
      <c r="I10" s="14"/>
    </row>
    <row r="11" spans="1:9" x14ac:dyDescent="0.3">
      <c r="A11" s="13" t="str">
        <f>IF(B11="","",COUNTA($B$4:B11))</f>
        <v/>
      </c>
      <c r="B11" s="13"/>
      <c r="C11" s="13"/>
      <c r="D11" s="13"/>
      <c r="E11" s="13"/>
      <c r="F11" s="13"/>
      <c r="G11" s="13"/>
      <c r="H11" s="13"/>
      <c r="I11" s="14"/>
    </row>
    <row r="12" spans="1:9" x14ac:dyDescent="0.3">
      <c r="A12" s="13" t="str">
        <f>IF(B12="","",COUNTA($B$4:B12))</f>
        <v/>
      </c>
      <c r="B12" s="13"/>
      <c r="C12" s="13"/>
      <c r="D12" s="13"/>
      <c r="E12" s="13"/>
      <c r="F12" s="13"/>
      <c r="G12" s="13"/>
      <c r="H12" s="13"/>
      <c r="I12" s="14"/>
    </row>
    <row r="13" spans="1:9" x14ac:dyDescent="0.3">
      <c r="A13" s="13" t="str">
        <f>IF(B13="","",COUNTA($B$4:B13))</f>
        <v/>
      </c>
      <c r="B13" s="13"/>
      <c r="C13" s="13"/>
      <c r="D13" s="13"/>
      <c r="E13" s="13"/>
      <c r="F13" s="13"/>
      <c r="G13" s="13"/>
      <c r="H13" s="13"/>
      <c r="I13" s="14"/>
    </row>
    <row r="14" spans="1:9" x14ac:dyDescent="0.3">
      <c r="A14" s="13" t="str">
        <f>IF(B14="","",COUNTA($B$4:B14))</f>
        <v/>
      </c>
      <c r="B14" s="13"/>
      <c r="C14" s="13"/>
      <c r="D14" s="13"/>
      <c r="E14" s="13"/>
      <c r="F14" s="13"/>
      <c r="G14" s="13"/>
      <c r="H14" s="13"/>
      <c r="I14" s="14"/>
    </row>
    <row r="15" spans="1:9" x14ac:dyDescent="0.3">
      <c r="A15" s="13" t="str">
        <f>IF(B15="","",COUNTA($B$4:B15))</f>
        <v/>
      </c>
      <c r="B15" s="13"/>
      <c r="C15" s="13"/>
      <c r="D15" s="13"/>
      <c r="E15" s="13"/>
      <c r="F15" s="13"/>
      <c r="G15" s="13"/>
      <c r="H15" s="13"/>
      <c r="I15" s="14"/>
    </row>
    <row r="16" spans="1:9" x14ac:dyDescent="0.3">
      <c r="A16" s="13" t="str">
        <f>IF(B16="","",COUNTA($B$4:B16))</f>
        <v/>
      </c>
      <c r="B16" s="13"/>
      <c r="C16" s="13"/>
      <c r="D16" s="13"/>
      <c r="E16" s="13"/>
      <c r="F16" s="13"/>
      <c r="G16" s="13"/>
      <c r="H16" s="13"/>
      <c r="I16" s="14"/>
    </row>
    <row r="17" spans="1:9" x14ac:dyDescent="0.3">
      <c r="A17" s="13" t="str">
        <f>IF(B17="","",COUNTA($B$4:B17))</f>
        <v/>
      </c>
      <c r="B17" s="13"/>
      <c r="C17" s="13"/>
      <c r="D17" s="13"/>
      <c r="E17" s="13"/>
      <c r="F17" s="13"/>
      <c r="G17" s="13"/>
      <c r="H17" s="13"/>
      <c r="I17" s="14"/>
    </row>
    <row r="18" spans="1:9" x14ac:dyDescent="0.3">
      <c r="A18" s="13" t="str">
        <f>IF(B18="","",COUNTA($B$4:B18))</f>
        <v/>
      </c>
      <c r="B18" s="13"/>
      <c r="C18" s="13"/>
      <c r="D18" s="13"/>
      <c r="E18" s="13"/>
      <c r="F18" s="13"/>
      <c r="G18" s="13"/>
      <c r="H18" s="13"/>
      <c r="I18" s="14"/>
    </row>
    <row r="19" spans="1:9" x14ac:dyDescent="0.3">
      <c r="A19" s="13" t="str">
        <f>IF(B19="","",COUNTA($B$4:B19))</f>
        <v/>
      </c>
      <c r="B19" s="13"/>
      <c r="C19" s="13"/>
      <c r="D19" s="13"/>
      <c r="E19" s="13"/>
      <c r="F19" s="13"/>
      <c r="G19" s="13"/>
      <c r="H19" s="13"/>
      <c r="I19" s="14"/>
    </row>
    <row r="20" spans="1:9" x14ac:dyDescent="0.3">
      <c r="A20" s="13" t="str">
        <f>IF(B20="","",COUNTA($B$4:B20))</f>
        <v/>
      </c>
      <c r="B20" s="13"/>
      <c r="C20" s="13"/>
      <c r="D20" s="13"/>
      <c r="E20" s="13"/>
      <c r="F20" s="13"/>
      <c r="G20" s="13"/>
      <c r="H20" s="13"/>
      <c r="I20" s="14"/>
    </row>
    <row r="21" spans="1:9" x14ac:dyDescent="0.3">
      <c r="A21" s="13" t="str">
        <f>IF(B21="","",COUNTA($B$4:B21))</f>
        <v/>
      </c>
      <c r="B21" s="13"/>
      <c r="C21" s="13"/>
      <c r="D21" s="13"/>
      <c r="E21" s="13"/>
      <c r="F21" s="13"/>
      <c r="G21" s="13"/>
      <c r="H21" s="13"/>
      <c r="I21" s="14"/>
    </row>
    <row r="22" spans="1:9" x14ac:dyDescent="0.3">
      <c r="A22" s="13" t="str">
        <f>IF(B22="","",COUNTA($B$4:B22))</f>
        <v/>
      </c>
      <c r="B22" s="13"/>
      <c r="C22" s="13"/>
      <c r="D22" s="13"/>
      <c r="E22" s="13"/>
      <c r="F22" s="13"/>
      <c r="G22" s="13"/>
      <c r="H22" s="13"/>
      <c r="I22" s="14"/>
    </row>
    <row r="23" spans="1:9" x14ac:dyDescent="0.3">
      <c r="A23" s="13" t="str">
        <f>IF(B23="","",COUNTA($B$4:B23))</f>
        <v/>
      </c>
      <c r="B23" s="13"/>
      <c r="C23" s="13"/>
      <c r="D23" s="13"/>
      <c r="E23" s="13"/>
      <c r="F23" s="13"/>
      <c r="G23" s="13"/>
      <c r="H23" s="13"/>
      <c r="I23" s="14"/>
    </row>
    <row r="24" spans="1:9" x14ac:dyDescent="0.3">
      <c r="A24" s="13" t="str">
        <f>IF(B24="","",COUNTA($B$4:B24))</f>
        <v/>
      </c>
      <c r="B24" s="13"/>
      <c r="C24" s="13"/>
      <c r="D24" s="13"/>
      <c r="E24" s="13"/>
      <c r="F24" s="13"/>
      <c r="G24" s="13"/>
      <c r="H24" s="13"/>
      <c r="I24" s="14"/>
    </row>
    <row r="25" spans="1:9" x14ac:dyDescent="0.3">
      <c r="A25" s="13" t="str">
        <f>IF(B25="","",COUNTA($B$4:B25))</f>
        <v/>
      </c>
      <c r="B25" s="13"/>
      <c r="C25" s="13"/>
      <c r="D25" s="13"/>
      <c r="E25" s="13"/>
      <c r="F25" s="13"/>
      <c r="G25" s="13"/>
      <c r="H25" s="13"/>
      <c r="I25" s="14"/>
    </row>
    <row r="26" spans="1:9" x14ac:dyDescent="0.3">
      <c r="A26" s="13" t="str">
        <f>IF(B26="","",COUNTA($B$4:B26))</f>
        <v/>
      </c>
      <c r="B26" s="13"/>
      <c r="C26" s="13"/>
      <c r="D26" s="13"/>
      <c r="E26" s="13"/>
      <c r="F26" s="13"/>
      <c r="G26" s="13"/>
      <c r="H26" s="13"/>
      <c r="I26" s="14"/>
    </row>
    <row r="27" spans="1:9" x14ac:dyDescent="0.3">
      <c r="A27" s="13" t="str">
        <f>IF(B27="","",COUNTA($B$4:B27))</f>
        <v/>
      </c>
      <c r="B27" s="13"/>
      <c r="C27" s="13"/>
      <c r="D27" s="13"/>
      <c r="E27" s="13"/>
      <c r="F27" s="13"/>
      <c r="G27" s="13"/>
      <c r="H27" s="13"/>
      <c r="I27" s="14"/>
    </row>
    <row r="28" spans="1:9" x14ac:dyDescent="0.3">
      <c r="A28" s="13" t="str">
        <f>IF(B28="","",COUNTA($B$4:B28))</f>
        <v/>
      </c>
      <c r="B28" s="13"/>
      <c r="C28" s="13"/>
      <c r="D28" s="13"/>
      <c r="E28" s="13"/>
      <c r="F28" s="13"/>
      <c r="G28" s="13"/>
      <c r="H28" s="13"/>
      <c r="I28" s="14"/>
    </row>
    <row r="29" spans="1:9" x14ac:dyDescent="0.3">
      <c r="A29" s="13" t="str">
        <f>IF(B29="","",COUNTA($B$4:B29))</f>
        <v/>
      </c>
      <c r="B29" s="13"/>
      <c r="C29" s="13"/>
      <c r="D29" s="13"/>
      <c r="E29" s="13"/>
      <c r="F29" s="13"/>
      <c r="G29" s="13"/>
      <c r="H29" s="13"/>
      <c r="I29" s="14"/>
    </row>
    <row r="30" spans="1:9" x14ac:dyDescent="0.3">
      <c r="A30" s="13" t="str">
        <f>IF(B30="","",COUNTA($B$4:B30))</f>
        <v/>
      </c>
      <c r="B30" s="13"/>
      <c r="C30" s="13"/>
      <c r="D30" s="13"/>
      <c r="E30" s="13"/>
      <c r="F30" s="13"/>
      <c r="G30" s="13"/>
      <c r="H30" s="13"/>
      <c r="I30" s="14"/>
    </row>
    <row r="31" spans="1:9" x14ac:dyDescent="0.3">
      <c r="A31" s="13" t="str">
        <f>IF(B31="","",COUNTA($B$4:B31))</f>
        <v/>
      </c>
      <c r="B31" s="13"/>
      <c r="C31" s="13"/>
      <c r="D31" s="13"/>
      <c r="E31" s="13"/>
      <c r="F31" s="13"/>
      <c r="G31" s="13"/>
      <c r="H31" s="13"/>
      <c r="I31" s="14"/>
    </row>
    <row r="32" spans="1:9" x14ac:dyDescent="0.3">
      <c r="A32" s="13" t="str">
        <f>IF(B32="","",COUNTA($B$4:B32))</f>
        <v/>
      </c>
      <c r="B32" s="13"/>
      <c r="C32" s="13"/>
      <c r="D32" s="13"/>
      <c r="E32" s="13"/>
      <c r="F32" s="13"/>
      <c r="G32" s="13"/>
      <c r="H32" s="13"/>
      <c r="I32" s="14"/>
    </row>
    <row r="33" spans="1:9" x14ac:dyDescent="0.3">
      <c r="A33" s="13" t="str">
        <f>IF(B33="","",COUNTA($B$4:B33))</f>
        <v/>
      </c>
      <c r="B33" s="13"/>
      <c r="C33" s="13"/>
      <c r="D33" s="13"/>
      <c r="E33" s="13"/>
      <c r="F33" s="13"/>
      <c r="G33" s="13"/>
      <c r="H33" s="13"/>
      <c r="I33" s="14"/>
    </row>
    <row r="34" spans="1:9" x14ac:dyDescent="0.3">
      <c r="A34" s="13" t="str">
        <f>IF(B34="","",COUNTA($B$4:B34))</f>
        <v/>
      </c>
      <c r="B34" s="13"/>
      <c r="C34" s="13"/>
      <c r="D34" s="13"/>
      <c r="E34" s="13"/>
      <c r="F34" s="13"/>
      <c r="G34" s="13"/>
      <c r="H34" s="13"/>
      <c r="I34" s="14"/>
    </row>
    <row r="35" spans="1:9" x14ac:dyDescent="0.3">
      <c r="A35" s="13" t="str">
        <f>IF(B35="","",COUNTA($B$4:B35))</f>
        <v/>
      </c>
      <c r="B35" s="13"/>
      <c r="C35" s="13"/>
      <c r="D35" s="13"/>
      <c r="E35" s="13"/>
      <c r="F35" s="13"/>
      <c r="G35" s="13"/>
      <c r="H35" s="13"/>
      <c r="I35" s="14"/>
    </row>
    <row r="36" spans="1:9" x14ac:dyDescent="0.3">
      <c r="A36" s="13" t="str">
        <f>IF(B36="","",COUNTA($B$4:B36))</f>
        <v/>
      </c>
      <c r="B36" s="13"/>
      <c r="C36" s="13"/>
      <c r="D36" s="13"/>
      <c r="E36" s="13"/>
      <c r="F36" s="13"/>
      <c r="G36" s="13"/>
      <c r="H36" s="13"/>
      <c r="I36" s="14"/>
    </row>
    <row r="37" spans="1:9" x14ac:dyDescent="0.3">
      <c r="A37" s="13" t="str">
        <f>IF(B37="","",COUNTA($B$4:B37))</f>
        <v/>
      </c>
      <c r="B37" s="13"/>
      <c r="C37" s="13"/>
      <c r="D37" s="13"/>
      <c r="E37" s="13"/>
      <c r="F37" s="13"/>
      <c r="G37" s="13"/>
      <c r="H37" s="13"/>
      <c r="I37" s="14"/>
    </row>
    <row r="38" spans="1:9" x14ac:dyDescent="0.3">
      <c r="A38" s="13" t="str">
        <f>IF(B38="","",COUNTA($B$4:B38))</f>
        <v/>
      </c>
      <c r="B38" s="13"/>
      <c r="C38" s="13"/>
      <c r="D38" s="13"/>
      <c r="E38" s="13"/>
      <c r="F38" s="13"/>
      <c r="G38" s="13"/>
      <c r="H38" s="13"/>
      <c r="I38" s="14"/>
    </row>
    <row r="39" spans="1:9" x14ac:dyDescent="0.3">
      <c r="A39" s="13" t="str">
        <f>IF(B39="","",COUNTA($B$4:B39))</f>
        <v/>
      </c>
      <c r="B39" s="13"/>
      <c r="C39" s="13"/>
      <c r="D39" s="13"/>
      <c r="E39" s="13"/>
      <c r="F39" s="13"/>
      <c r="G39" s="13"/>
      <c r="H39" s="13"/>
      <c r="I39" s="14"/>
    </row>
    <row r="40" spans="1:9" x14ac:dyDescent="0.3">
      <c r="A40" s="13" t="str">
        <f>IF(B40="","",COUNTA($B$4:B40))</f>
        <v/>
      </c>
      <c r="B40" s="13"/>
      <c r="C40" s="13"/>
      <c r="D40" s="13"/>
      <c r="E40" s="13"/>
      <c r="F40" s="13"/>
      <c r="G40" s="13"/>
      <c r="H40" s="13"/>
      <c r="I40" s="14"/>
    </row>
    <row r="41" spans="1:9" x14ac:dyDescent="0.3">
      <c r="A41" s="13" t="str">
        <f>IF(B41="","",COUNTA($B$4:B41))</f>
        <v/>
      </c>
      <c r="B41" s="13"/>
      <c r="C41" s="13"/>
      <c r="D41" s="13"/>
      <c r="E41" s="13"/>
      <c r="F41" s="13"/>
      <c r="G41" s="13"/>
      <c r="H41" s="13"/>
      <c r="I41" s="14"/>
    </row>
    <row r="42" spans="1:9" x14ac:dyDescent="0.3">
      <c r="A42" s="13" t="str">
        <f>IF(B42="","",COUNTA($B$4:B42))</f>
        <v/>
      </c>
      <c r="B42" s="13"/>
      <c r="C42" s="13"/>
      <c r="D42" s="13"/>
      <c r="E42" s="13"/>
      <c r="F42" s="13"/>
      <c r="G42" s="13"/>
      <c r="H42" s="13"/>
      <c r="I42" s="14"/>
    </row>
    <row r="43" spans="1:9" x14ac:dyDescent="0.3">
      <c r="A43" s="13" t="str">
        <f>IF(B43="","",COUNTA($B$4:B43))</f>
        <v/>
      </c>
      <c r="B43" s="13"/>
      <c r="C43" s="13"/>
      <c r="D43" s="13"/>
      <c r="E43" s="13"/>
      <c r="F43" s="13"/>
      <c r="G43" s="13"/>
      <c r="H43" s="13"/>
      <c r="I43" s="14"/>
    </row>
    <row r="44" spans="1:9" x14ac:dyDescent="0.3">
      <c r="A44" s="13" t="str">
        <f>IF(B44="","",COUNTA($B$4:B44))</f>
        <v/>
      </c>
      <c r="B44" s="13"/>
      <c r="C44" s="13"/>
      <c r="D44" s="13"/>
      <c r="E44" s="13"/>
      <c r="F44" s="13"/>
      <c r="G44" s="13"/>
      <c r="H44" s="13"/>
      <c r="I44" s="14"/>
    </row>
    <row r="45" spans="1:9" x14ac:dyDescent="0.3">
      <c r="A45" s="13" t="str">
        <f>IF(B45="","",COUNTA($B$4:B45))</f>
        <v/>
      </c>
      <c r="B45" s="13"/>
      <c r="C45" s="13"/>
      <c r="D45" s="13"/>
      <c r="E45" s="13"/>
      <c r="F45" s="13"/>
      <c r="G45" s="13"/>
      <c r="H45" s="13"/>
      <c r="I45" s="14"/>
    </row>
    <row r="46" spans="1:9" x14ac:dyDescent="0.3">
      <c r="A46" s="13" t="str">
        <f>IF(B46="","",COUNTA($B$4:B46))</f>
        <v/>
      </c>
      <c r="B46" s="13"/>
      <c r="C46" s="13"/>
      <c r="D46" s="13"/>
      <c r="E46" s="13"/>
      <c r="F46" s="13"/>
      <c r="G46" s="13"/>
      <c r="H46" s="13"/>
      <c r="I46" s="14"/>
    </row>
    <row r="47" spans="1:9" x14ac:dyDescent="0.3">
      <c r="A47" s="13" t="str">
        <f>IF(B47="","",COUNTA($B$4:B47))</f>
        <v/>
      </c>
      <c r="B47" s="13"/>
      <c r="C47" s="13"/>
      <c r="D47" s="13"/>
      <c r="E47" s="13"/>
      <c r="F47" s="13"/>
      <c r="G47" s="13"/>
      <c r="H47" s="13"/>
      <c r="I47" s="14"/>
    </row>
    <row r="48" spans="1:9" x14ac:dyDescent="0.3">
      <c r="A48" s="13" t="str">
        <f>IF(B48="","",COUNTA($B$4:B48))</f>
        <v/>
      </c>
      <c r="B48" s="13"/>
      <c r="C48" s="13"/>
      <c r="D48" s="13"/>
      <c r="E48" s="13"/>
      <c r="F48" s="13"/>
      <c r="G48" s="13"/>
      <c r="H48" s="13"/>
      <c r="I48" s="14"/>
    </row>
    <row r="49" spans="1:9" x14ac:dyDescent="0.3">
      <c r="A49" s="13" t="str">
        <f>IF(B49="","",COUNTA($B$4:B49))</f>
        <v/>
      </c>
      <c r="B49" s="13"/>
      <c r="C49" s="13"/>
      <c r="D49" s="13"/>
      <c r="E49" s="13"/>
      <c r="F49" s="13"/>
      <c r="G49" s="13"/>
      <c r="H49" s="13"/>
      <c r="I49" s="14"/>
    </row>
    <row r="50" spans="1:9" x14ac:dyDescent="0.3">
      <c r="A50" s="13" t="str">
        <f>IF(B50="","",COUNTA($B$4:B50))</f>
        <v/>
      </c>
      <c r="B50" s="13"/>
      <c r="C50" s="13"/>
      <c r="D50" s="13"/>
      <c r="E50" s="13"/>
      <c r="F50" s="13"/>
      <c r="G50" s="13"/>
      <c r="H50" s="13"/>
      <c r="I50" s="14"/>
    </row>
    <row r="51" spans="1:9" x14ac:dyDescent="0.3">
      <c r="A51" s="13" t="str">
        <f>IF(B51="","",COUNTA($B$4:B51))</f>
        <v/>
      </c>
      <c r="B51" s="13"/>
      <c r="C51" s="13"/>
      <c r="D51" s="13"/>
      <c r="E51" s="13"/>
      <c r="F51" s="13"/>
      <c r="G51" s="13"/>
      <c r="H51" s="13"/>
      <c r="I51" s="14"/>
    </row>
    <row r="52" spans="1:9" x14ac:dyDescent="0.3">
      <c r="A52" s="13" t="str">
        <f>IF(B52="","",COUNTA($B$4:B52))</f>
        <v/>
      </c>
      <c r="B52" s="13"/>
      <c r="C52" s="13"/>
      <c r="D52" s="13"/>
      <c r="E52" s="13"/>
      <c r="F52" s="13"/>
      <c r="G52" s="13"/>
      <c r="H52" s="13"/>
      <c r="I52" s="14"/>
    </row>
    <row r="53" spans="1:9" x14ac:dyDescent="0.3">
      <c r="A53" s="13" t="str">
        <f>IF(B53="","",COUNTA($B$4:B53))</f>
        <v/>
      </c>
      <c r="B53" s="13"/>
      <c r="C53" s="13"/>
      <c r="D53" s="13"/>
      <c r="E53" s="13"/>
      <c r="F53" s="13"/>
      <c r="G53" s="13"/>
      <c r="H53" s="13"/>
      <c r="I53" s="14"/>
    </row>
    <row r="54" spans="1:9" x14ac:dyDescent="0.3">
      <c r="A54" s="13" t="str">
        <f>IF(B54="","",COUNTA($B$4:B54))</f>
        <v/>
      </c>
      <c r="B54" s="13"/>
      <c r="C54" s="13"/>
      <c r="D54" s="13"/>
      <c r="E54" s="13"/>
      <c r="F54" s="13"/>
      <c r="G54" s="13"/>
      <c r="H54" s="13"/>
      <c r="I54" s="14"/>
    </row>
    <row r="55" spans="1:9" x14ac:dyDescent="0.3">
      <c r="A55" s="13" t="str">
        <f>IF(B55="","",COUNTA($B$4:B55))</f>
        <v/>
      </c>
      <c r="B55" s="13"/>
      <c r="C55" s="13"/>
      <c r="D55" s="13"/>
      <c r="E55" s="13"/>
      <c r="F55" s="13"/>
      <c r="G55" s="13"/>
      <c r="H55" s="13"/>
      <c r="I55" s="14"/>
    </row>
    <row r="56" spans="1:9" x14ac:dyDescent="0.3">
      <c r="A56" s="13" t="str">
        <f>IF(B56="","",COUNTA($B$4:B56))</f>
        <v/>
      </c>
      <c r="B56" s="13"/>
      <c r="C56" s="13"/>
      <c r="D56" s="13"/>
      <c r="E56" s="13"/>
      <c r="F56" s="13"/>
      <c r="G56" s="13"/>
      <c r="H56" s="13"/>
      <c r="I56" s="14"/>
    </row>
    <row r="57" spans="1:9" x14ac:dyDescent="0.3">
      <c r="A57" s="13" t="str">
        <f>IF(B57="","",COUNTA($B$4:B57))</f>
        <v/>
      </c>
      <c r="B57" s="13"/>
      <c r="C57" s="13"/>
      <c r="D57" s="13"/>
      <c r="E57" s="13"/>
      <c r="F57" s="13"/>
      <c r="G57" s="13"/>
      <c r="H57" s="13"/>
      <c r="I57" s="14"/>
    </row>
    <row r="58" spans="1:9" x14ac:dyDescent="0.3">
      <c r="A58" s="13" t="str">
        <f>IF(B58="","",COUNTA($B$4:B58))</f>
        <v/>
      </c>
      <c r="B58" s="13"/>
      <c r="C58" s="13"/>
      <c r="D58" s="13"/>
      <c r="E58" s="13"/>
      <c r="F58" s="13"/>
      <c r="G58" s="13"/>
      <c r="H58" s="13"/>
      <c r="I58" s="14"/>
    </row>
    <row r="59" spans="1:9" x14ac:dyDescent="0.3">
      <c r="A59" s="13" t="str">
        <f>IF(B59="","",COUNTA($B$4:B59))</f>
        <v/>
      </c>
      <c r="B59" s="13"/>
      <c r="C59" s="13"/>
      <c r="D59" s="13"/>
      <c r="E59" s="13"/>
      <c r="F59" s="13"/>
      <c r="G59" s="13"/>
      <c r="H59" s="13"/>
      <c r="I59" s="14"/>
    </row>
    <row r="60" spans="1:9" x14ac:dyDescent="0.3">
      <c r="A60" s="13" t="str">
        <f>IF(B60="","",COUNTA($B$4:B60))</f>
        <v/>
      </c>
      <c r="B60" s="13"/>
      <c r="C60" s="13"/>
      <c r="D60" s="13"/>
      <c r="E60" s="13"/>
      <c r="F60" s="13"/>
      <c r="G60" s="13"/>
      <c r="H60" s="13"/>
      <c r="I60" s="14"/>
    </row>
    <row r="61" spans="1:9" x14ac:dyDescent="0.3">
      <c r="A61" s="13" t="str">
        <f>IF(B61="","",COUNTA($B$4:B61))</f>
        <v/>
      </c>
      <c r="B61" s="13"/>
      <c r="C61" s="13"/>
      <c r="D61" s="13"/>
      <c r="E61" s="13"/>
      <c r="F61" s="13"/>
      <c r="G61" s="13"/>
      <c r="H61" s="13"/>
      <c r="I61" s="14"/>
    </row>
    <row r="62" spans="1:9" x14ac:dyDescent="0.3">
      <c r="A62" s="13" t="str">
        <f>IF(B62="","",COUNTA($B$4:B62))</f>
        <v/>
      </c>
      <c r="B62" s="13"/>
      <c r="C62" s="13"/>
      <c r="D62" s="13"/>
      <c r="E62" s="13"/>
      <c r="F62" s="13"/>
      <c r="G62" s="13"/>
      <c r="H62" s="13"/>
      <c r="I62" s="14"/>
    </row>
    <row r="63" spans="1:9" x14ac:dyDescent="0.3">
      <c r="A63" s="13" t="str">
        <f>IF(B63="","",COUNTA($B$4:B63))</f>
        <v/>
      </c>
      <c r="B63" s="13"/>
      <c r="C63" s="13"/>
      <c r="D63" s="13"/>
      <c r="E63" s="13"/>
      <c r="F63" s="13"/>
      <c r="G63" s="13"/>
      <c r="H63" s="13"/>
      <c r="I63" s="14"/>
    </row>
    <row r="64" spans="1:9" x14ac:dyDescent="0.3">
      <c r="A64" s="13" t="str">
        <f>IF(B64="","",COUNTA($B$4:B64))</f>
        <v/>
      </c>
      <c r="B64" s="13"/>
      <c r="C64" s="13"/>
      <c r="D64" s="13"/>
      <c r="E64" s="13"/>
      <c r="F64" s="13"/>
      <c r="G64" s="13"/>
      <c r="H64" s="13"/>
      <c r="I64" s="14"/>
    </row>
    <row r="65" spans="1:9" x14ac:dyDescent="0.3">
      <c r="A65" s="13" t="str">
        <f>IF(B65="","",COUNTA($B$4:B65))</f>
        <v/>
      </c>
      <c r="B65" s="13"/>
      <c r="C65" s="13"/>
      <c r="D65" s="13"/>
      <c r="E65" s="13"/>
      <c r="F65" s="13"/>
      <c r="G65" s="13"/>
      <c r="H65" s="13"/>
      <c r="I65" s="14"/>
    </row>
    <row r="66" spans="1:9" x14ac:dyDescent="0.3">
      <c r="A66" s="13" t="str">
        <f>IF(B66="","",COUNTA($B$4:B66))</f>
        <v/>
      </c>
      <c r="B66" s="13"/>
      <c r="C66" s="13"/>
      <c r="D66" s="13"/>
      <c r="E66" s="13"/>
      <c r="F66" s="13"/>
      <c r="G66" s="13"/>
      <c r="H66" s="13"/>
      <c r="I66" s="14"/>
    </row>
    <row r="67" spans="1:9" x14ac:dyDescent="0.3">
      <c r="A67" s="13" t="str">
        <f>IF(B67="","",COUNTA($B$4:B67))</f>
        <v/>
      </c>
      <c r="B67" s="13"/>
      <c r="C67" s="13"/>
      <c r="D67" s="13"/>
      <c r="E67" s="13"/>
      <c r="F67" s="13"/>
      <c r="G67" s="13"/>
      <c r="H67" s="13"/>
      <c r="I67" s="14"/>
    </row>
    <row r="68" spans="1:9" x14ac:dyDescent="0.3">
      <c r="A68" s="13" t="str">
        <f>IF(B68="","",COUNTA($B$4:B68))</f>
        <v/>
      </c>
      <c r="B68" s="13"/>
      <c r="C68" s="13"/>
      <c r="D68" s="13"/>
      <c r="E68" s="13"/>
      <c r="F68" s="13"/>
      <c r="G68" s="13"/>
      <c r="H68" s="13"/>
      <c r="I68" s="14"/>
    </row>
    <row r="69" spans="1:9" x14ac:dyDescent="0.3">
      <c r="A69" s="13" t="str">
        <f>IF(B69="","",COUNTA($B$4:B69))</f>
        <v/>
      </c>
      <c r="B69" s="13"/>
      <c r="C69" s="13"/>
      <c r="D69" s="13"/>
      <c r="E69" s="13"/>
      <c r="F69" s="13"/>
      <c r="G69" s="13"/>
      <c r="H69" s="13"/>
      <c r="I69" s="14"/>
    </row>
    <row r="70" spans="1:9" x14ac:dyDescent="0.3">
      <c r="A70" s="13" t="str">
        <f>IF(B70="","",COUNTA($B$4:B70))</f>
        <v/>
      </c>
      <c r="B70" s="13"/>
      <c r="C70" s="13"/>
      <c r="D70" s="13"/>
      <c r="E70" s="13"/>
      <c r="F70" s="13"/>
      <c r="G70" s="13"/>
      <c r="H70" s="13"/>
      <c r="I70" s="14"/>
    </row>
    <row r="71" spans="1:9" x14ac:dyDescent="0.3">
      <c r="A71" s="13" t="str">
        <f>IF(B71="","",COUNTA($B$4:B71))</f>
        <v/>
      </c>
      <c r="B71" s="13"/>
      <c r="C71" s="13"/>
      <c r="D71" s="13"/>
      <c r="E71" s="13"/>
      <c r="F71" s="13"/>
      <c r="G71" s="13"/>
      <c r="H71" s="13"/>
      <c r="I71" s="14"/>
    </row>
    <row r="72" spans="1:9" x14ac:dyDescent="0.3">
      <c r="A72" s="13" t="str">
        <f>IF(B72="","",COUNTA($B$4:B72))</f>
        <v/>
      </c>
      <c r="B72" s="13"/>
      <c r="C72" s="13"/>
      <c r="D72" s="13"/>
      <c r="E72" s="13"/>
      <c r="F72" s="13"/>
      <c r="G72" s="13"/>
      <c r="H72" s="13"/>
      <c r="I72" s="14"/>
    </row>
    <row r="73" spans="1:9" x14ac:dyDescent="0.3">
      <c r="A73" s="13" t="str">
        <f>IF(B73="","",COUNTA($B$4:B73))</f>
        <v/>
      </c>
      <c r="B73" s="13"/>
      <c r="C73" s="13"/>
      <c r="D73" s="13"/>
      <c r="E73" s="13"/>
      <c r="F73" s="13"/>
      <c r="G73" s="13"/>
      <c r="H73" s="13"/>
      <c r="I73" s="14"/>
    </row>
    <row r="74" spans="1:9" x14ac:dyDescent="0.3">
      <c r="A74" s="13" t="str">
        <f>IF(B74="","",COUNTA($B$4:B74))</f>
        <v/>
      </c>
      <c r="B74" s="13"/>
      <c r="C74" s="13"/>
      <c r="D74" s="13"/>
      <c r="E74" s="13"/>
      <c r="F74" s="13"/>
      <c r="G74" s="13"/>
      <c r="H74" s="13"/>
      <c r="I74" s="14"/>
    </row>
    <row r="75" spans="1:9" x14ac:dyDescent="0.3">
      <c r="A75" s="13" t="str">
        <f>IF(B75="","",COUNTA($B$4:B75))</f>
        <v/>
      </c>
      <c r="B75" s="13"/>
      <c r="C75" s="13"/>
      <c r="D75" s="13"/>
      <c r="E75" s="13"/>
      <c r="F75" s="13"/>
      <c r="G75" s="13"/>
      <c r="H75" s="13"/>
      <c r="I75" s="14"/>
    </row>
    <row r="76" spans="1:9" x14ac:dyDescent="0.3">
      <c r="A76" s="13" t="str">
        <f>IF(B76="","",COUNTA($B$4:B76))</f>
        <v/>
      </c>
      <c r="B76" s="13"/>
      <c r="C76" s="13"/>
      <c r="D76" s="13"/>
      <c r="E76" s="13"/>
      <c r="F76" s="13"/>
      <c r="G76" s="13"/>
      <c r="H76" s="13"/>
      <c r="I76" s="14"/>
    </row>
    <row r="77" spans="1:9" x14ac:dyDescent="0.3">
      <c r="A77" s="13" t="str">
        <f>IF(B77="","",COUNTA($B$4:B77))</f>
        <v/>
      </c>
      <c r="B77" s="13"/>
      <c r="C77" s="13"/>
      <c r="D77" s="13"/>
      <c r="E77" s="13"/>
      <c r="F77" s="13"/>
      <c r="G77" s="13"/>
      <c r="H77" s="13"/>
      <c r="I77" s="14"/>
    </row>
    <row r="78" spans="1:9" x14ac:dyDescent="0.3">
      <c r="A78" s="13" t="str">
        <f>IF(B78="","",COUNTA($B$4:B78))</f>
        <v/>
      </c>
      <c r="B78" s="13"/>
      <c r="C78" s="13"/>
      <c r="D78" s="13"/>
      <c r="E78" s="13"/>
      <c r="F78" s="13"/>
      <c r="G78" s="13"/>
      <c r="H78" s="13"/>
      <c r="I78" s="14"/>
    </row>
    <row r="79" spans="1:9" x14ac:dyDescent="0.3">
      <c r="A79" s="13" t="str">
        <f>IF(B79="","",COUNTA($B$4:B79))</f>
        <v/>
      </c>
      <c r="B79" s="13"/>
      <c r="C79" s="13"/>
      <c r="D79" s="13"/>
      <c r="E79" s="13"/>
      <c r="F79" s="13"/>
      <c r="G79" s="13"/>
      <c r="H79" s="13"/>
      <c r="I79" s="14"/>
    </row>
    <row r="80" spans="1:9" x14ac:dyDescent="0.3">
      <c r="A80" s="13" t="str">
        <f>IF(B80="","",COUNTA($B$4:B80))</f>
        <v/>
      </c>
      <c r="B80" s="13"/>
      <c r="C80" s="13"/>
      <c r="D80" s="13"/>
      <c r="E80" s="13"/>
      <c r="F80" s="13"/>
      <c r="G80" s="13"/>
      <c r="H80" s="13"/>
      <c r="I80" s="14"/>
    </row>
    <row r="81" spans="1:9" x14ac:dyDescent="0.3">
      <c r="A81" s="13" t="str">
        <f>IF(B81="","",COUNTA($B$4:B81))</f>
        <v/>
      </c>
      <c r="B81" s="13"/>
      <c r="C81" s="13"/>
      <c r="D81" s="13"/>
      <c r="E81" s="13"/>
      <c r="F81" s="13"/>
      <c r="G81" s="13"/>
      <c r="H81" s="13"/>
      <c r="I81" s="14"/>
    </row>
    <row r="82" spans="1:9" x14ac:dyDescent="0.3">
      <c r="A82" s="13" t="str">
        <f>IF(B82="","",COUNTA($B$4:B82))</f>
        <v/>
      </c>
      <c r="B82" s="13"/>
      <c r="C82" s="13"/>
      <c r="D82" s="13"/>
      <c r="E82" s="13"/>
      <c r="F82" s="13"/>
      <c r="G82" s="13"/>
      <c r="H82" s="13"/>
      <c r="I82" s="14"/>
    </row>
    <row r="83" spans="1:9" x14ac:dyDescent="0.3">
      <c r="A83" s="13" t="str">
        <f>IF(B83="","",COUNTA($B$4:B83))</f>
        <v/>
      </c>
      <c r="B83" s="13"/>
      <c r="C83" s="13"/>
      <c r="D83" s="13"/>
      <c r="E83" s="13"/>
      <c r="F83" s="13"/>
      <c r="G83" s="13"/>
      <c r="H83" s="13"/>
      <c r="I83" s="14"/>
    </row>
    <row r="84" spans="1:9" x14ac:dyDescent="0.3">
      <c r="A84" s="13" t="str">
        <f>IF(B84="","",COUNTA($B$4:B84))</f>
        <v/>
      </c>
      <c r="B84" s="13"/>
      <c r="C84" s="13"/>
      <c r="D84" s="13"/>
      <c r="E84" s="13"/>
      <c r="F84" s="13"/>
      <c r="G84" s="13"/>
      <c r="H84" s="13"/>
      <c r="I84" s="14"/>
    </row>
    <row r="85" spans="1:9" x14ac:dyDescent="0.3">
      <c r="A85" s="13" t="str">
        <f>IF(B85="","",COUNTA($B$4:B85))</f>
        <v/>
      </c>
      <c r="B85" s="13"/>
      <c r="C85" s="13"/>
      <c r="D85" s="13"/>
      <c r="E85" s="13"/>
      <c r="F85" s="13"/>
      <c r="G85" s="13"/>
      <c r="H85" s="13"/>
      <c r="I85" s="14"/>
    </row>
    <row r="86" spans="1:9" x14ac:dyDescent="0.3">
      <c r="A86" s="13" t="str">
        <f>IF(B86="","",COUNTA($B$4:B86))</f>
        <v/>
      </c>
      <c r="B86" s="13"/>
      <c r="C86" s="13"/>
      <c r="D86" s="13"/>
      <c r="E86" s="13"/>
      <c r="F86" s="13"/>
      <c r="G86" s="13"/>
      <c r="H86" s="13"/>
      <c r="I86" s="14"/>
    </row>
    <row r="87" spans="1:9" x14ac:dyDescent="0.3">
      <c r="A87" s="13" t="str">
        <f>IF(B87="","",COUNTA($B$4:B87))</f>
        <v/>
      </c>
      <c r="B87" s="13"/>
      <c r="C87" s="13"/>
      <c r="D87" s="13"/>
      <c r="E87" s="13"/>
      <c r="F87" s="13"/>
      <c r="G87" s="13"/>
      <c r="H87" s="13"/>
      <c r="I87" s="14"/>
    </row>
    <row r="88" spans="1:9" x14ac:dyDescent="0.3">
      <c r="A88" s="13" t="str">
        <f>IF(B88="","",COUNTA($B$4:B88))</f>
        <v/>
      </c>
      <c r="B88" s="13"/>
      <c r="C88" s="13"/>
      <c r="D88" s="13"/>
      <c r="E88" s="13"/>
      <c r="F88" s="13"/>
      <c r="G88" s="13"/>
      <c r="H88" s="13"/>
      <c r="I88" s="14"/>
    </row>
    <row r="89" spans="1:9" x14ac:dyDescent="0.3">
      <c r="A89" s="13" t="str">
        <f>IF(B89="","",COUNTA($B$4:B89))</f>
        <v/>
      </c>
      <c r="B89" s="13"/>
      <c r="C89" s="13"/>
      <c r="D89" s="13"/>
      <c r="E89" s="13"/>
      <c r="F89" s="13"/>
      <c r="G89" s="13"/>
      <c r="H89" s="13"/>
      <c r="I89" s="14"/>
    </row>
    <row r="90" spans="1:9" x14ac:dyDescent="0.3">
      <c r="A90" s="13" t="str">
        <f>IF(B90="","",COUNTA($B$4:B90))</f>
        <v/>
      </c>
      <c r="B90" s="13"/>
      <c r="C90" s="13"/>
      <c r="D90" s="13"/>
      <c r="E90" s="13"/>
      <c r="F90" s="13"/>
      <c r="G90" s="13"/>
      <c r="H90" s="13"/>
      <c r="I90" s="14"/>
    </row>
    <row r="91" spans="1:9" x14ac:dyDescent="0.3">
      <c r="A91" s="13" t="str">
        <f>IF(B91="","",COUNTA($B$4:B91))</f>
        <v/>
      </c>
      <c r="B91" s="13"/>
      <c r="C91" s="13"/>
      <c r="D91" s="13"/>
      <c r="E91" s="13"/>
      <c r="F91" s="13"/>
      <c r="G91" s="13"/>
      <c r="H91" s="13"/>
      <c r="I91" s="14"/>
    </row>
    <row r="92" spans="1:9" x14ac:dyDescent="0.3">
      <c r="A92" s="13" t="str">
        <f>IF(B92="","",COUNTA($B$4:B92))</f>
        <v/>
      </c>
      <c r="B92" s="13"/>
      <c r="C92" s="13"/>
      <c r="D92" s="13"/>
      <c r="E92" s="13"/>
      <c r="F92" s="13"/>
      <c r="G92" s="13"/>
      <c r="H92" s="13"/>
      <c r="I92" s="14"/>
    </row>
    <row r="93" spans="1:9" x14ac:dyDescent="0.3">
      <c r="A93" s="13" t="str">
        <f>IF(B93="","",COUNTA($B$4:B93))</f>
        <v/>
      </c>
      <c r="B93" s="13"/>
      <c r="C93" s="13"/>
      <c r="D93" s="13"/>
      <c r="E93" s="13"/>
      <c r="F93" s="13"/>
      <c r="G93" s="13"/>
      <c r="H93" s="13"/>
      <c r="I93" s="14"/>
    </row>
    <row r="94" spans="1:9" x14ac:dyDescent="0.3">
      <c r="A94" s="13" t="str">
        <f>IF(B94="","",COUNTA($B$4:B94))</f>
        <v/>
      </c>
      <c r="B94" s="13"/>
      <c r="C94" s="13"/>
      <c r="D94" s="13"/>
      <c r="E94" s="13"/>
      <c r="F94" s="13"/>
      <c r="G94" s="13"/>
      <c r="H94" s="13"/>
      <c r="I94" s="14"/>
    </row>
    <row r="95" spans="1:9" x14ac:dyDescent="0.3">
      <c r="A95" s="13" t="str">
        <f>IF(B95="","",COUNTA($B$4:B95))</f>
        <v/>
      </c>
      <c r="B95" s="13"/>
      <c r="C95" s="13"/>
      <c r="D95" s="13"/>
      <c r="E95" s="13"/>
      <c r="F95" s="13"/>
      <c r="G95" s="13"/>
      <c r="H95" s="13"/>
      <c r="I95" s="14"/>
    </row>
    <row r="96" spans="1:9" x14ac:dyDescent="0.3">
      <c r="A96" s="13" t="str">
        <f>IF(B96="","",COUNTA($B$4:B96))</f>
        <v/>
      </c>
      <c r="B96" s="13"/>
      <c r="C96" s="13"/>
      <c r="D96" s="13"/>
      <c r="E96" s="13"/>
      <c r="F96" s="13"/>
      <c r="G96" s="13"/>
      <c r="H96" s="13"/>
      <c r="I96" s="14"/>
    </row>
    <row r="97" spans="1:9" x14ac:dyDescent="0.3">
      <c r="A97" s="13" t="str">
        <f>IF(B97="","",COUNTA($B$4:B97))</f>
        <v/>
      </c>
      <c r="B97" s="13"/>
      <c r="C97" s="13"/>
      <c r="D97" s="13"/>
      <c r="E97" s="13"/>
      <c r="F97" s="13"/>
      <c r="G97" s="13"/>
      <c r="H97" s="13"/>
      <c r="I97" s="14"/>
    </row>
    <row r="98" spans="1:9" x14ac:dyDescent="0.3">
      <c r="A98" s="13" t="str">
        <f>IF(B98="","",COUNTA($B$4:B98))</f>
        <v/>
      </c>
      <c r="B98" s="13"/>
      <c r="C98" s="13"/>
      <c r="D98" s="13"/>
      <c r="E98" s="13"/>
      <c r="F98" s="13"/>
      <c r="G98" s="13"/>
      <c r="H98" s="13"/>
      <c r="I98" s="14"/>
    </row>
    <row r="99" spans="1:9" x14ac:dyDescent="0.3">
      <c r="A99" s="13" t="str">
        <f>IF(B99="","",COUNTA($B$4:B99))</f>
        <v/>
      </c>
      <c r="B99" s="13"/>
      <c r="C99" s="13"/>
      <c r="D99" s="13"/>
      <c r="E99" s="13"/>
      <c r="F99" s="13"/>
      <c r="G99" s="13"/>
      <c r="H99" s="13"/>
      <c r="I99" s="14"/>
    </row>
    <row r="100" spans="1:9" x14ac:dyDescent="0.3">
      <c r="A100" s="13" t="str">
        <f>IF(B100="","",COUNTA($B$4:B100))</f>
        <v/>
      </c>
      <c r="B100" s="13"/>
      <c r="C100" s="13"/>
      <c r="D100" s="13"/>
      <c r="E100" s="13"/>
      <c r="F100" s="13"/>
      <c r="G100" s="13"/>
      <c r="H100" s="13"/>
      <c r="I100" s="14"/>
    </row>
    <row r="101" spans="1:9" x14ac:dyDescent="0.3">
      <c r="A101" s="13" t="str">
        <f>IF(B101="","",COUNTA($B$4:B101))</f>
        <v/>
      </c>
      <c r="B101" s="13"/>
      <c r="C101" s="13"/>
      <c r="D101" s="13"/>
      <c r="E101" s="13"/>
      <c r="F101" s="13"/>
      <c r="G101" s="13"/>
      <c r="H101" s="13"/>
      <c r="I101" s="14"/>
    </row>
    <row r="102" spans="1:9" x14ac:dyDescent="0.3">
      <c r="A102" s="13" t="str">
        <f>IF(B102="","",COUNTA($B$4:B102))</f>
        <v/>
      </c>
      <c r="B102" s="13"/>
      <c r="C102" s="13"/>
      <c r="D102" s="13"/>
      <c r="E102" s="13"/>
      <c r="F102" s="13"/>
      <c r="G102" s="13"/>
      <c r="H102" s="13"/>
      <c r="I102" s="14"/>
    </row>
    <row r="103" spans="1:9" x14ac:dyDescent="0.3">
      <c r="A103" s="13" t="str">
        <f>IF(B103="","",COUNTA($B$4:B103))</f>
        <v/>
      </c>
      <c r="B103" s="13"/>
      <c r="C103" s="13"/>
      <c r="D103" s="13"/>
      <c r="E103" s="13"/>
      <c r="F103" s="13"/>
      <c r="G103" s="13"/>
      <c r="H103" s="13"/>
      <c r="I103" s="14"/>
    </row>
    <row r="104" spans="1:9" x14ac:dyDescent="0.3">
      <c r="A104" s="13" t="str">
        <f>IF(B104="","",COUNTA($B$4:B104))</f>
        <v/>
      </c>
      <c r="B104" s="13"/>
      <c r="C104" s="7"/>
      <c r="D104" s="2"/>
      <c r="E104" s="7"/>
      <c r="F104" s="13"/>
      <c r="G104" s="13"/>
      <c r="H104" s="13"/>
      <c r="I104" s="14"/>
    </row>
    <row r="105" spans="1:9" x14ac:dyDescent="0.3">
      <c r="A105" s="13" t="str">
        <f>IF(B105="","",COUNTA($B$4:B105))</f>
        <v/>
      </c>
      <c r="B105" s="13"/>
      <c r="C105" s="13"/>
      <c r="D105" s="13"/>
      <c r="E105" s="13"/>
      <c r="F105" s="13"/>
      <c r="G105" s="13"/>
      <c r="H105" s="13"/>
      <c r="I105" s="14"/>
    </row>
    <row r="106" spans="1:9" x14ac:dyDescent="0.3">
      <c r="A106" s="13" t="str">
        <f>IF(B106="","",COUNTA($B$4:B106))</f>
        <v/>
      </c>
      <c r="B106" s="13"/>
      <c r="C106" s="13"/>
      <c r="D106" s="13"/>
      <c r="E106" s="13"/>
      <c r="F106" s="13"/>
      <c r="G106" s="13"/>
      <c r="H106" s="13"/>
      <c r="I106" s="14"/>
    </row>
    <row r="107" spans="1:9" x14ac:dyDescent="0.3">
      <c r="A107" s="13" t="str">
        <f>IF(B107="","",COUNTA($B$4:B107))</f>
        <v/>
      </c>
      <c r="B107" s="13"/>
      <c r="C107" s="13"/>
      <c r="D107" s="13"/>
      <c r="E107" s="13"/>
      <c r="F107" s="13"/>
      <c r="G107" s="13"/>
      <c r="H107" s="13"/>
      <c r="I107" s="14"/>
    </row>
    <row r="108" spans="1:9" x14ac:dyDescent="0.3">
      <c r="A108" s="13" t="str">
        <f>IF(B108="","",COUNTA($B$4:B108))</f>
        <v/>
      </c>
      <c r="B108" s="13"/>
      <c r="C108" s="13"/>
      <c r="D108" s="13"/>
      <c r="E108" s="13"/>
      <c r="F108" s="13"/>
      <c r="G108" s="13"/>
      <c r="H108" s="13"/>
      <c r="I108" s="14"/>
    </row>
    <row r="109" spans="1:9" x14ac:dyDescent="0.3">
      <c r="A109" s="13" t="str">
        <f>IF(B109="","",COUNTA($B$4:B109))</f>
        <v/>
      </c>
      <c r="B109" s="13"/>
      <c r="C109" s="13"/>
      <c r="D109" s="13"/>
      <c r="E109" s="13"/>
      <c r="F109" s="13"/>
      <c r="G109" s="13"/>
      <c r="H109" s="13"/>
      <c r="I109" s="14"/>
    </row>
    <row r="110" spans="1:9" x14ac:dyDescent="0.3">
      <c r="A110" s="13" t="str">
        <f>IF(B110="","",COUNTA($B$4:B110))</f>
        <v/>
      </c>
      <c r="B110" s="13"/>
      <c r="C110" s="13"/>
      <c r="D110" s="13"/>
      <c r="E110" s="13"/>
      <c r="F110" s="13"/>
      <c r="G110" s="13"/>
      <c r="H110" s="13"/>
      <c r="I110" s="14"/>
    </row>
    <row r="111" spans="1:9" x14ac:dyDescent="0.3">
      <c r="A111" s="13" t="str">
        <f>IF(B111="","",COUNTA($B$4:B111))</f>
        <v/>
      </c>
      <c r="B111" s="13"/>
      <c r="C111" s="13"/>
      <c r="D111" s="13"/>
      <c r="E111" s="13"/>
      <c r="F111" s="13"/>
      <c r="G111" s="13"/>
      <c r="H111" s="13"/>
      <c r="I111" s="14"/>
    </row>
    <row r="112" spans="1:9" x14ac:dyDescent="0.3">
      <c r="A112" s="13" t="str">
        <f>IF(B112="","",COUNTA($B$4:B112))</f>
        <v/>
      </c>
      <c r="B112" s="13"/>
      <c r="C112" s="13"/>
      <c r="D112" s="13"/>
      <c r="E112" s="13"/>
      <c r="F112" s="13"/>
      <c r="G112" s="13"/>
      <c r="H112" s="13"/>
      <c r="I112" s="14"/>
    </row>
    <row r="113" spans="1:9" x14ac:dyDescent="0.3">
      <c r="A113" s="13" t="str">
        <f>IF(B113="","",COUNTA($B$4:B113))</f>
        <v/>
      </c>
      <c r="B113" s="13"/>
      <c r="C113" s="13"/>
      <c r="D113" s="13"/>
      <c r="E113" s="13"/>
      <c r="F113" s="13"/>
      <c r="G113" s="13"/>
      <c r="H113" s="13"/>
      <c r="I113" s="14"/>
    </row>
    <row r="114" spans="1:9" x14ac:dyDescent="0.3">
      <c r="A114" s="13" t="str">
        <f>IF(B114="","",COUNTA($B$4:B114))</f>
        <v/>
      </c>
      <c r="B114" s="13"/>
      <c r="C114" s="13"/>
      <c r="D114" s="13"/>
      <c r="E114" s="13"/>
      <c r="F114" s="13"/>
      <c r="G114" s="13"/>
      <c r="H114" s="13"/>
      <c r="I114" s="14"/>
    </row>
    <row r="115" spans="1:9" x14ac:dyDescent="0.3">
      <c r="A115" s="13" t="str">
        <f>IF(B115="","",COUNTA($B$4:B115))</f>
        <v/>
      </c>
      <c r="B115" s="13"/>
      <c r="C115" s="13"/>
      <c r="D115" s="13"/>
      <c r="E115" s="13"/>
      <c r="F115" s="13"/>
      <c r="G115" s="13"/>
      <c r="H115" s="13"/>
      <c r="I115" s="14"/>
    </row>
    <row r="116" spans="1:9" x14ac:dyDescent="0.3">
      <c r="A116" s="13" t="str">
        <f>IF(B116="","",COUNTA($B$4:B116))</f>
        <v/>
      </c>
      <c r="B116" s="13"/>
      <c r="C116" s="13"/>
      <c r="D116" s="13"/>
      <c r="E116" s="13"/>
      <c r="F116" s="13"/>
      <c r="G116" s="13"/>
      <c r="H116" s="13"/>
      <c r="I116" s="14"/>
    </row>
    <row r="117" spans="1:9" x14ac:dyDescent="0.3">
      <c r="A117" s="13" t="str">
        <f>IF(B117="","",COUNTA($B$4:B117))</f>
        <v/>
      </c>
      <c r="B117" s="13"/>
      <c r="C117" s="13"/>
      <c r="D117" s="13"/>
      <c r="E117" s="13"/>
      <c r="F117" s="13"/>
      <c r="G117" s="13"/>
      <c r="H117" s="13"/>
      <c r="I117" s="14"/>
    </row>
    <row r="118" spans="1:9" x14ac:dyDescent="0.3">
      <c r="A118" s="13" t="str">
        <f>IF(B118="","",COUNTA($B$4:B118))</f>
        <v/>
      </c>
      <c r="B118" s="13"/>
      <c r="C118" s="13"/>
      <c r="D118" s="13"/>
      <c r="E118" s="13"/>
      <c r="F118" s="13"/>
      <c r="G118" s="13"/>
      <c r="H118" s="13"/>
      <c r="I118" s="14"/>
    </row>
    <row r="119" spans="1:9" x14ac:dyDescent="0.3">
      <c r="A119" s="13" t="str">
        <f>IF(B119="","",COUNTA($B$4:B119))</f>
        <v/>
      </c>
      <c r="B119" s="13"/>
      <c r="C119" s="13"/>
      <c r="D119" s="13"/>
      <c r="E119" s="13"/>
      <c r="F119" s="13"/>
      <c r="G119" s="13"/>
      <c r="H119" s="13"/>
      <c r="I119" s="14"/>
    </row>
    <row r="120" spans="1:9" x14ac:dyDescent="0.3">
      <c r="A120" s="13" t="str">
        <f>IF(B120="","",COUNTA($B$4:B120))</f>
        <v/>
      </c>
      <c r="B120" s="13"/>
      <c r="C120" s="13"/>
      <c r="D120" s="13"/>
      <c r="E120" s="13"/>
      <c r="F120" s="13"/>
      <c r="G120" s="13"/>
      <c r="H120" s="13"/>
      <c r="I120" s="14"/>
    </row>
    <row r="121" spans="1:9" x14ac:dyDescent="0.3">
      <c r="A121" s="13" t="str">
        <f>IF(B121="","",COUNTA($B$4:B121))</f>
        <v/>
      </c>
      <c r="B121" s="13"/>
      <c r="C121" s="13"/>
      <c r="D121" s="13"/>
      <c r="E121" s="13"/>
      <c r="F121" s="13"/>
      <c r="G121" s="13"/>
      <c r="H121" s="13"/>
      <c r="I121" s="14"/>
    </row>
    <row r="122" spans="1:9" x14ac:dyDescent="0.3">
      <c r="A122" s="13" t="str">
        <f>IF(B122="","",COUNTA($B$4:B122))</f>
        <v/>
      </c>
      <c r="B122" s="13"/>
      <c r="C122" s="13"/>
      <c r="D122" s="13"/>
      <c r="E122" s="13"/>
      <c r="F122" s="13"/>
      <c r="G122" s="13"/>
      <c r="H122" s="13"/>
      <c r="I122" s="14"/>
    </row>
    <row r="123" spans="1:9" x14ac:dyDescent="0.3">
      <c r="A123" s="13" t="str">
        <f>IF(B123="","",COUNTA($B$4:B123))</f>
        <v/>
      </c>
      <c r="B123" s="13"/>
      <c r="C123" s="13"/>
      <c r="D123" s="13"/>
      <c r="E123" s="13"/>
      <c r="F123" s="13"/>
      <c r="G123" s="13"/>
      <c r="H123" s="13"/>
      <c r="I123" s="14"/>
    </row>
    <row r="124" spans="1:9" x14ac:dyDescent="0.3">
      <c r="A124" s="13" t="str">
        <f>IF(B124="","",COUNTA($B$4:B124))</f>
        <v/>
      </c>
      <c r="B124" s="13"/>
      <c r="C124" s="13"/>
      <c r="D124" s="13"/>
      <c r="E124" s="13"/>
      <c r="F124" s="13"/>
      <c r="G124" s="13"/>
      <c r="H124" s="13"/>
      <c r="I124" s="14"/>
    </row>
    <row r="125" spans="1:9" x14ac:dyDescent="0.3">
      <c r="A125" s="13" t="str">
        <f>IF(B125="","",COUNTA($B$4:B125))</f>
        <v/>
      </c>
      <c r="B125" s="13"/>
      <c r="C125" s="13"/>
      <c r="D125" s="13"/>
      <c r="E125" s="13"/>
      <c r="F125" s="13"/>
      <c r="G125" s="13"/>
      <c r="H125" s="13"/>
      <c r="I125" s="14"/>
    </row>
    <row r="126" spans="1:9" x14ac:dyDescent="0.3">
      <c r="A126" s="13" t="str">
        <f>IF(B126="","",COUNTA($B$4:B126))</f>
        <v/>
      </c>
      <c r="B126" s="13"/>
      <c r="C126" s="13"/>
      <c r="D126" s="13"/>
      <c r="E126" s="13"/>
      <c r="F126" s="13"/>
      <c r="G126" s="13"/>
      <c r="H126" s="13"/>
      <c r="I126" s="14"/>
    </row>
    <row r="127" spans="1:9" x14ac:dyDescent="0.3">
      <c r="A127" s="13" t="str">
        <f>IF(B127="","",COUNTA($B$4:B127))</f>
        <v/>
      </c>
      <c r="B127" s="13"/>
      <c r="C127" s="13"/>
      <c r="D127" s="13"/>
      <c r="E127" s="13"/>
      <c r="F127" s="13"/>
      <c r="G127" s="13"/>
      <c r="H127" s="13"/>
      <c r="I127" s="14"/>
    </row>
    <row r="128" spans="1:9" x14ac:dyDescent="0.3">
      <c r="A128" s="13" t="str">
        <f>IF(B128="","",COUNTA($B$4:B128))</f>
        <v/>
      </c>
      <c r="B128" s="13"/>
      <c r="C128" s="13"/>
      <c r="D128" s="13"/>
      <c r="E128" s="13"/>
      <c r="F128" s="13"/>
      <c r="G128" s="13"/>
      <c r="H128" s="13"/>
      <c r="I128" s="14"/>
    </row>
    <row r="129" spans="1:9" x14ac:dyDescent="0.3">
      <c r="A129" s="13" t="str">
        <f>IF(B129="","",COUNTA($B$4:B129))</f>
        <v/>
      </c>
      <c r="B129" s="13"/>
      <c r="C129" s="13"/>
      <c r="D129" s="13"/>
      <c r="E129" s="13"/>
      <c r="F129" s="13"/>
      <c r="G129" s="13"/>
      <c r="H129" s="13"/>
      <c r="I129" s="14"/>
    </row>
    <row r="130" spans="1:9" x14ac:dyDescent="0.3">
      <c r="A130" s="13" t="str">
        <f>IF(B130="","",COUNTA($B$4:B130))</f>
        <v/>
      </c>
      <c r="B130" s="13"/>
      <c r="C130" s="13"/>
      <c r="D130" s="13"/>
      <c r="E130" s="13"/>
      <c r="F130" s="13"/>
      <c r="G130" s="13"/>
      <c r="H130" s="13"/>
      <c r="I130" s="14"/>
    </row>
    <row r="131" spans="1:9" x14ac:dyDescent="0.3">
      <c r="A131" s="13" t="str">
        <f>IF(B131="","",COUNTA($B$4:B131))</f>
        <v/>
      </c>
      <c r="B131" s="13"/>
      <c r="C131" s="13"/>
      <c r="D131" s="13"/>
      <c r="E131" s="13"/>
      <c r="F131" s="13"/>
      <c r="G131" s="13"/>
      <c r="H131" s="13"/>
      <c r="I131" s="14"/>
    </row>
    <row r="132" spans="1:9" x14ac:dyDescent="0.3">
      <c r="A132" s="13" t="str">
        <f>IF(B132="","",COUNTA($B$4:B132))</f>
        <v/>
      </c>
      <c r="B132" s="13"/>
      <c r="C132" s="13"/>
      <c r="D132" s="13"/>
      <c r="E132" s="13"/>
      <c r="F132" s="13"/>
      <c r="G132" s="13"/>
      <c r="H132" s="13"/>
      <c r="I132" s="14"/>
    </row>
    <row r="133" spans="1:9" x14ac:dyDescent="0.3">
      <c r="A133" s="13" t="str">
        <f>IF(B133="","",COUNTA($B$4:B133))</f>
        <v/>
      </c>
      <c r="B133" s="13"/>
      <c r="C133" s="13"/>
      <c r="D133" s="13"/>
      <c r="E133" s="13"/>
      <c r="F133" s="13"/>
      <c r="G133" s="13"/>
      <c r="H133" s="13"/>
      <c r="I133" s="14"/>
    </row>
    <row r="134" spans="1:9" x14ac:dyDescent="0.3">
      <c r="A134" s="13" t="str">
        <f>IF(B134="","",COUNTA($B$4:B134))</f>
        <v/>
      </c>
      <c r="B134" s="13"/>
      <c r="C134" s="13"/>
      <c r="D134" s="13"/>
      <c r="E134" s="13"/>
      <c r="F134" s="13"/>
      <c r="G134" s="13"/>
      <c r="H134" s="13"/>
      <c r="I134" s="14"/>
    </row>
    <row r="135" spans="1:9" x14ac:dyDescent="0.3">
      <c r="A135" s="13" t="str">
        <f>IF(B135="","",COUNTA($B$4:B135))</f>
        <v/>
      </c>
      <c r="B135" s="13"/>
      <c r="C135" s="13"/>
      <c r="D135" s="13"/>
      <c r="E135" s="13"/>
      <c r="F135" s="13"/>
      <c r="G135" s="13"/>
      <c r="H135" s="13"/>
      <c r="I135" s="14"/>
    </row>
    <row r="136" spans="1:9" x14ac:dyDescent="0.3">
      <c r="A136" s="13" t="str">
        <f>IF(B136="","",COUNTA($B$4:B136))</f>
        <v/>
      </c>
      <c r="B136" s="13"/>
      <c r="C136" s="13"/>
      <c r="D136" s="13"/>
      <c r="E136" s="13"/>
      <c r="F136" s="13"/>
      <c r="G136" s="13"/>
      <c r="H136" s="13"/>
      <c r="I136" s="14"/>
    </row>
    <row r="137" spans="1:9" x14ac:dyDescent="0.3">
      <c r="A137" s="13" t="str">
        <f>IF(B137="","",COUNTA($B$4:B137))</f>
        <v/>
      </c>
      <c r="B137" s="13"/>
      <c r="C137" s="13"/>
      <c r="D137" s="13"/>
      <c r="E137" s="13"/>
      <c r="F137" s="13"/>
      <c r="G137" s="13"/>
      <c r="H137" s="13"/>
      <c r="I137" s="14"/>
    </row>
    <row r="138" spans="1:9" x14ac:dyDescent="0.3">
      <c r="A138" s="13" t="str">
        <f>IF(B138="","",COUNTA($B$4:B138))</f>
        <v/>
      </c>
      <c r="B138" s="13"/>
      <c r="C138" s="13"/>
      <c r="D138" s="13"/>
      <c r="E138" s="13"/>
      <c r="F138" s="13"/>
      <c r="G138" s="13"/>
      <c r="H138" s="13"/>
      <c r="I138" s="14"/>
    </row>
    <row r="139" spans="1:9" x14ac:dyDescent="0.3">
      <c r="A139" s="13" t="str">
        <f>IF(B139="","",COUNTA($B$4:B139))</f>
        <v/>
      </c>
      <c r="B139" s="13"/>
      <c r="C139" s="13"/>
      <c r="D139" s="13"/>
      <c r="E139" s="13"/>
      <c r="F139" s="13"/>
      <c r="G139" s="13"/>
      <c r="H139" s="13"/>
      <c r="I139" s="14"/>
    </row>
    <row r="140" spans="1:9" x14ac:dyDescent="0.3">
      <c r="A140" s="13" t="str">
        <f>IF(B140="","",COUNTA($B$4:B140))</f>
        <v/>
      </c>
      <c r="B140" s="13"/>
      <c r="C140" s="13"/>
      <c r="D140" s="13"/>
      <c r="E140" s="13"/>
      <c r="F140" s="13"/>
      <c r="G140" s="13"/>
      <c r="H140" s="13"/>
      <c r="I140" s="14"/>
    </row>
    <row r="141" spans="1:9" x14ac:dyDescent="0.3">
      <c r="A141" s="13" t="str">
        <f>IF(B141="","",COUNTA($B$4:B141))</f>
        <v/>
      </c>
      <c r="B141" s="13"/>
      <c r="C141" s="13"/>
      <c r="D141" s="13"/>
      <c r="E141" s="13"/>
      <c r="F141" s="13"/>
      <c r="G141" s="13"/>
      <c r="H141" s="13"/>
      <c r="I141" s="14"/>
    </row>
    <row r="142" spans="1:9" x14ac:dyDescent="0.3">
      <c r="A142" s="13" t="str">
        <f>IF(B142="","",COUNTA($B$4:B142))</f>
        <v/>
      </c>
      <c r="B142" s="13"/>
      <c r="C142" s="13"/>
      <c r="D142" s="13"/>
      <c r="E142" s="13"/>
      <c r="F142" s="13"/>
      <c r="G142" s="13"/>
      <c r="H142" s="13"/>
      <c r="I142" s="14"/>
    </row>
    <row r="143" spans="1:9" x14ac:dyDescent="0.3">
      <c r="A143" s="13" t="str">
        <f>IF(B143="","",COUNTA($B$4:B143))</f>
        <v/>
      </c>
      <c r="B143" s="13"/>
      <c r="C143" s="13"/>
      <c r="D143" s="13"/>
      <c r="E143" s="13"/>
      <c r="F143" s="13"/>
      <c r="G143" s="13"/>
      <c r="H143" s="13"/>
      <c r="I143" s="14"/>
    </row>
    <row r="144" spans="1:9" x14ac:dyDescent="0.3">
      <c r="A144" s="13" t="str">
        <f>IF(B144="","",COUNTA($B$4:B144))</f>
        <v/>
      </c>
      <c r="B144" s="13"/>
      <c r="C144" s="13"/>
      <c r="D144" s="13"/>
      <c r="E144" s="13"/>
      <c r="F144" s="13"/>
      <c r="G144" s="13"/>
      <c r="H144" s="13"/>
      <c r="I144" s="14"/>
    </row>
    <row r="145" spans="1:9" x14ac:dyDescent="0.3">
      <c r="A145" s="13" t="str">
        <f>IF(B145="","",COUNTA($B$4:B145))</f>
        <v/>
      </c>
      <c r="B145" s="13"/>
      <c r="C145" s="13"/>
      <c r="D145" s="13"/>
      <c r="E145" s="13"/>
      <c r="F145" s="13"/>
      <c r="G145" s="13"/>
      <c r="H145" s="13"/>
      <c r="I145" s="14"/>
    </row>
    <row r="146" spans="1:9" x14ac:dyDescent="0.3">
      <c r="A146" s="13" t="str">
        <f>IF(B146="","",COUNTA($B$4:B146))</f>
        <v/>
      </c>
      <c r="B146" s="13"/>
      <c r="C146" s="13"/>
      <c r="D146" s="13"/>
      <c r="E146" s="13"/>
      <c r="F146" s="13"/>
      <c r="G146" s="13"/>
      <c r="H146" s="13"/>
      <c r="I146" s="14"/>
    </row>
    <row r="147" spans="1:9" x14ac:dyDescent="0.3">
      <c r="A147" s="13" t="str">
        <f>IF(B147="","",COUNTA($B$4:B147))</f>
        <v/>
      </c>
      <c r="B147" s="13"/>
      <c r="C147" s="13"/>
      <c r="D147" s="13"/>
      <c r="E147" s="13"/>
      <c r="F147" s="13"/>
      <c r="G147" s="13"/>
      <c r="H147" s="13"/>
      <c r="I147" s="14"/>
    </row>
    <row r="148" spans="1:9" x14ac:dyDescent="0.3">
      <c r="A148" s="13" t="str">
        <f>IF(B148="","",COUNTA($B$4:B148))</f>
        <v/>
      </c>
      <c r="B148" s="13"/>
      <c r="C148" s="13"/>
      <c r="D148" s="13"/>
      <c r="E148" s="13"/>
      <c r="F148" s="13"/>
      <c r="G148" s="13"/>
      <c r="H148" s="13"/>
      <c r="I148" s="14"/>
    </row>
    <row r="149" spans="1:9" x14ac:dyDescent="0.3">
      <c r="A149" s="13" t="str">
        <f>IF(B149="","",COUNTA($B$4:B149))</f>
        <v/>
      </c>
      <c r="B149" s="13"/>
      <c r="C149" s="13"/>
      <c r="D149" s="13"/>
      <c r="E149" s="13"/>
      <c r="F149" s="13"/>
      <c r="G149" s="13"/>
      <c r="H149" s="13"/>
      <c r="I149" s="14"/>
    </row>
    <row r="150" spans="1:9" x14ac:dyDescent="0.3">
      <c r="A150" s="13" t="str">
        <f>IF(B150="","",COUNTA($B$4:B150))</f>
        <v/>
      </c>
      <c r="B150" s="13"/>
      <c r="C150" s="13"/>
      <c r="D150" s="13"/>
      <c r="E150" s="13"/>
      <c r="F150" s="13"/>
      <c r="G150" s="13"/>
      <c r="H150" s="13"/>
      <c r="I150" s="14"/>
    </row>
    <row r="151" spans="1:9" x14ac:dyDescent="0.3">
      <c r="A151" s="13" t="str">
        <f>IF(B151="","",COUNTA($B$4:B151))</f>
        <v/>
      </c>
      <c r="B151" s="13"/>
      <c r="C151" s="13"/>
      <c r="D151" s="13"/>
      <c r="E151" s="13"/>
      <c r="F151" s="13"/>
      <c r="G151" s="13"/>
      <c r="H151" s="13"/>
      <c r="I151" s="14"/>
    </row>
    <row r="152" spans="1:9" x14ac:dyDescent="0.3">
      <c r="A152" s="13" t="str">
        <f>IF(B152="","",COUNTA($B$4:B152))</f>
        <v/>
      </c>
      <c r="B152" s="13"/>
      <c r="C152" s="13"/>
      <c r="D152" s="13"/>
      <c r="E152" s="13"/>
      <c r="F152" s="13"/>
      <c r="G152" s="13"/>
      <c r="H152" s="13"/>
      <c r="I152" s="14"/>
    </row>
    <row r="153" spans="1:9" x14ac:dyDescent="0.3">
      <c r="A153" s="13" t="str">
        <f>IF(B153="","",COUNTA($B$4:B153))</f>
        <v/>
      </c>
      <c r="B153" s="13"/>
      <c r="C153" s="13"/>
      <c r="D153" s="13"/>
      <c r="E153" s="13"/>
      <c r="F153" s="13"/>
      <c r="G153" s="13"/>
      <c r="H153" s="13"/>
      <c r="I153" s="14"/>
    </row>
    <row r="154" spans="1:9" x14ac:dyDescent="0.3">
      <c r="A154" s="13" t="str">
        <f>IF(B154="","",COUNTA($B$4:B154))</f>
        <v/>
      </c>
      <c r="B154" s="13"/>
      <c r="C154" s="13"/>
      <c r="D154" s="13"/>
      <c r="E154" s="13"/>
      <c r="F154" s="13"/>
      <c r="G154" s="13"/>
      <c r="H154" s="13"/>
      <c r="I154" s="14"/>
    </row>
    <row r="155" spans="1:9" x14ac:dyDescent="0.3">
      <c r="A155" s="13" t="str">
        <f>IF(B155="","",COUNTA($B$4:B155))</f>
        <v/>
      </c>
      <c r="B155" s="13"/>
      <c r="C155" s="13"/>
      <c r="D155" s="13"/>
      <c r="E155" s="13"/>
      <c r="F155" s="13"/>
      <c r="G155" s="13"/>
      <c r="H155" s="13"/>
      <c r="I155" s="14"/>
    </row>
    <row r="156" spans="1:9" x14ac:dyDescent="0.3">
      <c r="A156" s="13" t="str">
        <f>IF(B156="","",COUNTA($B$4:B156))</f>
        <v/>
      </c>
      <c r="B156" s="13"/>
      <c r="C156" s="13"/>
      <c r="D156" s="13"/>
      <c r="E156" s="13"/>
      <c r="F156" s="13"/>
      <c r="G156" s="13"/>
      <c r="H156" s="13"/>
      <c r="I156" s="14"/>
    </row>
    <row r="157" spans="1:9" x14ac:dyDescent="0.3">
      <c r="A157" s="13" t="str">
        <f>IF(B157="","",COUNTA($B$4:B157))</f>
        <v/>
      </c>
      <c r="B157" s="13"/>
      <c r="C157" s="13"/>
      <c r="D157" s="13"/>
      <c r="E157" s="13"/>
      <c r="F157" s="13"/>
      <c r="G157" s="13"/>
      <c r="H157" s="13"/>
      <c r="I157" s="14"/>
    </row>
    <row r="158" spans="1:9" x14ac:dyDescent="0.3">
      <c r="A158" s="13" t="str">
        <f>IF(B158="","",COUNTA($B$4:B158))</f>
        <v/>
      </c>
      <c r="B158" s="13"/>
      <c r="C158" s="13"/>
      <c r="D158" s="13"/>
      <c r="E158" s="13"/>
      <c r="F158" s="13"/>
      <c r="G158" s="13"/>
      <c r="H158" s="13"/>
      <c r="I158" s="14"/>
    </row>
    <row r="159" spans="1:9" x14ac:dyDescent="0.3">
      <c r="A159" s="13" t="str">
        <f>IF(B159="","",COUNTA($B$4:B159))</f>
        <v/>
      </c>
      <c r="B159" s="13"/>
      <c r="C159" s="13"/>
      <c r="D159" s="13"/>
      <c r="E159" s="13"/>
      <c r="F159" s="13"/>
      <c r="G159" s="13"/>
      <c r="H159" s="13"/>
      <c r="I159" s="14"/>
    </row>
    <row r="160" spans="1:9" x14ac:dyDescent="0.3">
      <c r="A160" s="13" t="str">
        <f>IF(B160="","",COUNTA($B$4:B160))</f>
        <v/>
      </c>
      <c r="B160" s="13"/>
      <c r="C160" s="13"/>
      <c r="D160" s="13"/>
      <c r="E160" s="13"/>
      <c r="F160" s="13"/>
      <c r="G160" s="13"/>
      <c r="H160" s="13"/>
      <c r="I160" s="14"/>
    </row>
    <row r="161" spans="1:9" x14ac:dyDescent="0.3">
      <c r="A161" s="13" t="str">
        <f>IF(B161="","",COUNTA($B$4:B161))</f>
        <v/>
      </c>
      <c r="B161" s="13"/>
      <c r="C161" s="13"/>
      <c r="D161" s="13"/>
      <c r="E161" s="13"/>
      <c r="F161" s="13"/>
      <c r="G161" s="13"/>
      <c r="H161" s="13"/>
      <c r="I161" s="14"/>
    </row>
    <row r="162" spans="1:9" x14ac:dyDescent="0.3">
      <c r="A162" s="13" t="str">
        <f>IF(B162="","",COUNTA($B$4:B162))</f>
        <v/>
      </c>
      <c r="B162" s="13"/>
      <c r="C162" s="13"/>
      <c r="D162" s="13"/>
      <c r="E162" s="13"/>
      <c r="F162" s="13"/>
      <c r="G162" s="13"/>
      <c r="H162" s="13"/>
      <c r="I162" s="14"/>
    </row>
    <row r="163" spans="1:9" x14ac:dyDescent="0.3">
      <c r="A163" s="13" t="str">
        <f>IF(B163="","",COUNTA($B$4:B163))</f>
        <v/>
      </c>
      <c r="B163" s="13"/>
      <c r="C163" s="13"/>
      <c r="D163" s="13"/>
      <c r="E163" s="13"/>
      <c r="F163" s="13"/>
      <c r="G163" s="13"/>
      <c r="H163" s="13"/>
      <c r="I163" s="14"/>
    </row>
    <row r="164" spans="1:9" x14ac:dyDescent="0.3">
      <c r="A164" s="13" t="str">
        <f>IF(B164="","",COUNTA($B$4:B164))</f>
        <v/>
      </c>
      <c r="B164" s="13"/>
      <c r="C164" s="13"/>
      <c r="D164" s="13"/>
      <c r="E164" s="13"/>
      <c r="F164" s="13"/>
      <c r="G164" s="13"/>
      <c r="H164" s="13"/>
      <c r="I164" s="14"/>
    </row>
    <row r="165" spans="1:9" x14ac:dyDescent="0.3">
      <c r="A165" s="13" t="str">
        <f>IF(B165="","",COUNTA($B$4:B165))</f>
        <v/>
      </c>
      <c r="B165" s="13"/>
      <c r="C165" s="13"/>
      <c r="D165" s="13"/>
      <c r="E165" s="13"/>
      <c r="F165" s="13"/>
      <c r="G165" s="13"/>
      <c r="H165" s="13"/>
      <c r="I165" s="14"/>
    </row>
    <row r="166" spans="1:9" x14ac:dyDescent="0.3">
      <c r="A166" s="13" t="str">
        <f>IF(B166="","",COUNTA($B$4:B166))</f>
        <v/>
      </c>
      <c r="B166" s="13"/>
      <c r="C166" s="13"/>
      <c r="D166" s="13"/>
      <c r="E166" s="13"/>
      <c r="F166" s="13"/>
      <c r="G166" s="13"/>
      <c r="H166" s="13"/>
      <c r="I166" s="14"/>
    </row>
    <row r="167" spans="1:9" x14ac:dyDescent="0.3">
      <c r="A167" s="13" t="str">
        <f>IF(B167="","",COUNTA($B$4:B167))</f>
        <v/>
      </c>
      <c r="B167" s="13"/>
      <c r="C167" s="13"/>
      <c r="D167" s="13"/>
      <c r="E167" s="13"/>
      <c r="F167" s="13"/>
      <c r="G167" s="13"/>
      <c r="H167" s="13"/>
      <c r="I167" s="14"/>
    </row>
    <row r="168" spans="1:9" x14ac:dyDescent="0.3">
      <c r="A168" s="13" t="str">
        <f>IF(B168="","",COUNTA($B$4:B168))</f>
        <v/>
      </c>
      <c r="B168" s="13"/>
      <c r="C168" s="13"/>
      <c r="D168" s="13"/>
      <c r="E168" s="13"/>
      <c r="F168" s="13"/>
      <c r="G168" s="13"/>
      <c r="H168" s="13"/>
      <c r="I168" s="14"/>
    </row>
    <row r="169" spans="1:9" x14ac:dyDescent="0.3">
      <c r="A169" s="13" t="str">
        <f>IF(B169="","",COUNTA($B$4:B169))</f>
        <v/>
      </c>
      <c r="B169" s="13"/>
      <c r="C169" s="13"/>
      <c r="D169" s="13"/>
      <c r="E169" s="13"/>
      <c r="F169" s="13"/>
      <c r="G169" s="13"/>
      <c r="H169" s="13"/>
      <c r="I169" s="14"/>
    </row>
    <row r="170" spans="1:9" x14ac:dyDescent="0.3">
      <c r="A170" s="13" t="str">
        <f>IF(B170="","",COUNTA($B$4:B170))</f>
        <v/>
      </c>
      <c r="B170" s="13"/>
      <c r="C170" s="13"/>
      <c r="D170" s="13"/>
      <c r="E170" s="13"/>
      <c r="F170" s="13"/>
      <c r="G170" s="13"/>
      <c r="H170" s="13"/>
      <c r="I170" s="14"/>
    </row>
    <row r="171" spans="1:9" x14ac:dyDescent="0.3">
      <c r="A171" s="13" t="str">
        <f>IF(B171="","",COUNTA($B$4:B171))</f>
        <v/>
      </c>
      <c r="B171" s="13"/>
      <c r="C171" s="13"/>
      <c r="D171" s="13"/>
      <c r="E171" s="13"/>
      <c r="F171" s="13"/>
      <c r="G171" s="13"/>
      <c r="H171" s="13"/>
      <c r="I171" s="14"/>
    </row>
    <row r="172" spans="1:9" x14ac:dyDescent="0.3">
      <c r="A172" s="13" t="str">
        <f>IF(B172="","",COUNTA($B$4:B172))</f>
        <v/>
      </c>
      <c r="B172" s="13"/>
      <c r="C172" s="13"/>
      <c r="D172" s="13"/>
      <c r="E172" s="13"/>
      <c r="F172" s="13"/>
      <c r="G172" s="13"/>
      <c r="H172" s="13"/>
      <c r="I172" s="14"/>
    </row>
    <row r="173" spans="1:9" x14ac:dyDescent="0.3">
      <c r="A173" s="13" t="str">
        <f>IF(B173="","",COUNTA($B$4:B173))</f>
        <v/>
      </c>
      <c r="B173" s="13"/>
      <c r="C173" s="13"/>
      <c r="D173" s="13"/>
      <c r="E173" s="13"/>
      <c r="F173" s="13"/>
      <c r="G173" s="13"/>
      <c r="H173" s="13"/>
      <c r="I173" s="14"/>
    </row>
    <row r="174" spans="1:9" x14ac:dyDescent="0.3">
      <c r="A174" s="13" t="str">
        <f>IF(B174="","",COUNTA($B$4:B174))</f>
        <v/>
      </c>
      <c r="B174" s="13"/>
      <c r="C174" s="13"/>
      <c r="D174" s="13"/>
      <c r="E174" s="13"/>
      <c r="F174" s="13"/>
      <c r="G174" s="13"/>
      <c r="H174" s="13"/>
      <c r="I174" s="14"/>
    </row>
    <row r="175" spans="1:9" x14ac:dyDescent="0.3">
      <c r="A175" s="13" t="str">
        <f>IF(B175="","",COUNTA($B$4:B175))</f>
        <v/>
      </c>
      <c r="B175" s="13"/>
      <c r="C175" s="13"/>
      <c r="D175" s="13"/>
      <c r="E175" s="13"/>
      <c r="F175" s="13"/>
      <c r="G175" s="13"/>
      <c r="H175" s="13"/>
      <c r="I175" s="14"/>
    </row>
    <row r="176" spans="1:9" x14ac:dyDescent="0.3">
      <c r="A176" s="13" t="str">
        <f>IF(B176="","",COUNTA($B$4:B176))</f>
        <v/>
      </c>
      <c r="B176" s="13"/>
      <c r="C176" s="13"/>
      <c r="D176" s="13"/>
      <c r="E176" s="13"/>
      <c r="F176" s="13"/>
      <c r="G176" s="13"/>
      <c r="H176" s="13"/>
      <c r="I176" s="14"/>
    </row>
    <row r="177" spans="1:9" x14ac:dyDescent="0.3">
      <c r="A177" s="13" t="str">
        <f>IF(B177="","",COUNTA($B$4:B177))</f>
        <v/>
      </c>
      <c r="B177" s="13"/>
      <c r="C177" s="13"/>
      <c r="D177" s="13"/>
      <c r="E177" s="13"/>
      <c r="F177" s="13"/>
      <c r="G177" s="13"/>
      <c r="H177" s="13"/>
      <c r="I177" s="14"/>
    </row>
    <row r="178" spans="1:9" x14ac:dyDescent="0.3">
      <c r="A178" s="13" t="str">
        <f>IF(B178="","",COUNTA($B$4:B178))</f>
        <v/>
      </c>
      <c r="B178" s="13"/>
      <c r="C178" s="13"/>
      <c r="D178" s="13"/>
      <c r="E178" s="13"/>
      <c r="F178" s="13"/>
      <c r="G178" s="13"/>
      <c r="H178" s="13"/>
      <c r="I178" s="14"/>
    </row>
    <row r="179" spans="1:9" x14ac:dyDescent="0.3">
      <c r="A179" s="13" t="str">
        <f>IF(B179="","",COUNTA($B$4:B179))</f>
        <v/>
      </c>
      <c r="B179" s="13"/>
      <c r="C179" s="13"/>
      <c r="D179" s="13"/>
      <c r="E179" s="13"/>
      <c r="F179" s="13"/>
      <c r="G179" s="13"/>
      <c r="H179" s="13"/>
      <c r="I179" s="14"/>
    </row>
    <row r="180" spans="1:9" x14ac:dyDescent="0.3">
      <c r="A180" s="13" t="str">
        <f>IF(B180="","",COUNTA($B$4:B180))</f>
        <v/>
      </c>
      <c r="B180" s="13"/>
      <c r="C180" s="13"/>
      <c r="D180" s="13"/>
      <c r="E180" s="13"/>
      <c r="F180" s="13"/>
      <c r="G180" s="13"/>
      <c r="H180" s="13"/>
      <c r="I180" s="14"/>
    </row>
    <row r="181" spans="1:9" x14ac:dyDescent="0.3">
      <c r="A181" s="13" t="str">
        <f>IF(B181="","",COUNTA($B$4:B181))</f>
        <v/>
      </c>
      <c r="B181" s="13"/>
      <c r="C181" s="13"/>
      <c r="D181" s="13"/>
      <c r="E181" s="13"/>
      <c r="F181" s="13"/>
      <c r="G181" s="13"/>
      <c r="H181" s="13"/>
      <c r="I181" s="14"/>
    </row>
    <row r="182" spans="1:9" x14ac:dyDescent="0.3">
      <c r="A182" s="13" t="str">
        <f>IF(B182="","",COUNTA($B$4:B182))</f>
        <v/>
      </c>
      <c r="B182" s="13"/>
      <c r="C182" s="13"/>
      <c r="D182" s="13"/>
      <c r="E182" s="13"/>
      <c r="F182" s="13"/>
      <c r="G182" s="13"/>
      <c r="H182" s="13"/>
      <c r="I182" s="14"/>
    </row>
    <row r="183" spans="1:9" x14ac:dyDescent="0.3">
      <c r="A183" s="13" t="str">
        <f>IF(B183="","",COUNTA($B$4:B183))</f>
        <v/>
      </c>
      <c r="B183" s="13"/>
      <c r="C183" s="13"/>
      <c r="D183" s="13"/>
      <c r="E183" s="13"/>
      <c r="F183" s="13"/>
      <c r="G183" s="13"/>
      <c r="H183" s="13"/>
      <c r="I183" s="14"/>
    </row>
    <row r="184" spans="1:9" x14ac:dyDescent="0.3">
      <c r="A184" s="13" t="str">
        <f>IF(B184="","",COUNTA($B$4:B184))</f>
        <v/>
      </c>
      <c r="B184" s="13"/>
      <c r="C184" s="13"/>
      <c r="D184" s="13"/>
      <c r="E184" s="13"/>
      <c r="F184" s="13"/>
      <c r="G184" s="13"/>
      <c r="H184" s="13"/>
      <c r="I184" s="14"/>
    </row>
    <row r="185" spans="1:9" x14ac:dyDescent="0.3">
      <c r="A185" s="13" t="str">
        <f>IF(B185="","",COUNTA($B$4:B185))</f>
        <v/>
      </c>
      <c r="B185" s="13"/>
      <c r="C185" s="13"/>
      <c r="D185" s="13"/>
      <c r="E185" s="13"/>
      <c r="F185" s="13"/>
      <c r="G185" s="13"/>
      <c r="H185" s="13"/>
      <c r="I185" s="14"/>
    </row>
    <row r="186" spans="1:9" x14ac:dyDescent="0.3">
      <c r="A186" s="13" t="str">
        <f>IF(B186="","",COUNTA($B$4:B186))</f>
        <v/>
      </c>
      <c r="B186" s="13"/>
      <c r="C186" s="13"/>
      <c r="D186" s="13"/>
      <c r="E186" s="13"/>
      <c r="F186" s="13"/>
      <c r="G186" s="13"/>
      <c r="H186" s="13"/>
      <c r="I186" s="14"/>
    </row>
    <row r="187" spans="1:9" x14ac:dyDescent="0.3">
      <c r="A187" s="13" t="str">
        <f>IF(B187="","",COUNTA($B$4:B187))</f>
        <v/>
      </c>
      <c r="B187" s="13"/>
      <c r="C187" s="13"/>
      <c r="D187" s="13"/>
      <c r="E187" s="13"/>
      <c r="F187" s="13"/>
      <c r="G187" s="13"/>
      <c r="H187" s="13"/>
      <c r="I187" s="14"/>
    </row>
    <row r="188" spans="1:9" x14ac:dyDescent="0.3">
      <c r="A188" s="13" t="str">
        <f>IF(B188="","",COUNTA($B$4:B188))</f>
        <v/>
      </c>
      <c r="B188" s="13"/>
      <c r="C188" s="13"/>
      <c r="D188" s="13"/>
      <c r="E188" s="13"/>
      <c r="F188" s="13"/>
      <c r="G188" s="13"/>
      <c r="H188" s="13"/>
      <c r="I188" s="14"/>
    </row>
    <row r="189" spans="1:9" x14ac:dyDescent="0.3">
      <c r="A189" s="13" t="str">
        <f>IF(B189="","",COUNTA($B$4:B189))</f>
        <v/>
      </c>
      <c r="B189" s="13"/>
      <c r="C189" s="13"/>
      <c r="D189" s="13"/>
      <c r="E189" s="13"/>
      <c r="F189" s="13"/>
      <c r="G189" s="13"/>
      <c r="H189" s="13"/>
      <c r="I189" s="14"/>
    </row>
    <row r="190" spans="1:9" x14ac:dyDescent="0.3">
      <c r="A190" s="13" t="str">
        <f>IF(B190="","",COUNTA($B$4:B190))</f>
        <v/>
      </c>
      <c r="B190" s="13"/>
      <c r="C190" s="13"/>
      <c r="D190" s="13"/>
      <c r="E190" s="13"/>
      <c r="F190" s="13"/>
      <c r="G190" s="13"/>
      <c r="H190" s="13"/>
      <c r="I190" s="14"/>
    </row>
    <row r="191" spans="1:9" x14ac:dyDescent="0.3">
      <c r="A191" s="13" t="str">
        <f>IF(B191="","",COUNTA($B$4:B191))</f>
        <v/>
      </c>
      <c r="B191" s="13"/>
      <c r="C191" s="13"/>
      <c r="D191" s="13"/>
      <c r="E191" s="13"/>
      <c r="F191" s="13"/>
      <c r="G191" s="13"/>
      <c r="H191" s="13"/>
      <c r="I191" s="14"/>
    </row>
    <row r="192" spans="1:9" x14ac:dyDescent="0.3">
      <c r="A192" s="13" t="str">
        <f>IF(B192="","",COUNTA($B$4:B192))</f>
        <v/>
      </c>
      <c r="B192" s="13"/>
      <c r="C192" s="13"/>
      <c r="D192" s="13"/>
      <c r="E192" s="13"/>
      <c r="F192" s="13"/>
      <c r="G192" s="13"/>
      <c r="H192" s="13"/>
      <c r="I192" s="14"/>
    </row>
    <row r="193" spans="1:9" x14ac:dyDescent="0.3">
      <c r="A193" s="13" t="str">
        <f>IF(B193="","",COUNTA($B$4:B193))</f>
        <v/>
      </c>
      <c r="B193" s="13"/>
      <c r="C193" s="13"/>
      <c r="D193" s="13"/>
      <c r="E193" s="13"/>
      <c r="F193" s="13"/>
      <c r="G193" s="13"/>
      <c r="H193" s="13"/>
      <c r="I193" s="14"/>
    </row>
    <row r="194" spans="1:9" x14ac:dyDescent="0.3">
      <c r="A194" s="13" t="str">
        <f>IF(B194="","",COUNTA($B$4:B194))</f>
        <v/>
      </c>
      <c r="B194" s="13"/>
      <c r="C194" s="13"/>
      <c r="D194" s="13"/>
      <c r="E194" s="13"/>
      <c r="F194" s="13"/>
      <c r="G194" s="13"/>
      <c r="H194" s="13"/>
      <c r="I194" s="14"/>
    </row>
    <row r="195" spans="1:9" x14ac:dyDescent="0.3">
      <c r="A195" s="13" t="str">
        <f>IF(B195="","",COUNTA($B$4:B195))</f>
        <v/>
      </c>
      <c r="B195" s="13"/>
      <c r="C195" s="13"/>
      <c r="D195" s="13"/>
      <c r="E195" s="13"/>
      <c r="F195" s="13"/>
      <c r="G195" s="13"/>
      <c r="H195" s="13"/>
      <c r="I195" s="14"/>
    </row>
    <row r="196" spans="1:9" x14ac:dyDescent="0.3">
      <c r="A196" s="13" t="str">
        <f>IF(B196="","",COUNTA($B$4:B196))</f>
        <v/>
      </c>
      <c r="B196" s="13"/>
      <c r="C196" s="13"/>
      <c r="D196" s="13"/>
      <c r="E196" s="13"/>
      <c r="F196" s="13"/>
      <c r="G196" s="13"/>
      <c r="H196" s="13"/>
      <c r="I196" s="14"/>
    </row>
    <row r="197" spans="1:9" x14ac:dyDescent="0.3">
      <c r="A197" s="13" t="str">
        <f>IF(B197="","",COUNTA($B$4:B197))</f>
        <v/>
      </c>
      <c r="B197" s="13"/>
      <c r="C197" s="13"/>
      <c r="D197" s="13"/>
      <c r="E197" s="13"/>
      <c r="F197" s="13"/>
      <c r="G197" s="13"/>
      <c r="H197" s="13"/>
      <c r="I197" s="14"/>
    </row>
    <row r="198" spans="1:9" x14ac:dyDescent="0.3">
      <c r="A198" s="13" t="str">
        <f>IF(B198="","",COUNTA($B$4:B198))</f>
        <v/>
      </c>
      <c r="B198" s="13"/>
      <c r="C198" s="13"/>
      <c r="D198" s="13"/>
      <c r="E198" s="13"/>
      <c r="F198" s="13"/>
      <c r="G198" s="13"/>
      <c r="H198" s="13"/>
      <c r="I198" s="14"/>
    </row>
    <row r="199" spans="1:9" x14ac:dyDescent="0.3">
      <c r="A199" s="13" t="str">
        <f>IF(B199="","",COUNTA($B$4:B199))</f>
        <v/>
      </c>
      <c r="B199" s="13"/>
      <c r="C199" s="13"/>
      <c r="D199" s="13"/>
      <c r="E199" s="13"/>
      <c r="F199" s="13"/>
      <c r="G199" s="13"/>
      <c r="H199" s="13"/>
      <c r="I199" s="14"/>
    </row>
    <row r="200" spans="1:9" x14ac:dyDescent="0.3">
      <c r="A200" s="13" t="str">
        <f>IF(B200="","",COUNTA($B$4:B200))</f>
        <v/>
      </c>
      <c r="B200" s="13"/>
      <c r="C200" s="13"/>
      <c r="D200" s="13"/>
      <c r="E200" s="13"/>
      <c r="F200" s="13"/>
      <c r="G200" s="13"/>
      <c r="H200" s="13"/>
      <c r="I200" s="14"/>
    </row>
    <row r="201" spans="1:9" x14ac:dyDescent="0.3">
      <c r="A201" s="13" t="str">
        <f>IF(B201="","",COUNTA($B$4:B201))</f>
        <v/>
      </c>
      <c r="B201" s="13"/>
      <c r="C201" s="13"/>
      <c r="D201" s="13"/>
      <c r="E201" s="13"/>
      <c r="F201" s="13"/>
      <c r="G201" s="13"/>
      <c r="H201" s="13"/>
      <c r="I201" s="14"/>
    </row>
    <row r="202" spans="1:9" x14ac:dyDescent="0.3">
      <c r="A202" s="13" t="str">
        <f>IF(B202="","",COUNTA($B$4:B202))</f>
        <v/>
      </c>
      <c r="B202" s="13"/>
      <c r="C202" s="13"/>
      <c r="D202" s="13"/>
      <c r="E202" s="13"/>
      <c r="F202" s="13"/>
      <c r="G202" s="13"/>
      <c r="H202" s="13"/>
      <c r="I202" s="14"/>
    </row>
    <row r="203" spans="1:9" x14ac:dyDescent="0.3">
      <c r="A203" s="13" t="str">
        <f>IF(B203="","",COUNTA($B$4:B203))</f>
        <v/>
      </c>
      <c r="B203" s="13"/>
      <c r="C203" s="13"/>
      <c r="D203" s="13"/>
      <c r="E203" s="13"/>
      <c r="F203" s="13"/>
      <c r="G203" s="13"/>
      <c r="H203" s="13"/>
      <c r="I203" s="14"/>
    </row>
    <row r="204" spans="1:9" x14ac:dyDescent="0.3">
      <c r="A204" s="13" t="str">
        <f>IF(B204="","",COUNTA($B$4:B204))</f>
        <v/>
      </c>
      <c r="B204" s="13"/>
      <c r="C204" s="13"/>
      <c r="D204" s="13"/>
      <c r="E204" s="13"/>
      <c r="F204" s="13"/>
      <c r="G204" s="13"/>
      <c r="H204" s="13"/>
      <c r="I204" s="14"/>
    </row>
    <row r="205" spans="1:9" x14ac:dyDescent="0.3">
      <c r="A205" s="13" t="str">
        <f>IF(B205="","",COUNTA($B$4:B205))</f>
        <v/>
      </c>
      <c r="B205" s="13"/>
      <c r="C205" s="13"/>
      <c r="D205" s="13"/>
      <c r="E205" s="13"/>
      <c r="F205" s="13"/>
      <c r="G205" s="13"/>
      <c r="H205" s="13"/>
      <c r="I205" s="14"/>
    </row>
    <row r="206" spans="1:9" x14ac:dyDescent="0.3">
      <c r="A206" s="13" t="str">
        <f>IF(B206="","",COUNTA($B$4:B206))</f>
        <v/>
      </c>
      <c r="B206" s="13"/>
      <c r="C206" s="13"/>
      <c r="D206" s="13"/>
      <c r="E206" s="13"/>
      <c r="F206" s="13"/>
      <c r="G206" s="13"/>
      <c r="H206" s="13"/>
      <c r="I206" s="14"/>
    </row>
    <row r="207" spans="1:9" x14ac:dyDescent="0.3">
      <c r="A207" s="13" t="str">
        <f>IF(B207="","",COUNTA($B$4:B207))</f>
        <v/>
      </c>
      <c r="B207" s="13"/>
      <c r="C207" s="13"/>
      <c r="D207" s="13"/>
      <c r="E207" s="13"/>
      <c r="F207" s="13"/>
      <c r="G207" s="13"/>
      <c r="H207" s="13"/>
      <c r="I207" s="14"/>
    </row>
    <row r="208" spans="1:9" x14ac:dyDescent="0.3">
      <c r="A208" s="13" t="str">
        <f>IF(B208="","",COUNTA($B$4:B208))</f>
        <v/>
      </c>
      <c r="B208" s="13"/>
      <c r="C208" s="13"/>
      <c r="D208" s="13"/>
      <c r="E208" s="13"/>
      <c r="F208" s="13"/>
      <c r="G208" s="13"/>
      <c r="H208" s="13"/>
      <c r="I208" s="14"/>
    </row>
    <row r="209" spans="1:9" x14ac:dyDescent="0.3">
      <c r="A209" s="13" t="str">
        <f>IF(B209="","",COUNTA($B$4:B209))</f>
        <v/>
      </c>
      <c r="B209" s="13"/>
      <c r="C209" s="13"/>
      <c r="D209" s="13"/>
      <c r="E209" s="13"/>
      <c r="F209" s="13"/>
      <c r="G209" s="13"/>
      <c r="H209" s="13"/>
      <c r="I209" s="14"/>
    </row>
    <row r="210" spans="1:9" x14ac:dyDescent="0.3">
      <c r="A210" s="13" t="str">
        <f>IF(B210="","",COUNTA($B$4:B210))</f>
        <v/>
      </c>
      <c r="B210" s="13"/>
      <c r="C210" s="13"/>
      <c r="D210" s="13"/>
      <c r="E210" s="13"/>
      <c r="F210" s="13"/>
      <c r="G210" s="13"/>
      <c r="H210" s="13"/>
      <c r="I210" s="14"/>
    </row>
    <row r="211" spans="1:9" x14ac:dyDescent="0.3">
      <c r="A211" s="13" t="str">
        <f>IF(B211="","",COUNTA($B$4:B211))</f>
        <v/>
      </c>
      <c r="B211" s="13"/>
      <c r="C211" s="13"/>
      <c r="D211" s="13"/>
      <c r="E211" s="13"/>
      <c r="F211" s="13"/>
      <c r="G211" s="13"/>
      <c r="H211" s="13"/>
      <c r="I211" s="14"/>
    </row>
    <row r="212" spans="1:9" x14ac:dyDescent="0.3">
      <c r="A212" s="13" t="str">
        <f>IF(B212="","",COUNTA($B$4:B212))</f>
        <v/>
      </c>
      <c r="B212" s="13"/>
      <c r="C212" s="13"/>
      <c r="D212" s="13"/>
      <c r="E212" s="13"/>
      <c r="F212" s="13"/>
      <c r="G212" s="13"/>
      <c r="H212" s="13"/>
      <c r="I212" s="14"/>
    </row>
    <row r="213" spans="1:9" x14ac:dyDescent="0.3">
      <c r="A213" s="13" t="str">
        <f>IF(B213="","",COUNTA($B$4:B213))</f>
        <v/>
      </c>
      <c r="B213" s="13"/>
      <c r="C213" s="13"/>
      <c r="D213" s="13"/>
      <c r="E213" s="13"/>
      <c r="F213" s="13"/>
      <c r="G213" s="13"/>
      <c r="H213" s="13"/>
      <c r="I213" s="14"/>
    </row>
    <row r="214" spans="1:9" x14ac:dyDescent="0.3">
      <c r="A214" s="13" t="str">
        <f>IF(B214="","",COUNTA($B$4:B214))</f>
        <v/>
      </c>
      <c r="B214" s="13"/>
      <c r="C214" s="13"/>
      <c r="D214" s="13"/>
      <c r="E214" s="13"/>
      <c r="F214" s="13"/>
      <c r="G214" s="13"/>
      <c r="H214" s="13"/>
      <c r="I214" s="14"/>
    </row>
    <row r="215" spans="1:9" x14ac:dyDescent="0.3">
      <c r="A215" s="13" t="str">
        <f>IF(B215="","",COUNTA($B$4:B215))</f>
        <v/>
      </c>
      <c r="B215" s="13"/>
      <c r="C215" s="13"/>
      <c r="D215" s="13"/>
      <c r="E215" s="13"/>
      <c r="F215" s="13"/>
      <c r="G215" s="13"/>
      <c r="H215" s="13"/>
      <c r="I215" s="14"/>
    </row>
    <row r="216" spans="1:9" x14ac:dyDescent="0.3">
      <c r="A216" s="13" t="str">
        <f>IF(B216="","",COUNTA($B$4:B216))</f>
        <v/>
      </c>
      <c r="B216" s="13"/>
      <c r="C216" s="13"/>
      <c r="D216" s="13"/>
      <c r="E216" s="13"/>
      <c r="F216" s="13"/>
      <c r="G216" s="13"/>
      <c r="H216" s="13"/>
      <c r="I216" s="14"/>
    </row>
    <row r="217" spans="1:9" x14ac:dyDescent="0.3">
      <c r="A217" s="13" t="str">
        <f>IF(B217="","",COUNTA($B$4:B217))</f>
        <v/>
      </c>
      <c r="B217" s="13"/>
      <c r="C217" s="13"/>
      <c r="D217" s="13"/>
      <c r="E217" s="13"/>
      <c r="F217" s="13"/>
      <c r="G217" s="13"/>
      <c r="H217" s="13"/>
      <c r="I217" s="14"/>
    </row>
    <row r="218" spans="1:9" x14ac:dyDescent="0.3">
      <c r="A218" s="13" t="str">
        <f>IF(B218="","",COUNTA($B$4:B218))</f>
        <v/>
      </c>
      <c r="B218" s="13"/>
      <c r="C218" s="13"/>
      <c r="D218" s="13"/>
      <c r="E218" s="13"/>
      <c r="F218" s="13"/>
      <c r="G218" s="13"/>
      <c r="H218" s="13"/>
      <c r="I218" s="14"/>
    </row>
    <row r="219" spans="1:9" x14ac:dyDescent="0.3">
      <c r="A219" s="13" t="str">
        <f>IF(B219="","",COUNTA($B$4:B219))</f>
        <v/>
      </c>
      <c r="B219" s="13"/>
      <c r="C219" s="13"/>
      <c r="D219" s="13"/>
      <c r="E219" s="13"/>
      <c r="F219" s="13"/>
      <c r="G219" s="13"/>
      <c r="H219" s="13"/>
      <c r="I219" s="14"/>
    </row>
    <row r="220" spans="1:9" x14ac:dyDescent="0.3">
      <c r="A220" s="13" t="str">
        <f>IF(B220="","",COUNTA($B$4:B220))</f>
        <v/>
      </c>
      <c r="B220" s="13"/>
      <c r="C220" s="13"/>
      <c r="D220" s="13"/>
      <c r="E220" s="13"/>
      <c r="F220" s="13"/>
      <c r="G220" s="13"/>
      <c r="H220" s="13"/>
      <c r="I220" s="14"/>
    </row>
    <row r="221" spans="1:9" x14ac:dyDescent="0.3">
      <c r="A221" s="13" t="str">
        <f>IF(B221="","",COUNTA($B$4:B221))</f>
        <v/>
      </c>
      <c r="B221" s="13"/>
      <c r="C221" s="13"/>
      <c r="D221" s="13"/>
      <c r="E221" s="13"/>
      <c r="F221" s="13"/>
      <c r="G221" s="13"/>
      <c r="H221" s="13"/>
      <c r="I221" s="14"/>
    </row>
    <row r="222" spans="1:9" x14ac:dyDescent="0.3">
      <c r="A222" s="13" t="str">
        <f>IF(B222="","",COUNTA($B$4:B222))</f>
        <v/>
      </c>
      <c r="B222" s="13"/>
      <c r="C222" s="13"/>
      <c r="D222" s="13"/>
      <c r="E222" s="13"/>
      <c r="F222" s="13"/>
      <c r="G222" s="13"/>
      <c r="H222" s="13"/>
      <c r="I222" s="14"/>
    </row>
    <row r="223" spans="1:9" x14ac:dyDescent="0.3">
      <c r="A223" s="13" t="str">
        <f>IF(B223="","",COUNTA($B$4:B223))</f>
        <v/>
      </c>
      <c r="B223" s="13"/>
      <c r="C223" s="13"/>
      <c r="D223" s="13"/>
      <c r="E223" s="13"/>
      <c r="F223" s="13"/>
      <c r="G223" s="13"/>
      <c r="H223" s="13"/>
      <c r="I223" s="14"/>
    </row>
    <row r="224" spans="1:9" x14ac:dyDescent="0.3">
      <c r="A224" s="13" t="str">
        <f>IF(B224="","",COUNTA($B$4:B224))</f>
        <v/>
      </c>
      <c r="B224" s="13"/>
      <c r="C224" s="13"/>
      <c r="D224" s="13"/>
      <c r="E224" s="13"/>
      <c r="F224" s="13"/>
      <c r="G224" s="13"/>
      <c r="H224" s="13"/>
      <c r="I224" s="14"/>
    </row>
    <row r="225" spans="1:9" x14ac:dyDescent="0.3">
      <c r="A225" s="13" t="str">
        <f>IF(B225="","",COUNTA($B$4:B225))</f>
        <v/>
      </c>
      <c r="B225" s="13"/>
      <c r="C225" s="13"/>
      <c r="D225" s="13"/>
      <c r="E225" s="13"/>
      <c r="F225" s="13"/>
      <c r="G225" s="13"/>
      <c r="H225" s="13"/>
      <c r="I225" s="14"/>
    </row>
    <row r="226" spans="1:9" x14ac:dyDescent="0.3">
      <c r="A226" s="13" t="str">
        <f>IF(B226="","",COUNTA($B$4:B226))</f>
        <v/>
      </c>
      <c r="B226" s="13"/>
      <c r="C226" s="13"/>
      <c r="D226" s="13"/>
      <c r="E226" s="13"/>
      <c r="F226" s="13"/>
      <c r="G226" s="13"/>
      <c r="H226" s="13"/>
      <c r="I226" s="14"/>
    </row>
    <row r="227" spans="1:9" x14ac:dyDescent="0.3">
      <c r="A227" s="13" t="str">
        <f>IF(B227="","",COUNTA($B$4:B227))</f>
        <v/>
      </c>
      <c r="B227" s="13"/>
      <c r="C227" s="13"/>
      <c r="D227" s="13"/>
      <c r="E227" s="13"/>
      <c r="F227" s="13"/>
      <c r="G227" s="13"/>
      <c r="H227" s="13"/>
      <c r="I227" s="14"/>
    </row>
    <row r="228" spans="1:9" x14ac:dyDescent="0.3">
      <c r="A228" s="13" t="str">
        <f>IF(B228="","",COUNTA($B$4:B228))</f>
        <v/>
      </c>
      <c r="B228" s="13"/>
      <c r="C228" s="13"/>
      <c r="D228" s="13"/>
      <c r="E228" s="13"/>
      <c r="F228" s="13"/>
      <c r="G228" s="13"/>
      <c r="H228" s="13"/>
      <c r="I228" s="14"/>
    </row>
    <row r="229" spans="1:9" x14ac:dyDescent="0.3">
      <c r="A229" s="13" t="str">
        <f>IF(B229="","",COUNTA($B$4:B229))</f>
        <v/>
      </c>
      <c r="B229" s="13"/>
      <c r="C229" s="13"/>
      <c r="D229" s="13"/>
      <c r="E229" s="13"/>
      <c r="F229" s="13"/>
      <c r="G229" s="13"/>
      <c r="H229" s="13"/>
      <c r="I229" s="14"/>
    </row>
    <row r="230" spans="1:9" x14ac:dyDescent="0.3">
      <c r="A230" s="13" t="str">
        <f>IF(B230="","",COUNTA($B$4:B230))</f>
        <v/>
      </c>
      <c r="B230" s="13"/>
      <c r="C230" s="13"/>
      <c r="D230" s="13"/>
      <c r="E230" s="13"/>
      <c r="F230" s="13"/>
      <c r="G230" s="13"/>
      <c r="H230" s="13"/>
      <c r="I230" s="14"/>
    </row>
    <row r="231" spans="1:9" x14ac:dyDescent="0.3">
      <c r="A231" s="13" t="str">
        <f>IF(B231="","",COUNTA($B$4:B231))</f>
        <v/>
      </c>
      <c r="B231" s="13"/>
      <c r="C231" s="13"/>
      <c r="D231" s="13"/>
      <c r="E231" s="13"/>
      <c r="F231" s="13"/>
      <c r="G231" s="13"/>
      <c r="H231" s="13"/>
      <c r="I231" s="14"/>
    </row>
    <row r="232" spans="1:9" x14ac:dyDescent="0.3">
      <c r="A232" s="13" t="str">
        <f>IF(B232="","",COUNTA($B$4:B232))</f>
        <v/>
      </c>
      <c r="B232" s="13"/>
      <c r="C232" s="13"/>
      <c r="D232" s="13"/>
      <c r="E232" s="13"/>
      <c r="F232" s="13"/>
      <c r="G232" s="13"/>
      <c r="H232" s="13"/>
      <c r="I232" s="14"/>
    </row>
    <row r="233" spans="1:9" x14ac:dyDescent="0.3">
      <c r="A233" s="13" t="str">
        <f>IF(B233="","",COUNTA($B$4:B233))</f>
        <v/>
      </c>
      <c r="B233" s="13"/>
      <c r="C233" s="13"/>
      <c r="D233" s="13"/>
      <c r="E233" s="13"/>
      <c r="F233" s="13"/>
      <c r="G233" s="13"/>
      <c r="H233" s="13"/>
      <c r="I233" s="14"/>
    </row>
    <row r="234" spans="1:9" x14ac:dyDescent="0.3">
      <c r="A234" s="13" t="str">
        <f>IF(B234="","",COUNTA($B$4:B234))</f>
        <v/>
      </c>
      <c r="B234" s="13"/>
      <c r="C234" s="13"/>
      <c r="D234" s="13"/>
      <c r="E234" s="13"/>
      <c r="F234" s="13"/>
      <c r="G234" s="13"/>
      <c r="H234" s="13"/>
      <c r="I234" s="14"/>
    </row>
    <row r="235" spans="1:9" x14ac:dyDescent="0.3">
      <c r="A235" s="13" t="str">
        <f>IF(B235="","",COUNTA($B$4:B235))</f>
        <v/>
      </c>
      <c r="B235" s="13"/>
      <c r="C235" s="13"/>
      <c r="D235" s="13"/>
      <c r="E235" s="13"/>
      <c r="F235" s="13"/>
      <c r="G235" s="13"/>
      <c r="H235" s="13"/>
      <c r="I235" s="14"/>
    </row>
    <row r="236" spans="1:9" x14ac:dyDescent="0.3">
      <c r="A236" s="13" t="str">
        <f>IF(B236="","",COUNTA($B$4:B236))</f>
        <v/>
      </c>
      <c r="B236" s="13"/>
      <c r="C236" s="13"/>
      <c r="D236" s="13"/>
      <c r="E236" s="13"/>
      <c r="F236" s="13"/>
      <c r="G236" s="13"/>
      <c r="H236" s="13"/>
      <c r="I236" s="14"/>
    </row>
    <row r="237" spans="1:9" x14ac:dyDescent="0.3">
      <c r="A237" s="13" t="str">
        <f>IF(B237="","",COUNTA($B$4:B237))</f>
        <v/>
      </c>
      <c r="B237" s="13"/>
      <c r="C237" s="13"/>
      <c r="D237" s="13"/>
      <c r="E237" s="13"/>
      <c r="F237" s="13"/>
      <c r="G237" s="13"/>
      <c r="H237" s="13"/>
      <c r="I237" s="14"/>
    </row>
    <row r="238" spans="1:9" x14ac:dyDescent="0.3">
      <c r="A238" s="13" t="str">
        <f>IF(B238="","",COUNTA($B$4:B238))</f>
        <v/>
      </c>
      <c r="B238" s="13"/>
      <c r="C238" s="13"/>
      <c r="D238" s="13"/>
      <c r="E238" s="13"/>
      <c r="F238" s="13"/>
      <c r="G238" s="13"/>
      <c r="H238" s="13"/>
      <c r="I238" s="14"/>
    </row>
    <row r="239" spans="1:9" x14ac:dyDescent="0.3">
      <c r="A239" s="13" t="str">
        <f>IF(B239="","",COUNTA($B$4:B239))</f>
        <v/>
      </c>
      <c r="B239" s="13"/>
      <c r="C239" s="13"/>
      <c r="D239" s="13"/>
      <c r="E239" s="13"/>
      <c r="F239" s="13"/>
      <c r="G239" s="13"/>
      <c r="H239" s="13"/>
      <c r="I239" s="14"/>
    </row>
    <row r="240" spans="1:9" x14ac:dyDescent="0.3">
      <c r="A240" s="13" t="str">
        <f>IF(B240="","",COUNTA($B$4:B240))</f>
        <v/>
      </c>
      <c r="B240" s="13"/>
      <c r="C240" s="13"/>
      <c r="D240" s="13"/>
      <c r="E240" s="13"/>
      <c r="F240" s="13"/>
      <c r="G240" s="13"/>
      <c r="H240" s="13"/>
      <c r="I240" s="14"/>
    </row>
    <row r="241" spans="1:9" x14ac:dyDescent="0.3">
      <c r="A241" s="13" t="str">
        <f>IF(B241="","",COUNTA($B$4:B241))</f>
        <v/>
      </c>
      <c r="B241" s="13"/>
      <c r="C241" s="13"/>
      <c r="D241" s="13"/>
      <c r="E241" s="13"/>
      <c r="F241" s="13"/>
      <c r="G241" s="13"/>
      <c r="H241" s="13"/>
      <c r="I241" s="14"/>
    </row>
    <row r="242" spans="1:9" x14ac:dyDescent="0.3">
      <c r="A242" s="13" t="str">
        <f>IF(B242="","",COUNTA($B$4:B242))</f>
        <v/>
      </c>
      <c r="B242" s="13"/>
      <c r="C242" s="13"/>
      <c r="D242" s="13"/>
      <c r="E242" s="13"/>
      <c r="F242" s="13"/>
      <c r="G242" s="13"/>
      <c r="H242" s="13"/>
      <c r="I242" s="14"/>
    </row>
    <row r="243" spans="1:9" x14ac:dyDescent="0.3">
      <c r="A243" s="13" t="str">
        <f>IF(B243="","",COUNTA($B$4:B243))</f>
        <v/>
      </c>
      <c r="B243" s="13"/>
      <c r="C243" s="13"/>
      <c r="D243" s="13"/>
      <c r="E243" s="13"/>
      <c r="F243" s="13"/>
      <c r="G243" s="13"/>
      <c r="H243" s="13"/>
      <c r="I243" s="14"/>
    </row>
    <row r="244" spans="1:9" x14ac:dyDescent="0.3">
      <c r="A244" s="13" t="str">
        <f>IF(B244="","",COUNTA($B$4:B244))</f>
        <v/>
      </c>
      <c r="B244" s="13"/>
      <c r="C244" s="13"/>
      <c r="D244" s="13"/>
      <c r="E244" s="13"/>
      <c r="F244" s="13"/>
      <c r="G244" s="13"/>
      <c r="H244" s="13"/>
      <c r="I244" s="14"/>
    </row>
    <row r="245" spans="1:9" x14ac:dyDescent="0.3">
      <c r="A245" s="13" t="str">
        <f>IF(B245="","",COUNTA($B$4:B245))</f>
        <v/>
      </c>
      <c r="B245" s="13"/>
      <c r="C245" s="13"/>
      <c r="D245" s="13"/>
      <c r="E245" s="13"/>
      <c r="F245" s="13"/>
      <c r="G245" s="13"/>
      <c r="H245" s="13"/>
      <c r="I245" s="14"/>
    </row>
    <row r="246" spans="1:9" x14ac:dyDescent="0.3">
      <c r="A246" s="13" t="str">
        <f>IF(B246="","",COUNTA($B$4:B246))</f>
        <v/>
      </c>
      <c r="B246" s="13"/>
      <c r="C246" s="13"/>
      <c r="D246" s="13"/>
      <c r="E246" s="13"/>
      <c r="F246" s="13"/>
      <c r="G246" s="13"/>
      <c r="H246" s="13"/>
      <c r="I246" s="14"/>
    </row>
    <row r="247" spans="1:9" x14ac:dyDescent="0.3">
      <c r="A247" s="13" t="str">
        <f>IF(B247="","",COUNTA($B$4:B247))</f>
        <v/>
      </c>
      <c r="B247" s="13"/>
      <c r="C247" s="13"/>
      <c r="D247" s="13"/>
      <c r="E247" s="13"/>
      <c r="F247" s="13"/>
      <c r="G247" s="13"/>
      <c r="H247" s="13"/>
      <c r="I247" s="14"/>
    </row>
    <row r="248" spans="1:9" x14ac:dyDescent="0.3">
      <c r="A248" s="13" t="str">
        <f>IF(B248="","",COUNTA($B$4:B248))</f>
        <v/>
      </c>
      <c r="B248" s="13"/>
      <c r="C248" s="13"/>
      <c r="D248" s="13"/>
      <c r="E248" s="13"/>
      <c r="F248" s="13"/>
      <c r="G248" s="13"/>
      <c r="H248" s="13"/>
      <c r="I248" s="14"/>
    </row>
    <row r="249" spans="1:9" x14ac:dyDescent="0.3">
      <c r="A249" s="13" t="str">
        <f>IF(B249="","",COUNTA($B$4:B249))</f>
        <v/>
      </c>
      <c r="B249" s="13"/>
      <c r="C249" s="13"/>
      <c r="D249" s="13"/>
      <c r="E249" s="13"/>
      <c r="F249" s="13"/>
      <c r="G249" s="13"/>
      <c r="H249" s="13"/>
      <c r="I249" s="14"/>
    </row>
    <row r="250" spans="1:9" x14ac:dyDescent="0.3">
      <c r="A250" s="13" t="str">
        <f>IF(B250="","",COUNTA($B$4:B250))</f>
        <v/>
      </c>
      <c r="B250" s="13"/>
      <c r="C250" s="13"/>
      <c r="D250" s="13"/>
      <c r="E250" s="13"/>
      <c r="F250" s="13"/>
      <c r="G250" s="13"/>
      <c r="H250" s="13"/>
      <c r="I250" s="14"/>
    </row>
    <row r="251" spans="1:9" x14ac:dyDescent="0.3">
      <c r="A251" s="13" t="str">
        <f>IF(B251="","",COUNTA($B$4:B251))</f>
        <v/>
      </c>
      <c r="B251" s="13"/>
      <c r="C251" s="13"/>
      <c r="D251" s="13"/>
      <c r="E251" s="13"/>
      <c r="F251" s="13"/>
      <c r="G251" s="13"/>
      <c r="H251" s="13"/>
      <c r="I251" s="14"/>
    </row>
    <row r="252" spans="1:9" x14ac:dyDescent="0.3">
      <c r="A252" s="13" t="str">
        <f>IF(B252="","",COUNTA($B$4:B252))</f>
        <v/>
      </c>
      <c r="B252" s="13"/>
      <c r="C252" s="13"/>
      <c r="D252" s="13"/>
      <c r="E252" s="13"/>
      <c r="F252" s="13"/>
      <c r="G252" s="13"/>
      <c r="H252" s="13"/>
      <c r="I252" s="14"/>
    </row>
    <row r="253" spans="1:9" x14ac:dyDescent="0.3">
      <c r="A253" s="13" t="str">
        <f>IF(B253="","",COUNTA($B$4:B253))</f>
        <v/>
      </c>
      <c r="B253" s="13"/>
      <c r="C253" s="13"/>
      <c r="D253" s="13"/>
      <c r="E253" s="13"/>
      <c r="F253" s="13"/>
      <c r="G253" s="13"/>
      <c r="H253" s="13"/>
      <c r="I253" s="14"/>
    </row>
    <row r="254" spans="1:9" x14ac:dyDescent="0.3">
      <c r="A254" s="13" t="str">
        <f>IF(B254="","",COUNTA($B$4:B254))</f>
        <v/>
      </c>
      <c r="B254" s="13"/>
      <c r="C254" s="13"/>
      <c r="D254" s="13"/>
      <c r="E254" s="13"/>
      <c r="F254" s="13"/>
      <c r="G254" s="13"/>
      <c r="H254" s="13"/>
      <c r="I254" s="14"/>
    </row>
    <row r="255" spans="1:9" x14ac:dyDescent="0.3">
      <c r="A255" s="13" t="str">
        <f>IF(B255="","",COUNTA($B$4:B255))</f>
        <v/>
      </c>
      <c r="B255" s="13"/>
      <c r="C255" s="13"/>
      <c r="D255" s="13"/>
      <c r="E255" s="13"/>
      <c r="F255" s="13"/>
      <c r="G255" s="13"/>
      <c r="H255" s="13"/>
      <c r="I255" s="14"/>
    </row>
    <row r="256" spans="1:9" x14ac:dyDescent="0.3">
      <c r="A256" s="13" t="str">
        <f>IF(B256="","",COUNTA($B$4:B256))</f>
        <v/>
      </c>
      <c r="B256" s="13"/>
      <c r="C256" s="13"/>
      <c r="D256" s="13"/>
      <c r="E256" s="13"/>
      <c r="F256" s="13"/>
      <c r="G256" s="13"/>
      <c r="H256" s="13"/>
      <c r="I256" s="14"/>
    </row>
    <row r="257" spans="1:9" x14ac:dyDescent="0.3">
      <c r="A257" s="13" t="str">
        <f>IF(B257="","",COUNTA($B$4:B257))</f>
        <v/>
      </c>
      <c r="B257" s="13"/>
      <c r="C257" s="13"/>
      <c r="D257" s="13"/>
      <c r="E257" s="13"/>
      <c r="F257" s="13"/>
      <c r="G257" s="13"/>
      <c r="H257" s="13"/>
      <c r="I257" s="14"/>
    </row>
    <row r="258" spans="1:9" x14ac:dyDescent="0.3">
      <c r="A258" s="13" t="str">
        <f>IF(B258="","",COUNTA($B$4:B258))</f>
        <v/>
      </c>
      <c r="B258" s="13"/>
      <c r="C258" s="13"/>
      <c r="D258" s="13"/>
      <c r="E258" s="13"/>
      <c r="F258" s="13"/>
      <c r="G258" s="13"/>
      <c r="H258" s="13"/>
      <c r="I258" s="14"/>
    </row>
    <row r="259" spans="1:9" x14ac:dyDescent="0.3">
      <c r="A259" s="13" t="str">
        <f>IF(B259="","",COUNTA($B$4:B259))</f>
        <v/>
      </c>
      <c r="B259" s="13"/>
      <c r="C259" s="13"/>
      <c r="D259" s="13"/>
      <c r="E259" s="13"/>
      <c r="F259" s="13"/>
      <c r="G259" s="13"/>
      <c r="H259" s="13"/>
      <c r="I259" s="14"/>
    </row>
    <row r="260" spans="1:9" x14ac:dyDescent="0.3">
      <c r="A260" s="13" t="str">
        <f>IF(B260="","",COUNTA($B$4:B260))</f>
        <v/>
      </c>
      <c r="B260" s="13"/>
      <c r="C260" s="13"/>
      <c r="D260" s="13"/>
      <c r="E260" s="13"/>
      <c r="F260" s="13"/>
      <c r="G260" s="13"/>
      <c r="H260" s="13"/>
      <c r="I260" s="14"/>
    </row>
    <row r="261" spans="1:9" x14ac:dyDescent="0.3">
      <c r="A261" s="13" t="str">
        <f>IF(B261="","",COUNTA($B$4:B261))</f>
        <v/>
      </c>
      <c r="B261" s="13"/>
      <c r="C261" s="13"/>
      <c r="D261" s="13"/>
      <c r="E261" s="13"/>
      <c r="F261" s="13"/>
      <c r="G261" s="13"/>
      <c r="H261" s="13"/>
      <c r="I261" s="14"/>
    </row>
    <row r="262" spans="1:9" x14ac:dyDescent="0.3">
      <c r="A262" s="13" t="str">
        <f>IF(B262="","",COUNTA($B$4:B262))</f>
        <v/>
      </c>
      <c r="B262" s="13"/>
      <c r="C262" s="13"/>
      <c r="D262" s="13"/>
      <c r="E262" s="13"/>
      <c r="F262" s="13"/>
      <c r="G262" s="13"/>
      <c r="H262" s="13"/>
      <c r="I262" s="14"/>
    </row>
    <row r="263" spans="1:9" x14ac:dyDescent="0.3">
      <c r="A263" s="13" t="str">
        <f>IF(B263="","",COUNTA($B$4:B263))</f>
        <v/>
      </c>
      <c r="B263" s="13"/>
      <c r="C263" s="13"/>
      <c r="D263" s="13"/>
      <c r="E263" s="13"/>
      <c r="F263" s="13"/>
      <c r="G263" s="13"/>
      <c r="H263" s="13"/>
      <c r="I263" s="14"/>
    </row>
    <row r="264" spans="1:9" x14ac:dyDescent="0.3">
      <c r="A264" s="13" t="str">
        <f>IF(B264="","",COUNTA($B$4:B264))</f>
        <v/>
      </c>
      <c r="B264" s="13"/>
      <c r="C264" s="13"/>
      <c r="D264" s="13"/>
      <c r="E264" s="13"/>
      <c r="F264" s="13"/>
      <c r="G264" s="13"/>
      <c r="H264" s="13"/>
      <c r="I264" s="14"/>
    </row>
    <row r="265" spans="1:9" x14ac:dyDescent="0.3">
      <c r="A265" s="13" t="str">
        <f>IF(B265="","",COUNTA($B$4:B265))</f>
        <v/>
      </c>
      <c r="B265" s="13"/>
      <c r="C265" s="13"/>
      <c r="D265" s="13"/>
      <c r="E265" s="13"/>
      <c r="F265" s="13"/>
      <c r="G265" s="13"/>
      <c r="H265" s="13"/>
      <c r="I265" s="14"/>
    </row>
    <row r="266" spans="1:9" x14ac:dyDescent="0.3">
      <c r="A266" s="13" t="str">
        <f>IF(B266="","",COUNTA($B$4:B266))</f>
        <v/>
      </c>
      <c r="B266" s="13"/>
      <c r="C266" s="13"/>
      <c r="D266" s="13"/>
      <c r="E266" s="13"/>
      <c r="F266" s="13"/>
      <c r="G266" s="13"/>
      <c r="H266" s="13"/>
      <c r="I266" s="14"/>
    </row>
    <row r="267" spans="1:9" x14ac:dyDescent="0.3">
      <c r="A267" s="13" t="str">
        <f>IF(B267="","",COUNTA($B$4:B267))</f>
        <v/>
      </c>
      <c r="B267" s="13"/>
      <c r="C267" s="13"/>
      <c r="D267" s="13"/>
      <c r="E267" s="13"/>
      <c r="F267" s="13"/>
      <c r="G267" s="13"/>
      <c r="H267" s="13"/>
      <c r="I267" s="14"/>
    </row>
    <row r="268" spans="1:9" x14ac:dyDescent="0.3">
      <c r="A268" s="13" t="str">
        <f>IF(B268="","",COUNTA($B$4:B268))</f>
        <v/>
      </c>
      <c r="B268" s="13"/>
      <c r="C268" s="13"/>
      <c r="D268" s="13"/>
      <c r="E268" s="13"/>
      <c r="F268" s="13"/>
      <c r="G268" s="13"/>
      <c r="H268" s="13"/>
      <c r="I268" s="14"/>
    </row>
    <row r="269" spans="1:9" x14ac:dyDescent="0.3">
      <c r="A269" s="13" t="str">
        <f>IF(B269="","",COUNTA($B$4:B269))</f>
        <v/>
      </c>
      <c r="B269" s="13"/>
      <c r="C269" s="13"/>
      <c r="D269" s="13"/>
      <c r="E269" s="13"/>
      <c r="F269" s="13"/>
      <c r="G269" s="13"/>
      <c r="H269" s="13"/>
      <c r="I269" s="14"/>
    </row>
    <row r="270" spans="1:9" x14ac:dyDescent="0.3">
      <c r="A270" s="13" t="str">
        <f>IF(B270="","",COUNTA($B$4:B270))</f>
        <v/>
      </c>
      <c r="B270" s="13"/>
      <c r="C270" s="13"/>
      <c r="D270" s="13"/>
      <c r="E270" s="13"/>
      <c r="F270" s="13"/>
      <c r="G270" s="13"/>
      <c r="H270" s="13"/>
      <c r="I270" s="14"/>
    </row>
    <row r="271" spans="1:9" x14ac:dyDescent="0.3">
      <c r="A271" s="13" t="str">
        <f>IF(B271="","",COUNTA($B$4:B271))</f>
        <v/>
      </c>
      <c r="B271" s="13"/>
      <c r="C271" s="13"/>
      <c r="D271" s="13"/>
      <c r="E271" s="13"/>
      <c r="F271" s="13"/>
      <c r="G271" s="13"/>
      <c r="H271" s="13"/>
      <c r="I271" s="14"/>
    </row>
    <row r="272" spans="1:9" x14ac:dyDescent="0.3">
      <c r="A272" s="13" t="str">
        <f>IF(B272="","",COUNTA($B$4:B272))</f>
        <v/>
      </c>
      <c r="B272" s="13"/>
      <c r="C272" s="13"/>
      <c r="D272" s="13"/>
      <c r="E272" s="13"/>
      <c r="F272" s="13"/>
      <c r="G272" s="13"/>
      <c r="H272" s="13"/>
      <c r="I272" s="14"/>
    </row>
    <row r="273" spans="1:9" x14ac:dyDescent="0.3">
      <c r="A273" s="13" t="str">
        <f>IF(B273="","",COUNTA($B$4:B273))</f>
        <v/>
      </c>
      <c r="B273" s="13"/>
      <c r="C273" s="13"/>
      <c r="D273" s="13"/>
      <c r="E273" s="13"/>
      <c r="F273" s="13"/>
      <c r="G273" s="13"/>
      <c r="H273" s="13"/>
      <c r="I273" s="14"/>
    </row>
    <row r="274" spans="1:9" x14ac:dyDescent="0.3">
      <c r="A274" s="13" t="str">
        <f>IF(B274="","",COUNTA($B$4:B274))</f>
        <v/>
      </c>
      <c r="B274" s="13"/>
      <c r="C274" s="13"/>
      <c r="D274" s="13"/>
      <c r="E274" s="13"/>
      <c r="F274" s="13"/>
      <c r="G274" s="13"/>
      <c r="H274" s="13"/>
      <c r="I274" s="14"/>
    </row>
    <row r="275" spans="1:9" x14ac:dyDescent="0.3">
      <c r="A275" s="13" t="str">
        <f>IF(B275="","",COUNTA($B$4:B275))</f>
        <v/>
      </c>
      <c r="B275" s="13"/>
      <c r="C275" s="13"/>
      <c r="D275" s="13"/>
      <c r="E275" s="13"/>
      <c r="F275" s="13"/>
      <c r="G275" s="13"/>
      <c r="H275" s="13"/>
      <c r="I275" s="14"/>
    </row>
    <row r="276" spans="1:9" x14ac:dyDescent="0.3">
      <c r="A276" s="13" t="str">
        <f>IF(B276="","",COUNTA($B$4:B276))</f>
        <v/>
      </c>
      <c r="B276" s="13"/>
      <c r="C276" s="13"/>
      <c r="D276" s="13"/>
      <c r="E276" s="13"/>
      <c r="F276" s="13"/>
      <c r="G276" s="13"/>
      <c r="H276" s="13"/>
      <c r="I276" s="14"/>
    </row>
    <row r="277" spans="1:9" x14ac:dyDescent="0.3">
      <c r="A277" s="13" t="str">
        <f>IF(B277="","",COUNTA($B$4:B277))</f>
        <v/>
      </c>
      <c r="B277" s="13"/>
      <c r="C277" s="13"/>
      <c r="D277" s="13"/>
      <c r="E277" s="13"/>
      <c r="F277" s="13"/>
      <c r="G277" s="13"/>
      <c r="H277" s="13"/>
      <c r="I277" s="14"/>
    </row>
    <row r="278" spans="1:9" x14ac:dyDescent="0.3">
      <c r="A278" s="13" t="str">
        <f>IF(B278="","",COUNTA($B$4:B278))</f>
        <v/>
      </c>
      <c r="B278" s="13"/>
      <c r="C278" s="13"/>
      <c r="D278" s="13"/>
      <c r="E278" s="13"/>
      <c r="F278" s="13"/>
      <c r="G278" s="13"/>
      <c r="H278" s="13"/>
      <c r="I278" s="14"/>
    </row>
    <row r="279" spans="1:9" x14ac:dyDescent="0.3">
      <c r="A279" s="13" t="str">
        <f>IF(B279="","",COUNTA($B$4:B279))</f>
        <v/>
      </c>
      <c r="B279" s="13"/>
      <c r="C279" s="13"/>
      <c r="D279" s="13"/>
      <c r="E279" s="13"/>
      <c r="F279" s="13"/>
      <c r="G279" s="13"/>
      <c r="H279" s="13"/>
      <c r="I279" s="14"/>
    </row>
    <row r="280" spans="1:9" x14ac:dyDescent="0.3">
      <c r="A280" s="13" t="str">
        <f>IF(B280="","",COUNTA($B$4:B280))</f>
        <v/>
      </c>
      <c r="B280" s="13"/>
      <c r="C280" s="13"/>
      <c r="D280" s="13"/>
      <c r="E280" s="13"/>
      <c r="F280" s="13"/>
      <c r="G280" s="13"/>
      <c r="H280" s="13"/>
      <c r="I280" s="14"/>
    </row>
    <row r="281" spans="1:9" x14ac:dyDescent="0.3">
      <c r="A281" s="13" t="str">
        <f>IF(B281="","",COUNTA($B$4:B281))</f>
        <v/>
      </c>
      <c r="B281" s="13"/>
      <c r="C281" s="13"/>
      <c r="D281" s="13"/>
      <c r="E281" s="13"/>
      <c r="F281" s="13"/>
      <c r="G281" s="13"/>
      <c r="H281" s="13"/>
      <c r="I281" s="14"/>
    </row>
    <row r="282" spans="1:9" x14ac:dyDescent="0.3">
      <c r="A282" s="13" t="str">
        <f>IF(B282="","",COUNTA($B$4:B282))</f>
        <v/>
      </c>
      <c r="B282" s="13"/>
      <c r="C282" s="13"/>
      <c r="D282" s="13"/>
      <c r="E282" s="13"/>
      <c r="F282" s="13"/>
      <c r="G282" s="13"/>
      <c r="H282" s="13"/>
      <c r="I282" s="14"/>
    </row>
    <row r="283" spans="1:9" x14ac:dyDescent="0.3">
      <c r="A283" s="13" t="str">
        <f>IF(B283="","",COUNTA($B$4:B283))</f>
        <v/>
      </c>
      <c r="B283" s="13"/>
      <c r="C283" s="13"/>
      <c r="D283" s="13"/>
      <c r="E283" s="13"/>
      <c r="F283" s="13"/>
      <c r="G283" s="13"/>
      <c r="H283" s="13"/>
      <c r="I283" s="14"/>
    </row>
    <row r="284" spans="1:9" x14ac:dyDescent="0.3">
      <c r="A284" s="13" t="str">
        <f>IF(B284="","",COUNTA($B$4:B284))</f>
        <v/>
      </c>
      <c r="B284" s="13"/>
      <c r="C284" s="13"/>
      <c r="D284" s="13"/>
      <c r="E284" s="13"/>
      <c r="F284" s="13"/>
      <c r="G284" s="13"/>
      <c r="H284" s="13"/>
      <c r="I284" s="14"/>
    </row>
    <row r="285" spans="1:9" x14ac:dyDescent="0.3">
      <c r="A285" s="13" t="str">
        <f>IF(B285="","",COUNTA($B$4:B285))</f>
        <v/>
      </c>
      <c r="B285" s="13"/>
      <c r="C285" s="13"/>
      <c r="D285" s="13"/>
      <c r="E285" s="13"/>
      <c r="F285" s="13"/>
      <c r="G285" s="13"/>
      <c r="H285" s="13"/>
      <c r="I285" s="14"/>
    </row>
    <row r="286" spans="1:9" x14ac:dyDescent="0.3">
      <c r="A286" s="13" t="str">
        <f>IF(B286="","",COUNTA($B$4:B286))</f>
        <v/>
      </c>
      <c r="B286" s="13"/>
      <c r="C286" s="13"/>
      <c r="D286" s="13"/>
      <c r="E286" s="13"/>
      <c r="F286" s="13"/>
      <c r="G286" s="13"/>
      <c r="H286" s="13"/>
      <c r="I286" s="14"/>
    </row>
    <row r="287" spans="1:9" x14ac:dyDescent="0.3">
      <c r="A287" s="13" t="str">
        <f>IF(B287="","",COUNTA($B$4:B287))</f>
        <v/>
      </c>
      <c r="B287" s="13"/>
      <c r="C287" s="13"/>
      <c r="D287" s="13"/>
      <c r="E287" s="13"/>
      <c r="F287" s="13"/>
      <c r="G287" s="13"/>
      <c r="H287" s="13"/>
      <c r="I287" s="14"/>
    </row>
    <row r="288" spans="1:9" x14ac:dyDescent="0.3">
      <c r="A288" s="13" t="str">
        <f>IF(B288="","",COUNTA($B$4:B288))</f>
        <v/>
      </c>
      <c r="B288" s="13"/>
      <c r="C288" s="13"/>
      <c r="D288" s="13"/>
      <c r="E288" s="13"/>
      <c r="F288" s="13"/>
      <c r="G288" s="13"/>
      <c r="H288" s="13"/>
      <c r="I288" s="14"/>
    </row>
    <row r="289" spans="1:9" x14ac:dyDescent="0.3">
      <c r="A289" s="13" t="str">
        <f>IF(B289="","",COUNTA($B$4:B289))</f>
        <v/>
      </c>
      <c r="B289" s="13"/>
      <c r="C289" s="13"/>
      <c r="D289" s="13"/>
      <c r="E289" s="13"/>
      <c r="F289" s="13"/>
      <c r="G289" s="13"/>
      <c r="H289" s="13"/>
      <c r="I289" s="14"/>
    </row>
    <row r="290" spans="1:9" x14ac:dyDescent="0.3">
      <c r="A290" s="13" t="str">
        <f>IF(B290="","",COUNTA($B$4:B290))</f>
        <v/>
      </c>
      <c r="B290" s="13"/>
      <c r="C290" s="13"/>
      <c r="D290" s="13"/>
      <c r="E290" s="13"/>
      <c r="F290" s="13"/>
      <c r="G290" s="13"/>
      <c r="H290" s="13"/>
      <c r="I290" s="14"/>
    </row>
    <row r="291" spans="1:9" x14ac:dyDescent="0.3">
      <c r="A291" s="13" t="str">
        <f>IF(B291="","",COUNTA($B$4:B291))</f>
        <v/>
      </c>
      <c r="B291" s="13"/>
      <c r="C291" s="13"/>
      <c r="D291" s="13"/>
      <c r="E291" s="13"/>
      <c r="F291" s="13"/>
      <c r="G291" s="13"/>
      <c r="H291" s="13"/>
      <c r="I291" s="14"/>
    </row>
    <row r="292" spans="1:9" x14ac:dyDescent="0.3">
      <c r="A292" s="13" t="str">
        <f>IF(B292="","",COUNTA($B$4:B292))</f>
        <v/>
      </c>
      <c r="B292" s="13"/>
      <c r="C292" s="13"/>
      <c r="D292" s="13"/>
      <c r="E292" s="13"/>
      <c r="F292" s="13"/>
      <c r="G292" s="13"/>
      <c r="H292" s="13"/>
      <c r="I292" s="14"/>
    </row>
    <row r="293" spans="1:9" x14ac:dyDescent="0.3">
      <c r="A293" s="13" t="str">
        <f>IF(B293="","",COUNTA($B$4:B293))</f>
        <v/>
      </c>
      <c r="B293" s="13"/>
      <c r="C293" s="13"/>
      <c r="D293" s="13"/>
      <c r="E293" s="13"/>
      <c r="F293" s="13"/>
      <c r="G293" s="13"/>
      <c r="H293" s="13"/>
      <c r="I293" s="14"/>
    </row>
    <row r="294" spans="1:9" x14ac:dyDescent="0.3">
      <c r="A294" s="13" t="str">
        <f>IF(B294="","",COUNTA($B$4:B294))</f>
        <v/>
      </c>
      <c r="B294" s="13"/>
      <c r="C294" s="13"/>
      <c r="D294" s="13"/>
      <c r="E294" s="13"/>
      <c r="F294" s="13"/>
      <c r="G294" s="13"/>
      <c r="H294" s="13"/>
      <c r="I294" s="14"/>
    </row>
    <row r="295" spans="1:9" x14ac:dyDescent="0.3">
      <c r="A295" s="13" t="str">
        <f>IF(B295="","",COUNTA($B$4:B295))</f>
        <v/>
      </c>
      <c r="B295" s="13"/>
      <c r="C295" s="13"/>
      <c r="D295" s="13"/>
      <c r="E295" s="13"/>
      <c r="F295" s="13"/>
      <c r="G295" s="13"/>
      <c r="H295" s="13"/>
      <c r="I295" s="14"/>
    </row>
    <row r="296" spans="1:9" x14ac:dyDescent="0.3">
      <c r="A296" s="13" t="str">
        <f>IF(B296="","",COUNTA($B$4:B296))</f>
        <v/>
      </c>
      <c r="B296" s="13"/>
      <c r="C296" s="13"/>
      <c r="D296" s="13"/>
      <c r="E296" s="13"/>
      <c r="F296" s="13"/>
      <c r="G296" s="13"/>
      <c r="H296" s="13"/>
      <c r="I296" s="14"/>
    </row>
    <row r="297" spans="1:9" x14ac:dyDescent="0.3">
      <c r="A297" s="13" t="str">
        <f>IF(B297="","",COUNTA($B$4:B297))</f>
        <v/>
      </c>
      <c r="B297" s="13"/>
      <c r="C297" s="13"/>
      <c r="D297" s="13"/>
      <c r="E297" s="13"/>
      <c r="F297" s="13"/>
      <c r="G297" s="13"/>
      <c r="H297" s="13"/>
      <c r="I297" s="14"/>
    </row>
    <row r="298" spans="1:9" x14ac:dyDescent="0.3">
      <c r="A298" s="13" t="str">
        <f>IF(B298="","",COUNTA($B$4:B298))</f>
        <v/>
      </c>
      <c r="B298" s="13"/>
      <c r="C298" s="13"/>
      <c r="D298" s="13"/>
      <c r="E298" s="13"/>
      <c r="F298" s="13"/>
      <c r="G298" s="13"/>
      <c r="H298" s="13"/>
      <c r="I298" s="14"/>
    </row>
    <row r="299" spans="1:9" x14ac:dyDescent="0.3">
      <c r="A299" s="13" t="str">
        <f>IF(B299="","",COUNTA($B$4:B299))</f>
        <v/>
      </c>
      <c r="B299" s="13"/>
      <c r="C299" s="13"/>
      <c r="D299" s="13"/>
      <c r="E299" s="13"/>
      <c r="F299" s="13"/>
      <c r="G299" s="13"/>
      <c r="H299" s="13"/>
      <c r="I299" s="14"/>
    </row>
    <row r="300" spans="1:9" x14ac:dyDescent="0.3">
      <c r="A300" s="13" t="str">
        <f>IF(B300="","",COUNTA($B$4:B300))</f>
        <v/>
      </c>
      <c r="B300" s="13"/>
      <c r="C300" s="13"/>
      <c r="D300" s="13"/>
      <c r="E300" s="13"/>
      <c r="F300" s="13"/>
      <c r="G300" s="13"/>
      <c r="H300" s="13"/>
      <c r="I300" s="14"/>
    </row>
    <row r="301" spans="1:9" x14ac:dyDescent="0.3">
      <c r="A301" s="13" t="str">
        <f>IF(B301="","",COUNTA($B$4:B301))</f>
        <v/>
      </c>
      <c r="B301" s="13"/>
      <c r="C301" s="13"/>
      <c r="D301" s="13"/>
      <c r="E301" s="13"/>
      <c r="F301" s="13"/>
      <c r="G301" s="13"/>
      <c r="H301" s="13"/>
      <c r="I301" s="14"/>
    </row>
    <row r="302" spans="1:9" x14ac:dyDescent="0.3">
      <c r="A302" s="13" t="str">
        <f>IF(B302="","",COUNTA($B$4:B302))</f>
        <v/>
      </c>
      <c r="B302" s="13"/>
      <c r="C302" s="13"/>
      <c r="D302" s="13"/>
      <c r="E302" s="13"/>
      <c r="F302" s="13"/>
      <c r="G302" s="13"/>
      <c r="H302" s="13"/>
      <c r="I302" s="14"/>
    </row>
    <row r="303" spans="1:9" x14ac:dyDescent="0.3">
      <c r="A303" s="13" t="str">
        <f>IF(B303="","",COUNTA($B$4:B303))</f>
        <v/>
      </c>
      <c r="B303" s="13"/>
      <c r="C303" s="13"/>
      <c r="D303" s="13"/>
      <c r="E303" s="13"/>
      <c r="F303" s="13"/>
      <c r="G303" s="13"/>
      <c r="H303" s="13"/>
      <c r="I303" s="14"/>
    </row>
    <row r="304" spans="1:9" x14ac:dyDescent="0.3">
      <c r="A304" s="13" t="str">
        <f>IF(B304="","",COUNTA($B$4:B304))</f>
        <v/>
      </c>
      <c r="B304" s="13"/>
      <c r="C304" s="13"/>
      <c r="D304" s="13"/>
      <c r="E304" s="13"/>
      <c r="F304" s="13"/>
      <c r="G304" s="13"/>
      <c r="H304" s="13"/>
      <c r="I304" s="14"/>
    </row>
    <row r="305" spans="1:9" x14ac:dyDescent="0.3">
      <c r="A305" s="13" t="str">
        <f>IF(B305="","",COUNTA($B$4:B305))</f>
        <v/>
      </c>
      <c r="B305" s="13"/>
      <c r="C305" s="13"/>
      <c r="D305" s="13"/>
      <c r="E305" s="13"/>
      <c r="F305" s="13"/>
      <c r="G305" s="13"/>
      <c r="H305" s="13"/>
      <c r="I305" s="14"/>
    </row>
    <row r="306" spans="1:9" x14ac:dyDescent="0.3">
      <c r="A306" s="13" t="str">
        <f>IF(B306="","",COUNTA($B$4:B306))</f>
        <v/>
      </c>
      <c r="B306" s="13"/>
      <c r="C306" s="13"/>
      <c r="D306" s="13"/>
      <c r="E306" s="13"/>
      <c r="F306" s="13"/>
      <c r="G306" s="13"/>
      <c r="H306" s="13"/>
      <c r="I306" s="14"/>
    </row>
    <row r="307" spans="1:9" x14ac:dyDescent="0.3">
      <c r="A307" s="13" t="str">
        <f>IF(B307="","",COUNTA($B$4:B307))</f>
        <v/>
      </c>
      <c r="B307" s="13"/>
      <c r="C307" s="13"/>
      <c r="D307" s="13"/>
      <c r="E307" s="13"/>
      <c r="F307" s="13"/>
      <c r="G307" s="13"/>
      <c r="H307" s="13"/>
      <c r="I307" s="14"/>
    </row>
    <row r="308" spans="1:9" x14ac:dyDescent="0.3">
      <c r="A308" s="13" t="str">
        <f>IF(B308="","",COUNTA($B$4:B308))</f>
        <v/>
      </c>
      <c r="B308" s="13"/>
      <c r="C308" s="13"/>
      <c r="D308" s="13"/>
      <c r="E308" s="13"/>
      <c r="F308" s="13"/>
      <c r="G308" s="13"/>
      <c r="H308" s="13"/>
      <c r="I308" s="14"/>
    </row>
    <row r="309" spans="1:9" x14ac:dyDescent="0.3">
      <c r="A309" s="13" t="str">
        <f>IF(B309="","",COUNTA($B$4:B309))</f>
        <v/>
      </c>
      <c r="B309" s="13"/>
      <c r="C309" s="13"/>
      <c r="D309" s="13"/>
      <c r="E309" s="13"/>
      <c r="F309" s="13"/>
      <c r="G309" s="13"/>
      <c r="H309" s="13"/>
      <c r="I309" s="14"/>
    </row>
    <row r="310" spans="1:9" x14ac:dyDescent="0.3">
      <c r="A310" s="13" t="str">
        <f>IF(B310="","",COUNTA($B$4:B310))</f>
        <v/>
      </c>
      <c r="B310" s="13"/>
      <c r="C310" s="13"/>
      <c r="D310" s="13"/>
      <c r="E310" s="13"/>
      <c r="F310" s="13"/>
      <c r="G310" s="13"/>
      <c r="H310" s="13"/>
      <c r="I310" s="14"/>
    </row>
    <row r="311" spans="1:9" x14ac:dyDescent="0.3">
      <c r="A311" s="13" t="str">
        <f>IF(B311="","",COUNTA($B$4:B311))</f>
        <v/>
      </c>
      <c r="B311" s="13"/>
      <c r="C311" s="13"/>
      <c r="D311" s="13"/>
      <c r="E311" s="13"/>
      <c r="F311" s="13"/>
      <c r="G311" s="13"/>
      <c r="H311" s="13"/>
      <c r="I311" s="14"/>
    </row>
    <row r="312" spans="1:9" x14ac:dyDescent="0.3">
      <c r="A312" s="13" t="str">
        <f>IF(B312="","",COUNTA($B$4:B312))</f>
        <v/>
      </c>
      <c r="B312" s="13"/>
      <c r="C312" s="13"/>
      <c r="D312" s="13"/>
      <c r="E312" s="13"/>
      <c r="F312" s="13"/>
      <c r="G312" s="13"/>
      <c r="H312" s="13"/>
      <c r="I312" s="14"/>
    </row>
    <row r="313" spans="1:9" x14ac:dyDescent="0.3">
      <c r="A313" s="13" t="str">
        <f>IF(B313="","",COUNTA($B$4:B313))</f>
        <v/>
      </c>
      <c r="B313" s="13"/>
      <c r="C313" s="13"/>
      <c r="D313" s="13"/>
      <c r="E313" s="13"/>
      <c r="F313" s="13"/>
      <c r="G313" s="13"/>
      <c r="H313" s="13"/>
      <c r="I313" s="14"/>
    </row>
    <row r="314" spans="1:9" x14ac:dyDescent="0.3">
      <c r="A314" s="13" t="str">
        <f>IF(B314="","",COUNTA($B$4:B314))</f>
        <v/>
      </c>
      <c r="B314" s="13"/>
      <c r="C314" s="13"/>
      <c r="D314" s="13"/>
      <c r="E314" s="13"/>
      <c r="F314" s="13"/>
      <c r="G314" s="13"/>
      <c r="H314" s="13"/>
      <c r="I314" s="14"/>
    </row>
    <row r="315" spans="1:9" x14ac:dyDescent="0.3">
      <c r="A315" s="13" t="str">
        <f>IF(B315="","",COUNTA($B$4:B315))</f>
        <v/>
      </c>
      <c r="B315" s="13"/>
      <c r="C315" s="13"/>
      <c r="D315" s="13"/>
      <c r="E315" s="13"/>
      <c r="F315" s="13"/>
      <c r="G315" s="13"/>
      <c r="H315" s="13"/>
      <c r="I315" s="14"/>
    </row>
    <row r="316" spans="1:9" x14ac:dyDescent="0.3">
      <c r="A316" s="13" t="str">
        <f>IF(B316="","",COUNTA($B$4:B316))</f>
        <v/>
      </c>
      <c r="B316" s="13"/>
      <c r="C316" s="13"/>
      <c r="D316" s="13"/>
      <c r="E316" s="13"/>
      <c r="F316" s="13"/>
      <c r="G316" s="13"/>
      <c r="H316" s="13"/>
      <c r="I316" s="14"/>
    </row>
    <row r="317" spans="1:9" x14ac:dyDescent="0.3">
      <c r="A317" s="13" t="str">
        <f>IF(B317="","",COUNTA($B$4:B317))</f>
        <v/>
      </c>
      <c r="B317" s="13"/>
      <c r="C317" s="13"/>
      <c r="D317" s="13"/>
      <c r="E317" s="13"/>
      <c r="F317" s="13"/>
      <c r="G317" s="13"/>
      <c r="H317" s="13"/>
      <c r="I317" s="14"/>
    </row>
    <row r="318" spans="1:9" x14ac:dyDescent="0.3">
      <c r="A318" s="13" t="str">
        <f>IF(B318="","",COUNTA($B$4:B318))</f>
        <v/>
      </c>
      <c r="B318" s="13"/>
      <c r="C318" s="13"/>
      <c r="D318" s="13"/>
      <c r="E318" s="13"/>
      <c r="F318" s="13"/>
      <c r="G318" s="13"/>
      <c r="H318" s="13"/>
      <c r="I318" s="14"/>
    </row>
    <row r="319" spans="1:9" x14ac:dyDescent="0.3">
      <c r="A319" s="13" t="str">
        <f>IF(B319="","",COUNTA($B$4:B319))</f>
        <v/>
      </c>
      <c r="B319" s="13"/>
      <c r="C319" s="13"/>
      <c r="D319" s="13"/>
      <c r="E319" s="13"/>
      <c r="F319" s="13"/>
      <c r="G319" s="13"/>
      <c r="H319" s="13"/>
      <c r="I319" s="14"/>
    </row>
    <row r="320" spans="1:9" x14ac:dyDescent="0.3">
      <c r="A320" s="13" t="str">
        <f>IF(B320="","",COUNTA($B$4:B320))</f>
        <v/>
      </c>
      <c r="B320" s="13"/>
      <c r="C320" s="13"/>
      <c r="D320" s="13"/>
      <c r="E320" s="13"/>
      <c r="F320" s="13"/>
      <c r="G320" s="13"/>
      <c r="H320" s="13"/>
      <c r="I320" s="14"/>
    </row>
    <row r="321" spans="1:9" x14ac:dyDescent="0.3">
      <c r="A321" s="13" t="str">
        <f>IF(B321="","",COUNTA($B$4:B321))</f>
        <v/>
      </c>
      <c r="B321" s="13"/>
      <c r="C321" s="13"/>
      <c r="D321" s="13"/>
      <c r="E321" s="13"/>
      <c r="F321" s="13"/>
      <c r="G321" s="13"/>
      <c r="H321" s="13"/>
      <c r="I321" s="14"/>
    </row>
    <row r="322" spans="1:9" x14ac:dyDescent="0.3">
      <c r="A322" s="13" t="str">
        <f>IF(B322="","",COUNTA($B$4:B322))</f>
        <v/>
      </c>
      <c r="B322" s="13"/>
      <c r="C322" s="13"/>
      <c r="D322" s="13"/>
      <c r="E322" s="13"/>
      <c r="F322" s="13"/>
      <c r="G322" s="13"/>
      <c r="H322" s="13"/>
      <c r="I322" s="14"/>
    </row>
    <row r="323" spans="1:9" x14ac:dyDescent="0.3">
      <c r="A323" s="13" t="str">
        <f>IF(B323="","",COUNTA($B$4:B323))</f>
        <v/>
      </c>
      <c r="B323" s="13"/>
      <c r="C323" s="13"/>
      <c r="D323" s="13"/>
      <c r="E323" s="13"/>
      <c r="F323" s="13"/>
      <c r="G323" s="13"/>
      <c r="H323" s="13"/>
      <c r="I323" s="14"/>
    </row>
    <row r="324" spans="1:9" x14ac:dyDescent="0.3">
      <c r="A324" s="13" t="str">
        <f>IF(B324="","",COUNTA($B$4:B324))</f>
        <v/>
      </c>
      <c r="B324" s="13"/>
      <c r="C324" s="13"/>
      <c r="D324" s="13"/>
      <c r="E324" s="13"/>
      <c r="F324" s="13"/>
      <c r="G324" s="13"/>
      <c r="H324" s="13"/>
      <c r="I324" s="14"/>
    </row>
    <row r="325" spans="1:9" x14ac:dyDescent="0.3">
      <c r="A325" s="13" t="str">
        <f>IF(B325="","",COUNTA($B$4:B325))</f>
        <v/>
      </c>
      <c r="B325" s="13"/>
      <c r="C325" s="13"/>
      <c r="D325" s="13"/>
      <c r="E325" s="13"/>
      <c r="F325" s="13"/>
      <c r="G325" s="13"/>
      <c r="H325" s="13"/>
      <c r="I325" s="14"/>
    </row>
    <row r="326" spans="1:9" x14ac:dyDescent="0.3">
      <c r="A326" s="13" t="str">
        <f>IF(B326="","",COUNTA($B$4:B326))</f>
        <v/>
      </c>
      <c r="B326" s="13"/>
      <c r="C326" s="13"/>
      <c r="D326" s="13"/>
      <c r="E326" s="13"/>
      <c r="F326" s="13"/>
      <c r="G326" s="13"/>
      <c r="H326" s="13"/>
      <c r="I326" s="14"/>
    </row>
    <row r="327" spans="1:9" x14ac:dyDescent="0.3">
      <c r="A327" s="13" t="str">
        <f>IF(B327="","",COUNTA($B$4:B327))</f>
        <v/>
      </c>
      <c r="B327" s="13"/>
      <c r="C327" s="13"/>
      <c r="D327" s="13"/>
      <c r="E327" s="13"/>
      <c r="F327" s="13"/>
      <c r="G327" s="13"/>
      <c r="H327" s="13"/>
      <c r="I327" s="14"/>
    </row>
    <row r="328" spans="1:9" x14ac:dyDescent="0.3">
      <c r="A328" s="13" t="str">
        <f>IF(B328="","",COUNTA($B$4:B328))</f>
        <v/>
      </c>
      <c r="B328" s="13"/>
      <c r="C328" s="13"/>
      <c r="D328" s="13"/>
      <c r="E328" s="13"/>
      <c r="F328" s="13"/>
      <c r="G328" s="13"/>
      <c r="H328" s="13"/>
      <c r="I328" s="14"/>
    </row>
    <row r="329" spans="1:9" x14ac:dyDescent="0.3">
      <c r="A329" s="13" t="str">
        <f>IF(B329="","",COUNTA($B$4:B329))</f>
        <v/>
      </c>
      <c r="B329" s="13"/>
      <c r="C329" s="13"/>
      <c r="D329" s="13"/>
      <c r="E329" s="13"/>
      <c r="F329" s="13"/>
      <c r="G329" s="13"/>
      <c r="H329" s="13"/>
      <c r="I329" s="14"/>
    </row>
    <row r="330" spans="1:9" x14ac:dyDescent="0.3">
      <c r="A330" s="13" t="str">
        <f>IF(B330="","",COUNTA($B$4:B330))</f>
        <v/>
      </c>
      <c r="B330" s="13"/>
      <c r="C330" s="13"/>
      <c r="D330" s="13"/>
      <c r="E330" s="13"/>
      <c r="F330" s="13"/>
      <c r="G330" s="13"/>
      <c r="H330" s="13"/>
      <c r="I330" s="14"/>
    </row>
    <row r="331" spans="1:9" x14ac:dyDescent="0.3">
      <c r="A331" s="13" t="str">
        <f>IF(B331="","",COUNTA($B$4:B331))</f>
        <v/>
      </c>
      <c r="B331" s="13"/>
      <c r="C331" s="13"/>
      <c r="D331" s="13"/>
      <c r="E331" s="13"/>
      <c r="F331" s="13"/>
      <c r="G331" s="13"/>
      <c r="H331" s="13"/>
      <c r="I331" s="14"/>
    </row>
    <row r="332" spans="1:9" x14ac:dyDescent="0.3">
      <c r="A332" s="13" t="str">
        <f>IF(B332="","",COUNTA($B$4:B332))</f>
        <v/>
      </c>
      <c r="B332" s="13"/>
      <c r="C332" s="13"/>
      <c r="D332" s="13"/>
      <c r="E332" s="13"/>
      <c r="F332" s="13"/>
      <c r="G332" s="13"/>
      <c r="H332" s="13"/>
      <c r="I332" s="14"/>
    </row>
    <row r="333" spans="1:9" x14ac:dyDescent="0.3">
      <c r="A333" s="13" t="str">
        <f>IF(B333="","",COUNTA($B$4:B333))</f>
        <v/>
      </c>
      <c r="B333" s="13"/>
      <c r="C333" s="13"/>
      <c r="D333" s="13"/>
      <c r="E333" s="13"/>
      <c r="F333" s="13"/>
      <c r="G333" s="13"/>
      <c r="H333" s="13"/>
      <c r="I333" s="14"/>
    </row>
    <row r="334" spans="1:9" x14ac:dyDescent="0.3">
      <c r="A334" s="13" t="str">
        <f>IF(B334="","",COUNTA($B$4:B334))</f>
        <v/>
      </c>
      <c r="B334" s="13"/>
      <c r="C334" s="13"/>
      <c r="D334" s="13"/>
      <c r="E334" s="13"/>
      <c r="F334" s="13"/>
      <c r="G334" s="13"/>
      <c r="H334" s="13"/>
      <c r="I334" s="14"/>
    </row>
    <row r="335" spans="1:9" x14ac:dyDescent="0.3">
      <c r="A335" s="13" t="str">
        <f>IF(B335="","",COUNTA($B$4:B335))</f>
        <v/>
      </c>
      <c r="B335" s="13"/>
      <c r="C335" s="13"/>
      <c r="D335" s="13"/>
      <c r="E335" s="13"/>
      <c r="F335" s="13"/>
      <c r="G335" s="13"/>
      <c r="H335" s="13"/>
      <c r="I335" s="14"/>
    </row>
    <row r="336" spans="1:9" x14ac:dyDescent="0.3">
      <c r="A336" s="13" t="str">
        <f>IF(B336="","",COUNTA($B$4:B336))</f>
        <v/>
      </c>
      <c r="B336" s="13"/>
      <c r="C336" s="13"/>
      <c r="D336" s="13"/>
      <c r="E336" s="13"/>
      <c r="F336" s="13"/>
      <c r="G336" s="13"/>
      <c r="H336" s="13"/>
      <c r="I336" s="14"/>
    </row>
    <row r="337" spans="1:9" x14ac:dyDescent="0.3">
      <c r="A337" s="13" t="str">
        <f>IF(B337="","",COUNTA($B$4:B337))</f>
        <v/>
      </c>
      <c r="B337" s="13"/>
      <c r="C337" s="13"/>
      <c r="D337" s="13"/>
      <c r="E337" s="13"/>
      <c r="F337" s="13"/>
      <c r="G337" s="13"/>
      <c r="H337" s="13"/>
      <c r="I337" s="14"/>
    </row>
    <row r="338" spans="1:9" x14ac:dyDescent="0.3">
      <c r="A338" s="13" t="str">
        <f>IF(B338="","",COUNTA($B$4:B338))</f>
        <v/>
      </c>
      <c r="B338" s="13"/>
      <c r="C338" s="13"/>
      <c r="D338" s="13"/>
      <c r="E338" s="13"/>
      <c r="F338" s="13"/>
      <c r="G338" s="13"/>
      <c r="H338" s="13"/>
      <c r="I338" s="14"/>
    </row>
    <row r="339" spans="1:9" x14ac:dyDescent="0.3">
      <c r="A339" s="13" t="str">
        <f>IF(B339="","",COUNTA($B$4:B339))</f>
        <v/>
      </c>
      <c r="B339" s="13"/>
      <c r="C339" s="13"/>
      <c r="D339" s="13"/>
      <c r="E339" s="13"/>
      <c r="F339" s="13"/>
      <c r="G339" s="13"/>
      <c r="H339" s="13"/>
      <c r="I339" s="14"/>
    </row>
    <row r="340" spans="1:9" x14ac:dyDescent="0.3">
      <c r="A340" s="13" t="str">
        <f>IF(B340="","",COUNTA($B$4:B340))</f>
        <v/>
      </c>
      <c r="B340" s="13"/>
      <c r="C340" s="13"/>
      <c r="D340" s="13"/>
      <c r="E340" s="13"/>
      <c r="F340" s="13"/>
      <c r="G340" s="13"/>
      <c r="H340" s="13"/>
      <c r="I340" s="14"/>
    </row>
    <row r="341" spans="1:9" x14ac:dyDescent="0.3">
      <c r="A341" s="13" t="str">
        <f>IF(B341="","",COUNTA($B$4:B341))</f>
        <v/>
      </c>
      <c r="B341" s="13"/>
      <c r="C341" s="13"/>
      <c r="D341" s="13"/>
      <c r="E341" s="13"/>
      <c r="F341" s="13"/>
      <c r="G341" s="13"/>
      <c r="H341" s="13"/>
      <c r="I341" s="14"/>
    </row>
    <row r="342" spans="1:9" x14ac:dyDescent="0.3">
      <c r="A342" s="13" t="str">
        <f>IF(B342="","",COUNTA($B$4:B342))</f>
        <v/>
      </c>
      <c r="B342" s="13"/>
      <c r="C342" s="13"/>
      <c r="D342" s="13"/>
      <c r="E342" s="13"/>
      <c r="F342" s="13"/>
      <c r="G342" s="13"/>
      <c r="H342" s="13"/>
      <c r="I342" s="14"/>
    </row>
    <row r="343" spans="1:9" x14ac:dyDescent="0.3">
      <c r="A343" s="13" t="str">
        <f>IF(B343="","",COUNTA($B$4:B343))</f>
        <v/>
      </c>
      <c r="B343" s="13"/>
      <c r="C343" s="13"/>
      <c r="D343" s="13"/>
      <c r="E343" s="13"/>
      <c r="F343" s="13"/>
      <c r="G343" s="13"/>
      <c r="H343" s="13"/>
      <c r="I343" s="14"/>
    </row>
    <row r="344" spans="1:9" x14ac:dyDescent="0.3">
      <c r="A344" s="13" t="str">
        <f>IF(B344="","",COUNTA($B$4:B344))</f>
        <v/>
      </c>
      <c r="B344" s="13"/>
      <c r="C344" s="13"/>
      <c r="D344" s="13"/>
      <c r="E344" s="13"/>
      <c r="F344" s="13"/>
      <c r="G344" s="13"/>
      <c r="H344" s="13"/>
      <c r="I344" s="14"/>
    </row>
    <row r="345" spans="1:9" x14ac:dyDescent="0.3">
      <c r="A345" s="13" t="str">
        <f>IF(B345="","",COUNTA($B$4:B345))</f>
        <v/>
      </c>
      <c r="B345" s="13"/>
      <c r="C345" s="13"/>
      <c r="D345" s="13"/>
      <c r="E345" s="13"/>
      <c r="F345" s="13"/>
      <c r="G345" s="13"/>
      <c r="H345" s="13"/>
      <c r="I345" s="14"/>
    </row>
    <row r="346" spans="1:9" x14ac:dyDescent="0.3">
      <c r="A346" s="13" t="str">
        <f>IF(B346="","",COUNTA($B$4:B346))</f>
        <v/>
      </c>
      <c r="B346" s="13"/>
      <c r="C346" s="13"/>
      <c r="D346" s="13"/>
      <c r="E346" s="13"/>
      <c r="F346" s="13"/>
      <c r="G346" s="13"/>
      <c r="H346" s="13"/>
      <c r="I346" s="14"/>
    </row>
    <row r="347" spans="1:9" x14ac:dyDescent="0.3">
      <c r="A347" s="13" t="str">
        <f>IF(B347="","",COUNTA($B$4:B347))</f>
        <v/>
      </c>
      <c r="B347" s="13"/>
      <c r="C347" s="13"/>
      <c r="D347" s="13"/>
      <c r="E347" s="13"/>
      <c r="F347" s="13"/>
      <c r="G347" s="13"/>
      <c r="H347" s="13"/>
      <c r="I347" s="14"/>
    </row>
    <row r="348" spans="1:9" x14ac:dyDescent="0.3">
      <c r="A348" s="13" t="str">
        <f>IF(B348="","",COUNTA($B$4:B348))</f>
        <v/>
      </c>
      <c r="B348" s="13"/>
      <c r="C348" s="13"/>
      <c r="D348" s="13"/>
      <c r="E348" s="13"/>
      <c r="F348" s="13"/>
      <c r="G348" s="13"/>
      <c r="H348" s="13"/>
      <c r="I348" s="14"/>
    </row>
    <row r="349" spans="1:9" x14ac:dyDescent="0.3">
      <c r="A349" s="13" t="str">
        <f>IF(B349="","",COUNTA($B$4:B349))</f>
        <v/>
      </c>
      <c r="B349" s="13"/>
      <c r="C349" s="13"/>
      <c r="D349" s="13"/>
      <c r="E349" s="13"/>
      <c r="F349" s="13"/>
      <c r="G349" s="13"/>
      <c r="H349" s="13"/>
      <c r="I349" s="14"/>
    </row>
    <row r="350" spans="1:9" x14ac:dyDescent="0.3">
      <c r="A350" s="13" t="str">
        <f>IF(B350="","",COUNTA($B$4:B350))</f>
        <v/>
      </c>
      <c r="B350" s="13"/>
      <c r="C350" s="13"/>
      <c r="D350" s="13"/>
      <c r="E350" s="13"/>
      <c r="F350" s="13"/>
      <c r="G350" s="13"/>
      <c r="H350" s="13"/>
      <c r="I350" s="14"/>
    </row>
    <row r="351" spans="1:9" x14ac:dyDescent="0.3">
      <c r="A351" s="13" t="str">
        <f>IF(B351="","",COUNTA($B$4:B351))</f>
        <v/>
      </c>
      <c r="B351" s="13"/>
      <c r="C351" s="13"/>
      <c r="D351" s="13"/>
      <c r="E351" s="13"/>
      <c r="F351" s="13"/>
      <c r="G351" s="13"/>
      <c r="H351" s="13"/>
      <c r="I351" s="14"/>
    </row>
    <row r="352" spans="1:9" x14ac:dyDescent="0.3">
      <c r="A352" s="13" t="str">
        <f>IF(B352="","",COUNTA($B$4:B352))</f>
        <v/>
      </c>
      <c r="B352" s="13"/>
      <c r="C352" s="13"/>
      <c r="D352" s="13"/>
      <c r="E352" s="13"/>
      <c r="F352" s="13"/>
      <c r="G352" s="13"/>
      <c r="H352" s="13"/>
      <c r="I352" s="14"/>
    </row>
    <row r="353" spans="1:9" x14ac:dyDescent="0.3">
      <c r="A353" s="13" t="str">
        <f>IF(B353="","",COUNTA($B$4:B353))</f>
        <v/>
      </c>
      <c r="B353" s="13"/>
      <c r="C353" s="13"/>
      <c r="D353" s="13"/>
      <c r="E353" s="13"/>
      <c r="F353" s="13"/>
      <c r="G353" s="13"/>
      <c r="H353" s="13"/>
      <c r="I353" s="14"/>
    </row>
    <row r="354" spans="1:9" x14ac:dyDescent="0.3">
      <c r="A354" s="13" t="str">
        <f>IF(B354="","",COUNTA($B$4:B354))</f>
        <v/>
      </c>
      <c r="B354" s="13"/>
      <c r="C354" s="13"/>
      <c r="D354" s="13"/>
      <c r="E354" s="13"/>
      <c r="F354" s="13"/>
      <c r="G354" s="13"/>
      <c r="H354" s="13"/>
      <c r="I354" s="14"/>
    </row>
    <row r="355" spans="1:9" x14ac:dyDescent="0.3">
      <c r="A355" s="13" t="str">
        <f>IF(B355="","",COUNTA($B$4:B355))</f>
        <v/>
      </c>
      <c r="B355" s="13"/>
      <c r="C355" s="13"/>
      <c r="D355" s="13"/>
      <c r="E355" s="13"/>
      <c r="F355" s="13"/>
      <c r="G355" s="13"/>
      <c r="H355" s="13"/>
      <c r="I355" s="14"/>
    </row>
    <row r="356" spans="1:9" x14ac:dyDescent="0.3">
      <c r="A356" s="13" t="str">
        <f>IF(B356="","",COUNTA($B$4:B356))</f>
        <v/>
      </c>
      <c r="B356" s="13"/>
      <c r="C356" s="13"/>
      <c r="D356" s="13"/>
      <c r="E356" s="13"/>
      <c r="F356" s="13"/>
      <c r="G356" s="13"/>
      <c r="H356" s="13"/>
      <c r="I356" s="14"/>
    </row>
    <row r="357" spans="1:9" x14ac:dyDescent="0.3">
      <c r="A357" s="13" t="str">
        <f>IF(B357="","",COUNTA($B$4:B357))</f>
        <v/>
      </c>
      <c r="B357" s="13"/>
      <c r="C357" s="13"/>
      <c r="D357" s="13"/>
      <c r="E357" s="13"/>
      <c r="F357" s="13"/>
      <c r="G357" s="13"/>
      <c r="H357" s="13"/>
      <c r="I357" s="14"/>
    </row>
    <row r="358" spans="1:9" x14ac:dyDescent="0.3">
      <c r="A358" s="13" t="str">
        <f>IF(B358="","",COUNTA($B$4:B358))</f>
        <v/>
      </c>
      <c r="B358" s="13"/>
      <c r="C358" s="13"/>
      <c r="D358" s="13"/>
      <c r="E358" s="13"/>
      <c r="F358" s="13"/>
      <c r="G358" s="13"/>
      <c r="H358" s="13"/>
      <c r="I358" s="14"/>
    </row>
    <row r="359" spans="1:9" x14ac:dyDescent="0.3">
      <c r="A359" s="13" t="str">
        <f>IF(B359="","",COUNTA($B$4:B359))</f>
        <v/>
      </c>
      <c r="B359" s="13"/>
      <c r="C359" s="13"/>
      <c r="D359" s="13"/>
      <c r="E359" s="13"/>
      <c r="F359" s="13"/>
      <c r="G359" s="13"/>
      <c r="H359" s="13"/>
      <c r="I359" s="14"/>
    </row>
    <row r="360" spans="1:9" x14ac:dyDescent="0.3">
      <c r="A360" s="13" t="str">
        <f>IF(B360="","",COUNTA($B$4:B360))</f>
        <v/>
      </c>
      <c r="B360" s="13"/>
      <c r="C360" s="13"/>
      <c r="D360" s="13"/>
      <c r="E360" s="13"/>
      <c r="F360" s="13"/>
      <c r="G360" s="13"/>
      <c r="H360" s="13"/>
      <c r="I360" s="14"/>
    </row>
    <row r="361" spans="1:9" x14ac:dyDescent="0.3">
      <c r="A361" s="13" t="str">
        <f>IF(B361="","",COUNTA($B$4:B361))</f>
        <v/>
      </c>
      <c r="B361" s="13"/>
      <c r="C361" s="13"/>
      <c r="D361" s="13"/>
      <c r="E361" s="13"/>
      <c r="F361" s="13"/>
      <c r="G361" s="13"/>
      <c r="H361" s="13"/>
      <c r="I361" s="14"/>
    </row>
    <row r="362" spans="1:9" x14ac:dyDescent="0.3">
      <c r="A362" s="13" t="str">
        <f>IF(B362="","",COUNTA($B$4:B362))</f>
        <v/>
      </c>
      <c r="B362" s="13"/>
      <c r="C362" s="13"/>
      <c r="D362" s="13"/>
      <c r="E362" s="13"/>
      <c r="F362" s="13"/>
      <c r="G362" s="13"/>
      <c r="H362" s="13"/>
      <c r="I362" s="14"/>
    </row>
    <row r="363" spans="1:9" x14ac:dyDescent="0.3">
      <c r="A363" s="13" t="str">
        <f>IF(B363="","",COUNTA($B$4:B363))</f>
        <v/>
      </c>
      <c r="B363" s="13"/>
      <c r="C363" s="13"/>
      <c r="D363" s="13"/>
      <c r="E363" s="13"/>
      <c r="F363" s="13"/>
      <c r="G363" s="13"/>
      <c r="H363" s="13"/>
      <c r="I363" s="14"/>
    </row>
    <row r="364" spans="1:9" x14ac:dyDescent="0.3">
      <c r="A364" s="13" t="str">
        <f>IF(B364="","",COUNTA($B$4:B364))</f>
        <v/>
      </c>
      <c r="B364" s="13"/>
      <c r="C364" s="13"/>
      <c r="D364" s="13"/>
      <c r="E364" s="13"/>
      <c r="F364" s="13"/>
      <c r="G364" s="13"/>
      <c r="H364" s="13"/>
      <c r="I364" s="14"/>
    </row>
    <row r="365" spans="1:9" x14ac:dyDescent="0.3">
      <c r="A365" s="13" t="str">
        <f>IF(B365="","",COUNTA($B$4:B365))</f>
        <v/>
      </c>
      <c r="B365" s="13"/>
      <c r="C365" s="13"/>
      <c r="D365" s="13"/>
      <c r="E365" s="13"/>
      <c r="F365" s="13"/>
      <c r="G365" s="13"/>
      <c r="H365" s="13"/>
      <c r="I365" s="14"/>
    </row>
    <row r="366" spans="1:9" x14ac:dyDescent="0.3">
      <c r="A366" s="13" t="str">
        <f>IF(B366="","",COUNTA($B$4:B366))</f>
        <v/>
      </c>
      <c r="B366" s="13"/>
      <c r="C366" s="13"/>
      <c r="D366" s="13"/>
      <c r="E366" s="13"/>
      <c r="F366" s="13"/>
      <c r="G366" s="13"/>
      <c r="H366" s="13"/>
      <c r="I366" s="14"/>
    </row>
    <row r="367" spans="1:9" x14ac:dyDescent="0.3">
      <c r="A367" s="13" t="str">
        <f>IF(B367="","",COUNTA($B$4:B367))</f>
        <v/>
      </c>
      <c r="B367" s="13"/>
      <c r="C367" s="13"/>
      <c r="D367" s="13"/>
      <c r="E367" s="13"/>
      <c r="F367" s="13"/>
      <c r="G367" s="13"/>
      <c r="H367" s="13"/>
      <c r="I367" s="14"/>
    </row>
    <row r="368" spans="1:9" x14ac:dyDescent="0.3">
      <c r="A368" s="13" t="str">
        <f>IF(B368="","",COUNTA($B$4:B368))</f>
        <v/>
      </c>
      <c r="B368" s="13"/>
      <c r="C368" s="13"/>
      <c r="D368" s="13"/>
      <c r="E368" s="13"/>
      <c r="F368" s="13"/>
      <c r="G368" s="13"/>
      <c r="H368" s="13"/>
      <c r="I368" s="14"/>
    </row>
    <row r="369" spans="1:9" x14ac:dyDescent="0.3">
      <c r="A369" s="13" t="str">
        <f>IF(B369="","",COUNTA($B$4:B369))</f>
        <v/>
      </c>
      <c r="B369" s="13"/>
      <c r="C369" s="13"/>
      <c r="D369" s="13"/>
      <c r="E369" s="13"/>
      <c r="F369" s="13"/>
      <c r="G369" s="13"/>
      <c r="H369" s="13"/>
      <c r="I369" s="14"/>
    </row>
    <row r="370" spans="1:9" x14ac:dyDescent="0.3">
      <c r="A370" s="13" t="str">
        <f>IF(B370="","",COUNTA($B$4:B370))</f>
        <v/>
      </c>
      <c r="B370" s="13"/>
      <c r="C370" s="13"/>
      <c r="D370" s="13"/>
      <c r="E370" s="13"/>
      <c r="F370" s="13"/>
      <c r="G370" s="13"/>
      <c r="H370" s="13"/>
      <c r="I370" s="14"/>
    </row>
    <row r="371" spans="1:9" x14ac:dyDescent="0.3">
      <c r="A371" s="13" t="str">
        <f>IF(B371="","",COUNTA($B$4:B371))</f>
        <v/>
      </c>
      <c r="B371" s="13"/>
      <c r="C371" s="13"/>
      <c r="D371" s="13"/>
      <c r="E371" s="13"/>
      <c r="F371" s="13"/>
      <c r="G371" s="13"/>
      <c r="H371" s="13"/>
      <c r="I371" s="14"/>
    </row>
    <row r="372" spans="1:9" x14ac:dyDescent="0.3">
      <c r="A372" s="13" t="str">
        <f>IF(B372="","",COUNTA($B$4:B372))</f>
        <v/>
      </c>
      <c r="B372" s="13"/>
      <c r="C372" s="13"/>
      <c r="D372" s="13"/>
      <c r="E372" s="13"/>
      <c r="F372" s="13"/>
      <c r="G372" s="13"/>
      <c r="H372" s="13"/>
      <c r="I372" s="14"/>
    </row>
    <row r="373" spans="1:9" x14ac:dyDescent="0.3">
      <c r="A373" s="13" t="str">
        <f>IF(B373="","",COUNTA($B$4:B373))</f>
        <v/>
      </c>
      <c r="B373" s="13"/>
      <c r="C373" s="13"/>
      <c r="D373" s="13"/>
      <c r="E373" s="13"/>
      <c r="F373" s="13"/>
      <c r="G373" s="13"/>
      <c r="H373" s="13"/>
      <c r="I373" s="14"/>
    </row>
    <row r="374" spans="1:9" x14ac:dyDescent="0.3">
      <c r="A374" s="13" t="str">
        <f>IF(B374="","",COUNTA($B$4:B374))</f>
        <v/>
      </c>
      <c r="B374" s="13"/>
      <c r="C374" s="13"/>
      <c r="D374" s="13"/>
      <c r="E374" s="13"/>
      <c r="F374" s="13"/>
      <c r="G374" s="13"/>
      <c r="H374" s="13"/>
      <c r="I374" s="14"/>
    </row>
    <row r="375" spans="1:9" x14ac:dyDescent="0.3">
      <c r="A375" s="13" t="str">
        <f>IF(B375="","",COUNTA($B$4:B375))</f>
        <v/>
      </c>
      <c r="B375" s="13"/>
      <c r="C375" s="13"/>
      <c r="D375" s="13"/>
      <c r="E375" s="13"/>
      <c r="F375" s="13"/>
      <c r="G375" s="13"/>
      <c r="H375" s="13"/>
      <c r="I375" s="14"/>
    </row>
    <row r="376" spans="1:9" x14ac:dyDescent="0.3">
      <c r="A376" s="13" t="str">
        <f>IF(B376="","",COUNTA($B$4:B376))</f>
        <v/>
      </c>
      <c r="B376" s="13"/>
      <c r="C376" s="13"/>
      <c r="D376" s="13"/>
      <c r="E376" s="13"/>
      <c r="F376" s="13"/>
      <c r="G376" s="13"/>
      <c r="H376" s="13"/>
      <c r="I376" s="14"/>
    </row>
    <row r="377" spans="1:9" x14ac:dyDescent="0.3">
      <c r="A377" s="13" t="str">
        <f>IF(B377="","",COUNTA($B$4:B377))</f>
        <v/>
      </c>
      <c r="B377" s="13"/>
      <c r="C377" s="13"/>
      <c r="D377" s="13"/>
      <c r="E377" s="13"/>
      <c r="F377" s="13"/>
      <c r="G377" s="13"/>
      <c r="H377" s="13"/>
      <c r="I377" s="14"/>
    </row>
    <row r="378" spans="1:9" x14ac:dyDescent="0.3">
      <c r="A378" s="13" t="str">
        <f>IF(B378="","",COUNTA($B$4:B378))</f>
        <v/>
      </c>
      <c r="B378" s="13"/>
      <c r="C378" s="13"/>
      <c r="D378" s="13"/>
      <c r="E378" s="13"/>
      <c r="F378" s="13"/>
      <c r="G378" s="13"/>
      <c r="H378" s="13"/>
      <c r="I378" s="14"/>
    </row>
    <row r="379" spans="1:9" x14ac:dyDescent="0.3">
      <c r="A379" s="13" t="str">
        <f>IF(B379="","",COUNTA($B$4:B379))</f>
        <v/>
      </c>
      <c r="B379" s="13"/>
      <c r="C379" s="13"/>
      <c r="D379" s="13"/>
      <c r="E379" s="13"/>
      <c r="F379" s="13"/>
      <c r="G379" s="13"/>
      <c r="H379" s="13"/>
      <c r="I379" s="14"/>
    </row>
    <row r="380" spans="1:9" x14ac:dyDescent="0.3">
      <c r="A380" s="13" t="str">
        <f>IF(B380="","",COUNTA($B$4:B380))</f>
        <v/>
      </c>
      <c r="B380" s="13"/>
      <c r="C380" s="13"/>
      <c r="D380" s="13"/>
      <c r="E380" s="13"/>
      <c r="F380" s="13"/>
      <c r="G380" s="13"/>
      <c r="H380" s="13"/>
      <c r="I380" s="14"/>
    </row>
    <row r="381" spans="1:9" x14ac:dyDescent="0.3">
      <c r="A381" s="13" t="str">
        <f>IF(B381="","",COUNTA($B$4:B381))</f>
        <v/>
      </c>
      <c r="B381" s="13"/>
      <c r="C381" s="13"/>
      <c r="D381" s="13"/>
      <c r="E381" s="13"/>
      <c r="F381" s="13"/>
      <c r="G381" s="13"/>
      <c r="H381" s="13"/>
      <c r="I381" s="14"/>
    </row>
    <row r="382" spans="1:9" x14ac:dyDescent="0.3">
      <c r="A382" s="13" t="str">
        <f>IF(B382="","",COUNTA($B$4:B382))</f>
        <v/>
      </c>
      <c r="B382" s="13"/>
      <c r="C382" s="13"/>
      <c r="D382" s="13"/>
      <c r="E382" s="13"/>
      <c r="F382" s="13"/>
      <c r="G382" s="13"/>
      <c r="H382" s="13"/>
      <c r="I382" s="14"/>
    </row>
    <row r="383" spans="1:9" x14ac:dyDescent="0.3">
      <c r="A383" s="13" t="str">
        <f>IF(B383="","",COUNTA($B$4:B383))</f>
        <v/>
      </c>
      <c r="B383" s="13"/>
      <c r="C383" s="13"/>
      <c r="D383" s="13"/>
      <c r="E383" s="13"/>
      <c r="F383" s="13"/>
      <c r="G383" s="13"/>
      <c r="H383" s="13"/>
      <c r="I383" s="14"/>
    </row>
    <row r="384" spans="1:9" x14ac:dyDescent="0.3">
      <c r="A384" s="13" t="str">
        <f>IF(B384="","",COUNTA($B$4:B384))</f>
        <v/>
      </c>
      <c r="B384" s="13"/>
      <c r="C384" s="13"/>
      <c r="D384" s="13"/>
      <c r="E384" s="13"/>
      <c r="F384" s="13"/>
      <c r="G384" s="13"/>
      <c r="H384" s="13"/>
      <c r="I384" s="14"/>
    </row>
    <row r="385" spans="1:9" x14ac:dyDescent="0.3">
      <c r="A385" s="13" t="str">
        <f>IF(B385="","",COUNTA($B$4:B385))</f>
        <v/>
      </c>
      <c r="B385" s="13"/>
      <c r="C385" s="13"/>
      <c r="D385" s="13"/>
      <c r="E385" s="13"/>
      <c r="F385" s="13"/>
      <c r="G385" s="13"/>
      <c r="H385" s="13"/>
      <c r="I385" s="14"/>
    </row>
    <row r="386" spans="1:9" x14ac:dyDescent="0.3">
      <c r="A386" s="13" t="str">
        <f>IF(B386="","",COUNTA($B$4:B386))</f>
        <v/>
      </c>
      <c r="B386" s="13"/>
      <c r="C386" s="13"/>
      <c r="D386" s="13"/>
      <c r="E386" s="13"/>
      <c r="F386" s="13"/>
      <c r="G386" s="13"/>
      <c r="H386" s="13"/>
      <c r="I386" s="14"/>
    </row>
    <row r="387" spans="1:9" x14ac:dyDescent="0.3">
      <c r="A387" s="13" t="str">
        <f>IF(B387="","",COUNTA($B$4:B387))</f>
        <v/>
      </c>
      <c r="B387" s="13"/>
      <c r="C387" s="13"/>
      <c r="D387" s="13"/>
      <c r="E387" s="13"/>
      <c r="F387" s="13"/>
      <c r="G387" s="13"/>
      <c r="H387" s="13"/>
      <c r="I387" s="14"/>
    </row>
    <row r="388" spans="1:9" x14ac:dyDescent="0.3">
      <c r="A388" s="13" t="str">
        <f>IF(B388="","",COUNTA($B$4:B388))</f>
        <v/>
      </c>
      <c r="B388" s="13"/>
      <c r="C388" s="13"/>
      <c r="D388" s="13"/>
      <c r="E388" s="13"/>
      <c r="F388" s="13"/>
      <c r="G388" s="13"/>
      <c r="H388" s="13"/>
      <c r="I388" s="14"/>
    </row>
    <row r="389" spans="1:9" x14ac:dyDescent="0.3">
      <c r="A389" s="13" t="str">
        <f>IF(B389="","",COUNTA($B$4:B389))</f>
        <v/>
      </c>
      <c r="B389" s="13"/>
      <c r="C389" s="13"/>
      <c r="D389" s="13"/>
      <c r="E389" s="13"/>
      <c r="F389" s="13"/>
      <c r="G389" s="13"/>
      <c r="H389" s="13"/>
      <c r="I389" s="14"/>
    </row>
    <row r="390" spans="1:9" x14ac:dyDescent="0.3">
      <c r="A390" s="13" t="str">
        <f>IF(B390="","",COUNTA($B$4:B390))</f>
        <v/>
      </c>
      <c r="B390" s="13"/>
      <c r="C390" s="13"/>
      <c r="D390" s="13"/>
      <c r="E390" s="13"/>
      <c r="F390" s="13"/>
      <c r="G390" s="13"/>
      <c r="H390" s="13"/>
      <c r="I390" s="14"/>
    </row>
    <row r="391" spans="1:9" x14ac:dyDescent="0.3">
      <c r="A391" s="13" t="str">
        <f>IF(B391="","",COUNTA($B$4:B391))</f>
        <v/>
      </c>
      <c r="B391" s="13"/>
      <c r="C391" s="13"/>
      <c r="D391" s="13"/>
      <c r="E391" s="13"/>
      <c r="F391" s="13"/>
      <c r="G391" s="13"/>
      <c r="H391" s="13"/>
      <c r="I391" s="14"/>
    </row>
    <row r="392" spans="1:9" x14ac:dyDescent="0.3">
      <c r="A392" s="13" t="str">
        <f>IF(B392="","",COUNTA($B$4:B392))</f>
        <v/>
      </c>
      <c r="B392" s="13"/>
      <c r="C392" s="13"/>
      <c r="D392" s="13"/>
      <c r="E392" s="13"/>
      <c r="F392" s="13"/>
      <c r="G392" s="13"/>
      <c r="H392" s="13"/>
      <c r="I392" s="14"/>
    </row>
    <row r="393" spans="1:9" x14ac:dyDescent="0.3">
      <c r="A393" s="13" t="str">
        <f>IF(B393="","",COUNTA($B$4:B393))</f>
        <v/>
      </c>
      <c r="B393" s="13"/>
      <c r="C393" s="13"/>
      <c r="D393" s="13"/>
      <c r="E393" s="13"/>
      <c r="F393" s="13"/>
      <c r="G393" s="13"/>
      <c r="H393" s="13"/>
      <c r="I393" s="14"/>
    </row>
    <row r="394" spans="1:9" x14ac:dyDescent="0.3">
      <c r="A394" s="13" t="str">
        <f>IF(B394="","",COUNTA($B$4:B394))</f>
        <v/>
      </c>
      <c r="B394" s="13"/>
      <c r="C394" s="13"/>
      <c r="D394" s="13"/>
      <c r="E394" s="13"/>
      <c r="F394" s="13"/>
      <c r="G394" s="13"/>
      <c r="H394" s="13"/>
      <c r="I394" s="14"/>
    </row>
    <row r="395" spans="1:9" x14ac:dyDescent="0.3">
      <c r="A395" s="13" t="str">
        <f>IF(B395="","",COUNTA($B$4:B395))</f>
        <v/>
      </c>
      <c r="B395" s="13"/>
      <c r="C395" s="13"/>
      <c r="D395" s="13"/>
      <c r="E395" s="13"/>
      <c r="F395" s="13"/>
      <c r="G395" s="13"/>
      <c r="H395" s="13"/>
      <c r="I395" s="14"/>
    </row>
    <row r="396" spans="1:9" x14ac:dyDescent="0.3">
      <c r="A396" s="13" t="str">
        <f>IF(B396="","",COUNTA($B$4:B396))</f>
        <v/>
      </c>
      <c r="B396" s="13"/>
      <c r="C396" s="13"/>
      <c r="D396" s="13"/>
      <c r="E396" s="13"/>
      <c r="F396" s="13"/>
      <c r="G396" s="13"/>
      <c r="H396" s="13"/>
      <c r="I396" s="14"/>
    </row>
    <row r="397" spans="1:9" x14ac:dyDescent="0.3">
      <c r="A397" s="13" t="str">
        <f>IF(B397="","",COUNTA($B$4:B397))</f>
        <v/>
      </c>
      <c r="B397" s="13"/>
      <c r="C397" s="13"/>
      <c r="D397" s="13"/>
      <c r="E397" s="13"/>
      <c r="F397" s="13"/>
      <c r="G397" s="13"/>
      <c r="H397" s="13"/>
      <c r="I397" s="14"/>
    </row>
    <row r="398" spans="1:9" x14ac:dyDescent="0.3">
      <c r="A398" s="13" t="str">
        <f>IF(B398="","",COUNTA($B$4:B398))</f>
        <v/>
      </c>
      <c r="B398" s="13"/>
      <c r="C398" s="13"/>
      <c r="D398" s="13"/>
      <c r="E398" s="13"/>
      <c r="F398" s="13"/>
      <c r="G398" s="13"/>
      <c r="H398" s="13"/>
      <c r="I398" s="14"/>
    </row>
    <row r="399" spans="1:9" x14ac:dyDescent="0.3">
      <c r="A399" s="13" t="str">
        <f>IF(B399="","",COUNTA($B$4:B399))</f>
        <v/>
      </c>
      <c r="B399" s="13"/>
      <c r="C399" s="13"/>
      <c r="D399" s="13"/>
      <c r="E399" s="13"/>
      <c r="F399" s="13"/>
      <c r="G399" s="13"/>
      <c r="H399" s="13"/>
      <c r="I399" s="14"/>
    </row>
    <row r="400" spans="1:9" x14ac:dyDescent="0.3">
      <c r="A400" s="13" t="str">
        <f>IF(B400="","",COUNTA($B$4:B400))</f>
        <v/>
      </c>
      <c r="B400" s="13"/>
      <c r="C400" s="13"/>
      <c r="D400" s="13"/>
      <c r="E400" s="13"/>
      <c r="F400" s="13"/>
      <c r="G400" s="13"/>
      <c r="H400" s="13"/>
      <c r="I400" s="14"/>
    </row>
    <row r="401" spans="1:9" x14ac:dyDescent="0.3">
      <c r="A401" s="13" t="str">
        <f>IF(B401="","",COUNTA($B$4:B401))</f>
        <v/>
      </c>
      <c r="B401" s="13"/>
      <c r="C401" s="13"/>
      <c r="D401" s="13"/>
      <c r="E401" s="13"/>
      <c r="F401" s="13"/>
      <c r="G401" s="13"/>
      <c r="H401" s="13"/>
      <c r="I401" s="14"/>
    </row>
    <row r="402" spans="1:9" x14ac:dyDescent="0.3">
      <c r="A402" s="13" t="str">
        <f>IF(B402="","",COUNTA($B$4:B402))</f>
        <v/>
      </c>
      <c r="B402" s="13"/>
      <c r="C402" s="13"/>
      <c r="D402" s="13"/>
      <c r="E402" s="13"/>
      <c r="F402" s="13"/>
      <c r="G402" s="13"/>
      <c r="H402" s="13"/>
      <c r="I402" s="14"/>
    </row>
    <row r="403" spans="1:9" x14ac:dyDescent="0.3">
      <c r="A403" s="13" t="str">
        <f>IF(B403="","",COUNTA($B$4:B403))</f>
        <v/>
      </c>
      <c r="B403" s="13"/>
      <c r="C403" s="13"/>
      <c r="D403" s="13"/>
      <c r="E403" s="13"/>
      <c r="F403" s="13"/>
      <c r="G403" s="13"/>
      <c r="H403" s="13"/>
      <c r="I403" s="14"/>
    </row>
    <row r="404" spans="1:9" x14ac:dyDescent="0.3">
      <c r="A404" s="13" t="str">
        <f>IF(B404="","",COUNTA($B$4:B404))</f>
        <v/>
      </c>
      <c r="B404" s="13"/>
      <c r="C404" s="13"/>
      <c r="D404" s="13"/>
      <c r="E404" s="13"/>
      <c r="F404" s="13"/>
      <c r="G404" s="13"/>
      <c r="H404" s="13"/>
      <c r="I404" s="14"/>
    </row>
    <row r="405" spans="1:9" x14ac:dyDescent="0.3">
      <c r="A405" s="13" t="str">
        <f>IF(B405="","",COUNTA($B$4:B405))</f>
        <v/>
      </c>
      <c r="B405" s="13"/>
      <c r="C405" s="13"/>
      <c r="D405" s="13"/>
      <c r="E405" s="13"/>
      <c r="F405" s="13"/>
      <c r="G405" s="13"/>
      <c r="H405" s="13"/>
      <c r="I405" s="14"/>
    </row>
    <row r="406" spans="1:9" x14ac:dyDescent="0.3">
      <c r="A406" s="13" t="str">
        <f>IF(B406="","",COUNTA($B$4:B406))</f>
        <v/>
      </c>
      <c r="B406" s="13"/>
      <c r="C406" s="13"/>
      <c r="D406" s="13"/>
      <c r="E406" s="13"/>
      <c r="F406" s="13"/>
      <c r="G406" s="13"/>
      <c r="H406" s="13"/>
      <c r="I406" s="14"/>
    </row>
    <row r="407" spans="1:9" x14ac:dyDescent="0.3">
      <c r="A407" s="13" t="str">
        <f>IF(B407="","",COUNTA($B$4:B407))</f>
        <v/>
      </c>
      <c r="B407" s="13"/>
      <c r="C407" s="13"/>
      <c r="D407" s="13"/>
      <c r="E407" s="13"/>
      <c r="F407" s="13"/>
      <c r="G407" s="13"/>
      <c r="H407" s="13"/>
      <c r="I407" s="14"/>
    </row>
    <row r="408" spans="1:9" x14ac:dyDescent="0.3">
      <c r="A408" s="13" t="str">
        <f>IF(B408="","",COUNTA($B$4:B408))</f>
        <v/>
      </c>
      <c r="B408" s="13"/>
      <c r="C408" s="13"/>
      <c r="D408" s="13"/>
      <c r="E408" s="13"/>
      <c r="F408" s="13"/>
      <c r="G408" s="13"/>
      <c r="H408" s="13"/>
      <c r="I408" s="14"/>
    </row>
    <row r="409" spans="1:9" x14ac:dyDescent="0.3">
      <c r="A409" s="13" t="str">
        <f>IF(B409="","",COUNTA($B$4:B409))</f>
        <v/>
      </c>
      <c r="B409" s="13"/>
      <c r="C409" s="13"/>
      <c r="D409" s="13"/>
      <c r="E409" s="13"/>
      <c r="F409" s="13"/>
      <c r="G409" s="13"/>
      <c r="H409" s="13"/>
      <c r="I409" s="14"/>
    </row>
    <row r="410" spans="1:9" x14ac:dyDescent="0.3">
      <c r="A410" s="13" t="str">
        <f>IF(B410="","",COUNTA($B$4:B410))</f>
        <v/>
      </c>
      <c r="B410" s="13"/>
      <c r="C410" s="13"/>
      <c r="D410" s="13"/>
      <c r="E410" s="13"/>
      <c r="F410" s="13"/>
      <c r="G410" s="13"/>
      <c r="H410" s="13"/>
      <c r="I410" s="14"/>
    </row>
    <row r="411" spans="1:9" x14ac:dyDescent="0.3">
      <c r="A411" s="13" t="str">
        <f>IF(B411="","",COUNTA($B$4:B411))</f>
        <v/>
      </c>
      <c r="B411" s="13"/>
      <c r="C411" s="13"/>
      <c r="D411" s="13"/>
      <c r="E411" s="13"/>
      <c r="F411" s="13"/>
      <c r="G411" s="13"/>
      <c r="H411" s="13"/>
      <c r="I411" s="14"/>
    </row>
    <row r="412" spans="1:9" x14ac:dyDescent="0.3">
      <c r="A412" s="13" t="str">
        <f>IF(B412="","",COUNTA($B$4:B412))</f>
        <v/>
      </c>
      <c r="B412" s="13"/>
      <c r="C412" s="13"/>
      <c r="D412" s="13"/>
      <c r="E412" s="13"/>
      <c r="F412" s="13"/>
      <c r="G412" s="13"/>
      <c r="H412" s="13"/>
      <c r="I412" s="14"/>
    </row>
    <row r="413" spans="1:9" x14ac:dyDescent="0.3">
      <c r="A413" s="13" t="str">
        <f>IF(B413="","",COUNTA($B$4:B413))</f>
        <v/>
      </c>
      <c r="B413" s="13"/>
      <c r="C413" s="13"/>
      <c r="D413" s="13"/>
      <c r="E413" s="13"/>
      <c r="F413" s="13"/>
      <c r="G413" s="13"/>
      <c r="H413" s="13"/>
      <c r="I413" s="14"/>
    </row>
    <row r="414" spans="1:9" x14ac:dyDescent="0.3">
      <c r="A414" s="13" t="str">
        <f>IF(B414="","",COUNTA($B$4:B414))</f>
        <v/>
      </c>
      <c r="B414" s="13"/>
      <c r="C414" s="13"/>
      <c r="D414" s="13"/>
      <c r="E414" s="13"/>
      <c r="F414" s="13"/>
      <c r="G414" s="13"/>
      <c r="H414" s="13"/>
      <c r="I414" s="14"/>
    </row>
    <row r="415" spans="1:9" x14ac:dyDescent="0.3">
      <c r="A415" s="13" t="str">
        <f>IF(B415="","",COUNTA($B$4:B415))</f>
        <v/>
      </c>
      <c r="B415" s="13"/>
      <c r="C415" s="13"/>
      <c r="D415" s="13"/>
      <c r="E415" s="13"/>
      <c r="F415" s="13"/>
      <c r="G415" s="13"/>
      <c r="H415" s="13"/>
      <c r="I415" s="14"/>
    </row>
    <row r="416" spans="1:9" x14ac:dyDescent="0.3">
      <c r="A416" s="13" t="str">
        <f>IF(B416="","",COUNTA($B$4:B416))</f>
        <v/>
      </c>
      <c r="B416" s="13"/>
      <c r="C416" s="13"/>
      <c r="D416" s="13"/>
      <c r="E416" s="13"/>
      <c r="F416" s="13"/>
      <c r="G416" s="13"/>
      <c r="H416" s="13"/>
      <c r="I416" s="14"/>
    </row>
    <row r="417" spans="1:9" x14ac:dyDescent="0.3">
      <c r="A417" s="13" t="str">
        <f>IF(B417="","",COUNTA($B$4:B417))</f>
        <v/>
      </c>
      <c r="B417" s="13"/>
      <c r="C417" s="13"/>
      <c r="D417" s="13"/>
      <c r="E417" s="13"/>
      <c r="F417" s="13"/>
      <c r="G417" s="13"/>
      <c r="H417" s="13"/>
      <c r="I417" s="14"/>
    </row>
    <row r="418" spans="1:9" x14ac:dyDescent="0.3">
      <c r="A418" s="13" t="str">
        <f>IF(B418="","",COUNTA($B$4:B418))</f>
        <v/>
      </c>
      <c r="B418" s="13"/>
      <c r="C418" s="13"/>
      <c r="D418" s="13"/>
      <c r="E418" s="13"/>
      <c r="F418" s="13"/>
      <c r="G418" s="13"/>
      <c r="H418" s="13"/>
      <c r="I418" s="14"/>
    </row>
    <row r="419" spans="1:9" x14ac:dyDescent="0.3">
      <c r="A419" s="13" t="str">
        <f>IF(B419="","",COUNTA($B$4:B419))</f>
        <v/>
      </c>
      <c r="B419" s="13"/>
      <c r="C419" s="13"/>
      <c r="D419" s="13"/>
      <c r="E419" s="13"/>
      <c r="F419" s="13"/>
      <c r="G419" s="13"/>
      <c r="H419" s="13"/>
      <c r="I419" s="14"/>
    </row>
    <row r="420" spans="1:9" x14ac:dyDescent="0.3">
      <c r="A420" s="13" t="str">
        <f>IF(B420="","",COUNTA($B$4:B420))</f>
        <v/>
      </c>
      <c r="B420" s="13"/>
      <c r="C420" s="13"/>
      <c r="D420" s="13"/>
      <c r="E420" s="13"/>
      <c r="F420" s="13"/>
      <c r="G420" s="13"/>
      <c r="H420" s="13"/>
      <c r="I420" s="14"/>
    </row>
    <row r="421" spans="1:9" x14ac:dyDescent="0.3">
      <c r="A421" s="13" t="str">
        <f>IF(B421="","",COUNTA($B$4:B421))</f>
        <v/>
      </c>
      <c r="B421" s="13"/>
      <c r="C421" s="13"/>
      <c r="D421" s="13"/>
      <c r="E421" s="13"/>
      <c r="F421" s="13"/>
      <c r="G421" s="13"/>
      <c r="H421" s="13"/>
      <c r="I421" s="14"/>
    </row>
    <row r="422" spans="1:9" x14ac:dyDescent="0.3">
      <c r="A422" s="13" t="str">
        <f>IF(B422="","",COUNTA($B$4:B422))</f>
        <v/>
      </c>
      <c r="B422" s="13"/>
      <c r="C422" s="13"/>
      <c r="D422" s="13"/>
      <c r="E422" s="13"/>
      <c r="F422" s="13"/>
      <c r="G422" s="13"/>
      <c r="H422" s="13"/>
      <c r="I422" s="14"/>
    </row>
    <row r="423" spans="1:9" x14ac:dyDescent="0.3">
      <c r="A423" s="13" t="str">
        <f>IF(B423="","",COUNTA($B$4:B423))</f>
        <v/>
      </c>
      <c r="B423" s="13"/>
      <c r="C423" s="13"/>
      <c r="D423" s="13"/>
      <c r="E423" s="13"/>
      <c r="F423" s="13"/>
      <c r="G423" s="13"/>
      <c r="H423" s="13"/>
      <c r="I423" s="14"/>
    </row>
    <row r="424" spans="1:9" x14ac:dyDescent="0.3">
      <c r="A424" s="13" t="str">
        <f>IF(B424="","",COUNTA($B$4:B424))</f>
        <v/>
      </c>
      <c r="B424" s="13"/>
      <c r="C424" s="13"/>
      <c r="D424" s="13"/>
      <c r="E424" s="13"/>
      <c r="F424" s="13"/>
      <c r="G424" s="13"/>
      <c r="H424" s="13"/>
      <c r="I424" s="14"/>
    </row>
    <row r="425" spans="1:9" x14ac:dyDescent="0.3">
      <c r="A425" s="13" t="str">
        <f>IF(B425="","",COUNTA($B$4:B425))</f>
        <v/>
      </c>
      <c r="B425" s="13"/>
      <c r="C425" s="13"/>
      <c r="D425" s="13"/>
      <c r="E425" s="13"/>
      <c r="F425" s="13"/>
      <c r="G425" s="13"/>
      <c r="H425" s="13"/>
      <c r="I425" s="14"/>
    </row>
    <row r="426" spans="1:9" x14ac:dyDescent="0.3">
      <c r="A426" s="13" t="str">
        <f>IF(B426="","",COUNTA($B$4:B426))</f>
        <v/>
      </c>
      <c r="B426" s="13"/>
      <c r="C426" s="13"/>
      <c r="D426" s="13"/>
      <c r="E426" s="13"/>
      <c r="F426" s="13"/>
      <c r="G426" s="13"/>
      <c r="H426" s="13"/>
      <c r="I426" s="14"/>
    </row>
    <row r="427" spans="1:9" x14ac:dyDescent="0.3">
      <c r="A427" s="13" t="str">
        <f>IF(B427="","",COUNTA($B$4:B427))</f>
        <v/>
      </c>
      <c r="B427" s="13"/>
      <c r="C427" s="13"/>
      <c r="D427" s="13"/>
      <c r="E427" s="13"/>
      <c r="F427" s="13"/>
      <c r="G427" s="13"/>
      <c r="H427" s="13"/>
      <c r="I427" s="14"/>
    </row>
    <row r="428" spans="1:9" x14ac:dyDescent="0.3">
      <c r="A428" s="13" t="str">
        <f>IF(B428="","",COUNTA($B$4:B428))</f>
        <v/>
      </c>
      <c r="B428" s="13"/>
      <c r="C428" s="13"/>
      <c r="D428" s="13"/>
      <c r="E428" s="13"/>
      <c r="F428" s="13"/>
      <c r="G428" s="13"/>
      <c r="H428" s="13"/>
      <c r="I428" s="14"/>
    </row>
    <row r="429" spans="1:9" x14ac:dyDescent="0.3">
      <c r="A429" s="13" t="str">
        <f>IF(B429="","",COUNTA($B$4:B429))</f>
        <v/>
      </c>
      <c r="B429" s="13"/>
      <c r="C429" s="13"/>
      <c r="D429" s="13"/>
      <c r="E429" s="13"/>
      <c r="F429" s="13"/>
      <c r="G429" s="13"/>
      <c r="H429" s="13"/>
      <c r="I429" s="14"/>
    </row>
    <row r="430" spans="1:9" x14ac:dyDescent="0.3">
      <c r="A430" s="13" t="str">
        <f>IF(B430="","",COUNTA($B$4:B430))</f>
        <v/>
      </c>
      <c r="B430" s="13"/>
      <c r="C430" s="13"/>
      <c r="D430" s="13"/>
      <c r="E430" s="13"/>
      <c r="F430" s="13"/>
      <c r="G430" s="13"/>
      <c r="H430" s="13"/>
      <c r="I430" s="14"/>
    </row>
    <row r="431" spans="1:9" x14ac:dyDescent="0.3">
      <c r="A431" s="13" t="str">
        <f>IF(B431="","",COUNTA($B$4:B431))</f>
        <v/>
      </c>
      <c r="B431" s="13"/>
      <c r="C431" s="13"/>
      <c r="D431" s="13"/>
      <c r="E431" s="13"/>
      <c r="F431" s="13"/>
      <c r="G431" s="13"/>
      <c r="H431" s="13"/>
      <c r="I431" s="14"/>
    </row>
    <row r="432" spans="1:9" x14ac:dyDescent="0.3">
      <c r="A432" s="13" t="str">
        <f>IF(B432="","",COUNTA($B$4:B432))</f>
        <v/>
      </c>
      <c r="B432" s="13"/>
      <c r="C432" s="13"/>
      <c r="D432" s="13"/>
      <c r="E432" s="13"/>
      <c r="F432" s="13"/>
      <c r="G432" s="13"/>
      <c r="H432" s="13"/>
      <c r="I432" s="14"/>
    </row>
    <row r="433" spans="1:9" x14ac:dyDescent="0.3">
      <c r="A433" s="13" t="str">
        <f>IF(B433="","",COUNTA($B$4:B433))</f>
        <v/>
      </c>
      <c r="B433" s="13"/>
      <c r="C433" s="13"/>
      <c r="D433" s="13"/>
      <c r="E433" s="13"/>
      <c r="F433" s="13"/>
      <c r="G433" s="13"/>
      <c r="H433" s="13"/>
      <c r="I433" s="14"/>
    </row>
    <row r="434" spans="1:9" x14ac:dyDescent="0.3">
      <c r="A434" s="13" t="str">
        <f>IF(B434="","",COUNTA($B$4:B434))</f>
        <v/>
      </c>
      <c r="B434" s="13"/>
      <c r="C434" s="13"/>
      <c r="D434" s="13"/>
      <c r="E434" s="13"/>
      <c r="F434" s="13"/>
      <c r="G434" s="13"/>
      <c r="H434" s="13"/>
      <c r="I434" s="14"/>
    </row>
    <row r="435" spans="1:9" x14ac:dyDescent="0.3">
      <c r="A435" s="13" t="str">
        <f>IF(B435="","",COUNTA($B$4:B435))</f>
        <v/>
      </c>
      <c r="B435" s="13"/>
      <c r="C435" s="13"/>
      <c r="D435" s="13"/>
      <c r="E435" s="13"/>
      <c r="F435" s="13"/>
      <c r="G435" s="13"/>
      <c r="H435" s="13"/>
      <c r="I435" s="14"/>
    </row>
    <row r="436" spans="1:9" x14ac:dyDescent="0.3">
      <c r="A436" s="13" t="str">
        <f>IF(B436="","",COUNTA($B$4:B436))</f>
        <v/>
      </c>
      <c r="B436" s="13"/>
      <c r="C436" s="13"/>
      <c r="D436" s="13"/>
      <c r="E436" s="13"/>
      <c r="F436" s="13"/>
      <c r="G436" s="13"/>
      <c r="H436" s="13"/>
      <c r="I436" s="14"/>
    </row>
    <row r="437" spans="1:9" x14ac:dyDescent="0.3">
      <c r="A437" s="13" t="str">
        <f>IF(B437="","",COUNTA($B$4:B437))</f>
        <v/>
      </c>
      <c r="B437" s="13"/>
      <c r="C437" s="13"/>
      <c r="D437" s="13"/>
      <c r="E437" s="13"/>
      <c r="F437" s="13"/>
      <c r="G437" s="13"/>
      <c r="H437" s="13"/>
      <c r="I437" s="14"/>
    </row>
    <row r="438" spans="1:9" x14ac:dyDescent="0.3">
      <c r="A438" s="13" t="str">
        <f>IF(B438="","",COUNTA($B$4:B438))</f>
        <v/>
      </c>
      <c r="B438" s="13"/>
      <c r="C438" s="13"/>
      <c r="D438" s="13"/>
      <c r="E438" s="13"/>
      <c r="F438" s="13"/>
      <c r="G438" s="13"/>
      <c r="H438" s="13"/>
      <c r="I438" s="14"/>
    </row>
    <row r="439" spans="1:9" x14ac:dyDescent="0.3">
      <c r="A439" s="13" t="str">
        <f>IF(B439="","",COUNTA($B$4:B439))</f>
        <v/>
      </c>
      <c r="B439" s="13"/>
      <c r="C439" s="13"/>
      <c r="D439" s="13"/>
      <c r="E439" s="13"/>
      <c r="F439" s="13"/>
      <c r="G439" s="13"/>
      <c r="H439" s="13"/>
      <c r="I439" s="14"/>
    </row>
    <row r="440" spans="1:9" x14ac:dyDescent="0.3">
      <c r="A440" s="13" t="str">
        <f>IF(B440="","",COUNTA($B$4:B440))</f>
        <v/>
      </c>
      <c r="B440" s="13"/>
      <c r="C440" s="13"/>
      <c r="D440" s="13"/>
      <c r="E440" s="13"/>
      <c r="F440" s="13"/>
      <c r="G440" s="13"/>
      <c r="H440" s="13"/>
      <c r="I440" s="14"/>
    </row>
    <row r="441" spans="1:9" x14ac:dyDescent="0.3">
      <c r="A441" s="13" t="str">
        <f>IF(B441="","",COUNTA($B$4:B441))</f>
        <v/>
      </c>
      <c r="B441" s="13"/>
      <c r="C441" s="13"/>
      <c r="D441" s="13"/>
      <c r="E441" s="13"/>
      <c r="F441" s="13"/>
      <c r="G441" s="13"/>
      <c r="H441" s="13"/>
      <c r="I441" s="14"/>
    </row>
    <row r="442" spans="1:9" x14ac:dyDescent="0.3">
      <c r="A442" s="13" t="str">
        <f>IF(B442="","",COUNTA($B$4:B442))</f>
        <v/>
      </c>
      <c r="B442" s="13"/>
      <c r="C442" s="13"/>
      <c r="D442" s="13"/>
      <c r="E442" s="13"/>
      <c r="F442" s="13"/>
      <c r="G442" s="13"/>
      <c r="H442" s="13"/>
      <c r="I442" s="14"/>
    </row>
    <row r="443" spans="1:9" x14ac:dyDescent="0.3">
      <c r="A443" s="13" t="str">
        <f>IF(B443="","",COUNTA($B$4:B443))</f>
        <v/>
      </c>
      <c r="B443" s="13"/>
      <c r="C443" s="13"/>
      <c r="D443" s="13"/>
      <c r="E443" s="13"/>
      <c r="F443" s="13"/>
      <c r="G443" s="13"/>
      <c r="H443" s="13"/>
      <c r="I443" s="14"/>
    </row>
    <row r="444" spans="1:9" x14ac:dyDescent="0.3">
      <c r="A444" s="13" t="str">
        <f>IF(B444="","",COUNTA($B$4:B444))</f>
        <v/>
      </c>
      <c r="B444" s="13"/>
      <c r="C444" s="13"/>
      <c r="D444" s="13"/>
      <c r="E444" s="13"/>
      <c r="F444" s="13"/>
      <c r="G444" s="13"/>
      <c r="H444" s="13"/>
      <c r="I444" s="14"/>
    </row>
    <row r="445" spans="1:9" x14ac:dyDescent="0.3">
      <c r="A445" s="13" t="str">
        <f>IF(B445="","",COUNTA($B$4:B445))</f>
        <v/>
      </c>
      <c r="B445" s="13"/>
      <c r="C445" s="13"/>
      <c r="D445" s="13"/>
      <c r="E445" s="13"/>
      <c r="F445" s="13"/>
      <c r="G445" s="13"/>
      <c r="H445" s="13"/>
      <c r="I445" s="14"/>
    </row>
    <row r="446" spans="1:9" x14ac:dyDescent="0.3">
      <c r="A446" s="13" t="str">
        <f>IF(B446="","",COUNTA($B$4:B446))</f>
        <v/>
      </c>
      <c r="B446" s="13"/>
      <c r="C446" s="13"/>
      <c r="D446" s="13"/>
      <c r="E446" s="13"/>
      <c r="F446" s="13"/>
      <c r="G446" s="13"/>
      <c r="H446" s="13"/>
      <c r="I446" s="14"/>
    </row>
    <row r="447" spans="1:9" x14ac:dyDescent="0.3">
      <c r="A447" s="13" t="str">
        <f>IF(B447="","",COUNTA($B$4:B447))</f>
        <v/>
      </c>
      <c r="B447" s="13"/>
      <c r="C447" s="13"/>
      <c r="D447" s="13"/>
      <c r="E447" s="13"/>
      <c r="F447" s="13"/>
      <c r="G447" s="13"/>
      <c r="H447" s="13"/>
      <c r="I447" s="14"/>
    </row>
    <row r="448" spans="1:9" x14ac:dyDescent="0.3">
      <c r="A448" s="13" t="str">
        <f>IF(B448="","",COUNTA($B$4:B448))</f>
        <v/>
      </c>
      <c r="B448" s="13"/>
      <c r="C448" s="13"/>
      <c r="D448" s="13"/>
      <c r="E448" s="13"/>
      <c r="F448" s="13"/>
      <c r="G448" s="13"/>
      <c r="H448" s="13"/>
      <c r="I448" s="14"/>
    </row>
    <row r="449" spans="1:9" x14ac:dyDescent="0.3">
      <c r="A449" s="13" t="str">
        <f>IF(B449="","",COUNTA($B$4:B449))</f>
        <v/>
      </c>
      <c r="B449" s="13"/>
      <c r="C449" s="13"/>
      <c r="D449" s="13"/>
      <c r="E449" s="13"/>
      <c r="F449" s="13"/>
      <c r="G449" s="13"/>
      <c r="H449" s="13"/>
      <c r="I449" s="14"/>
    </row>
    <row r="450" spans="1:9" x14ac:dyDescent="0.3">
      <c r="A450" s="13" t="str">
        <f>IF(B450="","",COUNTA($B$4:B450))</f>
        <v/>
      </c>
      <c r="B450" s="13"/>
      <c r="C450" s="13"/>
      <c r="D450" s="13"/>
      <c r="E450" s="13"/>
      <c r="F450" s="13"/>
      <c r="G450" s="13"/>
      <c r="H450" s="13"/>
      <c r="I450" s="14"/>
    </row>
    <row r="451" spans="1:9" x14ac:dyDescent="0.3">
      <c r="A451" s="13" t="str">
        <f>IF(B451="","",COUNTA($B$4:B451))</f>
        <v/>
      </c>
      <c r="B451" s="13"/>
      <c r="C451" s="13"/>
      <c r="D451" s="13"/>
      <c r="E451" s="13"/>
      <c r="F451" s="13"/>
      <c r="G451" s="13"/>
      <c r="H451" s="13"/>
      <c r="I451" s="14"/>
    </row>
    <row r="452" spans="1:9" x14ac:dyDescent="0.3">
      <c r="A452" s="13" t="str">
        <f>IF(B452="","",COUNTA($B$4:B452))</f>
        <v/>
      </c>
      <c r="B452" s="13"/>
      <c r="C452" s="13"/>
      <c r="D452" s="13"/>
      <c r="E452" s="13"/>
      <c r="F452" s="13"/>
      <c r="G452" s="13"/>
      <c r="H452" s="13"/>
      <c r="I452" s="14"/>
    </row>
    <row r="453" spans="1:9" x14ac:dyDescent="0.3">
      <c r="A453" s="13" t="str">
        <f>IF(B453="","",COUNTA($B$4:B453))</f>
        <v/>
      </c>
      <c r="B453" s="13"/>
      <c r="C453" s="13"/>
      <c r="D453" s="13"/>
      <c r="E453" s="13"/>
      <c r="F453" s="13"/>
      <c r="G453" s="13"/>
      <c r="H453" s="13"/>
      <c r="I453" s="14"/>
    </row>
    <row r="454" spans="1:9" x14ac:dyDescent="0.3">
      <c r="A454" s="13" t="str">
        <f>IF(B454="","",COUNTA($B$4:B454))</f>
        <v/>
      </c>
      <c r="B454" s="13"/>
      <c r="C454" s="13"/>
      <c r="D454" s="13"/>
      <c r="E454" s="13"/>
      <c r="F454" s="13"/>
      <c r="G454" s="13"/>
      <c r="H454" s="13"/>
      <c r="I454" s="14"/>
    </row>
    <row r="455" spans="1:9" x14ac:dyDescent="0.3">
      <c r="A455" s="13" t="str">
        <f>IF(B455="","",COUNTA($B$4:B455))</f>
        <v/>
      </c>
      <c r="B455" s="13"/>
      <c r="C455" s="13"/>
      <c r="D455" s="13"/>
      <c r="E455" s="13"/>
      <c r="F455" s="13"/>
      <c r="G455" s="13"/>
      <c r="H455" s="13"/>
      <c r="I455" s="14"/>
    </row>
    <row r="456" spans="1:9" x14ac:dyDescent="0.3">
      <c r="A456" s="13" t="str">
        <f>IF(B456="","",COUNTA($B$4:B456))</f>
        <v/>
      </c>
      <c r="B456" s="13"/>
      <c r="C456" s="13"/>
      <c r="D456" s="13"/>
      <c r="E456" s="13"/>
      <c r="F456" s="13"/>
      <c r="G456" s="13"/>
      <c r="H456" s="13"/>
      <c r="I456" s="14"/>
    </row>
    <row r="457" spans="1:9" x14ac:dyDescent="0.3">
      <c r="A457" s="13" t="str">
        <f>IF(B457="","",COUNTA($B$4:B457))</f>
        <v/>
      </c>
      <c r="B457" s="13"/>
      <c r="C457" s="13"/>
      <c r="D457" s="13"/>
      <c r="E457" s="13"/>
      <c r="F457" s="13"/>
      <c r="G457" s="13"/>
      <c r="H457" s="13"/>
      <c r="I457" s="14"/>
    </row>
    <row r="458" spans="1:9" x14ac:dyDescent="0.3">
      <c r="A458" s="13" t="str">
        <f>IF(B458="","",COUNTA($B$4:B458))</f>
        <v/>
      </c>
      <c r="B458" s="13"/>
      <c r="C458" s="13"/>
      <c r="D458" s="13"/>
      <c r="E458" s="13"/>
      <c r="F458" s="13"/>
      <c r="G458" s="13"/>
      <c r="H458" s="13"/>
      <c r="I458" s="14"/>
    </row>
    <row r="459" spans="1:9" x14ac:dyDescent="0.3">
      <c r="A459" s="13" t="str">
        <f>IF(B459="","",COUNTA($B$4:B459))</f>
        <v/>
      </c>
      <c r="B459" s="13"/>
      <c r="C459" s="13"/>
      <c r="D459" s="13"/>
      <c r="E459" s="13"/>
      <c r="F459" s="13"/>
      <c r="G459" s="13"/>
      <c r="H459" s="13"/>
      <c r="I459" s="14"/>
    </row>
    <row r="460" spans="1:9" x14ac:dyDescent="0.3">
      <c r="A460" s="13" t="str">
        <f>IF(B460="","",COUNTA($B$4:B460))</f>
        <v/>
      </c>
      <c r="B460" s="13"/>
      <c r="C460" s="13"/>
      <c r="D460" s="13"/>
      <c r="E460" s="13"/>
      <c r="F460" s="13"/>
      <c r="G460" s="13"/>
      <c r="H460" s="13"/>
      <c r="I460" s="14"/>
    </row>
    <row r="461" spans="1:9" x14ac:dyDescent="0.3">
      <c r="A461" s="13" t="str">
        <f>IF(B461="","",COUNTA($B$4:B461))</f>
        <v/>
      </c>
      <c r="B461" s="13"/>
      <c r="C461" s="13"/>
      <c r="D461" s="13"/>
      <c r="E461" s="13"/>
      <c r="F461" s="13"/>
      <c r="G461" s="13"/>
      <c r="H461" s="13"/>
      <c r="I461" s="14"/>
    </row>
    <row r="462" spans="1:9" x14ac:dyDescent="0.3">
      <c r="A462" s="13" t="str">
        <f>IF(B462="","",COUNTA($B$4:B462))</f>
        <v/>
      </c>
      <c r="B462" s="13"/>
      <c r="C462" s="13"/>
      <c r="D462" s="13"/>
      <c r="E462" s="13"/>
      <c r="F462" s="13"/>
      <c r="G462" s="13"/>
      <c r="H462" s="13"/>
      <c r="I462" s="14"/>
    </row>
    <row r="463" spans="1:9" x14ac:dyDescent="0.3">
      <c r="A463" s="13" t="str">
        <f>IF(B463="","",COUNTA($B$4:B463))</f>
        <v/>
      </c>
      <c r="B463" s="13"/>
      <c r="C463" s="13"/>
      <c r="D463" s="13"/>
      <c r="E463" s="13"/>
      <c r="F463" s="13"/>
      <c r="G463" s="13"/>
      <c r="H463" s="13"/>
      <c r="I463" s="14"/>
    </row>
    <row r="464" spans="1:9" x14ac:dyDescent="0.3">
      <c r="A464" s="13" t="str">
        <f>IF(B464="","",COUNTA($B$4:B464))</f>
        <v/>
      </c>
      <c r="B464" s="13"/>
      <c r="C464" s="13"/>
      <c r="D464" s="13"/>
      <c r="E464" s="13"/>
      <c r="F464" s="13"/>
      <c r="G464" s="13"/>
      <c r="H464" s="13"/>
      <c r="I464" s="14"/>
    </row>
    <row r="465" spans="1:9" x14ac:dyDescent="0.3">
      <c r="A465" s="13" t="str">
        <f>IF(B465="","",COUNTA($B$4:B465))</f>
        <v/>
      </c>
      <c r="B465" s="13"/>
      <c r="C465" s="13"/>
      <c r="D465" s="13"/>
      <c r="E465" s="13"/>
      <c r="F465" s="13"/>
      <c r="G465" s="13"/>
      <c r="H465" s="13"/>
      <c r="I465" s="14"/>
    </row>
    <row r="466" spans="1:9" x14ac:dyDescent="0.3">
      <c r="A466" s="13" t="str">
        <f>IF(B466="","",COUNTA($B$4:B466))</f>
        <v/>
      </c>
      <c r="B466" s="13"/>
      <c r="C466" s="13"/>
      <c r="D466" s="13"/>
      <c r="E466" s="13"/>
      <c r="F466" s="13"/>
      <c r="G466" s="13"/>
      <c r="H466" s="13"/>
      <c r="I466" s="14"/>
    </row>
    <row r="467" spans="1:9" x14ac:dyDescent="0.3">
      <c r="A467" s="13" t="str">
        <f>IF(B467="","",COUNTA($B$4:B467))</f>
        <v/>
      </c>
      <c r="B467" s="13"/>
      <c r="C467" s="13"/>
      <c r="D467" s="13"/>
      <c r="E467" s="13"/>
      <c r="F467" s="13"/>
      <c r="G467" s="13"/>
      <c r="H467" s="13"/>
      <c r="I467" s="14"/>
    </row>
    <row r="468" spans="1:9" x14ac:dyDescent="0.3">
      <c r="A468" s="13" t="str">
        <f>IF(B468="","",COUNTA($B$4:B468))</f>
        <v/>
      </c>
      <c r="B468" s="13"/>
      <c r="C468" s="13"/>
      <c r="D468" s="13"/>
      <c r="E468" s="13"/>
      <c r="F468" s="13"/>
      <c r="G468" s="13"/>
      <c r="H468" s="13"/>
      <c r="I468" s="14"/>
    </row>
    <row r="469" spans="1:9" x14ac:dyDescent="0.3">
      <c r="A469" s="13" t="str">
        <f>IF(B469="","",COUNTA($B$4:B469))</f>
        <v/>
      </c>
      <c r="B469" s="13"/>
      <c r="C469" s="13"/>
      <c r="D469" s="13"/>
      <c r="E469" s="13"/>
      <c r="F469" s="13"/>
      <c r="G469" s="13"/>
      <c r="H469" s="13"/>
      <c r="I469" s="14"/>
    </row>
    <row r="470" spans="1:9" x14ac:dyDescent="0.3">
      <c r="A470" s="13" t="str">
        <f>IF(B470="","",COUNTA($B$4:B470))</f>
        <v/>
      </c>
      <c r="B470" s="13"/>
      <c r="C470" s="13"/>
      <c r="D470" s="13"/>
      <c r="E470" s="13"/>
      <c r="F470" s="13"/>
      <c r="G470" s="13"/>
      <c r="H470" s="13"/>
      <c r="I470" s="14"/>
    </row>
    <row r="471" spans="1:9" x14ac:dyDescent="0.3">
      <c r="A471" s="13" t="str">
        <f>IF(B471="","",COUNTA($B$4:B471))</f>
        <v/>
      </c>
      <c r="B471" s="13"/>
      <c r="C471" s="13"/>
      <c r="D471" s="13"/>
      <c r="E471" s="13"/>
      <c r="F471" s="13"/>
      <c r="G471" s="13"/>
      <c r="H471" s="13"/>
      <c r="I471" s="14"/>
    </row>
    <row r="472" spans="1:9" x14ac:dyDescent="0.3">
      <c r="A472" s="13" t="str">
        <f>IF(B472="","",COUNTA($B$4:B472))</f>
        <v/>
      </c>
      <c r="B472" s="13"/>
      <c r="C472" s="13"/>
      <c r="D472" s="13"/>
      <c r="E472" s="13"/>
      <c r="F472" s="13"/>
      <c r="G472" s="13"/>
      <c r="H472" s="13"/>
      <c r="I472" s="14"/>
    </row>
    <row r="473" spans="1:9" x14ac:dyDescent="0.3">
      <c r="A473" s="13" t="str">
        <f>IF(B473="","",COUNTA($B$4:B473))</f>
        <v/>
      </c>
      <c r="B473" s="13"/>
      <c r="C473" s="13"/>
      <c r="D473" s="13"/>
      <c r="E473" s="13"/>
      <c r="F473" s="13"/>
      <c r="G473" s="13"/>
      <c r="H473" s="13"/>
      <c r="I473" s="14"/>
    </row>
    <row r="474" spans="1:9" x14ac:dyDescent="0.3">
      <c r="A474" s="13" t="str">
        <f>IF(B474="","",COUNTA($B$4:B474))</f>
        <v/>
      </c>
      <c r="B474" s="13"/>
      <c r="C474" s="13"/>
      <c r="D474" s="13"/>
      <c r="E474" s="13"/>
      <c r="F474" s="13"/>
      <c r="G474" s="13"/>
      <c r="H474" s="13"/>
      <c r="I474" s="14"/>
    </row>
    <row r="475" spans="1:9" x14ac:dyDescent="0.3">
      <c r="A475" s="13" t="str">
        <f>IF(B475="","",COUNTA($B$4:B475))</f>
        <v/>
      </c>
      <c r="B475" s="13"/>
      <c r="C475" s="13"/>
      <c r="D475" s="13"/>
      <c r="E475" s="13"/>
      <c r="F475" s="13"/>
      <c r="G475" s="13"/>
      <c r="H475" s="13"/>
      <c r="I475" s="14"/>
    </row>
    <row r="476" spans="1:9" x14ac:dyDescent="0.3">
      <c r="A476" s="13" t="str">
        <f>IF(B476="","",COUNTA($B$4:B476))</f>
        <v/>
      </c>
      <c r="B476" s="13"/>
      <c r="C476" s="13"/>
      <c r="D476" s="13"/>
      <c r="E476" s="13"/>
      <c r="F476" s="13"/>
      <c r="G476" s="13"/>
      <c r="H476" s="13"/>
      <c r="I476" s="14"/>
    </row>
    <row r="477" spans="1:9" x14ac:dyDescent="0.3">
      <c r="A477" s="13" t="str">
        <f>IF(B477="","",COUNTA($B$4:B477))</f>
        <v/>
      </c>
      <c r="B477" s="13"/>
      <c r="C477" s="13"/>
      <c r="D477" s="13"/>
      <c r="E477" s="13"/>
      <c r="F477" s="13"/>
      <c r="G477" s="13"/>
      <c r="H477" s="13"/>
      <c r="I477" s="14"/>
    </row>
    <row r="478" spans="1:9" x14ac:dyDescent="0.3">
      <c r="A478" s="13" t="str">
        <f>IF(B478="","",COUNTA($B$4:B478))</f>
        <v/>
      </c>
      <c r="B478" s="13"/>
      <c r="C478" s="13"/>
      <c r="D478" s="13"/>
      <c r="E478" s="13"/>
      <c r="F478" s="13"/>
      <c r="G478" s="13"/>
      <c r="H478" s="13"/>
      <c r="I478" s="14"/>
    </row>
    <row r="479" spans="1:9" x14ac:dyDescent="0.3">
      <c r="A479" s="13" t="str">
        <f>IF(B479="","",COUNTA($B$4:B479))</f>
        <v/>
      </c>
      <c r="B479" s="13"/>
      <c r="C479" s="13"/>
      <c r="D479" s="13"/>
      <c r="E479" s="13"/>
      <c r="F479" s="13"/>
      <c r="G479" s="13"/>
      <c r="H479" s="13"/>
      <c r="I479" s="14"/>
    </row>
    <row r="480" spans="1:9" x14ac:dyDescent="0.3">
      <c r="A480" s="13" t="str">
        <f>IF(B480="","",COUNTA($B$4:B480))</f>
        <v/>
      </c>
      <c r="B480" s="13"/>
      <c r="C480" s="13"/>
      <c r="D480" s="13"/>
      <c r="E480" s="13"/>
      <c r="F480" s="13"/>
      <c r="G480" s="13"/>
      <c r="H480" s="13"/>
      <c r="I480" s="14"/>
    </row>
    <row r="481" spans="1:9" x14ac:dyDescent="0.3">
      <c r="A481" s="13" t="str">
        <f>IF(B481="","",COUNTA($B$4:B481))</f>
        <v/>
      </c>
      <c r="B481" s="13"/>
      <c r="C481" s="13"/>
      <c r="D481" s="13"/>
      <c r="E481" s="13"/>
      <c r="F481" s="13"/>
      <c r="G481" s="13"/>
      <c r="H481" s="13"/>
      <c r="I481" s="14"/>
    </row>
    <row r="482" spans="1:9" x14ac:dyDescent="0.3">
      <c r="A482" s="13" t="str">
        <f>IF(B482="","",COUNTA($B$4:B482))</f>
        <v/>
      </c>
      <c r="B482" s="13"/>
      <c r="C482" s="13"/>
      <c r="D482" s="13"/>
      <c r="E482" s="13"/>
      <c r="F482" s="13"/>
      <c r="G482" s="13"/>
      <c r="H482" s="13"/>
      <c r="I482" s="14"/>
    </row>
    <row r="483" spans="1:9" x14ac:dyDescent="0.3">
      <c r="A483" s="13" t="str">
        <f>IF(B483="","",COUNTA($B$4:B483))</f>
        <v/>
      </c>
      <c r="B483" s="13"/>
      <c r="C483" s="13"/>
      <c r="D483" s="13"/>
      <c r="E483" s="13"/>
      <c r="F483" s="13"/>
      <c r="G483" s="13"/>
      <c r="H483" s="13"/>
      <c r="I483" s="14"/>
    </row>
    <row r="484" spans="1:9" x14ac:dyDescent="0.3">
      <c r="A484" s="13" t="str">
        <f>IF(B484="","",COUNTA($B$4:B484))</f>
        <v/>
      </c>
      <c r="B484" s="13"/>
      <c r="C484" s="13"/>
      <c r="D484" s="13"/>
      <c r="E484" s="13"/>
      <c r="F484" s="13"/>
      <c r="G484" s="13"/>
      <c r="H484" s="13"/>
      <c r="I484" s="14"/>
    </row>
    <row r="485" spans="1:9" x14ac:dyDescent="0.3">
      <c r="A485" s="13" t="str">
        <f>IF(B485="","",COUNTA($B$4:B485))</f>
        <v/>
      </c>
      <c r="B485" s="13"/>
      <c r="C485" s="13"/>
      <c r="D485" s="13"/>
      <c r="E485" s="13"/>
      <c r="F485" s="13"/>
      <c r="G485" s="13"/>
      <c r="H485" s="13"/>
      <c r="I485" s="14"/>
    </row>
    <row r="486" spans="1:9" x14ac:dyDescent="0.3">
      <c r="A486" s="13" t="str">
        <f>IF(B486="","",COUNTA($B$4:B486))</f>
        <v/>
      </c>
      <c r="B486" s="13"/>
      <c r="C486" s="13"/>
      <c r="D486" s="13"/>
      <c r="E486" s="13"/>
      <c r="F486" s="13"/>
      <c r="G486" s="13"/>
      <c r="H486" s="13"/>
      <c r="I486" s="14"/>
    </row>
    <row r="487" spans="1:9" x14ac:dyDescent="0.3">
      <c r="A487" s="13" t="str">
        <f>IF(B487="","",COUNTA($B$4:B487))</f>
        <v/>
      </c>
      <c r="B487" s="13"/>
      <c r="C487" s="13"/>
      <c r="D487" s="13"/>
      <c r="E487" s="13"/>
      <c r="F487" s="13"/>
      <c r="G487" s="13"/>
      <c r="H487" s="13"/>
      <c r="I487" s="14"/>
    </row>
    <row r="488" spans="1:9" x14ac:dyDescent="0.3">
      <c r="A488" s="13" t="str">
        <f>IF(B488="","",COUNTA($B$4:B488))</f>
        <v/>
      </c>
      <c r="B488" s="13"/>
      <c r="C488" s="13"/>
      <c r="D488" s="13"/>
      <c r="E488" s="13"/>
      <c r="F488" s="13"/>
      <c r="G488" s="13"/>
      <c r="H488" s="13"/>
      <c r="I488" s="14"/>
    </row>
    <row r="489" spans="1:9" x14ac:dyDescent="0.3">
      <c r="A489" s="13" t="str">
        <f>IF(B489="","",COUNTA($B$4:B489))</f>
        <v/>
      </c>
      <c r="B489" s="13"/>
      <c r="C489" s="13"/>
      <c r="D489" s="13"/>
      <c r="E489" s="13"/>
      <c r="F489" s="13"/>
      <c r="G489" s="13"/>
      <c r="H489" s="13"/>
      <c r="I489" s="14"/>
    </row>
    <row r="490" spans="1:9" x14ac:dyDescent="0.3">
      <c r="A490" s="13" t="str">
        <f>IF(B490="","",COUNTA($B$4:B490))</f>
        <v/>
      </c>
      <c r="B490" s="13"/>
      <c r="C490" s="13"/>
      <c r="D490" s="13"/>
      <c r="E490" s="13"/>
      <c r="F490" s="13"/>
      <c r="G490" s="13"/>
      <c r="H490" s="13"/>
      <c r="I490" s="14"/>
    </row>
    <row r="491" spans="1:9" x14ac:dyDescent="0.3">
      <c r="A491" s="13" t="str">
        <f>IF(B491="","",COUNTA($B$4:B491))</f>
        <v/>
      </c>
      <c r="B491" s="13"/>
      <c r="C491" s="13"/>
      <c r="D491" s="13"/>
      <c r="E491" s="13"/>
      <c r="F491" s="13"/>
      <c r="G491" s="13"/>
      <c r="H491" s="13"/>
      <c r="I491" s="14"/>
    </row>
    <row r="492" spans="1:9" x14ac:dyDescent="0.3">
      <c r="A492" s="13" t="str">
        <f>IF(B492="","",COUNTA($B$4:B492))</f>
        <v/>
      </c>
      <c r="B492" s="13"/>
      <c r="C492" s="13"/>
      <c r="D492" s="13"/>
      <c r="E492" s="13"/>
      <c r="F492" s="13"/>
      <c r="G492" s="13"/>
      <c r="H492" s="13"/>
      <c r="I492" s="14"/>
    </row>
    <row r="493" spans="1:9" x14ac:dyDescent="0.3">
      <c r="A493" s="13" t="str">
        <f>IF(B493="","",COUNTA($B$4:B493))</f>
        <v/>
      </c>
      <c r="B493" s="13"/>
      <c r="C493" s="13"/>
      <c r="D493" s="13"/>
      <c r="E493" s="13"/>
      <c r="F493" s="13"/>
      <c r="G493" s="13"/>
      <c r="H493" s="13"/>
      <c r="I493" s="14"/>
    </row>
    <row r="494" spans="1:9" x14ac:dyDescent="0.3">
      <c r="A494" s="13" t="str">
        <f>IF(B494="","",COUNTA($B$4:B494))</f>
        <v/>
      </c>
      <c r="B494" s="13"/>
      <c r="C494" s="13"/>
      <c r="D494" s="13"/>
      <c r="E494" s="13"/>
      <c r="F494" s="13"/>
      <c r="G494" s="13"/>
      <c r="H494" s="13"/>
      <c r="I494" s="14"/>
    </row>
    <row r="495" spans="1:9" x14ac:dyDescent="0.3">
      <c r="A495" s="13" t="str">
        <f>IF(B495="","",COUNTA($B$4:B495))</f>
        <v/>
      </c>
      <c r="B495" s="13"/>
      <c r="C495" s="13"/>
      <c r="D495" s="13"/>
      <c r="E495" s="13"/>
      <c r="F495" s="13"/>
      <c r="G495" s="13"/>
      <c r="H495" s="13"/>
      <c r="I495" s="14"/>
    </row>
    <row r="496" spans="1:9" x14ac:dyDescent="0.3">
      <c r="A496" s="13" t="str">
        <f>IF(B496="","",COUNTA($B$4:B496))</f>
        <v/>
      </c>
      <c r="B496" s="13"/>
      <c r="C496" s="13"/>
      <c r="D496" s="13"/>
      <c r="E496" s="13"/>
      <c r="F496" s="13"/>
      <c r="G496" s="13"/>
      <c r="H496" s="13"/>
      <c r="I496" s="14"/>
    </row>
    <row r="497" spans="1:9" x14ac:dyDescent="0.3">
      <c r="A497" s="13" t="str">
        <f>IF(B497="","",COUNTA($B$4:B497))</f>
        <v/>
      </c>
      <c r="B497" s="13"/>
      <c r="C497" s="13"/>
      <c r="D497" s="13"/>
      <c r="E497" s="13"/>
      <c r="F497" s="13"/>
      <c r="G497" s="13"/>
      <c r="H497" s="13"/>
      <c r="I497" s="14"/>
    </row>
    <row r="498" spans="1:9" x14ac:dyDescent="0.3">
      <c r="A498" s="13" t="str">
        <f>IF(B498="","",COUNTA($B$4:B498))</f>
        <v/>
      </c>
      <c r="B498" s="13"/>
      <c r="C498" s="13"/>
      <c r="D498" s="13"/>
      <c r="E498" s="13"/>
      <c r="F498" s="13"/>
      <c r="G498" s="13"/>
      <c r="H498" s="13"/>
      <c r="I498" s="14"/>
    </row>
    <row r="499" spans="1:9" x14ac:dyDescent="0.3">
      <c r="A499" s="13" t="str">
        <f>IF(B499="","",COUNTA($B$4:B499))</f>
        <v/>
      </c>
      <c r="B499" s="13"/>
      <c r="C499" s="13"/>
      <c r="D499" s="13"/>
      <c r="E499" s="13"/>
      <c r="F499" s="13"/>
      <c r="G499" s="13"/>
      <c r="H499" s="13"/>
      <c r="I499" s="14"/>
    </row>
    <row r="500" spans="1:9" x14ac:dyDescent="0.3">
      <c r="A500" s="13" t="str">
        <f>IF(B500="","",COUNTA($B$4:B500))</f>
        <v/>
      </c>
      <c r="B500" s="13"/>
      <c r="C500" s="13"/>
      <c r="D500" s="13"/>
      <c r="E500" s="13"/>
      <c r="F500" s="13"/>
      <c r="G500" s="13"/>
      <c r="H500" s="13"/>
      <c r="I500" s="14"/>
    </row>
    <row r="501" spans="1:9" x14ac:dyDescent="0.3">
      <c r="A501" s="13" t="str">
        <f>IF(B501="","",COUNTA($B$4:B501))</f>
        <v/>
      </c>
      <c r="B501" s="13"/>
      <c r="C501" s="13"/>
      <c r="D501" s="13"/>
      <c r="E501" s="13"/>
      <c r="F501" s="13"/>
      <c r="G501" s="13"/>
      <c r="H501" s="13"/>
      <c r="I501" s="14"/>
    </row>
    <row r="502" spans="1:9" x14ac:dyDescent="0.3">
      <c r="A502" s="13" t="str">
        <f>IF(B502="","",COUNTA($B$4:B502))</f>
        <v/>
      </c>
      <c r="B502" s="13"/>
      <c r="C502" s="13"/>
      <c r="D502" s="13"/>
      <c r="E502" s="13"/>
      <c r="F502" s="13"/>
      <c r="G502" s="13"/>
      <c r="H502" s="13"/>
      <c r="I502" s="14"/>
    </row>
    <row r="503" spans="1:9" x14ac:dyDescent="0.3">
      <c r="A503" s="13" t="str">
        <f>IF(B503="","",COUNTA($B$4:B503))</f>
        <v/>
      </c>
      <c r="B503" s="13"/>
      <c r="C503" s="13"/>
      <c r="D503" s="13"/>
      <c r="E503" s="13"/>
      <c r="F503" s="13"/>
      <c r="G503" s="13"/>
      <c r="H503" s="13"/>
      <c r="I503" s="14"/>
    </row>
    <row r="504" spans="1:9" x14ac:dyDescent="0.3">
      <c r="A504" s="13" t="str">
        <f>IF(B504="","",COUNTA($B$4:B504))</f>
        <v/>
      </c>
      <c r="B504" s="13"/>
      <c r="C504" s="13"/>
      <c r="D504" s="13"/>
      <c r="E504" s="13"/>
      <c r="F504" s="13"/>
      <c r="G504" s="13"/>
      <c r="H504" s="13"/>
      <c r="I504" s="14"/>
    </row>
    <row r="505" spans="1:9" x14ac:dyDescent="0.3">
      <c r="A505" s="13" t="str">
        <f>IF(B505="","",COUNTA($B$4:B505))</f>
        <v/>
      </c>
      <c r="B505" s="13"/>
      <c r="C505" s="13"/>
      <c r="D505" s="13"/>
      <c r="E505" s="13"/>
      <c r="F505" s="13"/>
      <c r="G505" s="13"/>
      <c r="H505" s="13"/>
      <c r="I505" s="14"/>
    </row>
    <row r="506" spans="1:9" x14ac:dyDescent="0.3">
      <c r="A506" s="13" t="str">
        <f>IF(B506="","",COUNTA($B$4:B506))</f>
        <v/>
      </c>
      <c r="B506" s="13"/>
      <c r="C506" s="13"/>
      <c r="D506" s="13"/>
      <c r="E506" s="13"/>
      <c r="F506" s="13"/>
      <c r="G506" s="13"/>
      <c r="H506" s="13"/>
      <c r="I506" s="14"/>
    </row>
    <row r="507" spans="1:9" x14ac:dyDescent="0.3">
      <c r="A507" s="13" t="str">
        <f>IF(B507="","",COUNTA($B$4:B507))</f>
        <v/>
      </c>
      <c r="B507" s="13"/>
      <c r="C507" s="13"/>
      <c r="D507" s="13"/>
      <c r="E507" s="13"/>
      <c r="F507" s="13"/>
      <c r="G507" s="13"/>
      <c r="H507" s="13"/>
      <c r="I507" s="14"/>
    </row>
    <row r="508" spans="1:9" x14ac:dyDescent="0.3">
      <c r="A508" s="13" t="str">
        <f>IF(B508="","",COUNTA($B$4:B508))</f>
        <v/>
      </c>
      <c r="B508" s="13"/>
      <c r="C508" s="13"/>
      <c r="D508" s="13"/>
      <c r="E508" s="13"/>
      <c r="F508" s="13"/>
      <c r="G508" s="13"/>
      <c r="H508" s="13"/>
      <c r="I508" s="14"/>
    </row>
    <row r="509" spans="1:9" x14ac:dyDescent="0.3">
      <c r="A509" s="13" t="str">
        <f>IF(B509="","",COUNTA($B$4:B509))</f>
        <v/>
      </c>
      <c r="B509" s="13"/>
      <c r="C509" s="13"/>
      <c r="D509" s="13"/>
      <c r="E509" s="13"/>
      <c r="F509" s="13"/>
      <c r="G509" s="13"/>
      <c r="H509" s="13"/>
      <c r="I509" s="14"/>
    </row>
    <row r="510" spans="1:9" x14ac:dyDescent="0.3">
      <c r="A510" s="13" t="str">
        <f>IF(B510="","",COUNTA($B$4:B510))</f>
        <v/>
      </c>
      <c r="B510" s="13"/>
      <c r="C510" s="13"/>
      <c r="D510" s="13"/>
      <c r="E510" s="13"/>
      <c r="F510" s="13"/>
      <c r="G510" s="13"/>
      <c r="H510" s="13"/>
      <c r="I510" s="14"/>
    </row>
    <row r="511" spans="1:9" x14ac:dyDescent="0.3">
      <c r="A511" s="13" t="str">
        <f>IF(B511="","",COUNTA($B$4:B511))</f>
        <v/>
      </c>
      <c r="B511" s="13"/>
      <c r="C511" s="13"/>
      <c r="D511" s="13"/>
      <c r="E511" s="13"/>
      <c r="F511" s="13"/>
      <c r="G511" s="13"/>
      <c r="H511" s="13"/>
      <c r="I511" s="14"/>
    </row>
    <row r="512" spans="1:9" x14ac:dyDescent="0.3">
      <c r="A512" s="13" t="str">
        <f>IF(B512="","",COUNTA($B$4:B512))</f>
        <v/>
      </c>
      <c r="B512" s="13"/>
      <c r="C512" s="13"/>
      <c r="D512" s="13"/>
      <c r="E512" s="13"/>
      <c r="F512" s="13"/>
      <c r="G512" s="13"/>
      <c r="H512" s="13"/>
      <c r="I512" s="14"/>
    </row>
    <row r="513" spans="1:9" x14ac:dyDescent="0.3">
      <c r="A513" s="13" t="str">
        <f>IF(B513="","",COUNTA($B$4:B513))</f>
        <v/>
      </c>
      <c r="B513" s="13"/>
      <c r="C513" s="13"/>
      <c r="D513" s="13"/>
      <c r="E513" s="13"/>
      <c r="F513" s="13"/>
      <c r="G513" s="13"/>
      <c r="H513" s="13"/>
      <c r="I513" s="14"/>
    </row>
    <row r="514" spans="1:9" x14ac:dyDescent="0.3">
      <c r="A514" s="13" t="str">
        <f>IF(B514="","",COUNTA($B$4:B514))</f>
        <v/>
      </c>
      <c r="B514" s="13"/>
      <c r="C514" s="13"/>
      <c r="D514" s="13"/>
      <c r="E514" s="13"/>
      <c r="F514" s="13"/>
      <c r="G514" s="13"/>
      <c r="H514" s="13"/>
      <c r="I514" s="14"/>
    </row>
    <row r="515" spans="1:9" x14ac:dyDescent="0.3">
      <c r="A515" s="13" t="str">
        <f>IF(B515="","",COUNTA($B$4:B515))</f>
        <v/>
      </c>
      <c r="B515" s="13"/>
      <c r="C515" s="13"/>
      <c r="D515" s="13"/>
      <c r="E515" s="13"/>
      <c r="F515" s="13"/>
      <c r="G515" s="13"/>
      <c r="H515" s="13"/>
      <c r="I515" s="14"/>
    </row>
    <row r="516" spans="1:9" x14ac:dyDescent="0.3">
      <c r="A516" s="13" t="str">
        <f>IF(B516="","",COUNTA($B$4:B516))</f>
        <v/>
      </c>
      <c r="B516" s="13"/>
      <c r="C516" s="13"/>
      <c r="D516" s="13"/>
      <c r="E516" s="13"/>
      <c r="F516" s="13"/>
      <c r="G516" s="13"/>
      <c r="H516" s="13"/>
      <c r="I516" s="14"/>
    </row>
    <row r="517" spans="1:9" x14ac:dyDescent="0.3">
      <c r="A517" s="13" t="str">
        <f>IF(B517="","",COUNTA($B$4:B517))</f>
        <v/>
      </c>
      <c r="B517" s="13"/>
      <c r="C517" s="13"/>
      <c r="D517" s="13"/>
      <c r="E517" s="13"/>
      <c r="F517" s="13"/>
      <c r="G517" s="13"/>
      <c r="H517" s="13"/>
      <c r="I517" s="14"/>
    </row>
    <row r="518" spans="1:9" x14ac:dyDescent="0.3">
      <c r="A518" s="13" t="str">
        <f>IF(B518="","",COUNTA($B$4:B518))</f>
        <v/>
      </c>
      <c r="B518" s="13"/>
      <c r="C518" s="13"/>
      <c r="D518" s="13"/>
      <c r="E518" s="13"/>
      <c r="F518" s="13"/>
      <c r="G518" s="13"/>
      <c r="H518" s="13"/>
      <c r="I518" s="14"/>
    </row>
    <row r="519" spans="1:9" x14ac:dyDescent="0.3">
      <c r="A519" s="13" t="str">
        <f>IF(B519="","",COUNTA($B$4:B519))</f>
        <v/>
      </c>
      <c r="B519" s="13"/>
      <c r="C519" s="13"/>
      <c r="D519" s="13"/>
      <c r="E519" s="13"/>
      <c r="F519" s="13"/>
      <c r="G519" s="13"/>
      <c r="H519" s="13"/>
      <c r="I519" s="14"/>
    </row>
    <row r="520" spans="1:9" x14ac:dyDescent="0.3">
      <c r="A520" s="13" t="str">
        <f>IF(B520="","",COUNTA($B$4:B520))</f>
        <v/>
      </c>
      <c r="B520" s="13"/>
      <c r="C520" s="13"/>
      <c r="D520" s="13"/>
      <c r="E520" s="13"/>
      <c r="F520" s="13"/>
      <c r="G520" s="13"/>
      <c r="H520" s="13"/>
      <c r="I520" s="14"/>
    </row>
    <row r="521" spans="1:9" x14ac:dyDescent="0.3">
      <c r="A521" s="13" t="str">
        <f>IF(B521="","",COUNTA($B$4:B521))</f>
        <v/>
      </c>
      <c r="B521" s="13"/>
      <c r="C521" s="13"/>
      <c r="D521" s="13"/>
      <c r="E521" s="13"/>
      <c r="F521" s="13"/>
      <c r="G521" s="13"/>
      <c r="H521" s="13"/>
      <c r="I521" s="14"/>
    </row>
    <row r="522" spans="1:9" x14ac:dyDescent="0.3">
      <c r="A522" s="13" t="str">
        <f>IF(B522="","",COUNTA($B$4:B522))</f>
        <v/>
      </c>
      <c r="B522" s="13"/>
      <c r="C522" s="13"/>
      <c r="D522" s="13"/>
      <c r="E522" s="13"/>
      <c r="F522" s="13"/>
      <c r="G522" s="13"/>
      <c r="H522" s="13"/>
      <c r="I522" s="14"/>
    </row>
    <row r="523" spans="1:9" x14ac:dyDescent="0.3">
      <c r="A523" s="13" t="str">
        <f>IF(B523="","",COUNTA($B$4:B523))</f>
        <v/>
      </c>
      <c r="B523" s="13"/>
      <c r="C523" s="13"/>
      <c r="D523" s="13"/>
      <c r="E523" s="13"/>
      <c r="F523" s="13"/>
      <c r="G523" s="13"/>
      <c r="H523" s="13"/>
      <c r="I523" s="14"/>
    </row>
    <row r="524" spans="1:9" x14ac:dyDescent="0.3">
      <c r="A524" s="13" t="str">
        <f>IF(B524="","",COUNTA($B$4:B524))</f>
        <v/>
      </c>
      <c r="B524" s="13"/>
      <c r="C524" s="13"/>
      <c r="D524" s="13"/>
      <c r="E524" s="13"/>
      <c r="F524" s="13"/>
      <c r="G524" s="13"/>
      <c r="H524" s="13"/>
      <c r="I524" s="14"/>
    </row>
    <row r="525" spans="1:9" x14ac:dyDescent="0.3">
      <c r="A525" s="13" t="str">
        <f>IF(B525="","",COUNTA($B$4:B525))</f>
        <v/>
      </c>
      <c r="B525" s="13"/>
      <c r="C525" s="13"/>
      <c r="D525" s="13"/>
      <c r="E525" s="13"/>
      <c r="F525" s="13"/>
      <c r="G525" s="13"/>
      <c r="H525" s="13"/>
      <c r="I525" s="14"/>
    </row>
    <row r="526" spans="1:9" x14ac:dyDescent="0.3">
      <c r="A526" s="13" t="str">
        <f>IF(B526="","",COUNTA($B$4:B526))</f>
        <v/>
      </c>
      <c r="B526" s="13"/>
      <c r="C526" s="13"/>
      <c r="D526" s="13"/>
      <c r="E526" s="13"/>
      <c r="F526" s="13"/>
      <c r="G526" s="13"/>
      <c r="H526" s="13"/>
      <c r="I526" s="14"/>
    </row>
    <row r="527" spans="1:9" x14ac:dyDescent="0.3">
      <c r="A527" s="13" t="str">
        <f>IF(B527="","",COUNTA($B$4:B527))</f>
        <v/>
      </c>
      <c r="B527" s="13"/>
      <c r="C527" s="13"/>
      <c r="D527" s="13"/>
      <c r="E527" s="13"/>
      <c r="F527" s="13"/>
      <c r="G527" s="13"/>
      <c r="H527" s="13"/>
      <c r="I527" s="14"/>
    </row>
    <row r="528" spans="1:9" x14ac:dyDescent="0.3">
      <c r="A528" s="13" t="str">
        <f>IF(B528="","",COUNTA($B$4:B528))</f>
        <v/>
      </c>
      <c r="B528" s="13"/>
      <c r="C528" s="13"/>
      <c r="D528" s="13"/>
      <c r="E528" s="13"/>
      <c r="F528" s="13"/>
      <c r="G528" s="13"/>
      <c r="H528" s="13"/>
      <c r="I528" s="14"/>
    </row>
    <row r="529" spans="1:9" x14ac:dyDescent="0.3">
      <c r="A529" s="13" t="str">
        <f>IF(B529="","",COUNTA($B$4:B529))</f>
        <v/>
      </c>
      <c r="B529" s="13"/>
      <c r="C529" s="13"/>
      <c r="D529" s="13"/>
      <c r="E529" s="13"/>
      <c r="F529" s="13"/>
      <c r="G529" s="13"/>
      <c r="H529" s="13"/>
      <c r="I529" s="14"/>
    </row>
    <row r="530" spans="1:9" x14ac:dyDescent="0.3">
      <c r="A530" s="13" t="str">
        <f>IF(B530="","",COUNTA($B$4:B530))</f>
        <v/>
      </c>
      <c r="B530" s="13"/>
      <c r="C530" s="13"/>
      <c r="D530" s="13"/>
      <c r="E530" s="13"/>
      <c r="F530" s="13"/>
      <c r="G530" s="13"/>
      <c r="H530" s="13"/>
      <c r="I530" s="14"/>
    </row>
    <row r="531" spans="1:9" x14ac:dyDescent="0.3">
      <c r="A531" s="13" t="str">
        <f>IF(B531="","",COUNTA($B$4:B531))</f>
        <v/>
      </c>
      <c r="B531" s="13"/>
      <c r="C531" s="13"/>
      <c r="D531" s="13"/>
      <c r="E531" s="13"/>
      <c r="F531" s="13"/>
      <c r="G531" s="13"/>
      <c r="H531" s="13"/>
      <c r="I531" s="14"/>
    </row>
    <row r="532" spans="1:9" x14ac:dyDescent="0.3">
      <c r="A532" s="13" t="str">
        <f>IF(B532="","",COUNTA($B$4:B532))</f>
        <v/>
      </c>
      <c r="B532" s="13"/>
      <c r="C532" s="13"/>
      <c r="D532" s="13"/>
      <c r="E532" s="13"/>
      <c r="F532" s="13"/>
      <c r="G532" s="13"/>
      <c r="H532" s="13"/>
      <c r="I532" s="14"/>
    </row>
    <row r="533" spans="1:9" x14ac:dyDescent="0.3">
      <c r="A533" s="13" t="str">
        <f>IF(B533="","",COUNTA($B$4:B533))</f>
        <v/>
      </c>
      <c r="B533" s="13"/>
      <c r="C533" s="13"/>
      <c r="D533" s="13"/>
      <c r="E533" s="13"/>
      <c r="F533" s="13"/>
      <c r="G533" s="13"/>
      <c r="H533" s="13"/>
      <c r="I533" s="14"/>
    </row>
    <row r="534" spans="1:9" x14ac:dyDescent="0.3">
      <c r="A534" s="13" t="str">
        <f>IF(B534="","",COUNTA($B$4:B534))</f>
        <v/>
      </c>
      <c r="B534" s="13"/>
      <c r="C534" s="13"/>
      <c r="D534" s="13"/>
      <c r="E534" s="13"/>
      <c r="F534" s="13"/>
      <c r="G534" s="13"/>
      <c r="H534" s="13"/>
      <c r="I534" s="14"/>
    </row>
    <row r="535" spans="1:9" x14ac:dyDescent="0.3">
      <c r="A535" s="13" t="str">
        <f>IF(B535="","",COUNTA($B$4:B535))</f>
        <v/>
      </c>
      <c r="B535" s="13"/>
      <c r="C535" s="13"/>
      <c r="D535" s="13"/>
      <c r="E535" s="13"/>
      <c r="F535" s="13"/>
      <c r="G535" s="13"/>
      <c r="H535" s="13"/>
      <c r="I535" s="14"/>
    </row>
    <row r="536" spans="1:9" x14ac:dyDescent="0.3">
      <c r="A536" s="13" t="str">
        <f>IF(B536="","",COUNTA($B$4:B536))</f>
        <v/>
      </c>
      <c r="B536" s="13"/>
      <c r="C536" s="13"/>
      <c r="D536" s="13"/>
      <c r="E536" s="13"/>
      <c r="F536" s="13"/>
      <c r="G536" s="13"/>
      <c r="H536" s="13"/>
      <c r="I536" s="14"/>
    </row>
    <row r="537" spans="1:9" x14ac:dyDescent="0.3">
      <c r="A537" s="13" t="str">
        <f>IF(B537="","",COUNTA($B$4:B537))</f>
        <v/>
      </c>
      <c r="B537" s="13"/>
      <c r="C537" s="13"/>
      <c r="D537" s="13"/>
      <c r="E537" s="13"/>
      <c r="F537" s="13"/>
      <c r="G537" s="13"/>
      <c r="H537" s="13"/>
      <c r="I537" s="14"/>
    </row>
    <row r="538" spans="1:9" x14ac:dyDescent="0.3">
      <c r="A538" s="13" t="str">
        <f>IF(B538="","",COUNTA($B$4:B538))</f>
        <v/>
      </c>
      <c r="B538" s="13"/>
      <c r="C538" s="13"/>
      <c r="D538" s="13"/>
      <c r="E538" s="13"/>
      <c r="F538" s="13"/>
      <c r="G538" s="13"/>
      <c r="H538" s="13"/>
      <c r="I538" s="14"/>
    </row>
    <row r="539" spans="1:9" x14ac:dyDescent="0.3">
      <c r="A539" s="13" t="str">
        <f>IF(B539="","",COUNTA($B$4:B539))</f>
        <v/>
      </c>
      <c r="B539" s="13"/>
      <c r="C539" s="13"/>
      <c r="D539" s="13"/>
      <c r="E539" s="13"/>
      <c r="F539" s="13"/>
      <c r="G539" s="13"/>
      <c r="H539" s="13"/>
      <c r="I539" s="14"/>
    </row>
    <row r="540" spans="1:9" x14ac:dyDescent="0.3">
      <c r="A540" s="13" t="str">
        <f>IF(B540="","",COUNTA($B$4:B540))</f>
        <v/>
      </c>
      <c r="B540" s="13"/>
      <c r="C540" s="13"/>
      <c r="D540" s="13"/>
      <c r="E540" s="13"/>
      <c r="F540" s="13"/>
      <c r="G540" s="13"/>
      <c r="H540" s="13"/>
      <c r="I540" s="14"/>
    </row>
    <row r="541" spans="1:9" x14ac:dyDescent="0.3">
      <c r="A541" s="13" t="str">
        <f>IF(B541="","",COUNTA($B$4:B541))</f>
        <v/>
      </c>
      <c r="B541" s="13"/>
      <c r="C541" s="13"/>
      <c r="D541" s="13"/>
      <c r="E541" s="13"/>
      <c r="F541" s="13"/>
      <c r="G541" s="13"/>
      <c r="H541" s="13"/>
      <c r="I541" s="14"/>
    </row>
    <row r="542" spans="1:9" x14ac:dyDescent="0.3">
      <c r="A542" s="13" t="str">
        <f>IF(B542="","",COUNTA($B$4:B542))</f>
        <v/>
      </c>
      <c r="B542" s="13"/>
      <c r="C542" s="13"/>
      <c r="D542" s="13"/>
      <c r="E542" s="13"/>
      <c r="F542" s="13"/>
      <c r="G542" s="13"/>
      <c r="H542" s="13"/>
      <c r="I542" s="14"/>
    </row>
    <row r="543" spans="1:9" x14ac:dyDescent="0.3">
      <c r="A543" s="13" t="str">
        <f>IF(B543="","",COUNTA($B$4:B543))</f>
        <v/>
      </c>
      <c r="B543" s="13"/>
      <c r="C543" s="13"/>
      <c r="D543" s="13"/>
      <c r="E543" s="13"/>
      <c r="F543" s="13"/>
      <c r="G543" s="13"/>
      <c r="H543" s="13"/>
      <c r="I543" s="14"/>
    </row>
    <row r="544" spans="1:9" x14ac:dyDescent="0.3">
      <c r="A544" s="13" t="str">
        <f>IF(B544="","",COUNTA($B$4:B544))</f>
        <v/>
      </c>
      <c r="B544" s="13"/>
      <c r="C544" s="13"/>
      <c r="D544" s="13"/>
      <c r="E544" s="13"/>
      <c r="F544" s="13"/>
      <c r="G544" s="13"/>
      <c r="H544" s="13"/>
      <c r="I544" s="14"/>
    </row>
    <row r="545" spans="1:9" x14ac:dyDescent="0.3">
      <c r="A545" s="13" t="str">
        <f>IF(B545="","",COUNTA($B$4:B545))</f>
        <v/>
      </c>
      <c r="B545" s="13"/>
      <c r="C545" s="13"/>
      <c r="D545" s="13"/>
      <c r="E545" s="13"/>
      <c r="F545" s="13"/>
      <c r="G545" s="13"/>
      <c r="H545" s="13"/>
      <c r="I545" s="14"/>
    </row>
    <row r="546" spans="1:9" x14ac:dyDescent="0.3">
      <c r="A546" s="13" t="str">
        <f>IF(B546="","",COUNTA($B$4:B546))</f>
        <v/>
      </c>
      <c r="B546" s="13"/>
      <c r="C546" s="13"/>
      <c r="D546" s="13"/>
      <c r="E546" s="13"/>
      <c r="F546" s="13"/>
      <c r="G546" s="13"/>
      <c r="H546" s="13"/>
      <c r="I546" s="14"/>
    </row>
    <row r="547" spans="1:9" x14ac:dyDescent="0.3">
      <c r="A547" s="13" t="str">
        <f>IF(B547="","",COUNTA($B$4:B547))</f>
        <v/>
      </c>
      <c r="B547" s="13"/>
      <c r="C547" s="13"/>
      <c r="D547" s="13"/>
      <c r="E547" s="13"/>
      <c r="F547" s="13"/>
      <c r="G547" s="13"/>
      <c r="H547" s="13"/>
      <c r="I547" s="14"/>
    </row>
    <row r="548" spans="1:9" x14ac:dyDescent="0.3">
      <c r="A548" s="13" t="str">
        <f>IF(B548="","",COUNTA($B$4:B548))</f>
        <v/>
      </c>
      <c r="B548" s="13"/>
      <c r="C548" s="13"/>
      <c r="D548" s="13"/>
      <c r="E548" s="13"/>
      <c r="F548" s="13"/>
      <c r="G548" s="13"/>
      <c r="H548" s="13"/>
      <c r="I548" s="14"/>
    </row>
    <row r="549" spans="1:9" x14ac:dyDescent="0.3">
      <c r="A549" s="13" t="str">
        <f>IF(B549="","",COUNTA($B$4:B549))</f>
        <v/>
      </c>
      <c r="B549" s="13"/>
      <c r="C549" s="13"/>
      <c r="D549" s="13"/>
      <c r="E549" s="13"/>
      <c r="F549" s="13"/>
      <c r="G549" s="13"/>
      <c r="H549" s="13"/>
      <c r="I549" s="14"/>
    </row>
    <row r="550" spans="1:9" x14ac:dyDescent="0.3">
      <c r="A550" s="13" t="str">
        <f>IF(B550="","",COUNTA($B$4:B550))</f>
        <v/>
      </c>
      <c r="B550" s="13"/>
      <c r="C550" s="13"/>
      <c r="D550" s="13"/>
      <c r="E550" s="13"/>
      <c r="F550" s="13"/>
      <c r="G550" s="13"/>
      <c r="H550" s="13"/>
      <c r="I550" s="14"/>
    </row>
    <row r="551" spans="1:9" x14ac:dyDescent="0.3">
      <c r="A551" s="13" t="str">
        <f>IF(B551="","",COUNTA($B$4:B551))</f>
        <v/>
      </c>
      <c r="B551" s="13"/>
      <c r="C551" s="13"/>
      <c r="D551" s="13"/>
      <c r="E551" s="13"/>
      <c r="F551" s="13"/>
      <c r="G551" s="13"/>
      <c r="H551" s="13"/>
      <c r="I551" s="14"/>
    </row>
    <row r="552" spans="1:9" x14ac:dyDescent="0.3">
      <c r="A552" s="13" t="str">
        <f>IF(B552="","",COUNTA($B$4:B552))</f>
        <v/>
      </c>
      <c r="B552" s="13"/>
      <c r="C552" s="13"/>
      <c r="D552" s="13"/>
      <c r="E552" s="13"/>
      <c r="F552" s="13"/>
      <c r="G552" s="13"/>
      <c r="H552" s="13"/>
      <c r="I552" s="14"/>
    </row>
    <row r="553" spans="1:9" x14ac:dyDescent="0.3">
      <c r="A553" s="13" t="str">
        <f>IF(B553="","",COUNTA($B$4:B553))</f>
        <v/>
      </c>
      <c r="B553" s="13"/>
      <c r="C553" s="13"/>
      <c r="D553" s="13"/>
      <c r="E553" s="13"/>
      <c r="F553" s="13"/>
      <c r="G553" s="13"/>
      <c r="H553" s="13"/>
      <c r="I553" s="14"/>
    </row>
    <row r="554" spans="1:9" x14ac:dyDescent="0.3">
      <c r="A554" s="13" t="str">
        <f>IF(B554="","",COUNTA($B$4:B554))</f>
        <v/>
      </c>
      <c r="B554" s="13"/>
      <c r="C554" s="13"/>
      <c r="D554" s="13"/>
      <c r="E554" s="13"/>
      <c r="F554" s="13"/>
      <c r="G554" s="13"/>
      <c r="H554" s="13"/>
      <c r="I554" s="14"/>
    </row>
    <row r="555" spans="1:9" x14ac:dyDescent="0.3">
      <c r="A555" s="13" t="str">
        <f>IF(B555="","",COUNTA($B$4:B555))</f>
        <v/>
      </c>
      <c r="B555" s="13"/>
      <c r="C555" s="13"/>
      <c r="D555" s="13"/>
      <c r="E555" s="13"/>
      <c r="F555" s="13"/>
      <c r="G555" s="13"/>
      <c r="H555" s="13"/>
      <c r="I555" s="14"/>
    </row>
    <row r="556" spans="1:9" x14ac:dyDescent="0.3">
      <c r="A556" s="13" t="str">
        <f>IF(B556="","",COUNTA($B$4:B556))</f>
        <v/>
      </c>
      <c r="B556" s="13"/>
      <c r="C556" s="13"/>
      <c r="D556" s="13"/>
      <c r="E556" s="13"/>
      <c r="F556" s="13"/>
      <c r="G556" s="13"/>
      <c r="H556" s="13"/>
      <c r="I556" s="14"/>
    </row>
    <row r="557" spans="1:9" x14ac:dyDescent="0.3">
      <c r="A557" s="13" t="str">
        <f>IF(B557="","",COUNTA($B$4:B557))</f>
        <v/>
      </c>
      <c r="B557" s="13"/>
      <c r="C557" s="13"/>
      <c r="D557" s="13"/>
      <c r="E557" s="13"/>
      <c r="F557" s="13"/>
      <c r="G557" s="13"/>
      <c r="H557" s="13"/>
      <c r="I557" s="14"/>
    </row>
    <row r="558" spans="1:9" x14ac:dyDescent="0.3">
      <c r="A558" s="13" t="str">
        <f>IF(B558="","",COUNTA($B$4:B558))</f>
        <v/>
      </c>
      <c r="B558" s="13"/>
      <c r="C558" s="13"/>
      <c r="D558" s="13"/>
      <c r="E558" s="13"/>
      <c r="F558" s="13"/>
      <c r="G558" s="13"/>
      <c r="H558" s="13"/>
      <c r="I558" s="14"/>
    </row>
    <row r="559" spans="1:9" x14ac:dyDescent="0.3">
      <c r="A559" s="13" t="str">
        <f>IF(B559="","",COUNTA($B$4:B559))</f>
        <v/>
      </c>
      <c r="B559" s="13"/>
      <c r="C559" s="13"/>
      <c r="D559" s="13"/>
      <c r="E559" s="13"/>
      <c r="F559" s="13"/>
      <c r="G559" s="13"/>
      <c r="H559" s="13"/>
      <c r="I559" s="14"/>
    </row>
    <row r="560" spans="1:9" x14ac:dyDescent="0.3">
      <c r="A560" s="13" t="str">
        <f>IF(B560="","",COUNTA($B$4:B560))</f>
        <v/>
      </c>
      <c r="B560" s="13"/>
      <c r="C560" s="13"/>
      <c r="D560" s="13"/>
      <c r="E560" s="13"/>
      <c r="F560" s="13"/>
      <c r="G560" s="13"/>
      <c r="H560" s="13"/>
      <c r="I560" s="14"/>
    </row>
    <row r="561" spans="1:9" x14ac:dyDescent="0.3">
      <c r="A561" s="13" t="str">
        <f>IF(B561="","",COUNTA($B$4:B561))</f>
        <v/>
      </c>
      <c r="B561" s="13"/>
      <c r="C561" s="13"/>
      <c r="D561" s="13"/>
      <c r="E561" s="13"/>
      <c r="F561" s="13"/>
      <c r="G561" s="13"/>
      <c r="H561" s="13"/>
      <c r="I561" s="14"/>
    </row>
    <row r="562" spans="1:9" x14ac:dyDescent="0.3">
      <c r="A562" s="13" t="str">
        <f>IF(B562="","",COUNTA($B$4:B562))</f>
        <v/>
      </c>
      <c r="B562" s="13"/>
      <c r="C562" s="13"/>
      <c r="D562" s="13"/>
      <c r="E562" s="13"/>
      <c r="F562" s="13"/>
      <c r="G562" s="13"/>
      <c r="H562" s="13"/>
      <c r="I562" s="14"/>
    </row>
    <row r="563" spans="1:9" x14ac:dyDescent="0.3">
      <c r="A563" s="13" t="str">
        <f>IF(B563="","",COUNTA($B$4:B563))</f>
        <v/>
      </c>
      <c r="B563" s="13"/>
      <c r="C563" s="13"/>
      <c r="D563" s="13"/>
      <c r="E563" s="13"/>
      <c r="F563" s="13"/>
      <c r="G563" s="13"/>
      <c r="H563" s="13"/>
      <c r="I563" s="14"/>
    </row>
    <row r="564" spans="1:9" x14ac:dyDescent="0.3">
      <c r="A564" s="13" t="str">
        <f>IF(B564="","",COUNTA($B$4:B564))</f>
        <v/>
      </c>
      <c r="B564" s="13"/>
      <c r="C564" s="13"/>
      <c r="D564" s="13"/>
      <c r="E564" s="13"/>
      <c r="F564" s="13"/>
      <c r="G564" s="13"/>
      <c r="H564" s="13"/>
      <c r="I564" s="14"/>
    </row>
    <row r="565" spans="1:9" x14ac:dyDescent="0.3">
      <c r="A565" s="13" t="str">
        <f>IF(B565="","",COUNTA($B$4:B565))</f>
        <v/>
      </c>
      <c r="B565" s="13"/>
      <c r="C565" s="13"/>
      <c r="D565" s="13"/>
      <c r="E565" s="13"/>
      <c r="F565" s="13"/>
      <c r="G565" s="13"/>
      <c r="H565" s="13"/>
      <c r="I565" s="14"/>
    </row>
    <row r="566" spans="1:9" x14ac:dyDescent="0.3">
      <c r="A566" s="13" t="str">
        <f>IF(B566="","",COUNTA($B$4:B566))</f>
        <v/>
      </c>
      <c r="B566" s="13"/>
      <c r="C566" s="13"/>
      <c r="D566" s="13"/>
      <c r="E566" s="13"/>
      <c r="F566" s="13"/>
      <c r="G566" s="13"/>
      <c r="H566" s="13"/>
      <c r="I566" s="14"/>
    </row>
    <row r="567" spans="1:9" x14ac:dyDescent="0.3">
      <c r="A567" s="13" t="str">
        <f>IF(B567="","",COUNTA($B$4:B567))</f>
        <v/>
      </c>
      <c r="B567" s="13"/>
      <c r="C567" s="13"/>
      <c r="D567" s="13"/>
      <c r="E567" s="13"/>
      <c r="F567" s="13"/>
      <c r="G567" s="13"/>
      <c r="H567" s="13"/>
      <c r="I567" s="14"/>
    </row>
    <row r="568" spans="1:9" x14ac:dyDescent="0.3">
      <c r="A568" s="13" t="str">
        <f>IF(B568="","",COUNTA($B$4:B568))</f>
        <v/>
      </c>
      <c r="B568" s="13"/>
      <c r="C568" s="13"/>
      <c r="D568" s="13"/>
      <c r="E568" s="13"/>
      <c r="F568" s="13"/>
      <c r="G568" s="13"/>
      <c r="H568" s="13"/>
      <c r="I568" s="14"/>
    </row>
    <row r="569" spans="1:9" x14ac:dyDescent="0.3">
      <c r="A569" s="13" t="str">
        <f>IF(B569="","",COUNTA($B$4:B569))</f>
        <v/>
      </c>
      <c r="B569" s="13"/>
      <c r="C569" s="13"/>
      <c r="D569" s="13"/>
      <c r="E569" s="13"/>
      <c r="F569" s="13"/>
      <c r="G569" s="13"/>
      <c r="H569" s="13"/>
      <c r="I569" s="14"/>
    </row>
    <row r="570" spans="1:9" x14ac:dyDescent="0.3">
      <c r="A570" s="13" t="str">
        <f>IF(B570="","",COUNTA($B$4:B570))</f>
        <v/>
      </c>
      <c r="B570" s="13"/>
      <c r="C570" s="13"/>
      <c r="D570" s="13"/>
      <c r="E570" s="13"/>
      <c r="F570" s="13"/>
      <c r="G570" s="13"/>
      <c r="H570" s="13"/>
      <c r="I570" s="14"/>
    </row>
    <row r="571" spans="1:9" x14ac:dyDescent="0.3">
      <c r="A571" s="13" t="str">
        <f>IF(B571="","",COUNTA($B$4:B571))</f>
        <v/>
      </c>
      <c r="B571" s="13"/>
      <c r="C571" s="13"/>
      <c r="D571" s="13"/>
      <c r="E571" s="13"/>
      <c r="F571" s="13"/>
      <c r="G571" s="13"/>
      <c r="H571" s="13"/>
      <c r="I571" s="14"/>
    </row>
    <row r="572" spans="1:9" x14ac:dyDescent="0.3">
      <c r="A572" s="13" t="str">
        <f>IF(B572="","",COUNTA($B$4:B572))</f>
        <v/>
      </c>
      <c r="B572" s="13"/>
      <c r="C572" s="13"/>
      <c r="D572" s="13"/>
      <c r="E572" s="13"/>
      <c r="F572" s="13"/>
      <c r="G572" s="13"/>
      <c r="H572" s="13"/>
      <c r="I572" s="14"/>
    </row>
    <row r="573" spans="1:9" x14ac:dyDescent="0.3">
      <c r="A573" s="13" t="str">
        <f>IF(B573="","",COUNTA($B$4:B573))</f>
        <v/>
      </c>
      <c r="B573" s="13"/>
      <c r="C573" s="13"/>
      <c r="D573" s="13"/>
      <c r="E573" s="13"/>
      <c r="F573" s="13"/>
      <c r="G573" s="13"/>
      <c r="H573" s="13"/>
      <c r="I573" s="14"/>
    </row>
    <row r="574" spans="1:9" x14ac:dyDescent="0.3">
      <c r="A574" s="13" t="str">
        <f>IF(B574="","",COUNTA($B$4:B574))</f>
        <v/>
      </c>
      <c r="B574" s="13"/>
      <c r="C574" s="13"/>
      <c r="D574" s="13"/>
      <c r="E574" s="13"/>
      <c r="F574" s="13"/>
      <c r="G574" s="13"/>
      <c r="H574" s="13"/>
      <c r="I574" s="14"/>
    </row>
    <row r="575" spans="1:9" x14ac:dyDescent="0.3">
      <c r="A575" s="13" t="str">
        <f>IF(B575="","",COUNTA($B$4:B575))</f>
        <v/>
      </c>
      <c r="B575" s="13"/>
      <c r="C575" s="13"/>
      <c r="D575" s="13"/>
      <c r="E575" s="13"/>
      <c r="F575" s="13"/>
      <c r="G575" s="13"/>
      <c r="H575" s="13"/>
      <c r="I575" s="14"/>
    </row>
    <row r="576" spans="1:9" x14ac:dyDescent="0.3">
      <c r="A576" s="13" t="str">
        <f>IF(B576="","",COUNTA($B$4:B576))</f>
        <v/>
      </c>
      <c r="B576" s="13"/>
      <c r="C576" s="13"/>
      <c r="D576" s="13"/>
      <c r="E576" s="13"/>
      <c r="F576" s="13"/>
      <c r="G576" s="13"/>
      <c r="H576" s="13"/>
      <c r="I576" s="14"/>
    </row>
    <row r="577" spans="1:9" x14ac:dyDescent="0.3">
      <c r="A577" s="13" t="str">
        <f>IF(B577="","",COUNTA($B$4:B577))</f>
        <v/>
      </c>
      <c r="B577" s="13"/>
      <c r="C577" s="13"/>
      <c r="D577" s="13"/>
      <c r="E577" s="13"/>
      <c r="F577" s="13"/>
      <c r="G577" s="13"/>
      <c r="H577" s="13"/>
      <c r="I577" s="14"/>
    </row>
    <row r="578" spans="1:9" x14ac:dyDescent="0.3">
      <c r="A578" s="13" t="str">
        <f>IF(B578="","",COUNTA($B$4:B578))</f>
        <v/>
      </c>
      <c r="B578" s="13"/>
      <c r="C578" s="13"/>
      <c r="D578" s="13"/>
      <c r="E578" s="13"/>
      <c r="F578" s="13"/>
      <c r="G578" s="13"/>
      <c r="H578" s="13"/>
      <c r="I578" s="14"/>
    </row>
    <row r="579" spans="1:9" x14ac:dyDescent="0.3">
      <c r="A579" s="13" t="str">
        <f>IF(B579="","",COUNTA($B$4:B579))</f>
        <v/>
      </c>
      <c r="B579" s="13"/>
      <c r="C579" s="13"/>
      <c r="D579" s="13"/>
      <c r="E579" s="13"/>
      <c r="F579" s="13"/>
      <c r="G579" s="13"/>
      <c r="H579" s="13"/>
      <c r="I579" s="14"/>
    </row>
    <row r="580" spans="1:9" x14ac:dyDescent="0.3">
      <c r="A580" s="13" t="str">
        <f>IF(B580="","",COUNTA($B$4:B580))</f>
        <v/>
      </c>
      <c r="B580" s="13"/>
      <c r="C580" s="13"/>
      <c r="D580" s="13"/>
      <c r="E580" s="13"/>
      <c r="F580" s="13"/>
      <c r="G580" s="13"/>
      <c r="H580" s="13"/>
      <c r="I580" s="14"/>
    </row>
    <row r="581" spans="1:9" x14ac:dyDescent="0.3">
      <c r="A581" s="13" t="str">
        <f>IF(B581="","",COUNTA($B$4:B581))</f>
        <v/>
      </c>
      <c r="B581" s="13"/>
      <c r="C581" s="13"/>
      <c r="D581" s="13"/>
      <c r="E581" s="13"/>
      <c r="F581" s="13"/>
      <c r="G581" s="13"/>
      <c r="H581" s="13"/>
      <c r="I581" s="14"/>
    </row>
    <row r="582" spans="1:9" x14ac:dyDescent="0.3">
      <c r="A582" s="13" t="str">
        <f>IF(B582="","",COUNTA($B$4:B582))</f>
        <v/>
      </c>
      <c r="B582" s="13"/>
      <c r="C582" s="13"/>
      <c r="D582" s="13"/>
      <c r="E582" s="13"/>
      <c r="F582" s="13"/>
      <c r="G582" s="13"/>
      <c r="H582" s="13"/>
      <c r="I582" s="14"/>
    </row>
    <row r="583" spans="1:9" x14ac:dyDescent="0.3">
      <c r="A583" s="13" t="str">
        <f>IF(B583="","",COUNTA($B$4:B583))</f>
        <v/>
      </c>
      <c r="B583" s="13"/>
      <c r="C583" s="13"/>
      <c r="D583" s="13"/>
      <c r="E583" s="13"/>
      <c r="F583" s="13"/>
      <c r="G583" s="13"/>
      <c r="H583" s="13"/>
      <c r="I583" s="14"/>
    </row>
    <row r="584" spans="1:9" x14ac:dyDescent="0.3">
      <c r="A584" s="13" t="str">
        <f>IF(B584="","",COUNTA($B$4:B584))</f>
        <v/>
      </c>
      <c r="B584" s="13"/>
      <c r="C584" s="13"/>
      <c r="D584" s="13"/>
      <c r="E584" s="13"/>
      <c r="F584" s="13"/>
      <c r="G584" s="13"/>
      <c r="H584" s="13"/>
      <c r="I584" s="14"/>
    </row>
    <row r="585" spans="1:9" x14ac:dyDescent="0.3">
      <c r="A585" s="13" t="str">
        <f>IF(B585="","",COUNTA($B$4:B585))</f>
        <v/>
      </c>
      <c r="B585" s="13"/>
      <c r="C585" s="13"/>
      <c r="D585" s="13"/>
      <c r="E585" s="13"/>
      <c r="F585" s="13"/>
      <c r="G585" s="13"/>
      <c r="H585" s="13"/>
      <c r="I585" s="14"/>
    </row>
    <row r="586" spans="1:9" x14ac:dyDescent="0.3">
      <c r="A586" s="13" t="str">
        <f>IF(B586="","",COUNTA($B$4:B586))</f>
        <v/>
      </c>
      <c r="B586" s="13"/>
      <c r="C586" s="13"/>
      <c r="D586" s="13"/>
      <c r="E586" s="13"/>
      <c r="F586" s="13"/>
      <c r="G586" s="13"/>
      <c r="H586" s="13"/>
      <c r="I586" s="14"/>
    </row>
    <row r="587" spans="1:9" x14ac:dyDescent="0.3">
      <c r="A587" s="13" t="str">
        <f>IF(B587="","",COUNTA($B$4:B587))</f>
        <v/>
      </c>
      <c r="B587" s="13"/>
      <c r="C587" s="13"/>
      <c r="D587" s="13"/>
      <c r="E587" s="13"/>
      <c r="F587" s="13"/>
      <c r="G587" s="13"/>
      <c r="H587" s="13"/>
      <c r="I587" s="14"/>
    </row>
    <row r="588" spans="1:9" x14ac:dyDescent="0.3">
      <c r="A588" s="13" t="str">
        <f>IF(B588="","",COUNTA($B$4:B588))</f>
        <v/>
      </c>
      <c r="B588" s="13"/>
      <c r="C588" s="13"/>
      <c r="D588" s="13"/>
      <c r="E588" s="13"/>
      <c r="F588" s="13"/>
      <c r="G588" s="13"/>
      <c r="H588" s="13"/>
      <c r="I588" s="14"/>
    </row>
    <row r="589" spans="1:9" x14ac:dyDescent="0.3">
      <c r="A589" s="13" t="str">
        <f>IF(B589="","",COUNTA($B$4:B589))</f>
        <v/>
      </c>
      <c r="B589" s="13"/>
      <c r="C589" s="13"/>
      <c r="D589" s="13"/>
      <c r="E589" s="13"/>
      <c r="F589" s="13"/>
      <c r="G589" s="13"/>
      <c r="H589" s="13"/>
      <c r="I589" s="14"/>
    </row>
    <row r="590" spans="1:9" x14ac:dyDescent="0.3">
      <c r="A590" s="13" t="str">
        <f>IF(B590="","",COUNTA($B$4:B590))</f>
        <v/>
      </c>
      <c r="B590" s="13"/>
      <c r="C590" s="13"/>
      <c r="D590" s="13"/>
      <c r="E590" s="13"/>
      <c r="F590" s="13"/>
      <c r="G590" s="13"/>
      <c r="H590" s="13"/>
      <c r="I590" s="14"/>
    </row>
    <row r="591" spans="1:9" x14ac:dyDescent="0.3">
      <c r="A591" s="13" t="str">
        <f>IF(B591="","",COUNTA($B$4:B591))</f>
        <v/>
      </c>
      <c r="B591" s="13"/>
      <c r="C591" s="13"/>
      <c r="D591" s="13"/>
      <c r="E591" s="13"/>
      <c r="F591" s="13"/>
      <c r="G591" s="13"/>
      <c r="H591" s="13"/>
      <c r="I591" s="14"/>
    </row>
    <row r="592" spans="1:9" x14ac:dyDescent="0.3">
      <c r="A592" s="13" t="str">
        <f>IF(B592="","",COUNTA($B$4:B592))</f>
        <v/>
      </c>
      <c r="B592" s="13"/>
      <c r="C592" s="13"/>
      <c r="D592" s="13"/>
      <c r="E592" s="13"/>
      <c r="F592" s="13"/>
      <c r="G592" s="13"/>
      <c r="H592" s="13"/>
      <c r="I592" s="14"/>
    </row>
    <row r="593" spans="1:9" x14ac:dyDescent="0.3">
      <c r="A593" s="13" t="str">
        <f>IF(B593="","",COUNTA($B$4:B593))</f>
        <v/>
      </c>
      <c r="B593" s="13"/>
      <c r="C593" s="13"/>
      <c r="D593" s="13"/>
      <c r="E593" s="13"/>
      <c r="F593" s="13"/>
      <c r="G593" s="13"/>
      <c r="H593" s="13"/>
      <c r="I593" s="14"/>
    </row>
    <row r="594" spans="1:9" x14ac:dyDescent="0.3">
      <c r="A594" s="13" t="str">
        <f>IF(B594="","",COUNTA($B$4:B594))</f>
        <v/>
      </c>
      <c r="B594" s="13"/>
      <c r="C594" s="13"/>
      <c r="D594" s="13"/>
      <c r="E594" s="13"/>
      <c r="F594" s="13"/>
      <c r="G594" s="13"/>
      <c r="H594" s="13"/>
      <c r="I594" s="14"/>
    </row>
    <row r="595" spans="1:9" x14ac:dyDescent="0.3">
      <c r="A595" s="13" t="str">
        <f>IF(B595="","",COUNTA($B$4:B595))</f>
        <v/>
      </c>
      <c r="B595" s="13"/>
      <c r="C595" s="13"/>
      <c r="D595" s="13"/>
      <c r="E595" s="13"/>
      <c r="F595" s="13"/>
      <c r="G595" s="13"/>
      <c r="H595" s="13"/>
      <c r="I595" s="14"/>
    </row>
    <row r="596" spans="1:9" x14ac:dyDescent="0.3">
      <c r="A596" s="13" t="str">
        <f>IF(B596="","",COUNTA($B$4:B596))</f>
        <v/>
      </c>
      <c r="B596" s="13"/>
      <c r="C596" s="13"/>
      <c r="D596" s="13"/>
      <c r="E596" s="13"/>
      <c r="F596" s="13"/>
      <c r="G596" s="13"/>
      <c r="H596" s="13"/>
      <c r="I596" s="14"/>
    </row>
    <row r="597" spans="1:9" x14ac:dyDescent="0.3">
      <c r="A597" s="13" t="str">
        <f>IF(B597="","",COUNTA($B$4:B597))</f>
        <v/>
      </c>
      <c r="B597" s="13"/>
      <c r="C597" s="13"/>
      <c r="D597" s="13"/>
      <c r="E597" s="13"/>
      <c r="F597" s="13"/>
      <c r="G597" s="13"/>
      <c r="H597" s="13"/>
      <c r="I597" s="14"/>
    </row>
    <row r="598" spans="1:9" x14ac:dyDescent="0.3">
      <c r="A598" s="13" t="str">
        <f>IF(B598="","",COUNTA($B$4:B598))</f>
        <v/>
      </c>
      <c r="B598" s="13"/>
      <c r="C598" s="13"/>
      <c r="D598" s="13"/>
      <c r="E598" s="13"/>
      <c r="F598" s="13"/>
      <c r="G598" s="13"/>
      <c r="H598" s="13"/>
      <c r="I598" s="14"/>
    </row>
    <row r="599" spans="1:9" x14ac:dyDescent="0.3">
      <c r="A599" s="13" t="str">
        <f>IF(B599="","",COUNTA($B$4:B599))</f>
        <v/>
      </c>
      <c r="B599" s="13"/>
      <c r="C599" s="13"/>
      <c r="D599" s="13"/>
      <c r="E599" s="13"/>
      <c r="F599" s="13"/>
      <c r="G599" s="13"/>
      <c r="H599" s="13"/>
      <c r="I599" s="14"/>
    </row>
    <row r="600" spans="1:9" x14ac:dyDescent="0.3">
      <c r="A600" s="13" t="str">
        <f>IF(B600="","",COUNTA($B$4:B600))</f>
        <v/>
      </c>
      <c r="B600" s="13"/>
      <c r="C600" s="13"/>
      <c r="D600" s="13"/>
      <c r="E600" s="13"/>
      <c r="F600" s="13"/>
      <c r="G600" s="13"/>
      <c r="H600" s="13"/>
      <c r="I600" s="14"/>
    </row>
    <row r="601" spans="1:9" x14ac:dyDescent="0.3">
      <c r="A601" s="13" t="str">
        <f>IF(B601="","",COUNTA($B$4:B601))</f>
        <v/>
      </c>
      <c r="B601" s="13"/>
      <c r="C601" s="13"/>
      <c r="D601" s="13"/>
      <c r="E601" s="13"/>
      <c r="F601" s="13"/>
      <c r="G601" s="13"/>
      <c r="H601" s="13"/>
      <c r="I601" s="14"/>
    </row>
    <row r="602" spans="1:9" x14ac:dyDescent="0.3">
      <c r="A602" s="13" t="str">
        <f>IF(B602="","",COUNTA($B$4:B602))</f>
        <v/>
      </c>
      <c r="B602" s="13"/>
      <c r="C602" s="13"/>
      <c r="D602" s="13"/>
      <c r="E602" s="13"/>
      <c r="F602" s="13"/>
      <c r="G602" s="13"/>
      <c r="H602" s="13"/>
      <c r="I602" s="14"/>
    </row>
    <row r="603" spans="1:9" x14ac:dyDescent="0.3">
      <c r="A603" s="13" t="str">
        <f>IF(B603="","",COUNTA($B$4:B603))</f>
        <v/>
      </c>
      <c r="B603" s="13"/>
      <c r="C603" s="13"/>
      <c r="D603" s="13"/>
      <c r="E603" s="13"/>
      <c r="F603" s="13"/>
      <c r="G603" s="13"/>
      <c r="H603" s="13"/>
      <c r="I603" s="14"/>
    </row>
    <row r="604" spans="1:9" x14ac:dyDescent="0.3">
      <c r="A604" s="13" t="str">
        <f>IF(B604="","",COUNTA($B$4:B604))</f>
        <v/>
      </c>
      <c r="B604" s="13"/>
      <c r="C604" s="13"/>
      <c r="D604" s="13"/>
      <c r="E604" s="13"/>
      <c r="F604" s="13"/>
      <c r="G604" s="13"/>
      <c r="H604" s="13"/>
      <c r="I604" s="14"/>
    </row>
    <row r="605" spans="1:9" x14ac:dyDescent="0.3">
      <c r="A605" s="13" t="str">
        <f>IF(B605="","",COUNTA($B$4:B605))</f>
        <v/>
      </c>
      <c r="B605" s="13"/>
      <c r="C605" s="13"/>
      <c r="D605" s="13"/>
      <c r="E605" s="13"/>
      <c r="F605" s="13"/>
      <c r="G605" s="13"/>
      <c r="H605" s="13"/>
      <c r="I605" s="14"/>
    </row>
    <row r="606" spans="1:9" x14ac:dyDescent="0.3">
      <c r="A606" s="13" t="str">
        <f>IF(B606="","",COUNTA($B$4:B606))</f>
        <v/>
      </c>
      <c r="B606" s="13"/>
      <c r="C606" s="13"/>
      <c r="D606" s="13"/>
      <c r="E606" s="13"/>
      <c r="F606" s="13"/>
      <c r="G606" s="13"/>
      <c r="H606" s="13"/>
      <c r="I606" s="14"/>
    </row>
    <row r="607" spans="1:9" x14ac:dyDescent="0.3">
      <c r="A607" s="13" t="str">
        <f>IF(B607="","",COUNTA($B$4:B607))</f>
        <v/>
      </c>
      <c r="B607" s="13"/>
      <c r="C607" s="13"/>
      <c r="D607" s="13"/>
      <c r="E607" s="13"/>
      <c r="F607" s="13"/>
      <c r="G607" s="13"/>
      <c r="H607" s="13"/>
      <c r="I607" s="14"/>
    </row>
    <row r="608" spans="1:9" x14ac:dyDescent="0.3">
      <c r="A608" s="13" t="str">
        <f>IF(B608="","",COUNTA($B$4:B608))</f>
        <v/>
      </c>
      <c r="B608" s="13"/>
      <c r="C608" s="13"/>
      <c r="D608" s="13"/>
      <c r="E608" s="13"/>
      <c r="F608" s="13"/>
      <c r="G608" s="13"/>
      <c r="H608" s="13"/>
      <c r="I608" s="14"/>
    </row>
    <row r="609" spans="1:9" x14ac:dyDescent="0.3">
      <c r="A609" s="13" t="str">
        <f>IF(B609="","",COUNTA($B$4:B609))</f>
        <v/>
      </c>
      <c r="B609" s="13"/>
      <c r="C609" s="13"/>
      <c r="D609" s="13"/>
      <c r="E609" s="13"/>
      <c r="F609" s="13"/>
      <c r="G609" s="13"/>
      <c r="H609" s="13"/>
      <c r="I609" s="14"/>
    </row>
    <row r="610" spans="1:9" x14ac:dyDescent="0.3">
      <c r="A610" s="13" t="str">
        <f>IF(B610="","",COUNTA($B$4:B610))</f>
        <v/>
      </c>
      <c r="B610" s="13"/>
      <c r="C610" s="13"/>
      <c r="D610" s="13"/>
      <c r="E610" s="13"/>
      <c r="F610" s="13"/>
      <c r="G610" s="13"/>
      <c r="H610" s="13"/>
      <c r="I610" s="14"/>
    </row>
    <row r="611" spans="1:9" x14ac:dyDescent="0.3">
      <c r="A611" s="13" t="str">
        <f>IF(B611="","",COUNTA($B$4:B611))</f>
        <v/>
      </c>
      <c r="B611" s="13"/>
      <c r="C611" s="13"/>
      <c r="D611" s="13"/>
      <c r="E611" s="13"/>
      <c r="F611" s="13"/>
      <c r="G611" s="13"/>
      <c r="H611" s="13"/>
      <c r="I611" s="14"/>
    </row>
    <row r="612" spans="1:9" x14ac:dyDescent="0.3">
      <c r="A612" s="13" t="str">
        <f>IF(B612="","",COUNTA($B$4:B612))</f>
        <v/>
      </c>
      <c r="B612" s="13"/>
      <c r="C612" s="13"/>
      <c r="D612" s="13"/>
      <c r="E612" s="13"/>
      <c r="F612" s="13"/>
      <c r="G612" s="13"/>
      <c r="H612" s="13"/>
      <c r="I612" s="14"/>
    </row>
    <row r="613" spans="1:9" x14ac:dyDescent="0.3">
      <c r="A613" s="13" t="str">
        <f>IF(B613="","",COUNTA($B$4:B613))</f>
        <v/>
      </c>
      <c r="B613" s="13"/>
      <c r="C613" s="13"/>
      <c r="D613" s="13"/>
      <c r="E613" s="13"/>
      <c r="F613" s="13"/>
      <c r="G613" s="13"/>
      <c r="H613" s="13"/>
      <c r="I613" s="14"/>
    </row>
    <row r="614" spans="1:9" x14ac:dyDescent="0.3">
      <c r="A614" s="13" t="str">
        <f>IF(B614="","",COUNTA($B$4:B614))</f>
        <v/>
      </c>
      <c r="B614" s="13"/>
      <c r="C614" s="13"/>
      <c r="D614" s="13"/>
      <c r="E614" s="13"/>
      <c r="F614" s="13"/>
      <c r="G614" s="13"/>
      <c r="H614" s="13"/>
      <c r="I614" s="14"/>
    </row>
    <row r="615" spans="1:9" x14ac:dyDescent="0.3">
      <c r="A615" s="13" t="str">
        <f>IF(B615="","",COUNTA($B$4:B615))</f>
        <v/>
      </c>
      <c r="B615" s="13"/>
      <c r="C615" s="13"/>
      <c r="D615" s="13"/>
      <c r="E615" s="13"/>
      <c r="F615" s="13"/>
      <c r="G615" s="13"/>
      <c r="H615" s="13"/>
      <c r="I615" s="14"/>
    </row>
    <row r="616" spans="1:9" x14ac:dyDescent="0.3">
      <c r="A616" s="13" t="str">
        <f>IF(B616="","",COUNTA($B$4:B616))</f>
        <v/>
      </c>
      <c r="B616" s="13"/>
      <c r="C616" s="13"/>
      <c r="D616" s="13"/>
      <c r="E616" s="13"/>
      <c r="F616" s="13"/>
      <c r="G616" s="13"/>
      <c r="H616" s="13"/>
      <c r="I616" s="14"/>
    </row>
    <row r="617" spans="1:9" x14ac:dyDescent="0.3">
      <c r="A617" s="13" t="str">
        <f>IF(B617="","",COUNTA($B$4:B617))</f>
        <v/>
      </c>
      <c r="B617" s="13"/>
      <c r="C617" s="13"/>
      <c r="D617" s="13"/>
      <c r="E617" s="13"/>
      <c r="F617" s="13"/>
      <c r="G617" s="13"/>
      <c r="H617" s="13"/>
      <c r="I617" s="14"/>
    </row>
    <row r="618" spans="1:9" x14ac:dyDescent="0.3">
      <c r="A618" s="13" t="str">
        <f>IF(B618="","",COUNTA($B$4:B618))</f>
        <v/>
      </c>
      <c r="B618" s="13"/>
      <c r="C618" s="13"/>
      <c r="D618" s="13"/>
      <c r="E618" s="13"/>
      <c r="F618" s="13"/>
      <c r="G618" s="13"/>
      <c r="H618" s="13"/>
      <c r="I618" s="14"/>
    </row>
    <row r="619" spans="1:9" x14ac:dyDescent="0.3">
      <c r="A619" s="13" t="str">
        <f>IF(B619="","",COUNTA($B$4:B619))</f>
        <v/>
      </c>
      <c r="B619" s="13"/>
      <c r="C619" s="13"/>
      <c r="D619" s="13"/>
      <c r="E619" s="13"/>
      <c r="F619" s="13"/>
      <c r="G619" s="13"/>
      <c r="H619" s="13"/>
      <c r="I619" s="14"/>
    </row>
    <row r="620" spans="1:9" x14ac:dyDescent="0.3">
      <c r="A620" s="13" t="str">
        <f>IF(B620="","",COUNTA($B$4:B620))</f>
        <v/>
      </c>
      <c r="B620" s="13"/>
      <c r="C620" s="13"/>
      <c r="D620" s="13"/>
      <c r="E620" s="13"/>
      <c r="F620" s="13"/>
      <c r="G620" s="13"/>
      <c r="H620" s="13"/>
      <c r="I620" s="14"/>
    </row>
    <row r="621" spans="1:9" x14ac:dyDescent="0.3">
      <c r="A621" s="13" t="str">
        <f>IF(B621="","",COUNTA($B$4:B621))</f>
        <v/>
      </c>
      <c r="B621" s="13"/>
      <c r="C621" s="13"/>
      <c r="D621" s="13"/>
      <c r="E621" s="13"/>
      <c r="F621" s="13"/>
      <c r="G621" s="13"/>
      <c r="H621" s="13"/>
      <c r="I621" s="14"/>
    </row>
    <row r="622" spans="1:9" x14ac:dyDescent="0.3">
      <c r="A622" s="13" t="str">
        <f>IF(B622="","",COUNTA($B$4:B622))</f>
        <v/>
      </c>
      <c r="B622" s="13"/>
      <c r="C622" s="13"/>
      <c r="D622" s="13"/>
      <c r="E622" s="13"/>
      <c r="F622" s="13"/>
      <c r="G622" s="13"/>
      <c r="H622" s="13"/>
      <c r="I622" s="14"/>
    </row>
    <row r="623" spans="1:9" x14ac:dyDescent="0.3">
      <c r="A623" s="13" t="str">
        <f>IF(B623="","",COUNTA($B$4:B623))</f>
        <v/>
      </c>
      <c r="B623" s="13"/>
      <c r="C623" s="13"/>
      <c r="D623" s="13"/>
      <c r="E623" s="13"/>
      <c r="F623" s="13"/>
      <c r="G623" s="13"/>
      <c r="H623" s="13"/>
      <c r="I623" s="14"/>
    </row>
    <row r="624" spans="1:9" x14ac:dyDescent="0.3">
      <c r="A624" s="13" t="str">
        <f>IF(B624="","",COUNTA($B$4:B624))</f>
        <v/>
      </c>
      <c r="B624" s="13"/>
      <c r="C624" s="13"/>
      <c r="D624" s="13"/>
      <c r="E624" s="13"/>
      <c r="F624" s="13"/>
      <c r="G624" s="13"/>
      <c r="H624" s="13"/>
      <c r="I624" s="14"/>
    </row>
    <row r="625" spans="1:9" x14ac:dyDescent="0.3">
      <c r="A625" s="13" t="str">
        <f>IF(B625="","",COUNTA($B$4:B625))</f>
        <v/>
      </c>
      <c r="B625" s="13"/>
      <c r="C625" s="13"/>
      <c r="D625" s="13"/>
      <c r="E625" s="13"/>
      <c r="F625" s="13"/>
      <c r="G625" s="13"/>
      <c r="H625" s="13"/>
      <c r="I625" s="14"/>
    </row>
    <row r="626" spans="1:9" x14ac:dyDescent="0.3">
      <c r="A626" s="13" t="str">
        <f>IF(B626="","",COUNTA($B$4:B626))</f>
        <v/>
      </c>
      <c r="B626" s="13"/>
      <c r="C626" s="13"/>
      <c r="D626" s="13"/>
      <c r="E626" s="13"/>
      <c r="F626" s="13"/>
      <c r="G626" s="13"/>
      <c r="H626" s="13"/>
      <c r="I626" s="14"/>
    </row>
    <row r="627" spans="1:9" x14ac:dyDescent="0.3">
      <c r="A627" s="13" t="str">
        <f>IF(B627="","",COUNTA($B$4:B627))</f>
        <v/>
      </c>
      <c r="B627" s="13"/>
      <c r="C627" s="13"/>
      <c r="D627" s="13"/>
      <c r="E627" s="13"/>
      <c r="F627" s="13"/>
      <c r="G627" s="13"/>
      <c r="H627" s="13"/>
      <c r="I627" s="14"/>
    </row>
    <row r="628" spans="1:9" x14ac:dyDescent="0.3">
      <c r="A628" s="13" t="str">
        <f>IF(B628="","",COUNTA($B$4:B628))</f>
        <v/>
      </c>
      <c r="B628" s="13"/>
      <c r="C628" s="13"/>
      <c r="D628" s="13"/>
      <c r="E628" s="13"/>
      <c r="F628" s="13"/>
      <c r="G628" s="13"/>
      <c r="H628" s="13"/>
      <c r="I628" s="14"/>
    </row>
    <row r="629" spans="1:9" x14ac:dyDescent="0.3">
      <c r="A629" s="13" t="str">
        <f>IF(B629="","",COUNTA($B$4:B629))</f>
        <v/>
      </c>
      <c r="B629" s="13"/>
      <c r="C629" s="13"/>
      <c r="D629" s="13"/>
      <c r="E629" s="13"/>
      <c r="F629" s="13"/>
      <c r="G629" s="13"/>
      <c r="H629" s="13"/>
      <c r="I629" s="14"/>
    </row>
    <row r="630" spans="1:9" x14ac:dyDescent="0.3">
      <c r="A630" s="13" t="str">
        <f>IF(B630="","",COUNTA($B$4:B630))</f>
        <v/>
      </c>
      <c r="B630" s="13"/>
      <c r="C630" s="13"/>
      <c r="D630" s="13"/>
      <c r="E630" s="13"/>
      <c r="F630" s="13"/>
      <c r="G630" s="13"/>
      <c r="H630" s="13"/>
      <c r="I630" s="14"/>
    </row>
    <row r="631" spans="1:9" x14ac:dyDescent="0.3">
      <c r="A631" s="13" t="str">
        <f>IF(B631="","",COUNTA($B$4:B631))</f>
        <v/>
      </c>
      <c r="B631" s="13"/>
      <c r="C631" s="13"/>
      <c r="D631" s="13"/>
      <c r="E631" s="13"/>
      <c r="F631" s="13"/>
      <c r="G631" s="13"/>
      <c r="H631" s="13"/>
      <c r="I631" s="14"/>
    </row>
    <row r="632" spans="1:9" x14ac:dyDescent="0.3">
      <c r="A632" s="13" t="str">
        <f>IF(B632="","",COUNTA($B$4:B632))</f>
        <v/>
      </c>
      <c r="B632" s="13"/>
      <c r="C632" s="13"/>
      <c r="D632" s="13"/>
      <c r="E632" s="13"/>
      <c r="F632" s="13"/>
      <c r="G632" s="13"/>
      <c r="H632" s="13"/>
      <c r="I632" s="14"/>
    </row>
    <row r="633" spans="1:9" x14ac:dyDescent="0.3">
      <c r="A633" s="13" t="str">
        <f>IF(B633="","",COUNTA($B$4:B633))</f>
        <v/>
      </c>
      <c r="B633" s="13"/>
      <c r="C633" s="13"/>
      <c r="D633" s="13"/>
      <c r="E633" s="13"/>
      <c r="F633" s="13"/>
      <c r="G633" s="13"/>
      <c r="H633" s="13"/>
      <c r="I633" s="14"/>
    </row>
    <row r="634" spans="1:9" x14ac:dyDescent="0.3">
      <c r="A634" s="13" t="str">
        <f>IF(B634="","",COUNTA($B$4:B634))</f>
        <v/>
      </c>
      <c r="B634" s="13"/>
      <c r="C634" s="13"/>
      <c r="D634" s="13"/>
      <c r="E634" s="13"/>
      <c r="F634" s="13"/>
      <c r="G634" s="13"/>
      <c r="H634" s="13"/>
      <c r="I634" s="14"/>
    </row>
    <row r="635" spans="1:9" x14ac:dyDescent="0.3">
      <c r="A635" s="13" t="str">
        <f>IF(B635="","",COUNTA($B$4:B635))</f>
        <v/>
      </c>
      <c r="B635" s="13"/>
      <c r="C635" s="13"/>
      <c r="D635" s="13"/>
      <c r="E635" s="13"/>
      <c r="F635" s="13"/>
      <c r="G635" s="13"/>
      <c r="H635" s="13"/>
      <c r="I635" s="14"/>
    </row>
    <row r="636" spans="1:9" x14ac:dyDescent="0.3">
      <c r="A636" s="13" t="str">
        <f>IF(B636="","",COUNTA($B$4:B636))</f>
        <v/>
      </c>
      <c r="B636" s="13"/>
      <c r="C636" s="13"/>
      <c r="D636" s="13"/>
      <c r="E636" s="13"/>
      <c r="F636" s="13"/>
      <c r="G636" s="13"/>
      <c r="H636" s="13"/>
      <c r="I636" s="14"/>
    </row>
    <row r="637" spans="1:9" x14ac:dyDescent="0.3">
      <c r="A637" s="13" t="str">
        <f>IF(B637="","",COUNTA($B$4:B637))</f>
        <v/>
      </c>
      <c r="B637" s="13"/>
      <c r="C637" s="13"/>
      <c r="D637" s="13"/>
      <c r="E637" s="13"/>
      <c r="F637" s="13"/>
      <c r="G637" s="13"/>
      <c r="H637" s="13"/>
      <c r="I637" s="14"/>
    </row>
    <row r="638" spans="1:9" x14ac:dyDescent="0.3">
      <c r="A638" s="13" t="str">
        <f>IF(B638="","",COUNTA($B$4:B638))</f>
        <v/>
      </c>
      <c r="B638" s="13"/>
      <c r="C638" s="13"/>
      <c r="D638" s="13"/>
      <c r="E638" s="13"/>
      <c r="F638" s="13"/>
      <c r="G638" s="13"/>
      <c r="H638" s="13"/>
      <c r="I638" s="14"/>
    </row>
    <row r="639" spans="1:9" x14ac:dyDescent="0.3">
      <c r="A639" s="13" t="str">
        <f>IF(B639="","",COUNTA($B$4:B639))</f>
        <v/>
      </c>
      <c r="B639" s="13"/>
      <c r="C639" s="13"/>
      <c r="D639" s="13"/>
      <c r="E639" s="13"/>
      <c r="F639" s="13"/>
      <c r="G639" s="13"/>
      <c r="H639" s="13"/>
      <c r="I639" s="14"/>
    </row>
    <row r="640" spans="1:9" x14ac:dyDescent="0.3">
      <c r="A640" s="13" t="str">
        <f>IF(B640="","",COUNTA($B$4:B640))</f>
        <v/>
      </c>
      <c r="B640" s="13"/>
      <c r="C640" s="13"/>
      <c r="D640" s="13"/>
      <c r="E640" s="13"/>
      <c r="F640" s="13"/>
      <c r="G640" s="13"/>
      <c r="H640" s="13"/>
      <c r="I640" s="14"/>
    </row>
    <row r="641" spans="1:9" x14ac:dyDescent="0.3">
      <c r="A641" s="13" t="str">
        <f>IF(B641="","",COUNTA($B$4:B641))</f>
        <v/>
      </c>
      <c r="B641" s="13"/>
      <c r="C641" s="13"/>
      <c r="D641" s="13"/>
      <c r="E641" s="13"/>
      <c r="F641" s="13"/>
      <c r="G641" s="13"/>
      <c r="H641" s="13"/>
      <c r="I641" s="14"/>
    </row>
    <row r="642" spans="1:9" x14ac:dyDescent="0.3">
      <c r="A642" s="13" t="str">
        <f>IF(B642="","",COUNTA($B$4:B642))</f>
        <v/>
      </c>
      <c r="B642" s="13"/>
      <c r="C642" s="13"/>
      <c r="D642" s="13"/>
      <c r="E642" s="13"/>
      <c r="F642" s="13"/>
      <c r="G642" s="13"/>
      <c r="H642" s="13"/>
      <c r="I642" s="14"/>
    </row>
    <row r="643" spans="1:9" x14ac:dyDescent="0.3">
      <c r="A643" s="13" t="str">
        <f>IF(B643="","",COUNTA($B$4:B643))</f>
        <v/>
      </c>
      <c r="B643" s="13"/>
      <c r="C643" s="13"/>
      <c r="D643" s="13"/>
      <c r="E643" s="13"/>
      <c r="F643" s="13"/>
      <c r="G643" s="13"/>
      <c r="H643" s="13"/>
      <c r="I643" s="14"/>
    </row>
    <row r="644" spans="1:9" x14ac:dyDescent="0.3">
      <c r="A644" s="13" t="str">
        <f>IF(B644="","",COUNTA($B$4:B644))</f>
        <v/>
      </c>
      <c r="B644" s="13"/>
      <c r="C644" s="13"/>
      <c r="D644" s="13"/>
      <c r="E644" s="13"/>
      <c r="F644" s="13"/>
      <c r="G644" s="13"/>
      <c r="H644" s="13"/>
      <c r="I644" s="14"/>
    </row>
    <row r="645" spans="1:9" x14ac:dyDescent="0.3">
      <c r="A645" s="13" t="str">
        <f>IF(B645="","",COUNTA($B$4:B645))</f>
        <v/>
      </c>
      <c r="B645" s="13"/>
      <c r="C645" s="13"/>
      <c r="D645" s="13"/>
      <c r="E645" s="13"/>
      <c r="F645" s="13"/>
      <c r="G645" s="13"/>
      <c r="H645" s="13"/>
      <c r="I645" s="14"/>
    </row>
    <row r="646" spans="1:9" x14ac:dyDescent="0.3">
      <c r="A646" s="13" t="str">
        <f>IF(B646="","",COUNTA($B$4:B646))</f>
        <v/>
      </c>
      <c r="B646" s="13"/>
      <c r="C646" s="13"/>
      <c r="D646" s="13"/>
      <c r="E646" s="13"/>
      <c r="F646" s="13"/>
      <c r="G646" s="13"/>
      <c r="H646" s="13"/>
      <c r="I646" s="14"/>
    </row>
    <row r="647" spans="1:9" x14ac:dyDescent="0.3">
      <c r="A647" s="13" t="str">
        <f>IF(B647="","",COUNTA($B$4:B647))</f>
        <v/>
      </c>
      <c r="B647" s="13"/>
      <c r="C647" s="13"/>
      <c r="D647" s="13"/>
      <c r="E647" s="13"/>
      <c r="F647" s="13"/>
      <c r="G647" s="13"/>
      <c r="H647" s="13"/>
      <c r="I647" s="14"/>
    </row>
    <row r="648" spans="1:9" x14ac:dyDescent="0.3">
      <c r="A648" s="13" t="str">
        <f>IF(B648="","",COUNTA($B$4:B648))</f>
        <v/>
      </c>
      <c r="B648" s="13"/>
      <c r="C648" s="13"/>
      <c r="D648" s="13"/>
      <c r="E648" s="13"/>
      <c r="F648" s="13"/>
      <c r="G648" s="13"/>
      <c r="H648" s="13"/>
      <c r="I648" s="14"/>
    </row>
    <row r="649" spans="1:9" x14ac:dyDescent="0.3">
      <c r="A649" s="13" t="str">
        <f>IF(B649="","",COUNTA($B$4:B649))</f>
        <v/>
      </c>
      <c r="B649" s="13"/>
      <c r="C649" s="13"/>
      <c r="D649" s="13"/>
      <c r="E649" s="13"/>
      <c r="F649" s="13"/>
      <c r="G649" s="13"/>
      <c r="H649" s="13"/>
      <c r="I649" s="14"/>
    </row>
    <row r="650" spans="1:9" x14ac:dyDescent="0.3">
      <c r="A650" s="13" t="str">
        <f>IF(B650="","",COUNTA($B$4:B650))</f>
        <v/>
      </c>
      <c r="B650" s="13"/>
      <c r="C650" s="13"/>
      <c r="D650" s="13"/>
      <c r="E650" s="13"/>
      <c r="F650" s="13"/>
      <c r="G650" s="13"/>
      <c r="H650" s="13"/>
      <c r="I650" s="14"/>
    </row>
    <row r="651" spans="1:9" x14ac:dyDescent="0.3">
      <c r="A651" s="13" t="str">
        <f>IF(B651="","",COUNTA($B$4:B651))</f>
        <v/>
      </c>
      <c r="B651" s="13"/>
      <c r="C651" s="13"/>
      <c r="D651" s="13"/>
      <c r="E651" s="13"/>
      <c r="F651" s="13"/>
      <c r="G651" s="13"/>
      <c r="H651" s="13"/>
      <c r="I651" s="14"/>
    </row>
    <row r="652" spans="1:9" x14ac:dyDescent="0.3">
      <c r="A652" s="13" t="str">
        <f>IF(B652="","",COUNTA($B$4:B652))</f>
        <v/>
      </c>
      <c r="B652" s="13"/>
      <c r="C652" s="13"/>
      <c r="D652" s="13"/>
      <c r="E652" s="13"/>
      <c r="F652" s="13"/>
      <c r="G652" s="13"/>
      <c r="H652" s="13"/>
      <c r="I652" s="14"/>
    </row>
    <row r="653" spans="1:9" x14ac:dyDescent="0.3">
      <c r="A653" s="13" t="str">
        <f>IF(B653="","",COUNTA($B$4:B653))</f>
        <v/>
      </c>
      <c r="B653" s="13"/>
      <c r="C653" s="13"/>
      <c r="D653" s="13"/>
      <c r="E653" s="13"/>
      <c r="F653" s="13"/>
      <c r="G653" s="13"/>
      <c r="H653" s="13"/>
      <c r="I653" s="14"/>
    </row>
    <row r="654" spans="1:9" x14ac:dyDescent="0.3">
      <c r="A654" s="13" t="str">
        <f>IF(B654="","",COUNTA($B$4:B654))</f>
        <v/>
      </c>
      <c r="B654" s="13"/>
      <c r="C654" s="13"/>
      <c r="D654" s="13"/>
      <c r="E654" s="13"/>
      <c r="F654" s="13"/>
      <c r="G654" s="13"/>
      <c r="H654" s="13"/>
      <c r="I654" s="14"/>
    </row>
    <row r="655" spans="1:9" x14ac:dyDescent="0.3">
      <c r="A655" s="13" t="str">
        <f>IF(B655="","",COUNTA($B$4:B655))</f>
        <v/>
      </c>
      <c r="B655" s="13"/>
      <c r="C655" s="13"/>
      <c r="D655" s="13"/>
      <c r="E655" s="13"/>
      <c r="F655" s="13"/>
      <c r="G655" s="13"/>
      <c r="H655" s="13"/>
      <c r="I655" s="14"/>
    </row>
    <row r="656" spans="1:9" x14ac:dyDescent="0.3">
      <c r="A656" s="13" t="str">
        <f>IF(B656="","",COUNTA($B$4:B656))</f>
        <v/>
      </c>
      <c r="B656" s="13"/>
      <c r="C656" s="13"/>
      <c r="D656" s="13"/>
      <c r="E656" s="13"/>
      <c r="F656" s="13"/>
      <c r="G656" s="13"/>
      <c r="H656" s="13"/>
      <c r="I656" s="14"/>
    </row>
    <row r="657" spans="1:9" x14ac:dyDescent="0.3">
      <c r="A657" s="13" t="str">
        <f>IF(B657="","",COUNTA($B$4:B657))</f>
        <v/>
      </c>
      <c r="B657" s="13"/>
      <c r="C657" s="13"/>
      <c r="D657" s="13"/>
      <c r="E657" s="13"/>
      <c r="F657" s="13"/>
      <c r="G657" s="13"/>
      <c r="H657" s="13"/>
      <c r="I657" s="14"/>
    </row>
    <row r="658" spans="1:9" x14ac:dyDescent="0.3">
      <c r="A658" s="13" t="str">
        <f>IF(B658="","",COUNTA($B$4:B658))</f>
        <v/>
      </c>
      <c r="B658" s="13"/>
      <c r="C658" s="13"/>
      <c r="D658" s="13"/>
      <c r="E658" s="13"/>
      <c r="F658" s="13"/>
      <c r="G658" s="13"/>
      <c r="H658" s="13"/>
      <c r="I658" s="14"/>
    </row>
    <row r="659" spans="1:9" x14ac:dyDescent="0.3">
      <c r="A659" s="13" t="str">
        <f>IF(B659="","",COUNTA($B$4:B659))</f>
        <v/>
      </c>
      <c r="B659" s="13"/>
      <c r="C659" s="13"/>
      <c r="D659" s="13"/>
      <c r="E659" s="13"/>
      <c r="F659" s="13"/>
      <c r="G659" s="13"/>
      <c r="H659" s="13"/>
      <c r="I659" s="14"/>
    </row>
    <row r="660" spans="1:9" x14ac:dyDescent="0.3">
      <c r="A660" s="13" t="str">
        <f>IF(B660="","",COUNTA($B$4:B660))</f>
        <v/>
      </c>
      <c r="B660" s="13"/>
      <c r="C660" s="13"/>
      <c r="D660" s="13"/>
      <c r="E660" s="13"/>
      <c r="F660" s="13"/>
      <c r="G660" s="13"/>
      <c r="H660" s="13"/>
      <c r="I660" s="14"/>
    </row>
    <row r="661" spans="1:9" x14ac:dyDescent="0.3">
      <c r="A661" s="13" t="str">
        <f>IF(B661="","",COUNTA($B$4:B661))</f>
        <v/>
      </c>
      <c r="B661" s="13"/>
      <c r="C661" s="13"/>
      <c r="D661" s="13"/>
      <c r="E661" s="13"/>
      <c r="F661" s="13"/>
      <c r="G661" s="13"/>
      <c r="H661" s="13"/>
      <c r="I661" s="14"/>
    </row>
    <row r="662" spans="1:9" x14ac:dyDescent="0.3">
      <c r="A662" s="13" t="str">
        <f>IF(B662="","",COUNTA($B$4:B662))</f>
        <v/>
      </c>
      <c r="B662" s="13"/>
      <c r="C662" s="13"/>
      <c r="D662" s="13"/>
      <c r="E662" s="13"/>
      <c r="F662" s="13"/>
      <c r="G662" s="13"/>
      <c r="H662" s="13"/>
      <c r="I662" s="14"/>
    </row>
    <row r="663" spans="1:9" x14ac:dyDescent="0.3">
      <c r="A663" s="13" t="str">
        <f>IF(B663="","",COUNTA($B$4:B663))</f>
        <v/>
      </c>
      <c r="B663" s="13"/>
      <c r="C663" s="13"/>
      <c r="D663" s="13"/>
      <c r="E663" s="13"/>
      <c r="F663" s="13"/>
      <c r="G663" s="13"/>
      <c r="H663" s="13"/>
      <c r="I663" s="14"/>
    </row>
    <row r="664" spans="1:9" x14ac:dyDescent="0.3">
      <c r="A664" s="13" t="str">
        <f>IF(B664="","",COUNTA($B$4:B664))</f>
        <v/>
      </c>
      <c r="B664" s="13"/>
      <c r="C664" s="13"/>
      <c r="D664" s="13"/>
      <c r="E664" s="13"/>
      <c r="F664" s="13"/>
      <c r="G664" s="13"/>
      <c r="H664" s="13"/>
      <c r="I664" s="14"/>
    </row>
    <row r="665" spans="1:9" x14ac:dyDescent="0.3">
      <c r="A665" s="13" t="str">
        <f>IF(B665="","",COUNTA($B$4:B665))</f>
        <v/>
      </c>
      <c r="B665" s="13"/>
      <c r="C665" s="13"/>
      <c r="D665" s="13"/>
      <c r="E665" s="13"/>
      <c r="F665" s="13"/>
      <c r="G665" s="13"/>
      <c r="H665" s="13"/>
      <c r="I665" s="14"/>
    </row>
    <row r="666" spans="1:9" x14ac:dyDescent="0.3">
      <c r="A666" s="13" t="str">
        <f>IF(B666="","",COUNTA($B$4:B666))</f>
        <v/>
      </c>
      <c r="B666" s="13"/>
      <c r="C666" s="13"/>
      <c r="D666" s="13"/>
      <c r="E666" s="13"/>
      <c r="F666" s="13"/>
      <c r="G666" s="13"/>
      <c r="H666" s="13"/>
      <c r="I666" s="14"/>
    </row>
    <row r="667" spans="1:9" x14ac:dyDescent="0.3">
      <c r="A667" s="13" t="str">
        <f>IF(B667="","",COUNTA($B$4:B667))</f>
        <v/>
      </c>
      <c r="B667" s="13"/>
      <c r="C667" s="13"/>
      <c r="D667" s="13"/>
      <c r="E667" s="13"/>
      <c r="F667" s="13"/>
      <c r="G667" s="13"/>
      <c r="H667" s="13"/>
      <c r="I667" s="14"/>
    </row>
    <row r="668" spans="1:9" x14ac:dyDescent="0.3">
      <c r="A668" s="13" t="str">
        <f>IF(B668="","",COUNTA($B$4:B668))</f>
        <v/>
      </c>
      <c r="B668" s="13"/>
      <c r="C668" s="13"/>
      <c r="D668" s="13"/>
      <c r="E668" s="13"/>
      <c r="F668" s="13"/>
      <c r="G668" s="13"/>
      <c r="H668" s="13"/>
      <c r="I668" s="14"/>
    </row>
    <row r="669" spans="1:9" x14ac:dyDescent="0.3">
      <c r="A669" s="13" t="str">
        <f>IF(B669="","",COUNTA($B$4:B669))</f>
        <v/>
      </c>
      <c r="B669" s="13"/>
      <c r="C669" s="13"/>
      <c r="D669" s="13"/>
      <c r="E669" s="13"/>
      <c r="F669" s="13"/>
      <c r="G669" s="13"/>
      <c r="H669" s="13"/>
      <c r="I669" s="14"/>
    </row>
    <row r="670" spans="1:9" x14ac:dyDescent="0.3">
      <c r="A670" s="13" t="str">
        <f>IF(B670="","",COUNTA($B$4:B670))</f>
        <v/>
      </c>
      <c r="B670" s="13"/>
      <c r="C670" s="13"/>
      <c r="D670" s="13"/>
      <c r="E670" s="13"/>
      <c r="F670" s="13"/>
      <c r="G670" s="13"/>
      <c r="H670" s="13"/>
      <c r="I670" s="14"/>
    </row>
    <row r="671" spans="1:9" x14ac:dyDescent="0.3">
      <c r="A671" s="13" t="str">
        <f>IF(B671="","",COUNTA($B$4:B671))</f>
        <v/>
      </c>
      <c r="B671" s="13"/>
      <c r="C671" s="13"/>
      <c r="D671" s="13"/>
      <c r="E671" s="13"/>
      <c r="F671" s="13"/>
      <c r="G671" s="13"/>
      <c r="H671" s="13"/>
      <c r="I671" s="14"/>
    </row>
    <row r="672" spans="1:9" x14ac:dyDescent="0.3">
      <c r="A672" s="13" t="str">
        <f>IF(B672="","",COUNTA($B$4:B672))</f>
        <v/>
      </c>
      <c r="B672" s="13"/>
      <c r="C672" s="13"/>
      <c r="D672" s="13"/>
      <c r="E672" s="13"/>
      <c r="F672" s="13"/>
      <c r="G672" s="13"/>
      <c r="H672" s="13"/>
      <c r="I672" s="14"/>
    </row>
    <row r="673" spans="1:9" x14ac:dyDescent="0.3">
      <c r="A673" s="13" t="str">
        <f>IF(B673="","",COUNTA($B$4:B673))</f>
        <v/>
      </c>
      <c r="B673" s="13"/>
      <c r="C673" s="13"/>
      <c r="D673" s="13"/>
      <c r="E673" s="13"/>
      <c r="F673" s="13"/>
      <c r="G673" s="13"/>
      <c r="H673" s="13"/>
      <c r="I673" s="14"/>
    </row>
    <row r="674" spans="1:9" x14ac:dyDescent="0.3">
      <c r="A674" s="13" t="str">
        <f>IF(B674="","",COUNTA($B$4:B674))</f>
        <v/>
      </c>
      <c r="B674" s="13"/>
      <c r="C674" s="13"/>
      <c r="D674" s="13"/>
      <c r="E674" s="13"/>
      <c r="F674" s="13"/>
      <c r="G674" s="13"/>
      <c r="H674" s="13"/>
      <c r="I674" s="14"/>
    </row>
    <row r="675" spans="1:9" x14ac:dyDescent="0.3">
      <c r="A675" s="13" t="str">
        <f>IF(B675="","",COUNTA($B$4:B675))</f>
        <v/>
      </c>
      <c r="B675" s="13"/>
      <c r="C675" s="13"/>
      <c r="D675" s="13"/>
      <c r="E675" s="13"/>
      <c r="F675" s="13"/>
      <c r="G675" s="13"/>
      <c r="H675" s="13"/>
      <c r="I675" s="14"/>
    </row>
    <row r="676" spans="1:9" x14ac:dyDescent="0.3">
      <c r="A676" s="13" t="str">
        <f>IF(B676="","",COUNTA($B$4:B676))</f>
        <v/>
      </c>
      <c r="B676" s="13"/>
      <c r="C676" s="13"/>
      <c r="D676" s="13"/>
      <c r="E676" s="13"/>
      <c r="F676" s="13"/>
      <c r="G676" s="13"/>
      <c r="H676" s="13"/>
      <c r="I676" s="14"/>
    </row>
    <row r="677" spans="1:9" x14ac:dyDescent="0.3">
      <c r="A677" s="13" t="str">
        <f>IF(B677="","",COUNTA($B$4:B677))</f>
        <v/>
      </c>
      <c r="B677" s="13"/>
      <c r="C677" s="13"/>
      <c r="D677" s="13"/>
      <c r="E677" s="13"/>
      <c r="F677" s="13"/>
      <c r="G677" s="13"/>
      <c r="H677" s="13"/>
      <c r="I677" s="14"/>
    </row>
    <row r="678" spans="1:9" x14ac:dyDescent="0.3">
      <c r="A678" s="13" t="str">
        <f>IF(B678="","",COUNTA($B$4:B678))</f>
        <v/>
      </c>
      <c r="B678" s="13"/>
      <c r="C678" s="13"/>
      <c r="D678" s="13"/>
      <c r="E678" s="13"/>
      <c r="F678" s="13"/>
      <c r="G678" s="13"/>
      <c r="H678" s="13"/>
      <c r="I678" s="14"/>
    </row>
    <row r="679" spans="1:9" x14ac:dyDescent="0.3">
      <c r="A679" s="13" t="str">
        <f>IF(B679="","",COUNTA($B$4:B679))</f>
        <v/>
      </c>
      <c r="B679" s="13"/>
      <c r="C679" s="13"/>
      <c r="D679" s="13"/>
      <c r="E679" s="13"/>
      <c r="F679" s="13"/>
      <c r="G679" s="13"/>
      <c r="H679" s="13"/>
      <c r="I679" s="14"/>
    </row>
    <row r="680" spans="1:9" x14ac:dyDescent="0.3">
      <c r="A680" s="13" t="str">
        <f>IF(B680="","",COUNTA($B$4:B680))</f>
        <v/>
      </c>
      <c r="B680" s="13"/>
      <c r="C680" s="13"/>
      <c r="D680" s="13"/>
      <c r="E680" s="13"/>
      <c r="F680" s="13"/>
      <c r="G680" s="13"/>
      <c r="H680" s="13"/>
      <c r="I680" s="14"/>
    </row>
    <row r="681" spans="1:9" x14ac:dyDescent="0.3">
      <c r="A681" s="13" t="str">
        <f>IF(B681="","",COUNTA($B$4:B681))</f>
        <v/>
      </c>
      <c r="B681" s="13"/>
      <c r="C681" s="13"/>
      <c r="D681" s="13"/>
      <c r="E681" s="13"/>
      <c r="F681" s="13"/>
      <c r="G681" s="13"/>
      <c r="H681" s="13"/>
      <c r="I681" s="14"/>
    </row>
    <row r="682" spans="1:9" x14ac:dyDescent="0.3">
      <c r="A682" s="13" t="str">
        <f>IF(B682="","",COUNTA($B$4:B682))</f>
        <v/>
      </c>
      <c r="B682" s="13"/>
      <c r="C682" s="13"/>
      <c r="D682" s="13"/>
      <c r="E682" s="13"/>
      <c r="F682" s="13"/>
      <c r="G682" s="13"/>
      <c r="H682" s="13"/>
      <c r="I682" s="14"/>
    </row>
    <row r="683" spans="1:9" x14ac:dyDescent="0.3">
      <c r="A683" s="13" t="str">
        <f>IF(B683="","",COUNTA($B$4:B683))</f>
        <v/>
      </c>
      <c r="B683" s="13"/>
      <c r="C683" s="13"/>
      <c r="D683" s="13"/>
      <c r="E683" s="13"/>
      <c r="F683" s="13"/>
      <c r="G683" s="13"/>
      <c r="H683" s="13"/>
      <c r="I683" s="14"/>
    </row>
    <row r="684" spans="1:9" x14ac:dyDescent="0.3">
      <c r="A684" s="13" t="str">
        <f>IF(B684="","",COUNTA($B$4:B684))</f>
        <v/>
      </c>
      <c r="B684" s="13"/>
      <c r="C684" s="13"/>
      <c r="D684" s="13"/>
      <c r="E684" s="13"/>
      <c r="F684" s="13"/>
      <c r="G684" s="13"/>
      <c r="H684" s="13"/>
      <c r="I684" s="14"/>
    </row>
    <row r="685" spans="1:9" x14ac:dyDescent="0.3">
      <c r="A685" s="13" t="str">
        <f>IF(B685="","",COUNTA($B$4:B685))</f>
        <v/>
      </c>
      <c r="B685" s="13"/>
      <c r="C685" s="13"/>
      <c r="D685" s="13"/>
      <c r="E685" s="13"/>
      <c r="F685" s="13"/>
      <c r="G685" s="13"/>
      <c r="H685" s="13"/>
      <c r="I685" s="14"/>
    </row>
    <row r="686" spans="1:9" x14ac:dyDescent="0.3">
      <c r="A686" s="13" t="str">
        <f>IF(B686="","",COUNTA($B$4:B686))</f>
        <v/>
      </c>
      <c r="B686" s="13"/>
      <c r="C686" s="13"/>
      <c r="D686" s="13"/>
      <c r="E686" s="13"/>
      <c r="F686" s="13"/>
      <c r="G686" s="13"/>
      <c r="H686" s="13"/>
      <c r="I686" s="14"/>
    </row>
    <row r="687" spans="1:9" x14ac:dyDescent="0.3">
      <c r="A687" s="13" t="str">
        <f>IF(B687="","",COUNTA($B$4:B687))</f>
        <v/>
      </c>
      <c r="B687" s="13"/>
      <c r="C687" s="13"/>
      <c r="D687" s="13"/>
      <c r="E687" s="13"/>
      <c r="F687" s="13"/>
      <c r="G687" s="13"/>
      <c r="H687" s="13"/>
      <c r="I687" s="14"/>
    </row>
    <row r="688" spans="1:9" x14ac:dyDescent="0.3">
      <c r="A688" s="13" t="str">
        <f>IF(B688="","",COUNTA($B$4:B688))</f>
        <v/>
      </c>
      <c r="B688" s="13"/>
      <c r="C688" s="13"/>
      <c r="D688" s="13"/>
      <c r="E688" s="13"/>
      <c r="F688" s="13"/>
      <c r="G688" s="13"/>
      <c r="H688" s="13"/>
      <c r="I688" s="14"/>
    </row>
    <row r="689" spans="1:9" x14ac:dyDescent="0.3">
      <c r="A689" s="13" t="str">
        <f>IF(B689="","",COUNTA($B$4:B689))</f>
        <v/>
      </c>
      <c r="B689" s="13"/>
      <c r="C689" s="13"/>
      <c r="D689" s="13"/>
      <c r="E689" s="13"/>
      <c r="F689" s="13"/>
      <c r="G689" s="13"/>
      <c r="H689" s="13"/>
      <c r="I689" s="14"/>
    </row>
    <row r="690" spans="1:9" x14ac:dyDescent="0.3">
      <c r="A690" s="13" t="str">
        <f>IF(B690="","",COUNTA($B$4:B690))</f>
        <v/>
      </c>
      <c r="B690" s="13"/>
      <c r="C690" s="13"/>
      <c r="D690" s="13"/>
      <c r="E690" s="13"/>
      <c r="F690" s="13"/>
      <c r="G690" s="13"/>
      <c r="H690" s="13"/>
      <c r="I690" s="14"/>
    </row>
    <row r="691" spans="1:9" x14ac:dyDescent="0.3">
      <c r="A691" s="13" t="str">
        <f>IF(B691="","",COUNTA($B$4:B691))</f>
        <v/>
      </c>
      <c r="B691" s="13"/>
      <c r="C691" s="13"/>
      <c r="D691" s="13"/>
      <c r="E691" s="13"/>
      <c r="F691" s="13"/>
      <c r="G691" s="13"/>
      <c r="H691" s="13"/>
      <c r="I691" s="14"/>
    </row>
    <row r="692" spans="1:9" x14ac:dyDescent="0.3">
      <c r="A692" s="13" t="str">
        <f>IF(B692="","",COUNTA($B$4:B692))</f>
        <v/>
      </c>
      <c r="B692" s="13"/>
      <c r="C692" s="13"/>
      <c r="D692" s="13"/>
      <c r="E692" s="13"/>
      <c r="F692" s="13"/>
      <c r="G692" s="13"/>
      <c r="H692" s="13"/>
      <c r="I692" s="14"/>
    </row>
    <row r="693" spans="1:9" x14ac:dyDescent="0.3">
      <c r="A693" s="13" t="str">
        <f>IF(B693="","",COUNTA($B$4:B693))</f>
        <v/>
      </c>
      <c r="B693" s="13"/>
      <c r="C693" s="13"/>
      <c r="D693" s="13"/>
      <c r="E693" s="13"/>
      <c r="F693" s="13"/>
      <c r="G693" s="13"/>
      <c r="H693" s="13"/>
      <c r="I693" s="14"/>
    </row>
    <row r="694" spans="1:9" x14ac:dyDescent="0.3">
      <c r="A694" s="13" t="str">
        <f>IF(B694="","",COUNTA($B$4:B694))</f>
        <v/>
      </c>
      <c r="B694" s="13"/>
      <c r="C694" s="13"/>
      <c r="D694" s="13"/>
      <c r="E694" s="13"/>
      <c r="F694" s="13"/>
      <c r="G694" s="13"/>
      <c r="H694" s="13"/>
      <c r="I694" s="14"/>
    </row>
    <row r="695" spans="1:9" x14ac:dyDescent="0.3">
      <c r="A695" s="13" t="str">
        <f>IF(B695="","",COUNTA($B$4:B695))</f>
        <v/>
      </c>
      <c r="B695" s="13"/>
      <c r="C695" s="13"/>
      <c r="D695" s="13"/>
      <c r="E695" s="13"/>
      <c r="F695" s="13"/>
      <c r="G695" s="13"/>
      <c r="H695" s="13"/>
      <c r="I695" s="14"/>
    </row>
    <row r="696" spans="1:9" x14ac:dyDescent="0.3">
      <c r="A696" s="13" t="str">
        <f>IF(B696="","",COUNTA($B$4:B696))</f>
        <v/>
      </c>
      <c r="B696" s="13"/>
      <c r="C696" s="13"/>
      <c r="D696" s="13"/>
      <c r="E696" s="13"/>
      <c r="F696" s="13"/>
      <c r="G696" s="13"/>
      <c r="H696" s="13"/>
      <c r="I696" s="14"/>
    </row>
    <row r="697" spans="1:9" x14ac:dyDescent="0.3">
      <c r="A697" s="13" t="str">
        <f>IF(B697="","",COUNTA($B$4:B697))</f>
        <v/>
      </c>
      <c r="B697" s="13"/>
      <c r="C697" s="13"/>
      <c r="D697" s="13"/>
      <c r="E697" s="13"/>
      <c r="F697" s="13"/>
      <c r="G697" s="13"/>
      <c r="H697" s="13"/>
      <c r="I697" s="14"/>
    </row>
    <row r="698" spans="1:9" x14ac:dyDescent="0.3">
      <c r="A698" s="13" t="str">
        <f>IF(B698="","",COUNTA($B$4:B698))</f>
        <v/>
      </c>
      <c r="B698" s="13"/>
      <c r="C698" s="13"/>
      <c r="D698" s="13"/>
      <c r="E698" s="13"/>
      <c r="F698" s="13"/>
      <c r="G698" s="13"/>
      <c r="H698" s="13"/>
      <c r="I698" s="14"/>
    </row>
    <row r="699" spans="1:9" x14ac:dyDescent="0.3">
      <c r="A699" s="13" t="str">
        <f>IF(B699="","",COUNTA($B$4:B699))</f>
        <v/>
      </c>
      <c r="B699" s="13"/>
      <c r="C699" s="13"/>
      <c r="D699" s="13"/>
      <c r="E699" s="13"/>
      <c r="F699" s="13"/>
      <c r="G699" s="13"/>
      <c r="H699" s="13"/>
      <c r="I699" s="14"/>
    </row>
    <row r="700" spans="1:9" x14ac:dyDescent="0.3">
      <c r="A700" s="13" t="str">
        <f>IF(B700="","",COUNTA($B$4:B700))</f>
        <v/>
      </c>
      <c r="B700" s="13"/>
      <c r="C700" s="13"/>
      <c r="D700" s="13"/>
      <c r="E700" s="13"/>
      <c r="F700" s="13"/>
      <c r="G700" s="13"/>
      <c r="H700" s="13"/>
      <c r="I700" s="14"/>
    </row>
    <row r="701" spans="1:9" x14ac:dyDescent="0.3">
      <c r="A701" s="13" t="str">
        <f>IF(B701="","",COUNTA($B$4:B701))</f>
        <v/>
      </c>
      <c r="B701" s="13"/>
      <c r="C701" s="13"/>
      <c r="D701" s="13"/>
      <c r="E701" s="13"/>
      <c r="F701" s="13"/>
      <c r="G701" s="13"/>
      <c r="H701" s="13"/>
      <c r="I701" s="14"/>
    </row>
    <row r="702" spans="1:9" x14ac:dyDescent="0.3">
      <c r="A702" s="13" t="str">
        <f>IF(B702="","",COUNTA($B$4:B702))</f>
        <v/>
      </c>
      <c r="B702" s="13"/>
      <c r="C702" s="13"/>
      <c r="D702" s="13"/>
      <c r="E702" s="13"/>
      <c r="F702" s="13"/>
      <c r="G702" s="13"/>
      <c r="H702" s="13"/>
      <c r="I702" s="14"/>
    </row>
    <row r="703" spans="1:9" x14ac:dyDescent="0.3">
      <c r="A703" s="13" t="str">
        <f>IF(B703="","",COUNTA($B$4:B703))</f>
        <v/>
      </c>
      <c r="B703" s="13"/>
      <c r="C703" s="13"/>
      <c r="D703" s="13"/>
      <c r="E703" s="13"/>
      <c r="F703" s="13"/>
      <c r="G703" s="13"/>
      <c r="H703" s="13"/>
      <c r="I703" s="14"/>
    </row>
    <row r="704" spans="1:9" x14ac:dyDescent="0.3">
      <c r="A704" s="13" t="str">
        <f>IF(B704="","",COUNTA($B$4:B704))</f>
        <v/>
      </c>
      <c r="B704" s="13"/>
      <c r="C704" s="13"/>
      <c r="D704" s="13"/>
      <c r="E704" s="13"/>
      <c r="F704" s="13"/>
      <c r="G704" s="13"/>
      <c r="H704" s="13"/>
      <c r="I704" s="14"/>
    </row>
    <row r="705" spans="1:9" x14ac:dyDescent="0.3">
      <c r="A705" s="13" t="str">
        <f>IF(B705="","",COUNTA($B$4:B705))</f>
        <v/>
      </c>
      <c r="B705" s="13"/>
      <c r="C705" s="13"/>
      <c r="D705" s="13"/>
      <c r="E705" s="13"/>
      <c r="F705" s="13"/>
      <c r="G705" s="13"/>
      <c r="H705" s="13"/>
      <c r="I705" s="14"/>
    </row>
    <row r="706" spans="1:9" x14ac:dyDescent="0.3">
      <c r="A706" s="13" t="str">
        <f>IF(B706="","",COUNTA($B$4:B706))</f>
        <v/>
      </c>
      <c r="B706" s="13"/>
      <c r="C706" s="13"/>
      <c r="D706" s="13"/>
      <c r="E706" s="13"/>
      <c r="F706" s="13"/>
      <c r="G706" s="13"/>
      <c r="H706" s="13"/>
      <c r="I706" s="14"/>
    </row>
    <row r="707" spans="1:9" x14ac:dyDescent="0.3">
      <c r="A707" s="13" t="str">
        <f>IF(B707="","",COUNTA($B$4:B707))</f>
        <v/>
      </c>
      <c r="B707" s="13"/>
      <c r="C707" s="13"/>
      <c r="D707" s="13"/>
      <c r="E707" s="13"/>
      <c r="F707" s="13"/>
      <c r="G707" s="13"/>
      <c r="H707" s="13"/>
      <c r="I707" s="14"/>
    </row>
    <row r="708" spans="1:9" x14ac:dyDescent="0.3">
      <c r="A708" s="13" t="str">
        <f>IF(B708="","",COUNTA($B$4:B708))</f>
        <v/>
      </c>
      <c r="B708" s="13"/>
      <c r="C708" s="13"/>
      <c r="D708" s="13"/>
      <c r="E708" s="13"/>
      <c r="F708" s="13"/>
      <c r="G708" s="13"/>
      <c r="H708" s="13"/>
      <c r="I708" s="14"/>
    </row>
    <row r="709" spans="1:9" x14ac:dyDescent="0.3">
      <c r="A709" s="13" t="str">
        <f>IF(B709="","",COUNTA($B$4:B709))</f>
        <v/>
      </c>
      <c r="B709" s="13"/>
      <c r="C709" s="13"/>
      <c r="D709" s="13"/>
      <c r="E709" s="13"/>
      <c r="F709" s="13"/>
      <c r="G709" s="13"/>
      <c r="H709" s="13"/>
      <c r="I709" s="14"/>
    </row>
    <row r="710" spans="1:9" x14ac:dyDescent="0.3">
      <c r="A710" s="13" t="str">
        <f>IF(B710="","",COUNTA($B$4:B710))</f>
        <v/>
      </c>
      <c r="B710" s="13"/>
      <c r="C710" s="13"/>
      <c r="D710" s="13"/>
      <c r="E710" s="13"/>
      <c r="F710" s="13"/>
      <c r="G710" s="13"/>
      <c r="H710" s="13"/>
      <c r="I710" s="14"/>
    </row>
    <row r="711" spans="1:9" x14ac:dyDescent="0.3">
      <c r="A711" s="13" t="str">
        <f>IF(B711="","",COUNTA($B$4:B711))</f>
        <v/>
      </c>
      <c r="B711" s="13"/>
      <c r="C711" s="13"/>
      <c r="D711" s="13"/>
      <c r="E711" s="13"/>
      <c r="F711" s="13"/>
      <c r="G711" s="13"/>
      <c r="H711" s="13"/>
      <c r="I711" s="14"/>
    </row>
    <row r="712" spans="1:9" x14ac:dyDescent="0.3">
      <c r="A712" s="13" t="str">
        <f>IF(B712="","",COUNTA($B$4:B712))</f>
        <v/>
      </c>
      <c r="B712" s="13"/>
      <c r="C712" s="13"/>
      <c r="D712" s="13"/>
      <c r="E712" s="13"/>
      <c r="F712" s="13"/>
      <c r="G712" s="13"/>
      <c r="H712" s="13"/>
      <c r="I712" s="14"/>
    </row>
    <row r="713" spans="1:9" x14ac:dyDescent="0.3">
      <c r="A713" s="13" t="str">
        <f>IF(B713="","",COUNTA($B$4:B713))</f>
        <v/>
      </c>
      <c r="B713" s="13"/>
      <c r="C713" s="13"/>
      <c r="D713" s="13"/>
      <c r="E713" s="13"/>
      <c r="F713" s="13"/>
      <c r="G713" s="13"/>
      <c r="H713" s="13"/>
      <c r="I713" s="14"/>
    </row>
    <row r="714" spans="1:9" x14ac:dyDescent="0.3">
      <c r="A714" s="13" t="str">
        <f>IF(B714="","",COUNTA($B$4:B714))</f>
        <v/>
      </c>
      <c r="B714" s="13"/>
      <c r="C714" s="13"/>
      <c r="D714" s="13"/>
      <c r="E714" s="13"/>
      <c r="F714" s="13"/>
      <c r="G714" s="13"/>
      <c r="H714" s="13"/>
      <c r="I714" s="14"/>
    </row>
    <row r="715" spans="1:9" x14ac:dyDescent="0.3">
      <c r="A715" s="13" t="str">
        <f>IF(B715="","",COUNTA($B$4:B715))</f>
        <v/>
      </c>
      <c r="B715" s="13"/>
      <c r="C715" s="13"/>
      <c r="D715" s="13"/>
      <c r="E715" s="13"/>
      <c r="F715" s="13"/>
      <c r="G715" s="13"/>
      <c r="H715" s="13"/>
      <c r="I715" s="14"/>
    </row>
    <row r="716" spans="1:9" x14ac:dyDescent="0.3">
      <c r="A716" s="13" t="str">
        <f>IF(B716="","",COUNTA($B$4:B716))</f>
        <v/>
      </c>
      <c r="B716" s="13"/>
      <c r="C716" s="13"/>
      <c r="D716" s="13"/>
      <c r="E716" s="13"/>
      <c r="F716" s="13"/>
      <c r="G716" s="13"/>
      <c r="H716" s="13"/>
      <c r="I716" s="14"/>
    </row>
    <row r="717" spans="1:9" x14ac:dyDescent="0.3">
      <c r="A717" s="13" t="str">
        <f>IF(B717="","",COUNTA($B$4:B717))</f>
        <v/>
      </c>
      <c r="B717" s="13"/>
      <c r="C717" s="13"/>
      <c r="D717" s="13"/>
      <c r="E717" s="13"/>
      <c r="F717" s="13"/>
      <c r="G717" s="13"/>
      <c r="H717" s="13"/>
      <c r="I717" s="14"/>
    </row>
    <row r="718" spans="1:9" x14ac:dyDescent="0.3">
      <c r="A718" s="13" t="str">
        <f>IF(B718="","",COUNTA($B$4:B718))</f>
        <v/>
      </c>
      <c r="B718" s="13"/>
      <c r="C718" s="13"/>
      <c r="D718" s="13"/>
      <c r="E718" s="13"/>
      <c r="F718" s="13"/>
      <c r="G718" s="13"/>
      <c r="H718" s="13"/>
      <c r="I718" s="14"/>
    </row>
    <row r="719" spans="1:9" x14ac:dyDescent="0.3">
      <c r="A719" s="13" t="str">
        <f>IF(B719="","",COUNTA($B$4:B719))</f>
        <v/>
      </c>
      <c r="B719" s="13"/>
      <c r="C719" s="13"/>
      <c r="D719" s="13"/>
      <c r="E719" s="13"/>
      <c r="F719" s="13"/>
      <c r="G719" s="13"/>
      <c r="H719" s="13"/>
      <c r="I719" s="14"/>
    </row>
    <row r="720" spans="1:9" x14ac:dyDescent="0.3">
      <c r="A720" s="13" t="str">
        <f>IF(B720="","",COUNTA($B$4:B720))</f>
        <v/>
      </c>
      <c r="B720" s="13"/>
      <c r="C720" s="13"/>
      <c r="D720" s="13"/>
      <c r="E720" s="13"/>
      <c r="F720" s="13"/>
      <c r="G720" s="13"/>
      <c r="H720" s="13"/>
      <c r="I720" s="14"/>
    </row>
    <row r="721" spans="1:9" x14ac:dyDescent="0.3">
      <c r="A721" s="13" t="str">
        <f>IF(B721="","",COUNTA($B$4:B721))</f>
        <v/>
      </c>
      <c r="B721" s="13"/>
      <c r="C721" s="13"/>
      <c r="D721" s="13"/>
      <c r="E721" s="13"/>
      <c r="F721" s="13"/>
      <c r="G721" s="13"/>
      <c r="H721" s="13"/>
      <c r="I721" s="14"/>
    </row>
    <row r="722" spans="1:9" x14ac:dyDescent="0.3">
      <c r="A722" s="13" t="str">
        <f>IF(B722="","",COUNTA($B$4:B722))</f>
        <v/>
      </c>
      <c r="B722" s="13"/>
      <c r="C722" s="13"/>
      <c r="D722" s="13"/>
      <c r="E722" s="13"/>
      <c r="F722" s="13"/>
      <c r="G722" s="13"/>
      <c r="H722" s="13"/>
      <c r="I722" s="14"/>
    </row>
    <row r="723" spans="1:9" x14ac:dyDescent="0.3">
      <c r="A723" s="13" t="str">
        <f>IF(B723="","",COUNTA($B$4:B723))</f>
        <v/>
      </c>
      <c r="B723" s="13"/>
      <c r="C723" s="13"/>
      <c r="D723" s="13"/>
      <c r="E723" s="13"/>
      <c r="F723" s="13"/>
      <c r="G723" s="13"/>
      <c r="H723" s="13"/>
      <c r="I723" s="14"/>
    </row>
    <row r="724" spans="1:9" x14ac:dyDescent="0.3">
      <c r="A724" s="13" t="str">
        <f>IF(B724="","",COUNTA($B$4:B724))</f>
        <v/>
      </c>
      <c r="B724" s="13"/>
      <c r="C724" s="13"/>
      <c r="D724" s="13"/>
      <c r="E724" s="13"/>
      <c r="F724" s="13"/>
      <c r="G724" s="13"/>
      <c r="H724" s="13"/>
      <c r="I724" s="14"/>
    </row>
    <row r="725" spans="1:9" x14ac:dyDescent="0.3">
      <c r="A725" s="13" t="str">
        <f>IF(B725="","",COUNTA($B$4:B725))</f>
        <v/>
      </c>
      <c r="B725" s="13"/>
      <c r="C725" s="13"/>
      <c r="D725" s="13"/>
      <c r="E725" s="13"/>
      <c r="F725" s="13"/>
      <c r="G725" s="13"/>
      <c r="H725" s="13"/>
      <c r="I725" s="14"/>
    </row>
    <row r="726" spans="1:9" x14ac:dyDescent="0.3">
      <c r="A726" s="13" t="str">
        <f>IF(B726="","",COUNTA($B$4:B726))</f>
        <v/>
      </c>
      <c r="B726" s="13"/>
      <c r="C726" s="13"/>
      <c r="D726" s="13"/>
      <c r="E726" s="13"/>
      <c r="F726" s="13"/>
      <c r="G726" s="13"/>
      <c r="H726" s="13"/>
      <c r="I726" s="14"/>
    </row>
    <row r="727" spans="1:9" x14ac:dyDescent="0.3">
      <c r="A727" s="13" t="str">
        <f>IF(B727="","",COUNTA($B$4:B727))</f>
        <v/>
      </c>
      <c r="B727" s="13"/>
      <c r="C727" s="13"/>
      <c r="D727" s="13"/>
      <c r="E727" s="13"/>
      <c r="F727" s="13"/>
      <c r="G727" s="13"/>
      <c r="H727" s="13"/>
      <c r="I727" s="14"/>
    </row>
    <row r="728" spans="1:9" x14ac:dyDescent="0.3">
      <c r="A728" s="13" t="str">
        <f>IF(B728="","",COUNTA($B$4:B728))</f>
        <v/>
      </c>
      <c r="B728" s="13"/>
      <c r="C728" s="13"/>
      <c r="D728" s="13"/>
      <c r="E728" s="13"/>
      <c r="F728" s="13"/>
      <c r="G728" s="13"/>
      <c r="H728" s="13"/>
      <c r="I728" s="14"/>
    </row>
    <row r="729" spans="1:9" x14ac:dyDescent="0.3">
      <c r="A729" s="13" t="str">
        <f>IF(B729="","",COUNTA($B$4:B729))</f>
        <v/>
      </c>
      <c r="B729" s="13"/>
      <c r="C729" s="13"/>
      <c r="D729" s="13"/>
      <c r="E729" s="13"/>
      <c r="F729" s="13"/>
      <c r="G729" s="13"/>
      <c r="H729" s="13"/>
      <c r="I729" s="14"/>
    </row>
    <row r="730" spans="1:9" x14ac:dyDescent="0.3">
      <c r="A730" s="13" t="str">
        <f>IF(B730="","",COUNTA($B$4:B730))</f>
        <v/>
      </c>
      <c r="B730" s="13"/>
      <c r="C730" s="13"/>
      <c r="D730" s="13"/>
      <c r="E730" s="13"/>
      <c r="F730" s="13"/>
      <c r="G730" s="13"/>
      <c r="H730" s="13"/>
      <c r="I730" s="14"/>
    </row>
    <row r="731" spans="1:9" x14ac:dyDescent="0.3">
      <c r="A731" s="13" t="str">
        <f>IF(B731="","",COUNTA($B$4:B731))</f>
        <v/>
      </c>
      <c r="B731" s="13"/>
      <c r="C731" s="13"/>
      <c r="D731" s="13"/>
      <c r="E731" s="13"/>
      <c r="F731" s="13"/>
      <c r="G731" s="13"/>
      <c r="H731" s="13"/>
      <c r="I731" s="14"/>
    </row>
    <row r="732" spans="1:9" x14ac:dyDescent="0.3">
      <c r="A732" s="13" t="str">
        <f>IF(B732="","",COUNTA($B$4:B732))</f>
        <v/>
      </c>
      <c r="B732" s="13"/>
      <c r="C732" s="13"/>
      <c r="D732" s="13"/>
      <c r="E732" s="13"/>
      <c r="F732" s="13"/>
      <c r="G732" s="13"/>
      <c r="H732" s="13"/>
      <c r="I732" s="14"/>
    </row>
    <row r="733" spans="1:9" x14ac:dyDescent="0.3">
      <c r="A733" s="13" t="str">
        <f>IF(B733="","",COUNTA($B$4:B733))</f>
        <v/>
      </c>
      <c r="B733" s="13"/>
      <c r="C733" s="13"/>
      <c r="D733" s="13"/>
      <c r="E733" s="13"/>
      <c r="F733" s="13"/>
      <c r="G733" s="13"/>
      <c r="H733" s="13"/>
      <c r="I733" s="14"/>
    </row>
    <row r="734" spans="1:9" x14ac:dyDescent="0.3">
      <c r="A734" s="13" t="str">
        <f>IF(B734="","",COUNTA($B$4:B734))</f>
        <v/>
      </c>
      <c r="B734" s="13"/>
      <c r="C734" s="13"/>
      <c r="D734" s="13"/>
      <c r="E734" s="13"/>
      <c r="F734" s="13"/>
      <c r="G734" s="13"/>
      <c r="H734" s="13"/>
      <c r="I734" s="14"/>
    </row>
    <row r="735" spans="1:9" x14ac:dyDescent="0.3">
      <c r="A735" s="13" t="str">
        <f>IF(B735="","",COUNTA($B$4:B735))</f>
        <v/>
      </c>
      <c r="B735" s="13"/>
      <c r="C735" s="13"/>
      <c r="D735" s="13"/>
      <c r="E735" s="13"/>
      <c r="F735" s="13"/>
      <c r="G735" s="13"/>
      <c r="H735" s="13"/>
      <c r="I735" s="14"/>
    </row>
    <row r="736" spans="1:9" x14ac:dyDescent="0.3">
      <c r="A736" s="13" t="str">
        <f>IF(B736="","",COUNTA($B$4:B736))</f>
        <v/>
      </c>
      <c r="B736" s="13"/>
      <c r="C736" s="13"/>
      <c r="D736" s="13"/>
      <c r="E736" s="13"/>
      <c r="F736" s="13"/>
      <c r="G736" s="13"/>
      <c r="H736" s="13"/>
      <c r="I736" s="14"/>
    </row>
    <row r="737" spans="1:9" x14ac:dyDescent="0.3">
      <c r="A737" s="13" t="str">
        <f>IF(B737="","",COUNTA($B$4:B737))</f>
        <v/>
      </c>
      <c r="B737" s="13"/>
      <c r="C737" s="13"/>
      <c r="D737" s="13"/>
      <c r="E737" s="13"/>
      <c r="F737" s="13"/>
      <c r="G737" s="13"/>
      <c r="H737" s="13"/>
      <c r="I737" s="14"/>
    </row>
    <row r="738" spans="1:9" x14ac:dyDescent="0.3">
      <c r="A738" s="13" t="str">
        <f>IF(B738="","",COUNTA($B$4:B738))</f>
        <v/>
      </c>
      <c r="B738" s="13"/>
      <c r="C738" s="13"/>
      <c r="D738" s="13"/>
      <c r="E738" s="13"/>
      <c r="F738" s="13"/>
      <c r="G738" s="13"/>
      <c r="H738" s="13"/>
      <c r="I738" s="14"/>
    </row>
    <row r="739" spans="1:9" x14ac:dyDescent="0.3">
      <c r="A739" s="13" t="str">
        <f>IF(B739="","",COUNTA($B$4:B739))</f>
        <v/>
      </c>
      <c r="B739" s="13"/>
      <c r="C739" s="13"/>
      <c r="D739" s="13"/>
      <c r="E739" s="13"/>
      <c r="F739" s="13"/>
      <c r="G739" s="13"/>
      <c r="H739" s="13"/>
      <c r="I739" s="14"/>
    </row>
    <row r="740" spans="1:9" x14ac:dyDescent="0.3">
      <c r="A740" s="13" t="str">
        <f>IF(B740="","",COUNTA($B$4:B740))</f>
        <v/>
      </c>
      <c r="B740" s="13"/>
      <c r="C740" s="13"/>
      <c r="D740" s="13"/>
      <c r="E740" s="13"/>
      <c r="F740" s="13"/>
      <c r="G740" s="13"/>
      <c r="H740" s="13"/>
      <c r="I740" s="14"/>
    </row>
    <row r="741" spans="1:9" x14ac:dyDescent="0.3">
      <c r="A741" s="13" t="str">
        <f>IF(B741="","",COUNTA($B$4:B741))</f>
        <v/>
      </c>
      <c r="B741" s="13"/>
      <c r="C741" s="13"/>
      <c r="D741" s="13"/>
      <c r="E741" s="13"/>
      <c r="F741" s="13"/>
      <c r="G741" s="13"/>
      <c r="H741" s="13"/>
      <c r="I741" s="14"/>
    </row>
    <row r="742" spans="1:9" x14ac:dyDescent="0.3">
      <c r="A742" s="13" t="str">
        <f>IF(B742="","",COUNTA($B$4:B742))</f>
        <v/>
      </c>
      <c r="B742" s="13"/>
      <c r="C742" s="13"/>
      <c r="D742" s="13"/>
      <c r="E742" s="13"/>
      <c r="F742" s="13"/>
      <c r="G742" s="13"/>
      <c r="H742" s="13"/>
      <c r="I742" s="14"/>
    </row>
    <row r="743" spans="1:9" x14ac:dyDescent="0.3">
      <c r="A743" s="13" t="str">
        <f>IF(B743="","",COUNTA($B$4:B743))</f>
        <v/>
      </c>
      <c r="B743" s="13"/>
      <c r="C743" s="13"/>
      <c r="D743" s="13"/>
      <c r="E743" s="13"/>
      <c r="F743" s="13"/>
      <c r="G743" s="13"/>
      <c r="H743" s="13"/>
      <c r="I743" s="14"/>
    </row>
    <row r="744" spans="1:9" x14ac:dyDescent="0.3">
      <c r="A744" s="13" t="str">
        <f>IF(B744="","",COUNTA($B$4:B744))</f>
        <v/>
      </c>
      <c r="B744" s="13"/>
      <c r="C744" s="13"/>
      <c r="D744" s="13"/>
      <c r="E744" s="13"/>
      <c r="F744" s="13"/>
      <c r="G744" s="13"/>
      <c r="H744" s="13"/>
      <c r="I744" s="14"/>
    </row>
    <row r="745" spans="1:9" x14ac:dyDescent="0.3">
      <c r="A745" s="13" t="str">
        <f>IF(B745="","",COUNTA($B$4:B745))</f>
        <v/>
      </c>
      <c r="B745" s="13"/>
      <c r="C745" s="13"/>
      <c r="D745" s="13"/>
      <c r="E745" s="13"/>
      <c r="F745" s="13"/>
      <c r="G745" s="13"/>
      <c r="H745" s="13"/>
      <c r="I745" s="14"/>
    </row>
    <row r="746" spans="1:9" x14ac:dyDescent="0.3">
      <c r="A746" s="13" t="str">
        <f>IF(B746="","",COUNTA($B$4:B746))</f>
        <v/>
      </c>
      <c r="B746" s="13"/>
      <c r="C746" s="13"/>
      <c r="D746" s="13"/>
      <c r="E746" s="13"/>
      <c r="F746" s="13"/>
      <c r="G746" s="13"/>
      <c r="H746" s="13"/>
      <c r="I746" s="14"/>
    </row>
    <row r="747" spans="1:9" x14ac:dyDescent="0.3">
      <c r="A747" s="13" t="str">
        <f>IF(B747="","",COUNTA($B$4:B747))</f>
        <v/>
      </c>
      <c r="B747" s="13"/>
      <c r="C747" s="13"/>
      <c r="D747" s="13"/>
      <c r="E747" s="13"/>
      <c r="F747" s="13"/>
      <c r="G747" s="13"/>
      <c r="H747" s="13"/>
      <c r="I747" s="14"/>
    </row>
    <row r="748" spans="1:9" x14ac:dyDescent="0.3">
      <c r="A748" s="13" t="str">
        <f>IF(B748="","",COUNTA($B$4:B748))</f>
        <v/>
      </c>
      <c r="B748" s="13"/>
      <c r="C748" s="13"/>
      <c r="D748" s="13"/>
      <c r="E748" s="13"/>
      <c r="F748" s="13"/>
      <c r="G748" s="13"/>
      <c r="H748" s="13"/>
      <c r="I748" s="14"/>
    </row>
    <row r="749" spans="1:9" x14ac:dyDescent="0.3">
      <c r="A749" s="13" t="str">
        <f>IF(B749="","",COUNTA($B$4:B749))</f>
        <v/>
      </c>
      <c r="B749" s="13"/>
      <c r="C749" s="13"/>
      <c r="D749" s="13"/>
      <c r="E749" s="13"/>
      <c r="F749" s="13"/>
      <c r="G749" s="13"/>
      <c r="H749" s="13"/>
      <c r="I749" s="14"/>
    </row>
    <row r="750" spans="1:9" x14ac:dyDescent="0.3">
      <c r="A750" s="13" t="str">
        <f>IF(B750="","",COUNTA($B$4:B750))</f>
        <v/>
      </c>
      <c r="B750" s="13"/>
      <c r="C750" s="13"/>
      <c r="D750" s="13"/>
      <c r="E750" s="13"/>
      <c r="F750" s="13"/>
      <c r="G750" s="13"/>
      <c r="H750" s="13"/>
      <c r="I750" s="14"/>
    </row>
    <row r="751" spans="1:9" x14ac:dyDescent="0.3">
      <c r="A751" s="13" t="str">
        <f>IF(B751="","",COUNTA($B$4:B751))</f>
        <v/>
      </c>
      <c r="B751" s="13"/>
      <c r="C751" s="13"/>
      <c r="D751" s="13"/>
      <c r="E751" s="13"/>
      <c r="F751" s="13"/>
      <c r="G751" s="13"/>
      <c r="H751" s="13"/>
      <c r="I751" s="14"/>
    </row>
    <row r="752" spans="1:9" x14ac:dyDescent="0.3">
      <c r="A752" s="13" t="str">
        <f>IF(B752="","",COUNTA($B$4:B752))</f>
        <v/>
      </c>
      <c r="B752" s="13"/>
      <c r="C752" s="13"/>
      <c r="D752" s="13"/>
      <c r="E752" s="13"/>
      <c r="F752" s="13"/>
      <c r="G752" s="13"/>
      <c r="H752" s="13"/>
      <c r="I752" s="14"/>
    </row>
    <row r="753" spans="1:9" x14ac:dyDescent="0.3">
      <c r="A753" s="13" t="str">
        <f>IF(B753="","",COUNTA($B$4:B753))</f>
        <v/>
      </c>
      <c r="B753" s="13"/>
      <c r="C753" s="13"/>
      <c r="D753" s="13"/>
      <c r="E753" s="13"/>
      <c r="F753" s="13"/>
      <c r="G753" s="13"/>
      <c r="H753" s="13"/>
      <c r="I753" s="14"/>
    </row>
    <row r="754" spans="1:9" x14ac:dyDescent="0.3">
      <c r="A754" s="13" t="str">
        <f>IF(B754="","",COUNTA($B$4:B754))</f>
        <v/>
      </c>
      <c r="B754" s="13"/>
      <c r="C754" s="13"/>
      <c r="D754" s="13"/>
      <c r="E754" s="13"/>
      <c r="F754" s="13"/>
      <c r="G754" s="13"/>
      <c r="H754" s="13"/>
      <c r="I754" s="14"/>
    </row>
    <row r="755" spans="1:9" x14ac:dyDescent="0.3">
      <c r="A755" s="13" t="str">
        <f>IF(B755="","",COUNTA($B$4:B755))</f>
        <v/>
      </c>
      <c r="B755" s="13"/>
      <c r="C755" s="13"/>
      <c r="D755" s="13"/>
      <c r="E755" s="13"/>
      <c r="F755" s="13"/>
      <c r="G755" s="13"/>
      <c r="H755" s="13"/>
      <c r="I755" s="14"/>
    </row>
    <row r="756" spans="1:9" x14ac:dyDescent="0.3">
      <c r="A756" s="13" t="str">
        <f>IF(B756="","",COUNTA($B$4:B756))</f>
        <v/>
      </c>
      <c r="B756" s="13"/>
      <c r="C756" s="13"/>
      <c r="D756" s="13"/>
      <c r="E756" s="13"/>
      <c r="F756" s="13"/>
      <c r="G756" s="13"/>
      <c r="H756" s="13"/>
      <c r="I756" s="14"/>
    </row>
    <row r="757" spans="1:9" x14ac:dyDescent="0.3">
      <c r="A757" s="13" t="str">
        <f>IF(B757="","",COUNTA($B$4:B757))</f>
        <v/>
      </c>
      <c r="B757" s="13"/>
      <c r="C757" s="13"/>
      <c r="D757" s="13"/>
      <c r="E757" s="13"/>
      <c r="F757" s="13"/>
      <c r="G757" s="13"/>
      <c r="H757" s="13"/>
      <c r="I757" s="14"/>
    </row>
    <row r="758" spans="1:9" x14ac:dyDescent="0.3">
      <c r="A758" s="13" t="str">
        <f>IF(B758="","",COUNTA($B$4:B758))</f>
        <v/>
      </c>
      <c r="B758" s="13"/>
      <c r="C758" s="13"/>
      <c r="D758" s="13"/>
      <c r="E758" s="13"/>
      <c r="F758" s="13"/>
      <c r="G758" s="13"/>
      <c r="H758" s="13"/>
      <c r="I758" s="14"/>
    </row>
    <row r="759" spans="1:9" x14ac:dyDescent="0.3">
      <c r="A759" s="13" t="str">
        <f>IF(B759="","",COUNTA($B$4:B759))</f>
        <v/>
      </c>
      <c r="B759" s="13"/>
      <c r="C759" s="13"/>
      <c r="D759" s="13"/>
      <c r="E759" s="13"/>
      <c r="F759" s="13"/>
      <c r="G759" s="13"/>
      <c r="H759" s="13"/>
      <c r="I759" s="14"/>
    </row>
    <row r="760" spans="1:9" x14ac:dyDescent="0.3">
      <c r="A760" s="13" t="str">
        <f>IF(B760="","",COUNTA($B$4:B760))</f>
        <v/>
      </c>
      <c r="B760" s="13"/>
      <c r="C760" s="13"/>
      <c r="D760" s="13"/>
      <c r="E760" s="13"/>
      <c r="F760" s="13"/>
      <c r="G760" s="13"/>
      <c r="H760" s="13"/>
      <c r="I760" s="14"/>
    </row>
    <row r="761" spans="1:9" x14ac:dyDescent="0.3">
      <c r="A761" s="13" t="str">
        <f>IF(B761="","",COUNTA($B$4:B761))</f>
        <v/>
      </c>
      <c r="B761" s="13"/>
      <c r="C761" s="13"/>
      <c r="D761" s="13"/>
      <c r="E761" s="13"/>
      <c r="F761" s="13"/>
      <c r="G761" s="13"/>
      <c r="H761" s="13"/>
      <c r="I761" s="14"/>
    </row>
    <row r="762" spans="1:9" x14ac:dyDescent="0.3">
      <c r="A762" s="13" t="str">
        <f>IF(B762="","",COUNTA($B$4:B762))</f>
        <v/>
      </c>
      <c r="B762" s="13"/>
      <c r="C762" s="13"/>
      <c r="D762" s="13"/>
      <c r="E762" s="13"/>
      <c r="F762" s="13"/>
      <c r="G762" s="13"/>
      <c r="H762" s="13"/>
      <c r="I762" s="14"/>
    </row>
    <row r="763" spans="1:9" x14ac:dyDescent="0.3">
      <c r="A763" s="13" t="str">
        <f>IF(B763="","",COUNTA($B$4:B763))</f>
        <v/>
      </c>
      <c r="B763" s="13"/>
      <c r="C763" s="13"/>
      <c r="D763" s="13"/>
      <c r="E763" s="13"/>
      <c r="F763" s="13"/>
      <c r="G763" s="13"/>
      <c r="H763" s="13"/>
      <c r="I763" s="14"/>
    </row>
    <row r="764" spans="1:9" x14ac:dyDescent="0.3">
      <c r="A764" s="13" t="str">
        <f>IF(B764="","",COUNTA($B$4:B764))</f>
        <v/>
      </c>
      <c r="B764" s="13"/>
      <c r="C764" s="13"/>
      <c r="D764" s="13"/>
      <c r="E764" s="13"/>
      <c r="F764" s="13"/>
      <c r="G764" s="13"/>
      <c r="H764" s="13"/>
      <c r="I764" s="14"/>
    </row>
    <row r="765" spans="1:9" x14ac:dyDescent="0.3">
      <c r="A765" s="13" t="str">
        <f>IF(B765="","",COUNTA($B$4:B765))</f>
        <v/>
      </c>
      <c r="B765" s="13"/>
      <c r="C765" s="13"/>
      <c r="D765" s="13"/>
      <c r="E765" s="13"/>
      <c r="F765" s="13"/>
      <c r="G765" s="13"/>
      <c r="H765" s="13"/>
      <c r="I765" s="14"/>
    </row>
    <row r="766" spans="1:9" x14ac:dyDescent="0.3">
      <c r="A766" s="13" t="str">
        <f>IF(B766="","",COUNTA($B$4:B766))</f>
        <v/>
      </c>
      <c r="B766" s="13"/>
      <c r="C766" s="13"/>
      <c r="D766" s="13"/>
      <c r="E766" s="13"/>
      <c r="F766" s="13"/>
      <c r="G766" s="13"/>
      <c r="H766" s="13"/>
      <c r="I766" s="14"/>
    </row>
    <row r="767" spans="1:9" x14ac:dyDescent="0.3">
      <c r="A767" s="13" t="str">
        <f>IF(B767="","",COUNTA($B$4:B767))</f>
        <v/>
      </c>
      <c r="B767" s="13"/>
      <c r="C767" s="13"/>
      <c r="D767" s="13"/>
      <c r="E767" s="13"/>
      <c r="F767" s="13"/>
      <c r="G767" s="13"/>
      <c r="H767" s="13"/>
      <c r="I767" s="14"/>
    </row>
    <row r="768" spans="1:9" x14ac:dyDescent="0.3">
      <c r="A768" s="13" t="str">
        <f>IF(B768="","",COUNTA($B$4:B768))</f>
        <v/>
      </c>
      <c r="B768" s="13"/>
      <c r="C768" s="13"/>
      <c r="D768" s="13"/>
      <c r="E768" s="13"/>
      <c r="F768" s="13"/>
      <c r="G768" s="13"/>
      <c r="H768" s="13"/>
      <c r="I768" s="14"/>
    </row>
    <row r="769" spans="1:9" x14ac:dyDescent="0.3">
      <c r="A769" s="13" t="str">
        <f>IF(B769="","",COUNTA($B$4:B769))</f>
        <v/>
      </c>
      <c r="B769" s="13"/>
      <c r="C769" s="13"/>
      <c r="D769" s="13"/>
      <c r="E769" s="13"/>
      <c r="F769" s="13"/>
      <c r="G769" s="13"/>
      <c r="H769" s="13"/>
      <c r="I769" s="14"/>
    </row>
    <row r="770" spans="1:9" x14ac:dyDescent="0.3">
      <c r="A770" s="13" t="str">
        <f>IF(B770="","",COUNTA($B$4:B770))</f>
        <v/>
      </c>
      <c r="B770" s="13"/>
      <c r="C770" s="13"/>
      <c r="D770" s="13"/>
      <c r="E770" s="13"/>
      <c r="F770" s="13"/>
      <c r="G770" s="13"/>
      <c r="H770" s="13"/>
      <c r="I770" s="14"/>
    </row>
    <row r="771" spans="1:9" x14ac:dyDescent="0.3">
      <c r="A771" s="13" t="str">
        <f>IF(B771="","",COUNTA($B$4:B771))</f>
        <v/>
      </c>
      <c r="B771" s="13"/>
      <c r="C771" s="13"/>
      <c r="D771" s="13"/>
      <c r="E771" s="13"/>
      <c r="F771" s="13"/>
      <c r="G771" s="13"/>
      <c r="H771" s="13"/>
      <c r="I771" s="14"/>
    </row>
    <row r="772" spans="1:9" x14ac:dyDescent="0.3">
      <c r="A772" s="13" t="str">
        <f>IF(B772="","",COUNTA($B$4:B772))</f>
        <v/>
      </c>
      <c r="B772" s="13"/>
      <c r="C772" s="13"/>
      <c r="D772" s="13"/>
      <c r="E772" s="13"/>
      <c r="F772" s="13"/>
      <c r="G772" s="13"/>
      <c r="H772" s="13"/>
      <c r="I772" s="14"/>
    </row>
    <row r="773" spans="1:9" x14ac:dyDescent="0.3">
      <c r="A773" s="13" t="str">
        <f>IF(B773="","",COUNTA($B$4:B773))</f>
        <v/>
      </c>
      <c r="B773" s="13"/>
      <c r="C773" s="13"/>
      <c r="D773" s="13"/>
      <c r="E773" s="13"/>
      <c r="F773" s="13"/>
      <c r="G773" s="13"/>
      <c r="H773" s="13"/>
      <c r="I773" s="14"/>
    </row>
    <row r="774" spans="1:9" x14ac:dyDescent="0.3">
      <c r="A774" s="13" t="str">
        <f>IF(B774="","",COUNTA($B$4:B774))</f>
        <v/>
      </c>
      <c r="B774" s="13"/>
      <c r="C774" s="13"/>
      <c r="D774" s="13"/>
      <c r="E774" s="13"/>
      <c r="F774" s="13"/>
      <c r="G774" s="13"/>
      <c r="H774" s="13"/>
      <c r="I774" s="14"/>
    </row>
    <row r="775" spans="1:9" x14ac:dyDescent="0.3">
      <c r="A775" s="13" t="str">
        <f>IF(B775="","",COUNTA($B$4:B775))</f>
        <v/>
      </c>
      <c r="B775" s="13"/>
      <c r="C775" s="13"/>
      <c r="D775" s="13"/>
      <c r="E775" s="13"/>
      <c r="F775" s="13"/>
      <c r="G775" s="13"/>
      <c r="H775" s="13"/>
      <c r="I775" s="14"/>
    </row>
    <row r="776" spans="1:9" x14ac:dyDescent="0.3">
      <c r="A776" s="13" t="str">
        <f>IF(B776="","",COUNTA($B$4:B776))</f>
        <v/>
      </c>
      <c r="B776" s="13"/>
      <c r="C776" s="13"/>
      <c r="D776" s="13"/>
      <c r="E776" s="13"/>
      <c r="F776" s="13"/>
      <c r="G776" s="13"/>
      <c r="H776" s="13"/>
      <c r="I776" s="14"/>
    </row>
    <row r="777" spans="1:9" x14ac:dyDescent="0.3">
      <c r="A777" s="13" t="str">
        <f>IF(B777="","",COUNTA($B$4:B777))</f>
        <v/>
      </c>
      <c r="B777" s="13"/>
      <c r="C777" s="13"/>
      <c r="D777" s="13"/>
      <c r="E777" s="13"/>
      <c r="F777" s="13"/>
      <c r="G777" s="13"/>
      <c r="H777" s="13"/>
      <c r="I777" s="14"/>
    </row>
    <row r="778" spans="1:9" x14ac:dyDescent="0.3">
      <c r="A778" s="13" t="str">
        <f>IF(B778="","",COUNTA($B$4:B778))</f>
        <v/>
      </c>
      <c r="B778" s="13"/>
      <c r="C778" s="13"/>
      <c r="D778" s="13"/>
      <c r="E778" s="13"/>
      <c r="F778" s="13"/>
      <c r="G778" s="13"/>
      <c r="H778" s="13"/>
      <c r="I778" s="14"/>
    </row>
    <row r="779" spans="1:9" x14ac:dyDescent="0.3">
      <c r="A779" s="13" t="str">
        <f>IF(B779="","",COUNTA($B$4:B779))</f>
        <v/>
      </c>
      <c r="B779" s="13"/>
      <c r="C779" s="13"/>
      <c r="D779" s="13"/>
      <c r="E779" s="13"/>
      <c r="F779" s="13"/>
      <c r="G779" s="13"/>
      <c r="H779" s="13"/>
      <c r="I779" s="14"/>
    </row>
    <row r="780" spans="1:9" x14ac:dyDescent="0.3">
      <c r="A780" s="13" t="str">
        <f>IF(B780="","",COUNTA($B$4:B780))</f>
        <v/>
      </c>
      <c r="B780" s="13"/>
      <c r="C780" s="13"/>
      <c r="D780" s="13"/>
      <c r="E780" s="13"/>
      <c r="F780" s="13"/>
      <c r="G780" s="13"/>
      <c r="H780" s="13"/>
      <c r="I780" s="14"/>
    </row>
    <row r="781" spans="1:9" x14ac:dyDescent="0.3">
      <c r="A781" s="13" t="str">
        <f>IF(B781="","",COUNTA($B$4:B781))</f>
        <v/>
      </c>
      <c r="B781" s="13"/>
      <c r="C781" s="13"/>
      <c r="D781" s="13"/>
      <c r="E781" s="13"/>
      <c r="F781" s="13"/>
      <c r="G781" s="13"/>
      <c r="H781" s="13"/>
      <c r="I781" s="14"/>
    </row>
    <row r="782" spans="1:9" x14ac:dyDescent="0.3">
      <c r="A782" s="13" t="str">
        <f>IF(B782="","",COUNTA($B$4:B782))</f>
        <v/>
      </c>
      <c r="B782" s="13"/>
      <c r="C782" s="13"/>
      <c r="D782" s="13"/>
      <c r="E782" s="13"/>
      <c r="F782" s="13"/>
      <c r="G782" s="13"/>
      <c r="H782" s="13"/>
      <c r="I782" s="14"/>
    </row>
    <row r="783" spans="1:9" x14ac:dyDescent="0.3">
      <c r="A783" s="13" t="str">
        <f>IF(B783="","",COUNTA($B$4:B783))</f>
        <v/>
      </c>
      <c r="B783" s="13"/>
      <c r="C783" s="13"/>
      <c r="D783" s="13"/>
      <c r="E783" s="13"/>
      <c r="F783" s="13"/>
      <c r="G783" s="13"/>
      <c r="H783" s="13"/>
      <c r="I783" s="14"/>
    </row>
    <row r="784" spans="1:9" x14ac:dyDescent="0.3">
      <c r="A784" s="13" t="str">
        <f>IF(B784="","",COUNTA($B$4:B784))</f>
        <v/>
      </c>
      <c r="B784" s="13"/>
      <c r="C784" s="13"/>
      <c r="D784" s="13"/>
      <c r="E784" s="13"/>
      <c r="F784" s="13"/>
      <c r="G784" s="13"/>
      <c r="H784" s="13"/>
      <c r="I784" s="14"/>
    </row>
    <row r="785" spans="1:9" x14ac:dyDescent="0.3">
      <c r="A785" s="13" t="str">
        <f>IF(B785="","",COUNTA($B$4:B785))</f>
        <v/>
      </c>
      <c r="B785" s="13"/>
      <c r="C785" s="13"/>
      <c r="D785" s="13"/>
      <c r="E785" s="13"/>
      <c r="F785" s="13"/>
      <c r="G785" s="13"/>
      <c r="H785" s="13"/>
      <c r="I785" s="14"/>
    </row>
    <row r="786" spans="1:9" x14ac:dyDescent="0.3">
      <c r="A786" s="13" t="str">
        <f>IF(B786="","",COUNTA($B$4:B786))</f>
        <v/>
      </c>
      <c r="B786" s="13"/>
      <c r="C786" s="13"/>
      <c r="D786" s="13"/>
      <c r="E786" s="13"/>
      <c r="F786" s="13"/>
      <c r="G786" s="13"/>
      <c r="H786" s="13"/>
      <c r="I786" s="14"/>
    </row>
    <row r="787" spans="1:9" x14ac:dyDescent="0.3">
      <c r="A787" s="13" t="str">
        <f>IF(B787="","",COUNTA($B$4:B787))</f>
        <v/>
      </c>
      <c r="B787" s="13"/>
      <c r="C787" s="13"/>
      <c r="D787" s="13"/>
      <c r="E787" s="13"/>
      <c r="F787" s="13"/>
      <c r="G787" s="13"/>
      <c r="H787" s="13"/>
      <c r="I787" s="14"/>
    </row>
    <row r="788" spans="1:9" x14ac:dyDescent="0.3">
      <c r="A788" s="13" t="str">
        <f>IF(B788="","",COUNTA($B$4:B788))</f>
        <v/>
      </c>
      <c r="B788" s="13"/>
      <c r="C788" s="13"/>
      <c r="D788" s="13"/>
      <c r="E788" s="13"/>
      <c r="F788" s="13"/>
      <c r="G788" s="13"/>
      <c r="H788" s="13"/>
      <c r="I788" s="14"/>
    </row>
    <row r="789" spans="1:9" x14ac:dyDescent="0.3">
      <c r="A789" s="13" t="str">
        <f>IF(B789="","",COUNTA($B$4:B789))</f>
        <v/>
      </c>
      <c r="B789" s="13"/>
      <c r="C789" s="13"/>
      <c r="D789" s="13"/>
      <c r="E789" s="13"/>
      <c r="F789" s="13"/>
      <c r="G789" s="13"/>
      <c r="H789" s="13"/>
      <c r="I789" s="14"/>
    </row>
    <row r="790" spans="1:9" x14ac:dyDescent="0.3">
      <c r="A790" s="13" t="str">
        <f>IF(B790="","",COUNTA($B$4:B790))</f>
        <v/>
      </c>
      <c r="B790" s="13"/>
      <c r="C790" s="13"/>
      <c r="D790" s="13"/>
      <c r="E790" s="13"/>
      <c r="F790" s="13"/>
      <c r="G790" s="13"/>
      <c r="H790" s="13"/>
      <c r="I790" s="14"/>
    </row>
    <row r="791" spans="1:9" x14ac:dyDescent="0.3">
      <c r="A791" s="13" t="str">
        <f>IF(B791="","",COUNTA($B$4:B791))</f>
        <v/>
      </c>
      <c r="B791" s="13"/>
      <c r="C791" s="13"/>
      <c r="D791" s="13"/>
      <c r="E791" s="13"/>
      <c r="F791" s="13"/>
      <c r="G791" s="13"/>
      <c r="H791" s="13"/>
      <c r="I791" s="14"/>
    </row>
    <row r="792" spans="1:9" x14ac:dyDescent="0.3">
      <c r="A792" s="13" t="str">
        <f>IF(B792="","",COUNTA($B$4:B792))</f>
        <v/>
      </c>
      <c r="B792" s="13"/>
      <c r="C792" s="13"/>
      <c r="D792" s="13"/>
      <c r="E792" s="13"/>
      <c r="F792" s="13"/>
      <c r="G792" s="13"/>
      <c r="H792" s="13"/>
      <c r="I792" s="14"/>
    </row>
    <row r="793" spans="1:9" x14ac:dyDescent="0.3">
      <c r="A793" s="13" t="str">
        <f>IF(B793="","",COUNTA($B$4:B793))</f>
        <v/>
      </c>
      <c r="B793" s="13"/>
      <c r="C793" s="13"/>
      <c r="D793" s="13"/>
      <c r="E793" s="13"/>
      <c r="F793" s="13"/>
      <c r="G793" s="13"/>
      <c r="H793" s="13"/>
      <c r="I793" s="14"/>
    </row>
    <row r="794" spans="1:9" x14ac:dyDescent="0.3">
      <c r="A794" s="13" t="str">
        <f>IF(B794="","",COUNTA($B$4:B794))</f>
        <v/>
      </c>
      <c r="B794" s="13"/>
      <c r="C794" s="13"/>
      <c r="D794" s="13"/>
      <c r="E794" s="13"/>
      <c r="F794" s="13"/>
      <c r="G794" s="13"/>
      <c r="H794" s="13"/>
      <c r="I794" s="14"/>
    </row>
    <row r="795" spans="1:9" x14ac:dyDescent="0.3">
      <c r="A795" s="13" t="str">
        <f>IF(B795="","",COUNTA($B$4:B795))</f>
        <v/>
      </c>
      <c r="B795" s="13"/>
      <c r="C795" s="13"/>
      <c r="D795" s="13"/>
      <c r="E795" s="13"/>
      <c r="F795" s="13"/>
      <c r="G795" s="13"/>
      <c r="H795" s="13"/>
      <c r="I795" s="14"/>
    </row>
    <row r="796" spans="1:9" x14ac:dyDescent="0.3">
      <c r="A796" s="13" t="str">
        <f>IF(B796="","",COUNTA($B$4:B796))</f>
        <v/>
      </c>
      <c r="B796" s="13"/>
      <c r="C796" s="13"/>
      <c r="D796" s="13"/>
      <c r="E796" s="13"/>
      <c r="F796" s="13"/>
      <c r="G796" s="13"/>
      <c r="H796" s="13"/>
      <c r="I796" s="14"/>
    </row>
    <row r="797" spans="1:9" x14ac:dyDescent="0.3">
      <c r="A797" s="13" t="str">
        <f>IF(B797="","",COUNTA($B$4:B797))</f>
        <v/>
      </c>
      <c r="B797" s="13"/>
      <c r="C797" s="13"/>
      <c r="D797" s="13"/>
      <c r="E797" s="13"/>
      <c r="F797" s="13"/>
      <c r="G797" s="13"/>
      <c r="H797" s="13"/>
      <c r="I797" s="14"/>
    </row>
    <row r="798" spans="1:9" x14ac:dyDescent="0.3">
      <c r="A798" s="13" t="str">
        <f>IF(B798="","",COUNTA($B$4:B798))</f>
        <v/>
      </c>
      <c r="B798" s="13"/>
      <c r="C798" s="13"/>
      <c r="D798" s="13"/>
      <c r="E798" s="13"/>
      <c r="F798" s="13"/>
      <c r="G798" s="13"/>
      <c r="H798" s="13"/>
      <c r="I798" s="14"/>
    </row>
    <row r="799" spans="1:9" x14ac:dyDescent="0.3">
      <c r="A799" s="13" t="str">
        <f>IF(B799="","",COUNTA($B$4:B799))</f>
        <v/>
      </c>
      <c r="B799" s="13"/>
      <c r="C799" s="13"/>
      <c r="D799" s="13"/>
      <c r="E799" s="13"/>
      <c r="F799" s="13"/>
      <c r="G799" s="13"/>
      <c r="H799" s="13"/>
      <c r="I799" s="14"/>
    </row>
    <row r="800" spans="1:9" x14ac:dyDescent="0.3">
      <c r="A800" s="13" t="str">
        <f>IF(B800="","",COUNTA($B$4:B800))</f>
        <v/>
      </c>
      <c r="B800" s="13"/>
      <c r="C800" s="13"/>
      <c r="D800" s="13"/>
      <c r="E800" s="13"/>
      <c r="F800" s="13"/>
      <c r="G800" s="13"/>
      <c r="H800" s="13"/>
      <c r="I800" s="14"/>
    </row>
    <row r="801" spans="1:9" x14ac:dyDescent="0.3">
      <c r="A801" s="13" t="str">
        <f>IF(B801="","",COUNTA($B$4:B801))</f>
        <v/>
      </c>
      <c r="B801" s="13"/>
      <c r="C801" s="13"/>
      <c r="D801" s="13"/>
      <c r="E801" s="13"/>
      <c r="F801" s="13"/>
      <c r="G801" s="13"/>
      <c r="H801" s="13"/>
      <c r="I801" s="14"/>
    </row>
    <row r="802" spans="1:9" x14ac:dyDescent="0.3">
      <c r="A802" s="13" t="str">
        <f>IF(B802="","",COUNTA($B$4:B802))</f>
        <v/>
      </c>
      <c r="B802" s="13"/>
      <c r="C802" s="13"/>
      <c r="D802" s="13"/>
      <c r="E802" s="13"/>
      <c r="F802" s="13"/>
      <c r="G802" s="13"/>
      <c r="H802" s="13"/>
      <c r="I802" s="14"/>
    </row>
    <row r="803" spans="1:9" x14ac:dyDescent="0.3">
      <c r="A803" s="13" t="str">
        <f>IF(B803="","",COUNTA($B$4:B803))</f>
        <v/>
      </c>
      <c r="B803" s="13"/>
      <c r="C803" s="13"/>
      <c r="D803" s="13"/>
      <c r="E803" s="13"/>
      <c r="F803" s="13"/>
      <c r="G803" s="13"/>
      <c r="H803" s="13"/>
      <c r="I803" s="14"/>
    </row>
    <row r="804" spans="1:9" x14ac:dyDescent="0.3">
      <c r="A804" s="13" t="str">
        <f>IF(B804="","",COUNTA($B$4:B804))</f>
        <v/>
      </c>
      <c r="B804" s="13"/>
      <c r="C804" s="13"/>
      <c r="D804" s="13"/>
      <c r="E804" s="13"/>
      <c r="F804" s="13"/>
      <c r="G804" s="13"/>
      <c r="H804" s="13"/>
      <c r="I804" s="14"/>
    </row>
    <row r="805" spans="1:9" x14ac:dyDescent="0.3">
      <c r="A805" s="13" t="str">
        <f>IF(B805="","",COUNTA($B$4:B805))</f>
        <v/>
      </c>
      <c r="B805" s="13"/>
      <c r="C805" s="13"/>
      <c r="D805" s="13"/>
      <c r="E805" s="13"/>
      <c r="F805" s="13"/>
      <c r="G805" s="13"/>
      <c r="H805" s="13"/>
      <c r="I805" s="14"/>
    </row>
    <row r="806" spans="1:9" x14ac:dyDescent="0.3">
      <c r="A806" s="13" t="str">
        <f>IF(B806="","",COUNTA($B$4:B806))</f>
        <v/>
      </c>
      <c r="B806" s="13"/>
      <c r="C806" s="13"/>
      <c r="D806" s="13"/>
      <c r="E806" s="13"/>
      <c r="F806" s="13"/>
      <c r="G806" s="13"/>
      <c r="H806" s="13"/>
      <c r="I806" s="14"/>
    </row>
    <row r="807" spans="1:9" x14ac:dyDescent="0.3">
      <c r="A807" s="13" t="str">
        <f>IF(B807="","",COUNTA($B$4:B807))</f>
        <v/>
      </c>
      <c r="B807" s="13"/>
      <c r="C807" s="13"/>
      <c r="D807" s="13"/>
      <c r="E807" s="13"/>
      <c r="F807" s="13"/>
      <c r="G807" s="13"/>
      <c r="H807" s="13"/>
      <c r="I807" s="14"/>
    </row>
    <row r="808" spans="1:9" x14ac:dyDescent="0.3">
      <c r="A808" s="13" t="str">
        <f>IF(B808="","",COUNTA($B$4:B808))</f>
        <v/>
      </c>
      <c r="B808" s="13"/>
      <c r="C808" s="13"/>
      <c r="D808" s="13"/>
      <c r="E808" s="13"/>
      <c r="F808" s="13"/>
      <c r="G808" s="13"/>
      <c r="H808" s="13"/>
      <c r="I808" s="14"/>
    </row>
    <row r="809" spans="1:9" x14ac:dyDescent="0.3">
      <c r="A809" s="13" t="str">
        <f>IF(B809="","",COUNTA($B$4:B809))</f>
        <v/>
      </c>
      <c r="B809" s="13"/>
      <c r="C809" s="13"/>
      <c r="D809" s="13"/>
      <c r="E809" s="13"/>
      <c r="F809" s="13"/>
      <c r="G809" s="13"/>
      <c r="H809" s="13"/>
      <c r="I809" s="14"/>
    </row>
    <row r="810" spans="1:9" x14ac:dyDescent="0.3">
      <c r="A810" s="13" t="str">
        <f>IF(B810="","",COUNTA($B$4:B810))</f>
        <v/>
      </c>
      <c r="B810" s="13"/>
      <c r="C810" s="13"/>
      <c r="D810" s="13"/>
      <c r="E810" s="13"/>
      <c r="F810" s="13"/>
      <c r="G810" s="13"/>
      <c r="H810" s="13"/>
      <c r="I810" s="14"/>
    </row>
    <row r="811" spans="1:9" x14ac:dyDescent="0.3">
      <c r="A811" s="13" t="str">
        <f>IF(B811="","",COUNTA($B$4:B811))</f>
        <v/>
      </c>
      <c r="B811" s="13"/>
      <c r="C811" s="13"/>
      <c r="D811" s="13"/>
      <c r="E811" s="13"/>
      <c r="F811" s="13"/>
      <c r="G811" s="13"/>
      <c r="H811" s="13"/>
      <c r="I811" s="14"/>
    </row>
    <row r="812" spans="1:9" x14ac:dyDescent="0.3">
      <c r="A812" s="13" t="str">
        <f>IF(B812="","",COUNTA($B$4:B812))</f>
        <v/>
      </c>
      <c r="B812" s="13"/>
      <c r="C812" s="13"/>
      <c r="D812" s="13"/>
      <c r="E812" s="13"/>
      <c r="F812" s="13"/>
      <c r="G812" s="13"/>
      <c r="H812" s="13"/>
      <c r="I812" s="14"/>
    </row>
    <row r="813" spans="1:9" x14ac:dyDescent="0.3">
      <c r="A813" s="13" t="str">
        <f>IF(B813="","",COUNTA($B$4:B813))</f>
        <v/>
      </c>
      <c r="B813" s="13"/>
      <c r="C813" s="13"/>
      <c r="D813" s="13"/>
      <c r="E813" s="13"/>
      <c r="F813" s="13"/>
      <c r="G813" s="13"/>
      <c r="H813" s="13"/>
      <c r="I813" s="14"/>
    </row>
  </sheetData>
  <autoFilter ref="A3:I801" xr:uid="{00000000-0009-0000-0000-000010000000}"/>
  <phoneticPr fontId="4"/>
  <pageMargins left="0.39370078740157483" right="0.39370078740157483" top="0.39370078740157483" bottom="0.39370078740157483" header="0.39370078740157483" footer="0.39370078740157483"/>
  <pageSetup paperSize="9" scale="65" fitToHeight="0" orientation="portrait" verticalDpi="1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">
    <tabColor rgb="FF92D050"/>
  </sheetPr>
  <dimension ref="A1:I813"/>
  <sheetViews>
    <sheetView workbookViewId="0">
      <pane ySplit="3" topLeftCell="A4" activePane="bottomLeft" state="frozen"/>
      <selection sqref="A1:T4"/>
      <selection pane="bottomLeft"/>
    </sheetView>
  </sheetViews>
  <sheetFormatPr defaultRowHeight="14.4" x14ac:dyDescent="0.3"/>
  <cols>
    <col min="1" max="1" width="4.6328125" customWidth="1"/>
    <col min="2" max="2" width="20.6328125" customWidth="1"/>
    <col min="3" max="3" width="25.6328125" customWidth="1"/>
    <col min="4" max="4" width="35.6328125" customWidth="1"/>
    <col min="5" max="5" width="10.6328125" customWidth="1"/>
    <col min="6" max="6" width="14.6328125" customWidth="1"/>
    <col min="7" max="8" width="5.6328125" customWidth="1"/>
    <col min="9" max="9" width="8.7265625" style="15"/>
  </cols>
  <sheetData>
    <row r="1" spans="1:9" ht="18.600000000000001" x14ac:dyDescent="0.3">
      <c r="A1" s="8" t="str">
        <f ca="1">RIGHT(CELL("filename",A1),LEN(CELL("filename",A1))-FIND("]",CELL("filename",A1)))</f>
        <v>項目一覧 (項目別)</v>
      </c>
      <c r="B1" s="9"/>
      <c r="C1" s="9"/>
      <c r="D1" s="9"/>
      <c r="E1" s="9"/>
      <c r="F1" s="9"/>
      <c r="G1" s="9"/>
      <c r="H1" s="9"/>
      <c r="I1" s="10"/>
    </row>
    <row r="3" spans="1:9" x14ac:dyDescent="0.3">
      <c r="A3" s="11" t="s">
        <v>88</v>
      </c>
      <c r="B3" s="11" t="s">
        <v>89</v>
      </c>
      <c r="C3" s="11" t="s">
        <v>90</v>
      </c>
      <c r="D3" s="11" t="s">
        <v>91</v>
      </c>
      <c r="E3" s="11" t="s">
        <v>92</v>
      </c>
      <c r="F3" s="11" t="s">
        <v>93</v>
      </c>
      <c r="G3" s="11" t="s">
        <v>94</v>
      </c>
      <c r="H3" s="11" t="s">
        <v>95</v>
      </c>
      <c r="I3" s="12" t="s">
        <v>96</v>
      </c>
    </row>
    <row r="4" spans="1:9" x14ac:dyDescent="0.3">
      <c r="A4" s="13"/>
      <c r="B4" s="13"/>
      <c r="C4" s="13"/>
      <c r="D4" s="13"/>
      <c r="E4" s="13"/>
      <c r="F4" s="13"/>
      <c r="G4" s="13"/>
      <c r="H4" s="13"/>
      <c r="I4" s="14"/>
    </row>
    <row r="5" spans="1:9" x14ac:dyDescent="0.3">
      <c r="A5" s="13"/>
      <c r="B5" s="13"/>
      <c r="C5" s="13"/>
      <c r="D5" s="13"/>
      <c r="E5" s="13"/>
      <c r="F5" s="13"/>
      <c r="G5" s="13"/>
      <c r="H5" s="13"/>
      <c r="I5" s="14"/>
    </row>
    <row r="6" spans="1:9" x14ac:dyDescent="0.3">
      <c r="A6" s="13"/>
      <c r="B6" s="13"/>
      <c r="C6" s="13"/>
      <c r="D6" s="13"/>
      <c r="E6" s="13"/>
      <c r="F6" s="13"/>
      <c r="G6" s="13"/>
      <c r="H6" s="13"/>
      <c r="I6" s="14"/>
    </row>
    <row r="7" spans="1:9" x14ac:dyDescent="0.3">
      <c r="A7" s="13"/>
      <c r="B7" s="13"/>
      <c r="C7" s="13"/>
      <c r="D7" s="13"/>
      <c r="E7" s="13"/>
      <c r="F7" s="13"/>
      <c r="G7" s="13"/>
      <c r="H7" s="13"/>
      <c r="I7" s="14"/>
    </row>
    <row r="8" spans="1:9" x14ac:dyDescent="0.3">
      <c r="A8" s="13"/>
      <c r="B8" s="13"/>
      <c r="C8" s="13"/>
      <c r="D8" s="13"/>
      <c r="E8" s="13"/>
      <c r="F8" s="13"/>
      <c r="G8" s="13"/>
      <c r="H8" s="13"/>
      <c r="I8" s="14"/>
    </row>
    <row r="9" spans="1:9" x14ac:dyDescent="0.3">
      <c r="A9" s="13"/>
      <c r="B9" s="13"/>
      <c r="C9" s="13"/>
      <c r="D9" s="13"/>
      <c r="E9" s="13"/>
      <c r="F9" s="13"/>
      <c r="G9" s="13"/>
      <c r="H9" s="13"/>
      <c r="I9" s="14"/>
    </row>
    <row r="10" spans="1:9" x14ac:dyDescent="0.3">
      <c r="A10" s="13"/>
      <c r="B10" s="13"/>
      <c r="C10" s="13"/>
      <c r="D10" s="13"/>
      <c r="E10" s="13"/>
      <c r="F10" s="13"/>
      <c r="G10" s="13"/>
      <c r="H10" s="13"/>
      <c r="I10" s="14"/>
    </row>
    <row r="11" spans="1:9" x14ac:dyDescent="0.3">
      <c r="A11" s="13"/>
      <c r="B11" s="13"/>
      <c r="C11" s="13"/>
      <c r="D11" s="13"/>
      <c r="E11" s="13"/>
      <c r="F11" s="13"/>
      <c r="G11" s="13"/>
      <c r="H11" s="13"/>
      <c r="I11" s="14"/>
    </row>
    <row r="12" spans="1:9" x14ac:dyDescent="0.3">
      <c r="A12" s="13"/>
      <c r="B12" s="13"/>
      <c r="C12" s="13"/>
      <c r="D12" s="13"/>
      <c r="E12" s="13"/>
      <c r="F12" s="13"/>
      <c r="G12" s="13"/>
      <c r="H12" s="13"/>
      <c r="I12" s="14"/>
    </row>
    <row r="13" spans="1:9" x14ac:dyDescent="0.3">
      <c r="A13" s="13"/>
      <c r="B13" s="13"/>
      <c r="C13" s="13"/>
      <c r="D13" s="13"/>
      <c r="E13" s="13"/>
      <c r="F13" s="13"/>
      <c r="G13" s="13"/>
      <c r="H13" s="13"/>
      <c r="I13" s="14"/>
    </row>
    <row r="14" spans="1:9" x14ac:dyDescent="0.3">
      <c r="A14" s="13"/>
      <c r="B14" s="13"/>
      <c r="C14" s="13"/>
      <c r="D14" s="13"/>
      <c r="E14" s="13"/>
      <c r="F14" s="13"/>
      <c r="G14" s="13"/>
      <c r="H14" s="13"/>
      <c r="I14" s="14"/>
    </row>
    <row r="15" spans="1:9" x14ac:dyDescent="0.3">
      <c r="A15" s="13"/>
      <c r="B15" s="13"/>
      <c r="C15" s="13"/>
      <c r="D15" s="13"/>
      <c r="E15" s="13"/>
      <c r="F15" s="13"/>
      <c r="G15" s="13"/>
      <c r="H15" s="13"/>
      <c r="I15" s="14"/>
    </row>
    <row r="16" spans="1:9" x14ac:dyDescent="0.3">
      <c r="A16" s="13"/>
      <c r="B16" s="13"/>
      <c r="C16" s="13"/>
      <c r="D16" s="13"/>
      <c r="E16" s="13"/>
      <c r="F16" s="13"/>
      <c r="G16" s="13"/>
      <c r="H16" s="13"/>
      <c r="I16" s="14"/>
    </row>
    <row r="17" spans="1:9" x14ac:dyDescent="0.3">
      <c r="A17" s="13"/>
      <c r="B17" s="13"/>
      <c r="C17" s="13"/>
      <c r="D17" s="13"/>
      <c r="E17" s="13"/>
      <c r="F17" s="13"/>
      <c r="G17" s="13"/>
      <c r="H17" s="13"/>
      <c r="I17" s="14"/>
    </row>
    <row r="18" spans="1:9" x14ac:dyDescent="0.3">
      <c r="A18" s="13"/>
      <c r="B18" s="13"/>
      <c r="C18" s="13"/>
      <c r="D18" s="13"/>
      <c r="E18" s="13"/>
      <c r="F18" s="13"/>
      <c r="G18" s="13"/>
      <c r="H18" s="13"/>
      <c r="I18" s="14"/>
    </row>
    <row r="19" spans="1:9" x14ac:dyDescent="0.3">
      <c r="A19" s="13"/>
      <c r="B19" s="13"/>
      <c r="C19" s="13"/>
      <c r="D19" s="13"/>
      <c r="E19" s="13"/>
      <c r="F19" s="13"/>
      <c r="G19" s="13"/>
      <c r="H19" s="13"/>
      <c r="I19" s="14"/>
    </row>
    <row r="20" spans="1:9" x14ac:dyDescent="0.3">
      <c r="A20" s="13"/>
      <c r="B20" s="13"/>
      <c r="C20" s="13"/>
      <c r="D20" s="13"/>
      <c r="E20" s="13"/>
      <c r="F20" s="13"/>
      <c r="G20" s="13"/>
      <c r="H20" s="13"/>
      <c r="I20" s="14"/>
    </row>
    <row r="21" spans="1:9" x14ac:dyDescent="0.3">
      <c r="A21" s="13"/>
      <c r="B21" s="13"/>
      <c r="C21" s="13"/>
      <c r="D21" s="13"/>
      <c r="E21" s="13"/>
      <c r="F21" s="13"/>
      <c r="G21" s="13"/>
      <c r="H21" s="13"/>
      <c r="I21" s="14"/>
    </row>
    <row r="22" spans="1:9" x14ac:dyDescent="0.3">
      <c r="A22" s="13"/>
      <c r="B22" s="13"/>
      <c r="C22" s="13"/>
      <c r="D22" s="13"/>
      <c r="E22" s="13"/>
      <c r="F22" s="13"/>
      <c r="G22" s="13"/>
      <c r="H22" s="13"/>
      <c r="I22" s="14"/>
    </row>
    <row r="23" spans="1:9" x14ac:dyDescent="0.3">
      <c r="A23" s="13"/>
      <c r="B23" s="13"/>
      <c r="C23" s="13"/>
      <c r="D23" s="13"/>
      <c r="E23" s="13"/>
      <c r="F23" s="13"/>
      <c r="G23" s="13"/>
      <c r="H23" s="13"/>
      <c r="I23" s="14"/>
    </row>
    <row r="24" spans="1:9" x14ac:dyDescent="0.3">
      <c r="A24" s="13"/>
      <c r="B24" s="13"/>
      <c r="C24" s="13"/>
      <c r="D24" s="13"/>
      <c r="E24" s="13"/>
      <c r="F24" s="13"/>
      <c r="G24" s="13"/>
      <c r="H24" s="13"/>
      <c r="I24" s="14"/>
    </row>
    <row r="25" spans="1:9" x14ac:dyDescent="0.3">
      <c r="A25" s="13"/>
      <c r="B25" s="13"/>
      <c r="C25" s="13"/>
      <c r="D25" s="13"/>
      <c r="E25" s="13"/>
      <c r="F25" s="13"/>
      <c r="G25" s="13"/>
      <c r="H25" s="13"/>
      <c r="I25" s="14"/>
    </row>
    <row r="26" spans="1:9" x14ac:dyDescent="0.3">
      <c r="A26" s="13"/>
      <c r="B26" s="13"/>
      <c r="C26" s="13"/>
      <c r="D26" s="13"/>
      <c r="E26" s="13"/>
      <c r="F26" s="13"/>
      <c r="G26" s="13"/>
      <c r="H26" s="13"/>
      <c r="I26" s="14"/>
    </row>
    <row r="27" spans="1:9" x14ac:dyDescent="0.3">
      <c r="A27" s="13"/>
      <c r="B27" s="13"/>
      <c r="C27" s="13"/>
      <c r="D27" s="13"/>
      <c r="E27" s="13"/>
      <c r="F27" s="13"/>
      <c r="G27" s="13"/>
      <c r="H27" s="13"/>
      <c r="I27" s="14"/>
    </row>
    <row r="28" spans="1:9" x14ac:dyDescent="0.3">
      <c r="A28" s="13"/>
      <c r="B28" s="13"/>
      <c r="C28" s="13"/>
      <c r="D28" s="13"/>
      <c r="E28" s="13"/>
      <c r="F28" s="13"/>
      <c r="G28" s="13"/>
      <c r="H28" s="13"/>
      <c r="I28" s="14"/>
    </row>
    <row r="29" spans="1:9" x14ac:dyDescent="0.3">
      <c r="A29" s="13"/>
      <c r="B29" s="13"/>
      <c r="C29" s="13"/>
      <c r="D29" s="13"/>
      <c r="E29" s="13"/>
      <c r="F29" s="13"/>
      <c r="G29" s="13"/>
      <c r="H29" s="13"/>
      <c r="I29" s="14"/>
    </row>
    <row r="30" spans="1:9" x14ac:dyDescent="0.3">
      <c r="A30" s="13"/>
      <c r="B30" s="13"/>
      <c r="C30" s="13"/>
      <c r="D30" s="13"/>
      <c r="E30" s="13"/>
      <c r="F30" s="13"/>
      <c r="G30" s="13"/>
      <c r="H30" s="13"/>
      <c r="I30" s="14"/>
    </row>
    <row r="31" spans="1:9" x14ac:dyDescent="0.3">
      <c r="A31" s="13"/>
      <c r="B31" s="13"/>
      <c r="C31" s="13"/>
      <c r="D31" s="13"/>
      <c r="E31" s="13"/>
      <c r="F31" s="13"/>
      <c r="G31" s="13"/>
      <c r="H31" s="13"/>
      <c r="I31" s="14"/>
    </row>
    <row r="32" spans="1:9" x14ac:dyDescent="0.3">
      <c r="A32" s="13"/>
      <c r="B32" s="13"/>
      <c r="C32" s="13"/>
      <c r="D32" s="13"/>
      <c r="E32" s="13"/>
      <c r="F32" s="13"/>
      <c r="G32" s="13"/>
      <c r="H32" s="13"/>
      <c r="I32" s="14"/>
    </row>
    <row r="33" spans="1:9" x14ac:dyDescent="0.3">
      <c r="A33" s="13"/>
      <c r="B33" s="13"/>
      <c r="C33" s="13"/>
      <c r="D33" s="13"/>
      <c r="E33" s="13"/>
      <c r="F33" s="13"/>
      <c r="G33" s="13"/>
      <c r="H33" s="13"/>
      <c r="I33" s="14"/>
    </row>
    <row r="34" spans="1:9" x14ac:dyDescent="0.3">
      <c r="A34" s="13"/>
      <c r="B34" s="13"/>
      <c r="C34" s="13"/>
      <c r="D34" s="13"/>
      <c r="E34" s="13"/>
      <c r="F34" s="13"/>
      <c r="G34" s="13"/>
      <c r="H34" s="13"/>
      <c r="I34" s="14"/>
    </row>
    <row r="35" spans="1:9" x14ac:dyDescent="0.3">
      <c r="A35" s="13"/>
      <c r="B35" s="13"/>
      <c r="C35" s="13"/>
      <c r="D35" s="13"/>
      <c r="E35" s="13"/>
      <c r="F35" s="13"/>
      <c r="G35" s="13"/>
      <c r="H35" s="13"/>
      <c r="I35" s="14"/>
    </row>
    <row r="36" spans="1:9" x14ac:dyDescent="0.3">
      <c r="A36" s="13"/>
      <c r="B36" s="13"/>
      <c r="C36" s="13"/>
      <c r="D36" s="13"/>
      <c r="E36" s="13"/>
      <c r="F36" s="13"/>
      <c r="G36" s="13"/>
      <c r="H36" s="13"/>
      <c r="I36" s="14"/>
    </row>
    <row r="37" spans="1:9" x14ac:dyDescent="0.3">
      <c r="A37" s="13"/>
      <c r="B37" s="13"/>
      <c r="C37" s="13"/>
      <c r="D37" s="13"/>
      <c r="E37" s="13"/>
      <c r="F37" s="13"/>
      <c r="G37" s="13"/>
      <c r="H37" s="13"/>
      <c r="I37" s="14"/>
    </row>
    <row r="38" spans="1:9" x14ac:dyDescent="0.3">
      <c r="A38" s="13"/>
      <c r="B38" s="13"/>
      <c r="C38" s="13"/>
      <c r="D38" s="13"/>
      <c r="E38" s="13"/>
      <c r="F38" s="13"/>
      <c r="G38" s="13"/>
      <c r="H38" s="13"/>
      <c r="I38" s="14"/>
    </row>
    <row r="39" spans="1:9" x14ac:dyDescent="0.3">
      <c r="A39" s="13"/>
      <c r="B39" s="13"/>
      <c r="C39" s="13"/>
      <c r="D39" s="13"/>
      <c r="E39" s="13"/>
      <c r="F39" s="13"/>
      <c r="G39" s="13"/>
      <c r="H39" s="13"/>
      <c r="I39" s="14"/>
    </row>
    <row r="40" spans="1:9" x14ac:dyDescent="0.3">
      <c r="A40" s="13"/>
      <c r="B40" s="13"/>
      <c r="C40" s="13"/>
      <c r="D40" s="13"/>
      <c r="E40" s="13"/>
      <c r="F40" s="13"/>
      <c r="G40" s="13"/>
      <c r="H40" s="13"/>
      <c r="I40" s="14"/>
    </row>
    <row r="41" spans="1:9" x14ac:dyDescent="0.3">
      <c r="A41" s="13"/>
      <c r="B41" s="13"/>
      <c r="C41" s="13"/>
      <c r="D41" s="13"/>
      <c r="E41" s="13"/>
      <c r="F41" s="13"/>
      <c r="G41" s="13"/>
      <c r="H41" s="13"/>
      <c r="I41" s="14"/>
    </row>
    <row r="42" spans="1:9" x14ac:dyDescent="0.3">
      <c r="A42" s="13"/>
      <c r="B42" s="13"/>
      <c r="C42" s="13"/>
      <c r="D42" s="13"/>
      <c r="E42" s="13"/>
      <c r="F42" s="13"/>
      <c r="G42" s="13"/>
      <c r="H42" s="13"/>
      <c r="I42" s="14"/>
    </row>
    <row r="43" spans="1:9" x14ac:dyDescent="0.3">
      <c r="A43" s="13"/>
      <c r="B43" s="13"/>
      <c r="C43" s="13"/>
      <c r="D43" s="13"/>
      <c r="E43" s="13"/>
      <c r="F43" s="13"/>
      <c r="G43" s="13"/>
      <c r="H43" s="13"/>
      <c r="I43" s="14"/>
    </row>
    <row r="44" spans="1:9" x14ac:dyDescent="0.3">
      <c r="A44" s="13"/>
      <c r="B44" s="13"/>
      <c r="C44" s="13"/>
      <c r="D44" s="13"/>
      <c r="E44" s="13"/>
      <c r="F44" s="13"/>
      <c r="G44" s="13"/>
      <c r="H44" s="13"/>
      <c r="I44" s="14"/>
    </row>
    <row r="45" spans="1:9" x14ac:dyDescent="0.3">
      <c r="A45" s="13"/>
      <c r="B45" s="13"/>
      <c r="C45" s="13"/>
      <c r="D45" s="13"/>
      <c r="E45" s="13"/>
      <c r="F45" s="13"/>
      <c r="G45" s="13"/>
      <c r="H45" s="13"/>
      <c r="I45" s="14"/>
    </row>
    <row r="46" spans="1:9" x14ac:dyDescent="0.3">
      <c r="A46" s="13"/>
      <c r="B46" s="13"/>
      <c r="C46" s="13"/>
      <c r="D46" s="13"/>
      <c r="E46" s="13"/>
      <c r="F46" s="13"/>
      <c r="G46" s="13"/>
      <c r="H46" s="13"/>
      <c r="I46" s="14"/>
    </row>
    <row r="47" spans="1:9" x14ac:dyDescent="0.3">
      <c r="A47" s="13"/>
      <c r="B47" s="13"/>
      <c r="C47" s="13"/>
      <c r="D47" s="13"/>
      <c r="E47" s="13"/>
      <c r="F47" s="13"/>
      <c r="G47" s="13"/>
      <c r="H47" s="13"/>
      <c r="I47" s="14"/>
    </row>
    <row r="48" spans="1:9" x14ac:dyDescent="0.3">
      <c r="A48" s="13"/>
      <c r="B48" s="13"/>
      <c r="C48" s="13"/>
      <c r="D48" s="13"/>
      <c r="E48" s="13"/>
      <c r="F48" s="13"/>
      <c r="G48" s="13"/>
      <c r="H48" s="13"/>
      <c r="I48" s="14"/>
    </row>
    <row r="49" spans="1:9" x14ac:dyDescent="0.3">
      <c r="A49" s="13"/>
      <c r="B49" s="13"/>
      <c r="C49" s="13"/>
      <c r="D49" s="13"/>
      <c r="E49" s="13"/>
      <c r="F49" s="13"/>
      <c r="G49" s="13"/>
      <c r="H49" s="13"/>
      <c r="I49" s="14"/>
    </row>
    <row r="50" spans="1:9" x14ac:dyDescent="0.3">
      <c r="A50" s="13"/>
      <c r="B50" s="13"/>
      <c r="C50" s="13"/>
      <c r="D50" s="13"/>
      <c r="E50" s="13"/>
      <c r="F50" s="13"/>
      <c r="G50" s="13"/>
      <c r="H50" s="13"/>
      <c r="I50" s="14"/>
    </row>
    <row r="51" spans="1:9" x14ac:dyDescent="0.3">
      <c r="A51" s="13"/>
      <c r="B51" s="13"/>
      <c r="C51" s="13"/>
      <c r="D51" s="13"/>
      <c r="E51" s="13"/>
      <c r="F51" s="13"/>
      <c r="G51" s="13"/>
      <c r="H51" s="13"/>
      <c r="I51" s="14"/>
    </row>
    <row r="52" spans="1:9" x14ac:dyDescent="0.3">
      <c r="A52" s="13"/>
      <c r="B52" s="13"/>
      <c r="C52" s="13"/>
      <c r="D52" s="13"/>
      <c r="E52" s="13"/>
      <c r="F52" s="13"/>
      <c r="G52" s="13"/>
      <c r="H52" s="13"/>
      <c r="I52" s="14"/>
    </row>
    <row r="53" spans="1:9" x14ac:dyDescent="0.3">
      <c r="A53" s="13"/>
      <c r="B53" s="13"/>
      <c r="C53" s="13"/>
      <c r="D53" s="13"/>
      <c r="E53" s="13"/>
      <c r="F53" s="13"/>
      <c r="G53" s="13"/>
      <c r="H53" s="13"/>
      <c r="I53" s="14"/>
    </row>
    <row r="54" spans="1:9" x14ac:dyDescent="0.3">
      <c r="A54" s="13"/>
      <c r="B54" s="13"/>
      <c r="C54" s="13"/>
      <c r="D54" s="13"/>
      <c r="E54" s="13"/>
      <c r="F54" s="13"/>
      <c r="G54" s="13"/>
      <c r="H54" s="13"/>
      <c r="I54" s="14"/>
    </row>
    <row r="55" spans="1:9" x14ac:dyDescent="0.3">
      <c r="A55" s="13"/>
      <c r="B55" s="13"/>
      <c r="C55" s="13"/>
      <c r="D55" s="13"/>
      <c r="E55" s="13"/>
      <c r="F55" s="13"/>
      <c r="G55" s="13"/>
      <c r="H55" s="13"/>
      <c r="I55" s="14"/>
    </row>
    <row r="56" spans="1:9" x14ac:dyDescent="0.3">
      <c r="A56" s="13"/>
      <c r="B56" s="13"/>
      <c r="C56" s="13"/>
      <c r="D56" s="13"/>
      <c r="E56" s="13"/>
      <c r="F56" s="13"/>
      <c r="G56" s="13"/>
      <c r="H56" s="13"/>
      <c r="I56" s="14"/>
    </row>
    <row r="57" spans="1:9" x14ac:dyDescent="0.3">
      <c r="A57" s="13"/>
      <c r="B57" s="13"/>
      <c r="C57" s="13"/>
      <c r="D57" s="13"/>
      <c r="E57" s="13"/>
      <c r="F57" s="13"/>
      <c r="G57" s="13"/>
      <c r="H57" s="13"/>
      <c r="I57" s="14"/>
    </row>
    <row r="58" spans="1:9" x14ac:dyDescent="0.3">
      <c r="A58" s="13"/>
      <c r="B58" s="13"/>
      <c r="C58" s="13"/>
      <c r="D58" s="13"/>
      <c r="E58" s="13"/>
      <c r="F58" s="13"/>
      <c r="G58" s="13"/>
      <c r="H58" s="13"/>
      <c r="I58" s="14"/>
    </row>
    <row r="59" spans="1:9" x14ac:dyDescent="0.3">
      <c r="A59" s="13"/>
      <c r="B59" s="13"/>
      <c r="C59" s="13"/>
      <c r="D59" s="13"/>
      <c r="E59" s="13"/>
      <c r="F59" s="13"/>
      <c r="G59" s="13"/>
      <c r="H59" s="13"/>
      <c r="I59" s="14"/>
    </row>
    <row r="60" spans="1:9" x14ac:dyDescent="0.3">
      <c r="A60" s="13"/>
      <c r="B60" s="13"/>
      <c r="C60" s="13"/>
      <c r="D60" s="13"/>
      <c r="E60" s="13"/>
      <c r="F60" s="13"/>
      <c r="G60" s="13"/>
      <c r="H60" s="13"/>
      <c r="I60" s="14"/>
    </row>
    <row r="61" spans="1:9" x14ac:dyDescent="0.3">
      <c r="A61" s="13"/>
      <c r="B61" s="13"/>
      <c r="C61" s="13"/>
      <c r="D61" s="13"/>
      <c r="E61" s="13"/>
      <c r="F61" s="13"/>
      <c r="G61" s="13"/>
      <c r="H61" s="13"/>
      <c r="I61" s="14"/>
    </row>
    <row r="62" spans="1:9" x14ac:dyDescent="0.3">
      <c r="A62" s="13"/>
      <c r="B62" s="13"/>
      <c r="C62" s="13"/>
      <c r="D62" s="13"/>
      <c r="E62" s="13"/>
      <c r="F62" s="13"/>
      <c r="G62" s="13"/>
      <c r="H62" s="13"/>
      <c r="I62" s="14"/>
    </row>
    <row r="63" spans="1:9" x14ac:dyDescent="0.3">
      <c r="A63" s="13"/>
      <c r="B63" s="13"/>
      <c r="C63" s="13"/>
      <c r="D63" s="13"/>
      <c r="E63" s="13"/>
      <c r="F63" s="13"/>
      <c r="G63" s="13"/>
      <c r="H63" s="13"/>
      <c r="I63" s="14"/>
    </row>
    <row r="64" spans="1:9" x14ac:dyDescent="0.3">
      <c r="A64" s="13"/>
      <c r="B64" s="13"/>
      <c r="C64" s="13"/>
      <c r="D64" s="13"/>
      <c r="E64" s="13"/>
      <c r="F64" s="13"/>
      <c r="G64" s="13"/>
      <c r="H64" s="13"/>
      <c r="I64" s="14"/>
    </row>
    <row r="65" spans="1:9" x14ac:dyDescent="0.3">
      <c r="A65" s="13"/>
      <c r="B65" s="13"/>
      <c r="C65" s="13"/>
      <c r="D65" s="13"/>
      <c r="E65" s="13"/>
      <c r="F65" s="13"/>
      <c r="G65" s="13"/>
      <c r="H65" s="13"/>
      <c r="I65" s="14"/>
    </row>
    <row r="66" spans="1:9" x14ac:dyDescent="0.3">
      <c r="A66" s="13"/>
      <c r="B66" s="13"/>
      <c r="C66" s="13"/>
      <c r="D66" s="13"/>
      <c r="E66" s="13"/>
      <c r="F66" s="13"/>
      <c r="G66" s="13"/>
      <c r="H66" s="13"/>
      <c r="I66" s="14"/>
    </row>
    <row r="67" spans="1:9" x14ac:dyDescent="0.3">
      <c r="A67" s="13"/>
      <c r="B67" s="13"/>
      <c r="C67" s="13"/>
      <c r="D67" s="13"/>
      <c r="E67" s="13"/>
      <c r="F67" s="13"/>
      <c r="G67" s="13"/>
      <c r="H67" s="13"/>
      <c r="I67" s="14"/>
    </row>
    <row r="68" spans="1:9" x14ac:dyDescent="0.3">
      <c r="A68" s="13"/>
      <c r="B68" s="13"/>
      <c r="C68" s="13"/>
      <c r="D68" s="13"/>
      <c r="E68" s="13"/>
      <c r="F68" s="13"/>
      <c r="G68" s="13"/>
      <c r="H68" s="13"/>
      <c r="I68" s="14"/>
    </row>
    <row r="69" spans="1:9" x14ac:dyDescent="0.3">
      <c r="A69" s="13"/>
      <c r="B69" s="13"/>
      <c r="C69" s="13"/>
      <c r="D69" s="13"/>
      <c r="E69" s="13"/>
      <c r="F69" s="13"/>
      <c r="G69" s="13"/>
      <c r="H69" s="13"/>
      <c r="I69" s="14"/>
    </row>
    <row r="70" spans="1:9" x14ac:dyDescent="0.3">
      <c r="A70" s="13"/>
      <c r="B70" s="13"/>
      <c r="C70" s="13"/>
      <c r="D70" s="13"/>
      <c r="E70" s="13"/>
      <c r="F70" s="13"/>
      <c r="G70" s="13"/>
      <c r="H70" s="13"/>
      <c r="I70" s="14"/>
    </row>
    <row r="71" spans="1:9" x14ac:dyDescent="0.3">
      <c r="A71" s="13"/>
      <c r="B71" s="13"/>
      <c r="C71" s="13"/>
      <c r="D71" s="13"/>
      <c r="E71" s="13"/>
      <c r="F71" s="13"/>
      <c r="G71" s="13"/>
      <c r="H71" s="13"/>
      <c r="I71" s="14"/>
    </row>
    <row r="72" spans="1:9" x14ac:dyDescent="0.3">
      <c r="A72" s="13"/>
      <c r="B72" s="13"/>
      <c r="C72" s="13"/>
      <c r="D72" s="13"/>
      <c r="E72" s="13"/>
      <c r="F72" s="13"/>
      <c r="G72" s="13"/>
      <c r="H72" s="13"/>
      <c r="I72" s="14"/>
    </row>
    <row r="73" spans="1:9" x14ac:dyDescent="0.3">
      <c r="A73" s="13"/>
      <c r="B73" s="13"/>
      <c r="C73" s="13"/>
      <c r="D73" s="13"/>
      <c r="E73" s="13"/>
      <c r="F73" s="13"/>
      <c r="G73" s="13"/>
      <c r="H73" s="13"/>
      <c r="I73" s="14"/>
    </row>
    <row r="74" spans="1:9" x14ac:dyDescent="0.3">
      <c r="A74" s="13"/>
      <c r="B74" s="13"/>
      <c r="C74" s="13"/>
      <c r="D74" s="13"/>
      <c r="E74" s="13"/>
      <c r="F74" s="13"/>
      <c r="G74" s="13"/>
      <c r="H74" s="13"/>
      <c r="I74" s="14"/>
    </row>
    <row r="75" spans="1:9" x14ac:dyDescent="0.3">
      <c r="A75" s="13"/>
      <c r="B75" s="13"/>
      <c r="C75" s="13"/>
      <c r="D75" s="13"/>
      <c r="E75" s="13"/>
      <c r="F75" s="13"/>
      <c r="G75" s="13"/>
      <c r="H75" s="13"/>
      <c r="I75" s="14"/>
    </row>
    <row r="76" spans="1:9" x14ac:dyDescent="0.3">
      <c r="A76" s="13"/>
      <c r="B76" s="13"/>
      <c r="C76" s="13"/>
      <c r="D76" s="13"/>
      <c r="E76" s="13"/>
      <c r="F76" s="13"/>
      <c r="G76" s="13"/>
      <c r="H76" s="13"/>
      <c r="I76" s="14"/>
    </row>
    <row r="77" spans="1:9" x14ac:dyDescent="0.3">
      <c r="A77" s="13"/>
      <c r="B77" s="13"/>
      <c r="C77" s="13"/>
      <c r="D77" s="13"/>
      <c r="E77" s="13"/>
      <c r="F77" s="13"/>
      <c r="G77" s="13"/>
      <c r="H77" s="13"/>
      <c r="I77" s="14"/>
    </row>
    <row r="78" spans="1:9" x14ac:dyDescent="0.3">
      <c r="A78" s="13"/>
      <c r="B78" s="13"/>
      <c r="C78" s="13"/>
      <c r="D78" s="13"/>
      <c r="E78" s="13"/>
      <c r="F78" s="13"/>
      <c r="G78" s="13"/>
      <c r="H78" s="13"/>
      <c r="I78" s="14"/>
    </row>
    <row r="79" spans="1:9" x14ac:dyDescent="0.3">
      <c r="A79" s="13"/>
      <c r="B79" s="13"/>
      <c r="C79" s="13"/>
      <c r="D79" s="13"/>
      <c r="E79" s="13"/>
      <c r="F79" s="13"/>
      <c r="G79" s="13"/>
      <c r="H79" s="13"/>
      <c r="I79" s="14"/>
    </row>
    <row r="80" spans="1:9" x14ac:dyDescent="0.3">
      <c r="A80" s="13"/>
      <c r="B80" s="13"/>
      <c r="C80" s="13"/>
      <c r="D80" s="13"/>
      <c r="E80" s="13"/>
      <c r="F80" s="13"/>
      <c r="G80" s="13"/>
      <c r="H80" s="13"/>
      <c r="I80" s="14"/>
    </row>
    <row r="81" spans="1:9" x14ac:dyDescent="0.3">
      <c r="A81" s="13"/>
      <c r="B81" s="13"/>
      <c r="C81" s="13"/>
      <c r="D81" s="13"/>
      <c r="E81" s="13"/>
      <c r="F81" s="13"/>
      <c r="G81" s="13"/>
      <c r="H81" s="13"/>
      <c r="I81" s="14"/>
    </row>
    <row r="82" spans="1:9" x14ac:dyDescent="0.3">
      <c r="A82" s="13"/>
      <c r="B82" s="13"/>
      <c r="C82" s="13"/>
      <c r="D82" s="13"/>
      <c r="E82" s="13"/>
      <c r="F82" s="13"/>
      <c r="G82" s="13"/>
      <c r="H82" s="13"/>
      <c r="I82" s="14"/>
    </row>
    <row r="83" spans="1:9" x14ac:dyDescent="0.3">
      <c r="A83" s="13"/>
      <c r="B83" s="13"/>
      <c r="C83" s="13"/>
      <c r="D83" s="13"/>
      <c r="E83" s="13"/>
      <c r="F83" s="13"/>
      <c r="G83" s="13"/>
      <c r="H83" s="13"/>
      <c r="I83" s="14"/>
    </row>
    <row r="84" spans="1:9" x14ac:dyDescent="0.3">
      <c r="A84" s="13"/>
      <c r="B84" s="13"/>
      <c r="C84" s="13"/>
      <c r="D84" s="13"/>
      <c r="E84" s="13"/>
      <c r="F84" s="13"/>
      <c r="G84" s="13"/>
      <c r="H84" s="13"/>
      <c r="I84" s="14"/>
    </row>
    <row r="85" spans="1:9" x14ac:dyDescent="0.3">
      <c r="A85" s="13"/>
      <c r="B85" s="13"/>
      <c r="C85" s="13"/>
      <c r="D85" s="13"/>
      <c r="E85" s="13"/>
      <c r="F85" s="13"/>
      <c r="G85" s="13"/>
      <c r="H85" s="13"/>
      <c r="I85" s="14"/>
    </row>
    <row r="86" spans="1:9" x14ac:dyDescent="0.3">
      <c r="A86" s="13"/>
      <c r="B86" s="13"/>
      <c r="C86" s="13"/>
      <c r="D86" s="13"/>
      <c r="E86" s="13"/>
      <c r="F86" s="13"/>
      <c r="G86" s="13"/>
      <c r="H86" s="13"/>
      <c r="I86" s="14"/>
    </row>
    <row r="87" spans="1:9" x14ac:dyDescent="0.3">
      <c r="A87" s="13"/>
      <c r="B87" s="13"/>
      <c r="C87" s="13"/>
      <c r="D87" s="13"/>
      <c r="E87" s="13"/>
      <c r="F87" s="13"/>
      <c r="G87" s="13"/>
      <c r="H87" s="13"/>
      <c r="I87" s="14"/>
    </row>
    <row r="88" spans="1:9" x14ac:dyDescent="0.3">
      <c r="A88" s="13"/>
      <c r="B88" s="13"/>
      <c r="C88" s="13"/>
      <c r="D88" s="13"/>
      <c r="E88" s="13"/>
      <c r="F88" s="13"/>
      <c r="G88" s="13"/>
      <c r="H88" s="13"/>
      <c r="I88" s="14"/>
    </row>
    <row r="89" spans="1:9" x14ac:dyDescent="0.3">
      <c r="A89" s="13"/>
      <c r="B89" s="13"/>
      <c r="C89" s="13"/>
      <c r="D89" s="13"/>
      <c r="E89" s="13"/>
      <c r="F89" s="13"/>
      <c r="G89" s="13"/>
      <c r="H89" s="13"/>
      <c r="I89" s="14"/>
    </row>
    <row r="90" spans="1:9" x14ac:dyDescent="0.3">
      <c r="A90" s="13"/>
      <c r="B90" s="13"/>
      <c r="C90" s="13"/>
      <c r="D90" s="13"/>
      <c r="E90" s="13"/>
      <c r="F90" s="13"/>
      <c r="G90" s="13"/>
      <c r="H90" s="13"/>
      <c r="I90" s="14"/>
    </row>
    <row r="91" spans="1:9" x14ac:dyDescent="0.3">
      <c r="A91" s="13"/>
      <c r="B91" s="13"/>
      <c r="C91" s="13"/>
      <c r="D91" s="13"/>
      <c r="E91" s="13"/>
      <c r="F91" s="13"/>
      <c r="G91" s="13"/>
      <c r="H91" s="13"/>
      <c r="I91" s="14"/>
    </row>
    <row r="92" spans="1:9" x14ac:dyDescent="0.3">
      <c r="A92" s="13"/>
      <c r="B92" s="13"/>
      <c r="C92" s="13"/>
      <c r="D92" s="13"/>
      <c r="E92" s="13"/>
      <c r="F92" s="13"/>
      <c r="G92" s="13"/>
      <c r="H92" s="13"/>
      <c r="I92" s="14"/>
    </row>
    <row r="93" spans="1:9" x14ac:dyDescent="0.3">
      <c r="A93" s="13"/>
      <c r="B93" s="13"/>
      <c r="C93" s="13"/>
      <c r="D93" s="13"/>
      <c r="E93" s="13"/>
      <c r="F93" s="13"/>
      <c r="G93" s="13"/>
      <c r="H93" s="13"/>
      <c r="I93" s="14"/>
    </row>
    <row r="94" spans="1:9" x14ac:dyDescent="0.3">
      <c r="A94" s="13"/>
      <c r="B94" s="13"/>
      <c r="C94" s="13"/>
      <c r="D94" s="13"/>
      <c r="E94" s="13"/>
      <c r="F94" s="13"/>
      <c r="G94" s="13"/>
      <c r="H94" s="13"/>
      <c r="I94" s="14"/>
    </row>
    <row r="95" spans="1:9" x14ac:dyDescent="0.3">
      <c r="A95" s="13"/>
      <c r="B95" s="13"/>
      <c r="C95" s="13"/>
      <c r="D95" s="13"/>
      <c r="E95" s="13"/>
      <c r="F95" s="13"/>
      <c r="G95" s="13"/>
      <c r="H95" s="13"/>
      <c r="I95" s="14"/>
    </row>
    <row r="96" spans="1:9" x14ac:dyDescent="0.3">
      <c r="A96" s="13"/>
      <c r="B96" s="13"/>
      <c r="C96" s="13"/>
      <c r="D96" s="13"/>
      <c r="E96" s="13"/>
      <c r="F96" s="13"/>
      <c r="G96" s="13"/>
      <c r="H96" s="13"/>
      <c r="I96" s="14"/>
    </row>
    <row r="97" spans="1:9" x14ac:dyDescent="0.3">
      <c r="A97" s="13"/>
      <c r="B97" s="13"/>
      <c r="C97" s="13"/>
      <c r="D97" s="13"/>
      <c r="E97" s="13"/>
      <c r="F97" s="13"/>
      <c r="G97" s="13"/>
      <c r="H97" s="13"/>
      <c r="I97" s="14"/>
    </row>
    <row r="98" spans="1:9" x14ac:dyDescent="0.3">
      <c r="A98" s="13"/>
      <c r="B98" s="13"/>
      <c r="C98" s="13"/>
      <c r="D98" s="13"/>
      <c r="E98" s="13"/>
      <c r="F98" s="13"/>
      <c r="G98" s="13"/>
      <c r="H98" s="13"/>
      <c r="I98" s="14"/>
    </row>
    <row r="99" spans="1:9" x14ac:dyDescent="0.3">
      <c r="A99" s="13"/>
      <c r="B99" s="13"/>
      <c r="C99" s="13"/>
      <c r="D99" s="13"/>
      <c r="E99" s="13"/>
      <c r="F99" s="13"/>
      <c r="G99" s="13"/>
      <c r="H99" s="13"/>
      <c r="I99" s="14"/>
    </row>
    <row r="100" spans="1:9" x14ac:dyDescent="0.3">
      <c r="A100" s="13"/>
      <c r="B100" s="13"/>
      <c r="C100" s="13"/>
      <c r="D100" s="13"/>
      <c r="E100" s="13"/>
      <c r="F100" s="13"/>
      <c r="G100" s="13"/>
      <c r="H100" s="13"/>
      <c r="I100" s="14"/>
    </row>
    <row r="101" spans="1:9" x14ac:dyDescent="0.3">
      <c r="A101" s="13"/>
      <c r="B101" s="13"/>
      <c r="C101" s="13"/>
      <c r="D101" s="13"/>
      <c r="E101" s="13"/>
      <c r="F101" s="13"/>
      <c r="G101" s="13"/>
      <c r="H101" s="13"/>
      <c r="I101" s="14"/>
    </row>
    <row r="102" spans="1:9" x14ac:dyDescent="0.3">
      <c r="A102" s="13"/>
      <c r="B102" s="13"/>
      <c r="C102" s="13"/>
      <c r="D102" s="13"/>
      <c r="E102" s="13"/>
      <c r="F102" s="13"/>
      <c r="G102" s="13"/>
      <c r="H102" s="13"/>
      <c r="I102" s="14"/>
    </row>
    <row r="103" spans="1:9" x14ac:dyDescent="0.3">
      <c r="A103" s="13"/>
      <c r="B103" s="13"/>
      <c r="C103" s="13"/>
      <c r="D103" s="13"/>
      <c r="E103" s="13"/>
      <c r="F103" s="13"/>
      <c r="G103" s="13"/>
      <c r="H103" s="13"/>
      <c r="I103" s="14"/>
    </row>
    <row r="104" spans="1:9" x14ac:dyDescent="0.3">
      <c r="A104" s="13"/>
      <c r="B104" s="13"/>
      <c r="C104" s="7"/>
      <c r="D104" s="2"/>
      <c r="E104" s="7"/>
      <c r="F104" s="13"/>
      <c r="G104" s="13"/>
      <c r="H104" s="13"/>
      <c r="I104" s="14"/>
    </row>
    <row r="105" spans="1:9" x14ac:dyDescent="0.3">
      <c r="A105" s="13"/>
      <c r="B105" s="13"/>
      <c r="C105" s="13"/>
      <c r="D105" s="13"/>
      <c r="E105" s="13"/>
      <c r="F105" s="13"/>
      <c r="G105" s="13"/>
      <c r="H105" s="13"/>
      <c r="I105" s="14"/>
    </row>
    <row r="106" spans="1:9" x14ac:dyDescent="0.3">
      <c r="A106" s="13"/>
      <c r="B106" s="13"/>
      <c r="C106" s="13"/>
      <c r="D106" s="13"/>
      <c r="E106" s="13"/>
      <c r="F106" s="13"/>
      <c r="G106" s="13"/>
      <c r="H106" s="13"/>
      <c r="I106" s="14"/>
    </row>
    <row r="107" spans="1:9" x14ac:dyDescent="0.3">
      <c r="A107" s="13"/>
      <c r="B107" s="13"/>
      <c r="C107" s="13"/>
      <c r="D107" s="13"/>
      <c r="E107" s="13"/>
      <c r="F107" s="13"/>
      <c r="G107" s="13"/>
      <c r="H107" s="13"/>
      <c r="I107" s="14"/>
    </row>
    <row r="108" spans="1:9" x14ac:dyDescent="0.3">
      <c r="A108" s="13"/>
      <c r="B108" s="13"/>
      <c r="C108" s="13"/>
      <c r="D108" s="13"/>
      <c r="E108" s="13"/>
      <c r="F108" s="13"/>
      <c r="G108" s="13"/>
      <c r="H108" s="13"/>
      <c r="I108" s="14"/>
    </row>
    <row r="109" spans="1:9" x14ac:dyDescent="0.3">
      <c r="A109" s="13"/>
      <c r="B109" s="13"/>
      <c r="C109" s="13"/>
      <c r="D109" s="13"/>
      <c r="E109" s="13"/>
      <c r="F109" s="13"/>
      <c r="G109" s="13"/>
      <c r="H109" s="13"/>
      <c r="I109" s="14"/>
    </row>
    <row r="110" spans="1:9" x14ac:dyDescent="0.3">
      <c r="A110" s="13"/>
      <c r="B110" s="13"/>
      <c r="C110" s="13"/>
      <c r="D110" s="13"/>
      <c r="E110" s="13"/>
      <c r="F110" s="13"/>
      <c r="G110" s="13"/>
      <c r="H110" s="13"/>
      <c r="I110" s="14"/>
    </row>
    <row r="111" spans="1:9" x14ac:dyDescent="0.3">
      <c r="A111" s="13"/>
      <c r="B111" s="13"/>
      <c r="C111" s="13"/>
      <c r="D111" s="13"/>
      <c r="E111" s="13"/>
      <c r="F111" s="13"/>
      <c r="G111" s="13"/>
      <c r="H111" s="13"/>
      <c r="I111" s="14"/>
    </row>
    <row r="112" spans="1:9" x14ac:dyDescent="0.3">
      <c r="A112" s="13"/>
      <c r="B112" s="13"/>
      <c r="C112" s="13"/>
      <c r="D112" s="13"/>
      <c r="E112" s="13"/>
      <c r="F112" s="13"/>
      <c r="G112" s="13"/>
      <c r="H112" s="13"/>
      <c r="I112" s="14"/>
    </row>
    <row r="113" spans="1:9" x14ac:dyDescent="0.3">
      <c r="A113" s="13"/>
      <c r="B113" s="13"/>
      <c r="C113" s="13"/>
      <c r="D113" s="13"/>
      <c r="E113" s="13"/>
      <c r="F113" s="13"/>
      <c r="G113" s="13"/>
      <c r="H113" s="13"/>
      <c r="I113" s="14"/>
    </row>
    <row r="114" spans="1:9" x14ac:dyDescent="0.3">
      <c r="A114" s="13"/>
      <c r="B114" s="13"/>
      <c r="C114" s="13"/>
      <c r="D114" s="13"/>
      <c r="E114" s="13"/>
      <c r="F114" s="13"/>
      <c r="G114" s="13"/>
      <c r="H114" s="13"/>
      <c r="I114" s="14"/>
    </row>
    <row r="115" spans="1:9" x14ac:dyDescent="0.3">
      <c r="A115" s="13"/>
      <c r="B115" s="13"/>
      <c r="C115" s="13"/>
      <c r="D115" s="13"/>
      <c r="E115" s="13"/>
      <c r="F115" s="13"/>
      <c r="G115" s="13"/>
      <c r="H115" s="13"/>
      <c r="I115" s="14"/>
    </row>
    <row r="116" spans="1:9" x14ac:dyDescent="0.3">
      <c r="A116" s="13"/>
      <c r="B116" s="13"/>
      <c r="C116" s="13"/>
      <c r="D116" s="13"/>
      <c r="E116" s="13"/>
      <c r="F116" s="13"/>
      <c r="G116" s="13"/>
      <c r="H116" s="13"/>
      <c r="I116" s="14"/>
    </row>
    <row r="117" spans="1:9" x14ac:dyDescent="0.3">
      <c r="A117" s="13"/>
      <c r="B117" s="13"/>
      <c r="C117" s="13"/>
      <c r="D117" s="13"/>
      <c r="E117" s="13"/>
      <c r="F117" s="13"/>
      <c r="G117" s="13"/>
      <c r="H117" s="13"/>
      <c r="I117" s="14"/>
    </row>
    <row r="118" spans="1:9" x14ac:dyDescent="0.3">
      <c r="A118" s="13"/>
      <c r="B118" s="13"/>
      <c r="C118" s="13"/>
      <c r="D118" s="13"/>
      <c r="E118" s="13"/>
      <c r="F118" s="13"/>
      <c r="G118" s="13"/>
      <c r="H118" s="13"/>
      <c r="I118" s="14"/>
    </row>
    <row r="119" spans="1:9" x14ac:dyDescent="0.3">
      <c r="A119" s="13"/>
      <c r="B119" s="13"/>
      <c r="C119" s="13"/>
      <c r="D119" s="13"/>
      <c r="E119" s="13"/>
      <c r="F119" s="13"/>
      <c r="G119" s="13"/>
      <c r="H119" s="13"/>
      <c r="I119" s="14"/>
    </row>
    <row r="120" spans="1:9" x14ac:dyDescent="0.3">
      <c r="A120" s="13"/>
      <c r="B120" s="13"/>
      <c r="C120" s="13"/>
      <c r="D120" s="13"/>
      <c r="E120" s="13"/>
      <c r="F120" s="13"/>
      <c r="G120" s="13"/>
      <c r="H120" s="13"/>
      <c r="I120" s="14"/>
    </row>
    <row r="121" spans="1:9" x14ac:dyDescent="0.3">
      <c r="A121" s="13"/>
      <c r="B121" s="13"/>
      <c r="C121" s="13"/>
      <c r="D121" s="13"/>
      <c r="E121" s="13"/>
      <c r="F121" s="13"/>
      <c r="G121" s="13"/>
      <c r="H121" s="13"/>
      <c r="I121" s="14"/>
    </row>
    <row r="122" spans="1:9" x14ac:dyDescent="0.3">
      <c r="A122" s="13"/>
      <c r="B122" s="13"/>
      <c r="C122" s="13"/>
      <c r="D122" s="13"/>
      <c r="E122" s="13"/>
      <c r="F122" s="13"/>
      <c r="G122" s="13"/>
      <c r="H122" s="13"/>
      <c r="I122" s="14"/>
    </row>
    <row r="123" spans="1:9" x14ac:dyDescent="0.3">
      <c r="A123" s="13"/>
      <c r="B123" s="13"/>
      <c r="C123" s="13"/>
      <c r="D123" s="13"/>
      <c r="E123" s="13"/>
      <c r="F123" s="13"/>
      <c r="G123" s="13"/>
      <c r="H123" s="13"/>
      <c r="I123" s="14"/>
    </row>
    <row r="124" spans="1:9" x14ac:dyDescent="0.3">
      <c r="A124" s="13"/>
      <c r="B124" s="13"/>
      <c r="C124" s="13"/>
      <c r="D124" s="13"/>
      <c r="E124" s="13"/>
      <c r="F124" s="13"/>
      <c r="G124" s="13"/>
      <c r="H124" s="13"/>
      <c r="I124" s="14"/>
    </row>
    <row r="125" spans="1:9" x14ac:dyDescent="0.3">
      <c r="A125" s="13"/>
      <c r="B125" s="13"/>
      <c r="C125" s="13"/>
      <c r="D125" s="13"/>
      <c r="E125" s="13"/>
      <c r="F125" s="13"/>
      <c r="G125" s="13"/>
      <c r="H125" s="13"/>
      <c r="I125" s="14"/>
    </row>
    <row r="126" spans="1:9" x14ac:dyDescent="0.3">
      <c r="A126" s="13"/>
      <c r="B126" s="13"/>
      <c r="C126" s="13"/>
      <c r="D126" s="13"/>
      <c r="E126" s="13"/>
      <c r="F126" s="13"/>
      <c r="G126" s="13"/>
      <c r="H126" s="13"/>
      <c r="I126" s="14"/>
    </row>
    <row r="127" spans="1:9" x14ac:dyDescent="0.3">
      <c r="A127" s="13"/>
      <c r="B127" s="13"/>
      <c r="C127" s="13"/>
      <c r="D127" s="13"/>
      <c r="E127" s="13"/>
      <c r="F127" s="13"/>
      <c r="G127" s="13"/>
      <c r="H127" s="13"/>
      <c r="I127" s="14"/>
    </row>
    <row r="128" spans="1:9" x14ac:dyDescent="0.3">
      <c r="A128" s="13"/>
      <c r="B128" s="13"/>
      <c r="C128" s="13"/>
      <c r="D128" s="13"/>
      <c r="E128" s="13"/>
      <c r="F128" s="13"/>
      <c r="G128" s="13"/>
      <c r="H128" s="13"/>
      <c r="I128" s="14"/>
    </row>
    <row r="129" spans="1:9" x14ac:dyDescent="0.3">
      <c r="A129" s="13"/>
      <c r="B129" s="13"/>
      <c r="C129" s="13"/>
      <c r="D129" s="13"/>
      <c r="E129" s="13"/>
      <c r="F129" s="13"/>
      <c r="G129" s="13"/>
      <c r="H129" s="13"/>
      <c r="I129" s="14"/>
    </row>
    <row r="130" spans="1:9" x14ac:dyDescent="0.3">
      <c r="A130" s="13"/>
      <c r="B130" s="13"/>
      <c r="C130" s="13"/>
      <c r="D130" s="13"/>
      <c r="E130" s="13"/>
      <c r="F130" s="13"/>
      <c r="G130" s="13"/>
      <c r="H130" s="13"/>
      <c r="I130" s="14"/>
    </row>
    <row r="131" spans="1:9" x14ac:dyDescent="0.3">
      <c r="A131" s="13"/>
      <c r="B131" s="13"/>
      <c r="C131" s="13"/>
      <c r="D131" s="13"/>
      <c r="E131" s="13"/>
      <c r="F131" s="13"/>
      <c r="G131" s="13"/>
      <c r="H131" s="13"/>
      <c r="I131" s="14"/>
    </row>
    <row r="132" spans="1:9" x14ac:dyDescent="0.3">
      <c r="A132" s="13"/>
      <c r="B132" s="13"/>
      <c r="C132" s="13"/>
      <c r="D132" s="13"/>
      <c r="E132" s="13"/>
      <c r="F132" s="13"/>
      <c r="G132" s="13"/>
      <c r="H132" s="13"/>
      <c r="I132" s="14"/>
    </row>
    <row r="133" spans="1:9" x14ac:dyDescent="0.3">
      <c r="A133" s="13"/>
      <c r="B133" s="13"/>
      <c r="C133" s="13"/>
      <c r="D133" s="13"/>
      <c r="E133" s="13"/>
      <c r="F133" s="13"/>
      <c r="G133" s="13"/>
      <c r="H133" s="13"/>
      <c r="I133" s="14"/>
    </row>
    <row r="134" spans="1:9" x14ac:dyDescent="0.3">
      <c r="A134" s="13"/>
      <c r="B134" s="13"/>
      <c r="C134" s="13"/>
      <c r="D134" s="13"/>
      <c r="E134" s="13"/>
      <c r="F134" s="13"/>
      <c r="G134" s="13"/>
      <c r="H134" s="13"/>
      <c r="I134" s="14"/>
    </row>
    <row r="135" spans="1:9" x14ac:dyDescent="0.3">
      <c r="A135" s="13"/>
      <c r="B135" s="13"/>
      <c r="C135" s="13"/>
      <c r="D135" s="13"/>
      <c r="E135" s="13"/>
      <c r="F135" s="13"/>
      <c r="G135" s="13"/>
      <c r="H135" s="13"/>
      <c r="I135" s="14"/>
    </row>
    <row r="136" spans="1:9" x14ac:dyDescent="0.3">
      <c r="A136" s="13"/>
      <c r="B136" s="13"/>
      <c r="C136" s="13"/>
      <c r="D136" s="13"/>
      <c r="E136" s="13"/>
      <c r="F136" s="13"/>
      <c r="G136" s="13"/>
      <c r="H136" s="13"/>
      <c r="I136" s="14"/>
    </row>
    <row r="137" spans="1:9" x14ac:dyDescent="0.3">
      <c r="A137" s="13"/>
      <c r="B137" s="13"/>
      <c r="C137" s="13"/>
      <c r="D137" s="13"/>
      <c r="E137" s="13"/>
      <c r="F137" s="13"/>
      <c r="G137" s="13"/>
      <c r="H137" s="13"/>
      <c r="I137" s="14"/>
    </row>
    <row r="138" spans="1:9" x14ac:dyDescent="0.3">
      <c r="A138" s="13"/>
      <c r="B138" s="13"/>
      <c r="C138" s="13"/>
      <c r="D138" s="13"/>
      <c r="E138" s="13"/>
      <c r="F138" s="13"/>
      <c r="G138" s="13"/>
      <c r="H138" s="13"/>
      <c r="I138" s="14"/>
    </row>
    <row r="139" spans="1:9" x14ac:dyDescent="0.3">
      <c r="A139" s="13"/>
      <c r="B139" s="13"/>
      <c r="C139" s="13"/>
      <c r="D139" s="13"/>
      <c r="E139" s="13"/>
      <c r="F139" s="13"/>
      <c r="G139" s="13"/>
      <c r="H139" s="13"/>
      <c r="I139" s="14"/>
    </row>
    <row r="140" spans="1:9" x14ac:dyDescent="0.3">
      <c r="A140" s="13"/>
      <c r="B140" s="13"/>
      <c r="C140" s="13"/>
      <c r="D140" s="13"/>
      <c r="E140" s="13"/>
      <c r="F140" s="13"/>
      <c r="G140" s="13"/>
      <c r="H140" s="13"/>
      <c r="I140" s="14"/>
    </row>
    <row r="141" spans="1:9" x14ac:dyDescent="0.3">
      <c r="A141" s="13"/>
      <c r="B141" s="13"/>
      <c r="C141" s="13"/>
      <c r="D141" s="13"/>
      <c r="E141" s="13"/>
      <c r="F141" s="13"/>
      <c r="G141" s="13"/>
      <c r="H141" s="13"/>
      <c r="I141" s="14"/>
    </row>
    <row r="142" spans="1:9" x14ac:dyDescent="0.3">
      <c r="A142" s="13"/>
      <c r="B142" s="13"/>
      <c r="C142" s="13"/>
      <c r="D142" s="13"/>
      <c r="E142" s="13"/>
      <c r="F142" s="13"/>
      <c r="G142" s="13"/>
      <c r="H142" s="13"/>
      <c r="I142" s="14"/>
    </row>
    <row r="143" spans="1:9" x14ac:dyDescent="0.3">
      <c r="A143" s="13"/>
      <c r="B143" s="13"/>
      <c r="C143" s="13"/>
      <c r="D143" s="13"/>
      <c r="E143" s="13"/>
      <c r="F143" s="13"/>
      <c r="G143" s="13"/>
      <c r="H143" s="13"/>
      <c r="I143" s="14"/>
    </row>
    <row r="144" spans="1:9" x14ac:dyDescent="0.3">
      <c r="A144" s="13"/>
      <c r="B144" s="13"/>
      <c r="C144" s="13"/>
      <c r="D144" s="13"/>
      <c r="E144" s="13"/>
      <c r="F144" s="13"/>
      <c r="G144" s="13"/>
      <c r="H144" s="13"/>
      <c r="I144" s="14"/>
    </row>
    <row r="145" spans="1:9" x14ac:dyDescent="0.3">
      <c r="A145" s="13"/>
      <c r="B145" s="13"/>
      <c r="C145" s="13"/>
      <c r="D145" s="13"/>
      <c r="E145" s="13"/>
      <c r="F145" s="13"/>
      <c r="G145" s="13"/>
      <c r="H145" s="13"/>
      <c r="I145" s="14"/>
    </row>
    <row r="146" spans="1:9" x14ac:dyDescent="0.3">
      <c r="A146" s="13"/>
      <c r="B146" s="13"/>
      <c r="C146" s="13"/>
      <c r="D146" s="13"/>
      <c r="E146" s="13"/>
      <c r="F146" s="13"/>
      <c r="G146" s="13"/>
      <c r="H146" s="13"/>
      <c r="I146" s="14"/>
    </row>
    <row r="147" spans="1:9" x14ac:dyDescent="0.3">
      <c r="A147" s="13"/>
      <c r="B147" s="13"/>
      <c r="C147" s="13"/>
      <c r="D147" s="13"/>
      <c r="E147" s="13"/>
      <c r="F147" s="13"/>
      <c r="G147" s="13"/>
      <c r="H147" s="13"/>
      <c r="I147" s="14"/>
    </row>
    <row r="148" spans="1:9" x14ac:dyDescent="0.3">
      <c r="A148" s="13"/>
      <c r="B148" s="13"/>
      <c r="C148" s="13"/>
      <c r="D148" s="13"/>
      <c r="E148" s="13"/>
      <c r="F148" s="13"/>
      <c r="G148" s="13"/>
      <c r="H148" s="13"/>
      <c r="I148" s="14"/>
    </row>
    <row r="149" spans="1:9" x14ac:dyDescent="0.3">
      <c r="A149" s="13"/>
      <c r="B149" s="13"/>
      <c r="C149" s="13"/>
      <c r="D149" s="13"/>
      <c r="E149" s="13"/>
      <c r="F149" s="13"/>
      <c r="G149" s="13"/>
      <c r="H149" s="13"/>
      <c r="I149" s="14"/>
    </row>
    <row r="150" spans="1:9" x14ac:dyDescent="0.3">
      <c r="A150" s="13"/>
      <c r="B150" s="13"/>
      <c r="C150" s="13"/>
      <c r="D150" s="13"/>
      <c r="E150" s="13"/>
      <c r="F150" s="13"/>
      <c r="G150" s="13"/>
      <c r="H150" s="13"/>
      <c r="I150" s="14"/>
    </row>
    <row r="151" spans="1:9" x14ac:dyDescent="0.3">
      <c r="A151" s="13"/>
      <c r="B151" s="13"/>
      <c r="C151" s="13"/>
      <c r="D151" s="13"/>
      <c r="E151" s="13"/>
      <c r="F151" s="13"/>
      <c r="G151" s="13"/>
      <c r="H151" s="13"/>
      <c r="I151" s="14"/>
    </row>
    <row r="152" spans="1:9" x14ac:dyDescent="0.3">
      <c r="A152" s="13"/>
      <c r="B152" s="13"/>
      <c r="C152" s="13"/>
      <c r="D152" s="13"/>
      <c r="E152" s="13"/>
      <c r="F152" s="13"/>
      <c r="G152" s="13"/>
      <c r="H152" s="13"/>
      <c r="I152" s="14"/>
    </row>
    <row r="153" spans="1:9" x14ac:dyDescent="0.3">
      <c r="A153" s="13"/>
      <c r="B153" s="13"/>
      <c r="C153" s="13"/>
      <c r="D153" s="13"/>
      <c r="E153" s="13"/>
      <c r="F153" s="13"/>
      <c r="G153" s="13"/>
      <c r="H153" s="13"/>
      <c r="I153" s="14"/>
    </row>
    <row r="154" spans="1:9" x14ac:dyDescent="0.3">
      <c r="A154" s="13"/>
      <c r="B154" s="13"/>
      <c r="C154" s="13"/>
      <c r="D154" s="13"/>
      <c r="E154" s="13"/>
      <c r="F154" s="13"/>
      <c r="G154" s="13"/>
      <c r="H154" s="13"/>
      <c r="I154" s="14"/>
    </row>
    <row r="155" spans="1:9" x14ac:dyDescent="0.3">
      <c r="A155" s="13"/>
      <c r="B155" s="13"/>
      <c r="C155" s="13"/>
      <c r="D155" s="13"/>
      <c r="E155" s="13"/>
      <c r="F155" s="13"/>
      <c r="G155" s="13"/>
      <c r="H155" s="13"/>
      <c r="I155" s="14"/>
    </row>
    <row r="156" spans="1:9" x14ac:dyDescent="0.3">
      <c r="A156" s="13"/>
      <c r="B156" s="13"/>
      <c r="C156" s="13"/>
      <c r="D156" s="13"/>
      <c r="E156" s="13"/>
      <c r="F156" s="13"/>
      <c r="G156" s="13"/>
      <c r="H156" s="13"/>
      <c r="I156" s="14"/>
    </row>
    <row r="157" spans="1:9" x14ac:dyDescent="0.3">
      <c r="A157" s="13"/>
      <c r="B157" s="13"/>
      <c r="C157" s="13"/>
      <c r="D157" s="13"/>
      <c r="E157" s="13"/>
      <c r="F157" s="13"/>
      <c r="G157" s="13"/>
      <c r="H157" s="13"/>
      <c r="I157" s="14"/>
    </row>
    <row r="158" spans="1:9" x14ac:dyDescent="0.3">
      <c r="A158" s="13"/>
      <c r="B158" s="13"/>
      <c r="C158" s="13"/>
      <c r="D158" s="13"/>
      <c r="E158" s="13"/>
      <c r="F158" s="13"/>
      <c r="G158" s="13"/>
      <c r="H158" s="13"/>
      <c r="I158" s="14"/>
    </row>
    <row r="159" spans="1:9" x14ac:dyDescent="0.3">
      <c r="A159" s="13"/>
      <c r="B159" s="13"/>
      <c r="C159" s="13"/>
      <c r="D159" s="13"/>
      <c r="E159" s="13"/>
      <c r="F159" s="13"/>
      <c r="G159" s="13"/>
      <c r="H159" s="13"/>
      <c r="I159" s="14"/>
    </row>
    <row r="160" spans="1:9" x14ac:dyDescent="0.3">
      <c r="A160" s="13"/>
      <c r="B160" s="13"/>
      <c r="C160" s="13"/>
      <c r="D160" s="13"/>
      <c r="E160" s="13"/>
      <c r="F160" s="13"/>
      <c r="G160" s="13"/>
      <c r="H160" s="13"/>
      <c r="I160" s="14"/>
    </row>
    <row r="161" spans="1:9" x14ac:dyDescent="0.3">
      <c r="A161" s="13"/>
      <c r="B161" s="13"/>
      <c r="C161" s="13"/>
      <c r="D161" s="13"/>
      <c r="E161" s="13"/>
      <c r="F161" s="13"/>
      <c r="G161" s="13"/>
      <c r="H161" s="13"/>
      <c r="I161" s="14"/>
    </row>
    <row r="162" spans="1:9" x14ac:dyDescent="0.3">
      <c r="A162" s="13"/>
      <c r="B162" s="13"/>
      <c r="C162" s="13"/>
      <c r="D162" s="13"/>
      <c r="E162" s="13"/>
      <c r="F162" s="13"/>
      <c r="G162" s="13"/>
      <c r="H162" s="13"/>
      <c r="I162" s="14"/>
    </row>
    <row r="163" spans="1:9" x14ac:dyDescent="0.3">
      <c r="A163" s="13"/>
      <c r="B163" s="13"/>
      <c r="C163" s="13"/>
      <c r="D163" s="13"/>
      <c r="E163" s="13"/>
      <c r="F163" s="13"/>
      <c r="G163" s="13"/>
      <c r="H163" s="13"/>
      <c r="I163" s="14"/>
    </row>
    <row r="164" spans="1:9" x14ac:dyDescent="0.3">
      <c r="A164" s="13"/>
      <c r="B164" s="13"/>
      <c r="C164" s="13"/>
      <c r="D164" s="13"/>
      <c r="E164" s="13"/>
      <c r="F164" s="13"/>
      <c r="G164" s="13"/>
      <c r="H164" s="13"/>
      <c r="I164" s="14"/>
    </row>
    <row r="165" spans="1:9" x14ac:dyDescent="0.3">
      <c r="A165" s="13"/>
      <c r="B165" s="13"/>
      <c r="C165" s="13"/>
      <c r="D165" s="13"/>
      <c r="E165" s="13"/>
      <c r="F165" s="13"/>
      <c r="G165" s="13"/>
      <c r="H165" s="13"/>
      <c r="I165" s="14"/>
    </row>
    <row r="166" spans="1:9" x14ac:dyDescent="0.3">
      <c r="A166" s="13"/>
      <c r="B166" s="13"/>
      <c r="C166" s="13"/>
      <c r="D166" s="13"/>
      <c r="E166" s="13"/>
      <c r="F166" s="13"/>
      <c r="G166" s="13"/>
      <c r="H166" s="13"/>
      <c r="I166" s="14"/>
    </row>
    <row r="167" spans="1:9" x14ac:dyDescent="0.3">
      <c r="A167" s="13"/>
      <c r="B167" s="13"/>
      <c r="C167" s="13"/>
      <c r="D167" s="13"/>
      <c r="E167" s="13"/>
      <c r="F167" s="13"/>
      <c r="G167" s="13"/>
      <c r="H167" s="13"/>
      <c r="I167" s="14"/>
    </row>
    <row r="168" spans="1:9" x14ac:dyDescent="0.3">
      <c r="A168" s="13"/>
      <c r="B168" s="13"/>
      <c r="C168" s="13"/>
      <c r="D168" s="13"/>
      <c r="E168" s="13"/>
      <c r="F168" s="13"/>
      <c r="G168" s="13"/>
      <c r="H168" s="13"/>
      <c r="I168" s="14"/>
    </row>
    <row r="169" spans="1:9" x14ac:dyDescent="0.3">
      <c r="A169" s="13"/>
      <c r="B169" s="13"/>
      <c r="C169" s="13"/>
      <c r="D169" s="13"/>
      <c r="E169" s="13"/>
      <c r="F169" s="13"/>
      <c r="G169" s="13"/>
      <c r="H169" s="13"/>
      <c r="I169" s="14"/>
    </row>
    <row r="170" spans="1:9" x14ac:dyDescent="0.3">
      <c r="A170" s="13"/>
      <c r="B170" s="13"/>
      <c r="C170" s="13"/>
      <c r="D170" s="13"/>
      <c r="E170" s="13"/>
      <c r="F170" s="13"/>
      <c r="G170" s="13"/>
      <c r="H170" s="13"/>
      <c r="I170" s="14"/>
    </row>
    <row r="171" spans="1:9" x14ac:dyDescent="0.3">
      <c r="A171" s="13"/>
      <c r="B171" s="13"/>
      <c r="C171" s="13"/>
      <c r="D171" s="13"/>
      <c r="E171" s="13"/>
      <c r="F171" s="13"/>
      <c r="G171" s="13"/>
      <c r="H171" s="13"/>
      <c r="I171" s="14"/>
    </row>
    <row r="172" spans="1:9" x14ac:dyDescent="0.3">
      <c r="A172" s="13"/>
      <c r="B172" s="13"/>
      <c r="C172" s="13"/>
      <c r="D172" s="13"/>
      <c r="E172" s="13"/>
      <c r="F172" s="13"/>
      <c r="G172" s="13"/>
      <c r="H172" s="13"/>
      <c r="I172" s="14"/>
    </row>
    <row r="173" spans="1:9" x14ac:dyDescent="0.3">
      <c r="A173" s="13"/>
      <c r="B173" s="13"/>
      <c r="C173" s="13"/>
      <c r="D173" s="13"/>
      <c r="E173" s="13"/>
      <c r="F173" s="13"/>
      <c r="G173" s="13"/>
      <c r="H173" s="13"/>
      <c r="I173" s="14"/>
    </row>
    <row r="174" spans="1:9" x14ac:dyDescent="0.3">
      <c r="A174" s="13"/>
      <c r="B174" s="13"/>
      <c r="C174" s="13"/>
      <c r="D174" s="13"/>
      <c r="E174" s="13"/>
      <c r="F174" s="13"/>
      <c r="G174" s="13"/>
      <c r="H174" s="13"/>
      <c r="I174" s="14"/>
    </row>
    <row r="175" spans="1:9" x14ac:dyDescent="0.3">
      <c r="A175" s="13"/>
      <c r="B175" s="13"/>
      <c r="C175" s="13"/>
      <c r="D175" s="13"/>
      <c r="E175" s="13"/>
      <c r="F175" s="13"/>
      <c r="G175" s="13"/>
      <c r="H175" s="13"/>
      <c r="I175" s="14"/>
    </row>
    <row r="176" spans="1:9" x14ac:dyDescent="0.3">
      <c r="A176" s="13"/>
      <c r="B176" s="13"/>
      <c r="C176" s="13"/>
      <c r="D176" s="13"/>
      <c r="E176" s="13"/>
      <c r="F176" s="13"/>
      <c r="G176" s="13"/>
      <c r="H176" s="13"/>
      <c r="I176" s="14"/>
    </row>
    <row r="177" spans="1:9" x14ac:dyDescent="0.3">
      <c r="A177" s="13"/>
      <c r="B177" s="13"/>
      <c r="C177" s="13"/>
      <c r="D177" s="13"/>
      <c r="E177" s="13"/>
      <c r="F177" s="13"/>
      <c r="G177" s="13"/>
      <c r="H177" s="13"/>
      <c r="I177" s="14"/>
    </row>
    <row r="178" spans="1:9" x14ac:dyDescent="0.3">
      <c r="A178" s="13"/>
      <c r="B178" s="13"/>
      <c r="C178" s="13"/>
      <c r="D178" s="13"/>
      <c r="E178" s="13"/>
      <c r="F178" s="13"/>
      <c r="G178" s="13"/>
      <c r="H178" s="13"/>
      <c r="I178" s="14"/>
    </row>
    <row r="179" spans="1:9" x14ac:dyDescent="0.3">
      <c r="A179" s="13"/>
      <c r="B179" s="13"/>
      <c r="C179" s="13"/>
      <c r="D179" s="13"/>
      <c r="E179" s="13"/>
      <c r="F179" s="13"/>
      <c r="G179" s="13"/>
      <c r="H179" s="13"/>
      <c r="I179" s="14"/>
    </row>
    <row r="180" spans="1:9" x14ac:dyDescent="0.3">
      <c r="A180" s="13"/>
      <c r="B180" s="13"/>
      <c r="C180" s="13"/>
      <c r="D180" s="13"/>
      <c r="E180" s="13"/>
      <c r="F180" s="13"/>
      <c r="G180" s="13"/>
      <c r="H180" s="13"/>
      <c r="I180" s="14"/>
    </row>
    <row r="181" spans="1:9" x14ac:dyDescent="0.3">
      <c r="A181" s="13"/>
      <c r="B181" s="13"/>
      <c r="C181" s="13"/>
      <c r="D181" s="13"/>
      <c r="E181" s="13"/>
      <c r="F181" s="13"/>
      <c r="G181" s="13"/>
      <c r="H181" s="13"/>
      <c r="I181" s="14"/>
    </row>
    <row r="182" spans="1:9" x14ac:dyDescent="0.3">
      <c r="A182" s="13"/>
      <c r="B182" s="13"/>
      <c r="C182" s="13"/>
      <c r="D182" s="13"/>
      <c r="E182" s="13"/>
      <c r="F182" s="13"/>
      <c r="G182" s="13"/>
      <c r="H182" s="13"/>
      <c r="I182" s="14"/>
    </row>
    <row r="183" spans="1:9" x14ac:dyDescent="0.3">
      <c r="A183" s="13"/>
      <c r="B183" s="13"/>
      <c r="C183" s="13"/>
      <c r="D183" s="13"/>
      <c r="E183" s="13"/>
      <c r="F183" s="13"/>
      <c r="G183" s="13"/>
      <c r="H183" s="13"/>
      <c r="I183" s="14"/>
    </row>
    <row r="184" spans="1:9" x14ac:dyDescent="0.3">
      <c r="A184" s="13"/>
      <c r="B184" s="13"/>
      <c r="C184" s="13"/>
      <c r="D184" s="13"/>
      <c r="E184" s="13"/>
      <c r="F184" s="13"/>
      <c r="G184" s="13"/>
      <c r="H184" s="13"/>
      <c r="I184" s="14"/>
    </row>
    <row r="185" spans="1:9" x14ac:dyDescent="0.3">
      <c r="A185" s="13"/>
      <c r="B185" s="13"/>
      <c r="C185" s="13"/>
      <c r="D185" s="13"/>
      <c r="E185" s="13"/>
      <c r="F185" s="13"/>
      <c r="G185" s="13"/>
      <c r="H185" s="13"/>
      <c r="I185" s="14"/>
    </row>
    <row r="186" spans="1:9" x14ac:dyDescent="0.3">
      <c r="A186" s="13"/>
      <c r="B186" s="13"/>
      <c r="C186" s="13"/>
      <c r="D186" s="13"/>
      <c r="E186" s="13"/>
      <c r="F186" s="13"/>
      <c r="G186" s="13"/>
      <c r="H186" s="13"/>
      <c r="I186" s="14"/>
    </row>
    <row r="187" spans="1:9" x14ac:dyDescent="0.3">
      <c r="A187" s="13"/>
      <c r="B187" s="13"/>
      <c r="C187" s="13"/>
      <c r="D187" s="13"/>
      <c r="E187" s="13"/>
      <c r="F187" s="13"/>
      <c r="G187" s="13"/>
      <c r="H187" s="13"/>
      <c r="I187" s="14"/>
    </row>
    <row r="188" spans="1:9" x14ac:dyDescent="0.3">
      <c r="A188" s="13"/>
      <c r="B188" s="13"/>
      <c r="C188" s="13"/>
      <c r="D188" s="13"/>
      <c r="E188" s="13"/>
      <c r="F188" s="13"/>
      <c r="G188" s="13"/>
      <c r="H188" s="13"/>
      <c r="I188" s="14"/>
    </row>
    <row r="189" spans="1:9" x14ac:dyDescent="0.3">
      <c r="A189" s="13"/>
      <c r="B189" s="13"/>
      <c r="C189" s="13"/>
      <c r="D189" s="13"/>
      <c r="E189" s="13"/>
      <c r="F189" s="13"/>
      <c r="G189" s="13"/>
      <c r="H189" s="13"/>
      <c r="I189" s="14"/>
    </row>
    <row r="190" spans="1:9" x14ac:dyDescent="0.3">
      <c r="A190" s="13"/>
      <c r="B190" s="13"/>
      <c r="C190" s="13"/>
      <c r="D190" s="13"/>
      <c r="E190" s="13"/>
      <c r="F190" s="13"/>
      <c r="G190" s="13"/>
      <c r="H190" s="13"/>
      <c r="I190" s="14"/>
    </row>
    <row r="191" spans="1:9" x14ac:dyDescent="0.3">
      <c r="A191" s="13"/>
      <c r="B191" s="13"/>
      <c r="C191" s="13"/>
      <c r="D191" s="13"/>
      <c r="E191" s="13"/>
      <c r="F191" s="13"/>
      <c r="G191" s="13"/>
      <c r="H191" s="13"/>
      <c r="I191" s="14"/>
    </row>
    <row r="192" spans="1:9" x14ac:dyDescent="0.3">
      <c r="A192" s="13"/>
      <c r="B192" s="13"/>
      <c r="C192" s="13"/>
      <c r="D192" s="13"/>
      <c r="E192" s="13"/>
      <c r="F192" s="13"/>
      <c r="G192" s="13"/>
      <c r="H192" s="13"/>
      <c r="I192" s="14"/>
    </row>
    <row r="193" spans="1:9" x14ac:dyDescent="0.3">
      <c r="A193" s="13"/>
      <c r="B193" s="13"/>
      <c r="C193" s="13"/>
      <c r="D193" s="13"/>
      <c r="E193" s="13"/>
      <c r="F193" s="13"/>
      <c r="G193" s="13"/>
      <c r="H193" s="13"/>
      <c r="I193" s="14"/>
    </row>
    <row r="194" spans="1:9" x14ac:dyDescent="0.3">
      <c r="A194" s="13"/>
      <c r="B194" s="13"/>
      <c r="C194" s="13"/>
      <c r="D194" s="13"/>
      <c r="E194" s="13"/>
      <c r="F194" s="13"/>
      <c r="G194" s="13"/>
      <c r="H194" s="13"/>
      <c r="I194" s="14"/>
    </row>
    <row r="195" spans="1:9" x14ac:dyDescent="0.3">
      <c r="A195" s="13"/>
      <c r="B195" s="13"/>
      <c r="C195" s="13"/>
      <c r="D195" s="13"/>
      <c r="E195" s="13"/>
      <c r="F195" s="13"/>
      <c r="G195" s="13"/>
      <c r="H195" s="13"/>
      <c r="I195" s="14"/>
    </row>
    <row r="196" spans="1:9" x14ac:dyDescent="0.3">
      <c r="A196" s="13"/>
      <c r="B196" s="13"/>
      <c r="C196" s="13"/>
      <c r="D196" s="13"/>
      <c r="E196" s="13"/>
      <c r="F196" s="13"/>
      <c r="G196" s="13"/>
      <c r="H196" s="13"/>
      <c r="I196" s="14"/>
    </row>
    <row r="197" spans="1:9" x14ac:dyDescent="0.3">
      <c r="A197" s="13"/>
      <c r="B197" s="13"/>
      <c r="C197" s="13"/>
      <c r="D197" s="13"/>
      <c r="E197" s="13"/>
      <c r="F197" s="13"/>
      <c r="G197" s="13"/>
      <c r="H197" s="13"/>
      <c r="I197" s="14"/>
    </row>
    <row r="198" spans="1:9" x14ac:dyDescent="0.3">
      <c r="A198" s="13"/>
      <c r="B198" s="13"/>
      <c r="C198" s="13"/>
      <c r="D198" s="13"/>
      <c r="E198" s="13"/>
      <c r="F198" s="13"/>
      <c r="G198" s="13"/>
      <c r="H198" s="13"/>
      <c r="I198" s="14"/>
    </row>
    <row r="199" spans="1:9" x14ac:dyDescent="0.3">
      <c r="A199" s="13"/>
      <c r="B199" s="13"/>
      <c r="C199" s="13"/>
      <c r="D199" s="13"/>
      <c r="E199" s="13"/>
      <c r="F199" s="13"/>
      <c r="G199" s="13"/>
      <c r="H199" s="13"/>
      <c r="I199" s="14"/>
    </row>
    <row r="200" spans="1:9" x14ac:dyDescent="0.3">
      <c r="A200" s="13"/>
      <c r="B200" s="13"/>
      <c r="C200" s="13"/>
      <c r="D200" s="13"/>
      <c r="E200" s="13"/>
      <c r="F200" s="13"/>
      <c r="G200" s="13"/>
      <c r="H200" s="13"/>
      <c r="I200" s="14"/>
    </row>
    <row r="201" spans="1:9" x14ac:dyDescent="0.3">
      <c r="A201" s="13"/>
      <c r="B201" s="13"/>
      <c r="C201" s="13"/>
      <c r="D201" s="13"/>
      <c r="E201" s="13"/>
      <c r="F201" s="13"/>
      <c r="G201" s="13"/>
      <c r="H201" s="13"/>
      <c r="I201" s="14"/>
    </row>
    <row r="202" spans="1:9" x14ac:dyDescent="0.3">
      <c r="A202" s="13"/>
      <c r="B202" s="13"/>
      <c r="C202" s="13"/>
      <c r="D202" s="13"/>
      <c r="E202" s="13"/>
      <c r="F202" s="13"/>
      <c r="G202" s="13"/>
      <c r="H202" s="13"/>
      <c r="I202" s="14"/>
    </row>
    <row r="203" spans="1:9" x14ac:dyDescent="0.3">
      <c r="A203" s="13"/>
      <c r="B203" s="13"/>
      <c r="C203" s="13"/>
      <c r="D203" s="13"/>
      <c r="E203" s="13"/>
      <c r="F203" s="13"/>
      <c r="G203" s="13"/>
      <c r="H203" s="13"/>
      <c r="I203" s="14"/>
    </row>
    <row r="204" spans="1:9" x14ac:dyDescent="0.3">
      <c r="A204" s="13"/>
      <c r="B204" s="13"/>
      <c r="C204" s="13"/>
      <c r="D204" s="13"/>
      <c r="E204" s="13"/>
      <c r="F204" s="13"/>
      <c r="G204" s="13"/>
      <c r="H204" s="13"/>
      <c r="I204" s="14"/>
    </row>
    <row r="205" spans="1:9" x14ac:dyDescent="0.3">
      <c r="A205" s="13"/>
      <c r="B205" s="13"/>
      <c r="C205" s="13"/>
      <c r="D205" s="13"/>
      <c r="E205" s="13"/>
      <c r="F205" s="13"/>
      <c r="G205" s="13"/>
      <c r="H205" s="13"/>
      <c r="I205" s="14"/>
    </row>
    <row r="206" spans="1:9" x14ac:dyDescent="0.3">
      <c r="A206" s="13"/>
      <c r="B206" s="13"/>
      <c r="C206" s="13"/>
      <c r="D206" s="13"/>
      <c r="E206" s="13"/>
      <c r="F206" s="13"/>
      <c r="G206" s="13"/>
      <c r="H206" s="13"/>
      <c r="I206" s="14"/>
    </row>
    <row r="207" spans="1:9" x14ac:dyDescent="0.3">
      <c r="A207" s="13"/>
      <c r="B207" s="13"/>
      <c r="C207" s="13"/>
      <c r="D207" s="13"/>
      <c r="E207" s="13"/>
      <c r="F207" s="13"/>
      <c r="G207" s="13"/>
      <c r="H207" s="13"/>
      <c r="I207" s="14"/>
    </row>
    <row r="208" spans="1:9" x14ac:dyDescent="0.3">
      <c r="A208" s="13"/>
      <c r="B208" s="13"/>
      <c r="C208" s="13"/>
      <c r="D208" s="13"/>
      <c r="E208" s="13"/>
      <c r="F208" s="13"/>
      <c r="G208" s="13"/>
      <c r="H208" s="13"/>
      <c r="I208" s="14"/>
    </row>
    <row r="209" spans="1:9" x14ac:dyDescent="0.3">
      <c r="A209" s="13"/>
      <c r="B209" s="13"/>
      <c r="C209" s="13"/>
      <c r="D209" s="13"/>
      <c r="E209" s="13"/>
      <c r="F209" s="13"/>
      <c r="G209" s="13"/>
      <c r="H209" s="13"/>
      <c r="I209" s="14"/>
    </row>
    <row r="210" spans="1:9" x14ac:dyDescent="0.3">
      <c r="A210" s="13"/>
      <c r="B210" s="13"/>
      <c r="C210" s="13"/>
      <c r="D210" s="13"/>
      <c r="E210" s="13"/>
      <c r="F210" s="13"/>
      <c r="G210" s="13"/>
      <c r="H210" s="13"/>
      <c r="I210" s="14"/>
    </row>
    <row r="211" spans="1:9" x14ac:dyDescent="0.3">
      <c r="A211" s="13"/>
      <c r="B211" s="13"/>
      <c r="C211" s="13"/>
      <c r="D211" s="13"/>
      <c r="E211" s="13"/>
      <c r="F211" s="13"/>
      <c r="G211" s="13"/>
      <c r="H211" s="13"/>
      <c r="I211" s="14"/>
    </row>
    <row r="212" spans="1:9" x14ac:dyDescent="0.3">
      <c r="A212" s="13"/>
      <c r="B212" s="13"/>
      <c r="C212" s="13"/>
      <c r="D212" s="13"/>
      <c r="E212" s="13"/>
      <c r="F212" s="13"/>
      <c r="G212" s="13"/>
      <c r="H212" s="13"/>
      <c r="I212" s="14"/>
    </row>
    <row r="213" spans="1:9" x14ac:dyDescent="0.3">
      <c r="A213" s="13"/>
      <c r="B213" s="13"/>
      <c r="C213" s="13"/>
      <c r="D213" s="13"/>
      <c r="E213" s="13"/>
      <c r="F213" s="13"/>
      <c r="G213" s="13"/>
      <c r="H213" s="13"/>
      <c r="I213" s="14"/>
    </row>
    <row r="214" spans="1:9" x14ac:dyDescent="0.3">
      <c r="A214" s="13"/>
      <c r="B214" s="13"/>
      <c r="C214" s="13"/>
      <c r="D214" s="13"/>
      <c r="E214" s="13"/>
      <c r="F214" s="13"/>
      <c r="G214" s="13"/>
      <c r="H214" s="13"/>
      <c r="I214" s="14"/>
    </row>
    <row r="215" spans="1:9" x14ac:dyDescent="0.3">
      <c r="A215" s="13"/>
      <c r="B215" s="13"/>
      <c r="C215" s="13"/>
      <c r="D215" s="13"/>
      <c r="E215" s="13"/>
      <c r="F215" s="13"/>
      <c r="G215" s="13"/>
      <c r="H215" s="13"/>
      <c r="I215" s="14"/>
    </row>
    <row r="216" spans="1:9" x14ac:dyDescent="0.3">
      <c r="A216" s="13"/>
      <c r="B216" s="13"/>
      <c r="C216" s="13"/>
      <c r="D216" s="13"/>
      <c r="E216" s="13"/>
      <c r="F216" s="13"/>
      <c r="G216" s="13"/>
      <c r="H216" s="13"/>
      <c r="I216" s="14"/>
    </row>
    <row r="217" spans="1:9" x14ac:dyDescent="0.3">
      <c r="A217" s="13"/>
      <c r="B217" s="13"/>
      <c r="C217" s="13"/>
      <c r="D217" s="13"/>
      <c r="E217" s="13"/>
      <c r="F217" s="13"/>
      <c r="G217" s="13"/>
      <c r="H217" s="13"/>
      <c r="I217" s="14"/>
    </row>
    <row r="218" spans="1:9" x14ac:dyDescent="0.3">
      <c r="A218" s="13"/>
      <c r="B218" s="13"/>
      <c r="C218" s="13"/>
      <c r="D218" s="13"/>
      <c r="E218" s="13"/>
      <c r="F218" s="13"/>
      <c r="G218" s="13"/>
      <c r="H218" s="13"/>
      <c r="I218" s="14"/>
    </row>
    <row r="219" spans="1:9" x14ac:dyDescent="0.3">
      <c r="A219" s="13"/>
      <c r="B219" s="13"/>
      <c r="C219" s="13"/>
      <c r="D219" s="13"/>
      <c r="E219" s="13"/>
      <c r="F219" s="13"/>
      <c r="G219" s="13"/>
      <c r="H219" s="13"/>
      <c r="I219" s="14"/>
    </row>
    <row r="220" spans="1:9" x14ac:dyDescent="0.3">
      <c r="A220" s="13"/>
      <c r="B220" s="13"/>
      <c r="C220" s="13"/>
      <c r="D220" s="13"/>
      <c r="E220" s="13"/>
      <c r="F220" s="13"/>
      <c r="G220" s="13"/>
      <c r="H220" s="13"/>
      <c r="I220" s="14"/>
    </row>
    <row r="221" spans="1:9" x14ac:dyDescent="0.3">
      <c r="A221" s="13"/>
      <c r="B221" s="13"/>
      <c r="C221" s="13"/>
      <c r="D221" s="13"/>
      <c r="E221" s="13"/>
      <c r="F221" s="13"/>
      <c r="G221" s="13"/>
      <c r="H221" s="13"/>
      <c r="I221" s="14"/>
    </row>
    <row r="222" spans="1:9" x14ac:dyDescent="0.3">
      <c r="A222" s="13"/>
      <c r="B222" s="13"/>
      <c r="C222" s="13"/>
      <c r="D222" s="13"/>
      <c r="E222" s="13"/>
      <c r="F222" s="13"/>
      <c r="G222" s="13"/>
      <c r="H222" s="13"/>
      <c r="I222" s="14"/>
    </row>
    <row r="223" spans="1:9" x14ac:dyDescent="0.3">
      <c r="A223" s="13"/>
      <c r="B223" s="13"/>
      <c r="C223" s="13"/>
      <c r="D223" s="13"/>
      <c r="E223" s="13"/>
      <c r="F223" s="13"/>
      <c r="G223" s="13"/>
      <c r="H223" s="13"/>
      <c r="I223" s="14"/>
    </row>
    <row r="224" spans="1:9" x14ac:dyDescent="0.3">
      <c r="A224" s="13"/>
      <c r="B224" s="13"/>
      <c r="C224" s="13"/>
      <c r="D224" s="13"/>
      <c r="E224" s="13"/>
      <c r="F224" s="13"/>
      <c r="G224" s="13"/>
      <c r="H224" s="13"/>
      <c r="I224" s="14"/>
    </row>
    <row r="225" spans="1:9" x14ac:dyDescent="0.3">
      <c r="A225" s="13"/>
      <c r="B225" s="13"/>
      <c r="C225" s="13"/>
      <c r="D225" s="13"/>
      <c r="E225" s="13"/>
      <c r="F225" s="13"/>
      <c r="G225" s="13"/>
      <c r="H225" s="13"/>
      <c r="I225" s="14"/>
    </row>
    <row r="226" spans="1:9" x14ac:dyDescent="0.3">
      <c r="A226" s="13"/>
      <c r="B226" s="13"/>
      <c r="C226" s="13"/>
      <c r="D226" s="13"/>
      <c r="E226" s="13"/>
      <c r="F226" s="13"/>
      <c r="G226" s="13"/>
      <c r="H226" s="13"/>
      <c r="I226" s="14"/>
    </row>
    <row r="227" spans="1:9" x14ac:dyDescent="0.3">
      <c r="A227" s="13"/>
      <c r="B227" s="13"/>
      <c r="C227" s="13"/>
      <c r="D227" s="13"/>
      <c r="E227" s="13"/>
      <c r="F227" s="13"/>
      <c r="G227" s="13"/>
      <c r="H227" s="13"/>
      <c r="I227" s="14"/>
    </row>
    <row r="228" spans="1:9" x14ac:dyDescent="0.3">
      <c r="A228" s="13"/>
      <c r="B228" s="13"/>
      <c r="C228" s="13"/>
      <c r="D228" s="13"/>
      <c r="E228" s="13"/>
      <c r="F228" s="13"/>
      <c r="G228" s="13"/>
      <c r="H228" s="13"/>
      <c r="I228" s="14"/>
    </row>
    <row r="229" spans="1:9" x14ac:dyDescent="0.3">
      <c r="A229" s="13"/>
      <c r="B229" s="13"/>
      <c r="C229" s="13"/>
      <c r="D229" s="13"/>
      <c r="E229" s="13"/>
      <c r="F229" s="13"/>
      <c r="G229" s="13"/>
      <c r="H229" s="13"/>
      <c r="I229" s="14"/>
    </row>
    <row r="230" spans="1:9" x14ac:dyDescent="0.3">
      <c r="A230" s="13"/>
      <c r="B230" s="13"/>
      <c r="C230" s="13"/>
      <c r="D230" s="13"/>
      <c r="E230" s="13"/>
      <c r="F230" s="13"/>
      <c r="G230" s="13"/>
      <c r="H230" s="13"/>
      <c r="I230" s="14"/>
    </row>
    <row r="231" spans="1:9" x14ac:dyDescent="0.3">
      <c r="A231" s="13"/>
      <c r="B231" s="13"/>
      <c r="C231" s="13"/>
      <c r="D231" s="13"/>
      <c r="E231" s="13"/>
      <c r="F231" s="13"/>
      <c r="G231" s="13"/>
      <c r="H231" s="13"/>
      <c r="I231" s="14"/>
    </row>
    <row r="232" spans="1:9" x14ac:dyDescent="0.3">
      <c r="A232" s="13"/>
      <c r="B232" s="13"/>
      <c r="C232" s="13"/>
      <c r="D232" s="13"/>
      <c r="E232" s="13"/>
      <c r="F232" s="13"/>
      <c r="G232" s="13"/>
      <c r="H232" s="13"/>
      <c r="I232" s="14"/>
    </row>
    <row r="233" spans="1:9" x14ac:dyDescent="0.3">
      <c r="A233" s="13"/>
      <c r="B233" s="13"/>
      <c r="C233" s="13"/>
      <c r="D233" s="13"/>
      <c r="E233" s="13"/>
      <c r="F233" s="13"/>
      <c r="G233" s="13"/>
      <c r="H233" s="13"/>
      <c r="I233" s="14"/>
    </row>
    <row r="234" spans="1:9" x14ac:dyDescent="0.3">
      <c r="A234" s="13"/>
      <c r="B234" s="13"/>
      <c r="C234" s="13"/>
      <c r="D234" s="13"/>
      <c r="E234" s="13"/>
      <c r="F234" s="13"/>
      <c r="G234" s="13"/>
      <c r="H234" s="13"/>
      <c r="I234" s="14"/>
    </row>
    <row r="235" spans="1:9" x14ac:dyDescent="0.3">
      <c r="A235" s="13"/>
      <c r="B235" s="13"/>
      <c r="C235" s="13"/>
      <c r="D235" s="13"/>
      <c r="E235" s="13"/>
      <c r="F235" s="13"/>
      <c r="G235" s="13"/>
      <c r="H235" s="13"/>
      <c r="I235" s="14"/>
    </row>
    <row r="236" spans="1:9" x14ac:dyDescent="0.3">
      <c r="A236" s="13"/>
      <c r="B236" s="13"/>
      <c r="C236" s="13"/>
      <c r="D236" s="13"/>
      <c r="E236" s="13"/>
      <c r="F236" s="13"/>
      <c r="G236" s="13"/>
      <c r="H236" s="13"/>
      <c r="I236" s="14"/>
    </row>
    <row r="237" spans="1:9" x14ac:dyDescent="0.3">
      <c r="A237" s="13"/>
      <c r="B237" s="13"/>
      <c r="C237" s="13"/>
      <c r="D237" s="13"/>
      <c r="E237" s="13"/>
      <c r="F237" s="13"/>
      <c r="G237" s="13"/>
      <c r="H237" s="13"/>
      <c r="I237" s="14"/>
    </row>
    <row r="238" spans="1:9" x14ac:dyDescent="0.3">
      <c r="A238" s="13"/>
      <c r="B238" s="13"/>
      <c r="C238" s="13"/>
      <c r="D238" s="13"/>
      <c r="E238" s="13"/>
      <c r="F238" s="13"/>
      <c r="G238" s="13"/>
      <c r="H238" s="13"/>
      <c r="I238" s="14"/>
    </row>
    <row r="239" spans="1:9" x14ac:dyDescent="0.3">
      <c r="A239" s="13"/>
      <c r="B239" s="13"/>
      <c r="C239" s="13"/>
      <c r="D239" s="13"/>
      <c r="E239" s="13"/>
      <c r="F239" s="13"/>
      <c r="G239" s="13"/>
      <c r="H239" s="13"/>
      <c r="I239" s="14"/>
    </row>
    <row r="240" spans="1:9" x14ac:dyDescent="0.3">
      <c r="A240" s="13"/>
      <c r="B240" s="13"/>
      <c r="C240" s="13"/>
      <c r="D240" s="13"/>
      <c r="E240" s="13"/>
      <c r="F240" s="13"/>
      <c r="G240" s="13"/>
      <c r="H240" s="13"/>
      <c r="I240" s="14"/>
    </row>
    <row r="241" spans="1:9" x14ac:dyDescent="0.3">
      <c r="A241" s="13"/>
      <c r="B241" s="13"/>
      <c r="C241" s="13"/>
      <c r="D241" s="13"/>
      <c r="E241" s="13"/>
      <c r="F241" s="13"/>
      <c r="G241" s="13"/>
      <c r="H241" s="13"/>
      <c r="I241" s="14"/>
    </row>
    <row r="242" spans="1:9" x14ac:dyDescent="0.3">
      <c r="A242" s="13"/>
      <c r="B242" s="13"/>
      <c r="C242" s="13"/>
      <c r="D242" s="13"/>
      <c r="E242" s="13"/>
      <c r="F242" s="13"/>
      <c r="G242" s="13"/>
      <c r="H242" s="13"/>
      <c r="I242" s="14"/>
    </row>
    <row r="243" spans="1:9" x14ac:dyDescent="0.3">
      <c r="A243" s="13"/>
      <c r="B243" s="13"/>
      <c r="C243" s="13"/>
      <c r="D243" s="13"/>
      <c r="E243" s="13"/>
      <c r="F243" s="13"/>
      <c r="G243" s="13"/>
      <c r="H243" s="13"/>
      <c r="I243" s="14"/>
    </row>
    <row r="244" spans="1:9" x14ac:dyDescent="0.3">
      <c r="A244" s="13"/>
      <c r="B244" s="13"/>
      <c r="C244" s="13"/>
      <c r="D244" s="13"/>
      <c r="E244" s="13"/>
      <c r="F244" s="13"/>
      <c r="G244" s="13"/>
      <c r="H244" s="13"/>
      <c r="I244" s="14"/>
    </row>
    <row r="245" spans="1:9" x14ac:dyDescent="0.3">
      <c r="A245" s="13"/>
      <c r="B245" s="13"/>
      <c r="C245" s="13"/>
      <c r="D245" s="13"/>
      <c r="E245" s="13"/>
      <c r="F245" s="13"/>
      <c r="G245" s="13"/>
      <c r="H245" s="13"/>
      <c r="I245" s="14"/>
    </row>
    <row r="246" spans="1:9" x14ac:dyDescent="0.3">
      <c r="A246" s="13"/>
      <c r="B246" s="13"/>
      <c r="C246" s="13"/>
      <c r="D246" s="13"/>
      <c r="E246" s="13"/>
      <c r="F246" s="13"/>
      <c r="G246" s="13"/>
      <c r="H246" s="13"/>
      <c r="I246" s="14"/>
    </row>
    <row r="247" spans="1:9" x14ac:dyDescent="0.3">
      <c r="A247" s="13"/>
      <c r="B247" s="13"/>
      <c r="C247" s="13"/>
      <c r="D247" s="13"/>
      <c r="E247" s="13"/>
      <c r="F247" s="13"/>
      <c r="G247" s="13"/>
      <c r="H247" s="13"/>
      <c r="I247" s="14"/>
    </row>
    <row r="248" spans="1:9" x14ac:dyDescent="0.3">
      <c r="A248" s="13"/>
      <c r="B248" s="13"/>
      <c r="C248" s="13"/>
      <c r="D248" s="13"/>
      <c r="E248" s="13"/>
      <c r="F248" s="13"/>
      <c r="G248" s="13"/>
      <c r="H248" s="13"/>
      <c r="I248" s="14"/>
    </row>
    <row r="249" spans="1:9" x14ac:dyDescent="0.3">
      <c r="A249" s="13"/>
      <c r="B249" s="13"/>
      <c r="C249" s="13"/>
      <c r="D249" s="13"/>
      <c r="E249" s="13"/>
      <c r="F249" s="13"/>
      <c r="G249" s="13"/>
      <c r="H249" s="13"/>
      <c r="I249" s="14"/>
    </row>
    <row r="250" spans="1:9" x14ac:dyDescent="0.3">
      <c r="A250" s="13"/>
      <c r="B250" s="13"/>
      <c r="C250" s="13"/>
      <c r="D250" s="13"/>
      <c r="E250" s="13"/>
      <c r="F250" s="13"/>
      <c r="G250" s="13"/>
      <c r="H250" s="13"/>
      <c r="I250" s="14"/>
    </row>
    <row r="251" spans="1:9" x14ac:dyDescent="0.3">
      <c r="A251" s="13"/>
      <c r="B251" s="13"/>
      <c r="C251" s="13"/>
      <c r="D251" s="13"/>
      <c r="E251" s="13"/>
      <c r="F251" s="13"/>
      <c r="G251" s="13"/>
      <c r="H251" s="13"/>
      <c r="I251" s="14"/>
    </row>
    <row r="252" spans="1:9" x14ac:dyDescent="0.3">
      <c r="A252" s="13"/>
      <c r="B252" s="13"/>
      <c r="C252" s="13"/>
      <c r="D252" s="13"/>
      <c r="E252" s="13"/>
      <c r="F252" s="13"/>
      <c r="G252" s="13"/>
      <c r="H252" s="13"/>
      <c r="I252" s="14"/>
    </row>
    <row r="253" spans="1:9" x14ac:dyDescent="0.3">
      <c r="A253" s="13"/>
      <c r="B253" s="13"/>
      <c r="C253" s="13"/>
      <c r="D253" s="13"/>
      <c r="E253" s="13"/>
      <c r="F253" s="13"/>
      <c r="G253" s="13"/>
      <c r="H253" s="13"/>
      <c r="I253" s="14"/>
    </row>
    <row r="254" spans="1:9" x14ac:dyDescent="0.3">
      <c r="A254" s="13"/>
      <c r="B254" s="13"/>
      <c r="C254" s="13"/>
      <c r="D254" s="13"/>
      <c r="E254" s="13"/>
      <c r="F254" s="13"/>
      <c r="G254" s="13"/>
      <c r="H254" s="13"/>
      <c r="I254" s="14"/>
    </row>
    <row r="255" spans="1:9" x14ac:dyDescent="0.3">
      <c r="A255" s="13"/>
      <c r="B255" s="13"/>
      <c r="C255" s="13"/>
      <c r="D255" s="13"/>
      <c r="E255" s="13"/>
      <c r="F255" s="13"/>
      <c r="G255" s="13"/>
      <c r="H255" s="13"/>
      <c r="I255" s="14"/>
    </row>
    <row r="256" spans="1:9" x14ac:dyDescent="0.3">
      <c r="A256" s="13"/>
      <c r="B256" s="13"/>
      <c r="C256" s="13"/>
      <c r="D256" s="13"/>
      <c r="E256" s="13"/>
      <c r="F256" s="13"/>
      <c r="G256" s="13"/>
      <c r="H256" s="13"/>
      <c r="I256" s="14"/>
    </row>
    <row r="257" spans="1:9" x14ac:dyDescent="0.3">
      <c r="A257" s="13"/>
      <c r="B257" s="13"/>
      <c r="C257" s="13"/>
      <c r="D257" s="13"/>
      <c r="E257" s="13"/>
      <c r="F257" s="13"/>
      <c r="G257" s="13"/>
      <c r="H257" s="13"/>
      <c r="I257" s="14"/>
    </row>
    <row r="258" spans="1:9" x14ac:dyDescent="0.3">
      <c r="A258" s="13"/>
      <c r="B258" s="13"/>
      <c r="C258" s="13"/>
      <c r="D258" s="13"/>
      <c r="E258" s="13"/>
      <c r="F258" s="13"/>
      <c r="G258" s="13"/>
      <c r="H258" s="13"/>
      <c r="I258" s="14"/>
    </row>
    <row r="259" spans="1:9" x14ac:dyDescent="0.3">
      <c r="A259" s="13"/>
      <c r="B259" s="13"/>
      <c r="C259" s="13"/>
      <c r="D259" s="13"/>
      <c r="E259" s="13"/>
      <c r="F259" s="13"/>
      <c r="G259" s="13"/>
      <c r="H259" s="13"/>
      <c r="I259" s="14"/>
    </row>
    <row r="260" spans="1:9" x14ac:dyDescent="0.3">
      <c r="A260" s="13"/>
      <c r="B260" s="13"/>
      <c r="C260" s="13"/>
      <c r="D260" s="13"/>
      <c r="E260" s="13"/>
      <c r="F260" s="13"/>
      <c r="G260" s="13"/>
      <c r="H260" s="13"/>
      <c r="I260" s="14"/>
    </row>
    <row r="261" spans="1:9" x14ac:dyDescent="0.3">
      <c r="A261" s="13"/>
      <c r="B261" s="13"/>
      <c r="C261" s="13"/>
      <c r="D261" s="13"/>
      <c r="E261" s="13"/>
      <c r="F261" s="13"/>
      <c r="G261" s="13"/>
      <c r="H261" s="13"/>
      <c r="I261" s="14"/>
    </row>
    <row r="262" spans="1:9" x14ac:dyDescent="0.3">
      <c r="A262" s="13"/>
      <c r="B262" s="13"/>
      <c r="C262" s="13"/>
      <c r="D262" s="13"/>
      <c r="E262" s="13"/>
      <c r="F262" s="13"/>
      <c r="G262" s="13"/>
      <c r="H262" s="13"/>
      <c r="I262" s="14"/>
    </row>
    <row r="263" spans="1:9" x14ac:dyDescent="0.3">
      <c r="A263" s="13"/>
      <c r="B263" s="13"/>
      <c r="C263" s="13"/>
      <c r="D263" s="13"/>
      <c r="E263" s="13"/>
      <c r="F263" s="13"/>
      <c r="G263" s="13"/>
      <c r="H263" s="13"/>
      <c r="I263" s="14"/>
    </row>
    <row r="264" spans="1:9" x14ac:dyDescent="0.3">
      <c r="A264" s="13"/>
      <c r="B264" s="13"/>
      <c r="C264" s="13"/>
      <c r="D264" s="13"/>
      <c r="E264" s="13"/>
      <c r="F264" s="13"/>
      <c r="G264" s="13"/>
      <c r="H264" s="13"/>
      <c r="I264" s="14"/>
    </row>
    <row r="265" spans="1:9" x14ac:dyDescent="0.3">
      <c r="A265" s="13"/>
      <c r="B265" s="13"/>
      <c r="C265" s="13"/>
      <c r="D265" s="13"/>
      <c r="E265" s="13"/>
      <c r="F265" s="13"/>
      <c r="G265" s="13"/>
      <c r="H265" s="13"/>
      <c r="I265" s="14"/>
    </row>
    <row r="266" spans="1:9" x14ac:dyDescent="0.3">
      <c r="A266" s="13"/>
      <c r="B266" s="13"/>
      <c r="C266" s="13"/>
      <c r="D266" s="13"/>
      <c r="E266" s="13"/>
      <c r="F266" s="13"/>
      <c r="G266" s="13"/>
      <c r="H266" s="13"/>
      <c r="I266" s="14"/>
    </row>
    <row r="267" spans="1:9" x14ac:dyDescent="0.3">
      <c r="A267" s="13"/>
      <c r="B267" s="13"/>
      <c r="C267" s="13"/>
      <c r="D267" s="13"/>
      <c r="E267" s="13"/>
      <c r="F267" s="13"/>
      <c r="G267" s="13"/>
      <c r="H267" s="13"/>
      <c r="I267" s="14"/>
    </row>
    <row r="268" spans="1:9" x14ac:dyDescent="0.3">
      <c r="A268" s="13"/>
      <c r="B268" s="13"/>
      <c r="C268" s="13"/>
      <c r="D268" s="13"/>
      <c r="E268" s="13"/>
      <c r="F268" s="13"/>
      <c r="G268" s="13"/>
      <c r="H268" s="13"/>
      <c r="I268" s="14"/>
    </row>
    <row r="269" spans="1:9" x14ac:dyDescent="0.3">
      <c r="A269" s="13"/>
      <c r="B269" s="13"/>
      <c r="C269" s="13"/>
      <c r="D269" s="13"/>
      <c r="E269" s="13"/>
      <c r="F269" s="13"/>
      <c r="G269" s="13"/>
      <c r="H269" s="13"/>
      <c r="I269" s="14"/>
    </row>
    <row r="270" spans="1:9" x14ac:dyDescent="0.3">
      <c r="A270" s="13"/>
      <c r="B270" s="13"/>
      <c r="C270" s="13"/>
      <c r="D270" s="13"/>
      <c r="E270" s="13"/>
      <c r="F270" s="13"/>
      <c r="G270" s="13"/>
      <c r="H270" s="13"/>
      <c r="I270" s="14"/>
    </row>
    <row r="271" spans="1:9" x14ac:dyDescent="0.3">
      <c r="A271" s="13"/>
      <c r="B271" s="13"/>
      <c r="C271" s="13"/>
      <c r="D271" s="13"/>
      <c r="E271" s="13"/>
      <c r="F271" s="13"/>
      <c r="G271" s="13"/>
      <c r="H271" s="13"/>
      <c r="I271" s="14"/>
    </row>
    <row r="272" spans="1:9" x14ac:dyDescent="0.3">
      <c r="A272" s="13"/>
      <c r="B272" s="13"/>
      <c r="C272" s="13"/>
      <c r="D272" s="13"/>
      <c r="E272" s="13"/>
      <c r="F272" s="13"/>
      <c r="G272" s="13"/>
      <c r="H272" s="13"/>
      <c r="I272" s="14"/>
    </row>
    <row r="273" spans="1:9" x14ac:dyDescent="0.3">
      <c r="A273" s="13"/>
      <c r="B273" s="13"/>
      <c r="C273" s="13"/>
      <c r="D273" s="13"/>
      <c r="E273" s="13"/>
      <c r="F273" s="13"/>
      <c r="G273" s="13"/>
      <c r="H273" s="13"/>
      <c r="I273" s="14"/>
    </row>
    <row r="274" spans="1:9" x14ac:dyDescent="0.3">
      <c r="A274" s="13"/>
      <c r="B274" s="13"/>
      <c r="C274" s="13"/>
      <c r="D274" s="13"/>
      <c r="E274" s="13"/>
      <c r="F274" s="13"/>
      <c r="G274" s="13"/>
      <c r="H274" s="13"/>
      <c r="I274" s="14"/>
    </row>
    <row r="275" spans="1:9" x14ac:dyDescent="0.3">
      <c r="A275" s="13"/>
      <c r="B275" s="13"/>
      <c r="C275" s="13"/>
      <c r="D275" s="13"/>
      <c r="E275" s="13"/>
      <c r="F275" s="13"/>
      <c r="G275" s="13"/>
      <c r="H275" s="13"/>
      <c r="I275" s="14"/>
    </row>
    <row r="276" spans="1:9" x14ac:dyDescent="0.3">
      <c r="A276" s="13"/>
      <c r="B276" s="13"/>
      <c r="C276" s="13"/>
      <c r="D276" s="13"/>
      <c r="E276" s="13"/>
      <c r="F276" s="13"/>
      <c r="G276" s="13"/>
      <c r="H276" s="13"/>
      <c r="I276" s="14"/>
    </row>
    <row r="277" spans="1:9" x14ac:dyDescent="0.3">
      <c r="A277" s="13"/>
      <c r="B277" s="13"/>
      <c r="C277" s="13"/>
      <c r="D277" s="13"/>
      <c r="E277" s="13"/>
      <c r="F277" s="13"/>
      <c r="G277" s="13"/>
      <c r="H277" s="13"/>
      <c r="I277" s="14"/>
    </row>
    <row r="278" spans="1:9" x14ac:dyDescent="0.3">
      <c r="A278" s="13"/>
      <c r="B278" s="13"/>
      <c r="C278" s="13"/>
      <c r="D278" s="13"/>
      <c r="E278" s="13"/>
      <c r="F278" s="13"/>
      <c r="G278" s="13"/>
      <c r="H278" s="13"/>
      <c r="I278" s="14"/>
    </row>
    <row r="279" spans="1:9" x14ac:dyDescent="0.3">
      <c r="A279" s="13"/>
      <c r="B279" s="13"/>
      <c r="C279" s="13"/>
      <c r="D279" s="13"/>
      <c r="E279" s="13"/>
      <c r="F279" s="13"/>
      <c r="G279" s="13"/>
      <c r="H279" s="13"/>
      <c r="I279" s="14"/>
    </row>
    <row r="280" spans="1:9" x14ac:dyDescent="0.3">
      <c r="A280" s="13"/>
      <c r="B280" s="13"/>
      <c r="C280" s="13"/>
      <c r="D280" s="13"/>
      <c r="E280" s="13"/>
      <c r="F280" s="13"/>
      <c r="G280" s="13"/>
      <c r="H280" s="13"/>
      <c r="I280" s="14"/>
    </row>
    <row r="281" spans="1:9" x14ac:dyDescent="0.3">
      <c r="A281" s="13"/>
      <c r="B281" s="13"/>
      <c r="C281" s="13"/>
      <c r="D281" s="13"/>
      <c r="E281" s="13"/>
      <c r="F281" s="13"/>
      <c r="G281" s="13"/>
      <c r="H281" s="13"/>
      <c r="I281" s="14"/>
    </row>
    <row r="282" spans="1:9" x14ac:dyDescent="0.3">
      <c r="A282" s="13"/>
      <c r="B282" s="13"/>
      <c r="C282" s="13"/>
      <c r="D282" s="13"/>
      <c r="E282" s="13"/>
      <c r="F282" s="13"/>
      <c r="G282" s="13"/>
      <c r="H282" s="13"/>
      <c r="I282" s="14"/>
    </row>
    <row r="283" spans="1:9" x14ac:dyDescent="0.3">
      <c r="A283" s="13"/>
      <c r="B283" s="13"/>
      <c r="C283" s="13"/>
      <c r="D283" s="13"/>
      <c r="E283" s="13"/>
      <c r="F283" s="13"/>
      <c r="G283" s="13"/>
      <c r="H283" s="13"/>
      <c r="I283" s="14"/>
    </row>
    <row r="284" spans="1:9" x14ac:dyDescent="0.3">
      <c r="A284" s="13"/>
      <c r="B284" s="13"/>
      <c r="C284" s="13"/>
      <c r="D284" s="13"/>
      <c r="E284" s="13"/>
      <c r="F284" s="13"/>
      <c r="G284" s="13"/>
      <c r="H284" s="13"/>
      <c r="I284" s="14"/>
    </row>
    <row r="285" spans="1:9" x14ac:dyDescent="0.3">
      <c r="A285" s="13"/>
      <c r="B285" s="13"/>
      <c r="C285" s="13"/>
      <c r="D285" s="13"/>
      <c r="E285" s="13"/>
      <c r="F285" s="13"/>
      <c r="G285" s="13"/>
      <c r="H285" s="13"/>
      <c r="I285" s="14"/>
    </row>
    <row r="286" spans="1:9" x14ac:dyDescent="0.3">
      <c r="A286" s="13"/>
      <c r="B286" s="13"/>
      <c r="C286" s="13"/>
      <c r="D286" s="13"/>
      <c r="E286" s="13"/>
      <c r="F286" s="13"/>
      <c r="G286" s="13"/>
      <c r="H286" s="13"/>
      <c r="I286" s="14"/>
    </row>
    <row r="287" spans="1:9" x14ac:dyDescent="0.3">
      <c r="A287" s="13"/>
      <c r="B287" s="13"/>
      <c r="C287" s="13"/>
      <c r="D287" s="13"/>
      <c r="E287" s="13"/>
      <c r="F287" s="13"/>
      <c r="G287" s="13"/>
      <c r="H287" s="13"/>
      <c r="I287" s="14"/>
    </row>
    <row r="288" spans="1:9" x14ac:dyDescent="0.3">
      <c r="A288" s="13"/>
      <c r="B288" s="13"/>
      <c r="C288" s="13"/>
      <c r="D288" s="13"/>
      <c r="E288" s="13"/>
      <c r="F288" s="13"/>
      <c r="G288" s="13"/>
      <c r="H288" s="13"/>
      <c r="I288" s="14"/>
    </row>
    <row r="289" spans="1:9" x14ac:dyDescent="0.3">
      <c r="A289" s="13"/>
      <c r="B289" s="13"/>
      <c r="C289" s="13"/>
      <c r="D289" s="13"/>
      <c r="E289" s="13"/>
      <c r="F289" s="13"/>
      <c r="G289" s="13"/>
      <c r="H289" s="13"/>
      <c r="I289" s="14"/>
    </row>
    <row r="290" spans="1:9" x14ac:dyDescent="0.3">
      <c r="A290" s="13"/>
      <c r="B290" s="13"/>
      <c r="C290" s="13"/>
      <c r="D290" s="13"/>
      <c r="E290" s="13"/>
      <c r="F290" s="13"/>
      <c r="G290" s="13"/>
      <c r="H290" s="13"/>
      <c r="I290" s="14"/>
    </row>
    <row r="291" spans="1:9" x14ac:dyDescent="0.3">
      <c r="A291" s="13"/>
      <c r="B291" s="13"/>
      <c r="C291" s="13"/>
      <c r="D291" s="13"/>
      <c r="E291" s="13"/>
      <c r="F291" s="13"/>
      <c r="G291" s="13"/>
      <c r="H291" s="13"/>
      <c r="I291" s="14"/>
    </row>
    <row r="292" spans="1:9" x14ac:dyDescent="0.3">
      <c r="A292" s="13"/>
      <c r="B292" s="13"/>
      <c r="C292" s="13"/>
      <c r="D292" s="13"/>
      <c r="E292" s="13"/>
      <c r="F292" s="13"/>
      <c r="G292" s="13"/>
      <c r="H292" s="13"/>
      <c r="I292" s="14"/>
    </row>
    <row r="293" spans="1:9" x14ac:dyDescent="0.3">
      <c r="A293" s="13"/>
      <c r="B293" s="13"/>
      <c r="C293" s="13"/>
      <c r="D293" s="13"/>
      <c r="E293" s="13"/>
      <c r="F293" s="13"/>
      <c r="G293" s="13"/>
      <c r="H293" s="13"/>
      <c r="I293" s="14"/>
    </row>
    <row r="294" spans="1:9" x14ac:dyDescent="0.3">
      <c r="A294" s="13"/>
      <c r="B294" s="13"/>
      <c r="C294" s="13"/>
      <c r="D294" s="13"/>
      <c r="E294" s="13"/>
      <c r="F294" s="13"/>
      <c r="G294" s="13"/>
      <c r="H294" s="13"/>
      <c r="I294" s="14"/>
    </row>
    <row r="295" spans="1:9" x14ac:dyDescent="0.3">
      <c r="A295" s="13"/>
      <c r="B295" s="13"/>
      <c r="C295" s="13"/>
      <c r="D295" s="13"/>
      <c r="E295" s="13"/>
      <c r="F295" s="13"/>
      <c r="G295" s="13"/>
      <c r="H295" s="13"/>
      <c r="I295" s="14"/>
    </row>
    <row r="296" spans="1:9" x14ac:dyDescent="0.3">
      <c r="A296" s="13"/>
      <c r="B296" s="13"/>
      <c r="C296" s="13"/>
      <c r="D296" s="13"/>
      <c r="E296" s="13"/>
      <c r="F296" s="13"/>
      <c r="G296" s="13"/>
      <c r="H296" s="13"/>
      <c r="I296" s="14"/>
    </row>
    <row r="297" spans="1:9" x14ac:dyDescent="0.3">
      <c r="A297" s="13"/>
      <c r="B297" s="13"/>
      <c r="C297" s="13"/>
      <c r="D297" s="13"/>
      <c r="E297" s="13"/>
      <c r="F297" s="13"/>
      <c r="G297" s="13"/>
      <c r="H297" s="13"/>
      <c r="I297" s="14"/>
    </row>
    <row r="298" spans="1:9" x14ac:dyDescent="0.3">
      <c r="A298" s="13"/>
      <c r="B298" s="13"/>
      <c r="C298" s="13"/>
      <c r="D298" s="13"/>
      <c r="E298" s="13"/>
      <c r="F298" s="13"/>
      <c r="G298" s="13"/>
      <c r="H298" s="13"/>
      <c r="I298" s="14"/>
    </row>
    <row r="299" spans="1:9" x14ac:dyDescent="0.3">
      <c r="A299" s="13"/>
      <c r="B299" s="13"/>
      <c r="C299" s="13"/>
      <c r="D299" s="13"/>
      <c r="E299" s="13"/>
      <c r="F299" s="13"/>
      <c r="G299" s="13"/>
      <c r="H299" s="13"/>
      <c r="I299" s="14"/>
    </row>
    <row r="300" spans="1:9" x14ac:dyDescent="0.3">
      <c r="A300" s="13"/>
      <c r="B300" s="13"/>
      <c r="C300" s="13"/>
      <c r="D300" s="13"/>
      <c r="E300" s="13"/>
      <c r="F300" s="13"/>
      <c r="G300" s="13"/>
      <c r="H300" s="13"/>
      <c r="I300" s="14"/>
    </row>
    <row r="301" spans="1:9" x14ac:dyDescent="0.3">
      <c r="A301" s="13"/>
      <c r="B301" s="13"/>
      <c r="C301" s="13"/>
      <c r="D301" s="13"/>
      <c r="E301" s="13"/>
      <c r="F301" s="13"/>
      <c r="G301" s="13"/>
      <c r="H301" s="13"/>
      <c r="I301" s="14"/>
    </row>
    <row r="302" spans="1:9" x14ac:dyDescent="0.3">
      <c r="A302" s="13"/>
      <c r="B302" s="13"/>
      <c r="C302" s="13"/>
      <c r="D302" s="13"/>
      <c r="E302" s="13"/>
      <c r="F302" s="13"/>
      <c r="G302" s="13"/>
      <c r="H302" s="13"/>
      <c r="I302" s="14"/>
    </row>
    <row r="303" spans="1:9" x14ac:dyDescent="0.3">
      <c r="A303" s="13"/>
      <c r="B303" s="13"/>
      <c r="C303" s="13"/>
      <c r="D303" s="13"/>
      <c r="E303" s="13"/>
      <c r="F303" s="13"/>
      <c r="G303" s="13"/>
      <c r="H303" s="13"/>
      <c r="I303" s="14"/>
    </row>
    <row r="304" spans="1:9" x14ac:dyDescent="0.3">
      <c r="A304" s="13"/>
      <c r="B304" s="13"/>
      <c r="C304" s="13"/>
      <c r="D304" s="13"/>
      <c r="E304" s="13"/>
      <c r="F304" s="13"/>
      <c r="G304" s="13"/>
      <c r="H304" s="13"/>
      <c r="I304" s="14"/>
    </row>
    <row r="305" spans="1:9" x14ac:dyDescent="0.3">
      <c r="A305" s="13"/>
      <c r="B305" s="13"/>
      <c r="C305" s="13"/>
      <c r="D305" s="13"/>
      <c r="E305" s="13"/>
      <c r="F305" s="13"/>
      <c r="G305" s="13"/>
      <c r="H305" s="13"/>
      <c r="I305" s="14"/>
    </row>
    <row r="306" spans="1:9" x14ac:dyDescent="0.3">
      <c r="A306" s="13"/>
      <c r="B306" s="13"/>
      <c r="C306" s="13"/>
      <c r="D306" s="13"/>
      <c r="E306" s="13"/>
      <c r="F306" s="13"/>
      <c r="G306" s="13"/>
      <c r="H306" s="13"/>
      <c r="I306" s="14"/>
    </row>
    <row r="307" spans="1:9" x14ac:dyDescent="0.3">
      <c r="A307" s="13"/>
      <c r="B307" s="13"/>
      <c r="C307" s="13"/>
      <c r="D307" s="13"/>
      <c r="E307" s="13"/>
      <c r="F307" s="13"/>
      <c r="G307" s="13"/>
      <c r="H307" s="13"/>
      <c r="I307" s="14"/>
    </row>
    <row r="308" spans="1:9" x14ac:dyDescent="0.3">
      <c r="A308" s="13"/>
      <c r="B308" s="13"/>
      <c r="C308" s="13"/>
      <c r="D308" s="13"/>
      <c r="E308" s="13"/>
      <c r="F308" s="13"/>
      <c r="G308" s="13"/>
      <c r="H308" s="13"/>
      <c r="I308" s="14"/>
    </row>
    <row r="309" spans="1:9" x14ac:dyDescent="0.3">
      <c r="A309" s="13"/>
      <c r="B309" s="13"/>
      <c r="C309" s="13"/>
      <c r="D309" s="13"/>
      <c r="E309" s="13"/>
      <c r="F309" s="13"/>
      <c r="G309" s="13"/>
      <c r="H309" s="13"/>
      <c r="I309" s="14"/>
    </row>
    <row r="310" spans="1:9" x14ac:dyDescent="0.3">
      <c r="A310" s="13"/>
      <c r="B310" s="13"/>
      <c r="C310" s="13"/>
      <c r="D310" s="13"/>
      <c r="E310" s="13"/>
      <c r="F310" s="13"/>
      <c r="G310" s="13"/>
      <c r="H310" s="13"/>
      <c r="I310" s="14"/>
    </row>
    <row r="311" spans="1:9" x14ac:dyDescent="0.3">
      <c r="A311" s="13"/>
      <c r="B311" s="13"/>
      <c r="C311" s="13"/>
      <c r="D311" s="13"/>
      <c r="E311" s="13"/>
      <c r="F311" s="13"/>
      <c r="G311" s="13"/>
      <c r="H311" s="13"/>
      <c r="I311" s="14"/>
    </row>
    <row r="312" spans="1:9" x14ac:dyDescent="0.3">
      <c r="A312" s="13"/>
      <c r="B312" s="13"/>
      <c r="C312" s="13"/>
      <c r="D312" s="13"/>
      <c r="E312" s="13"/>
      <c r="F312" s="13"/>
      <c r="G312" s="13"/>
      <c r="H312" s="13"/>
      <c r="I312" s="14"/>
    </row>
    <row r="313" spans="1:9" x14ac:dyDescent="0.3">
      <c r="A313" s="13"/>
      <c r="B313" s="13"/>
      <c r="C313" s="13"/>
      <c r="D313" s="13"/>
      <c r="E313" s="13"/>
      <c r="F313" s="13"/>
      <c r="G313" s="13"/>
      <c r="H313" s="13"/>
      <c r="I313" s="14"/>
    </row>
    <row r="314" spans="1:9" x14ac:dyDescent="0.3">
      <c r="A314" s="13"/>
      <c r="B314" s="13"/>
      <c r="C314" s="13"/>
      <c r="D314" s="13"/>
      <c r="E314" s="13"/>
      <c r="F314" s="13"/>
      <c r="G314" s="13"/>
      <c r="H314" s="13"/>
      <c r="I314" s="14"/>
    </row>
    <row r="315" spans="1:9" x14ac:dyDescent="0.3">
      <c r="A315" s="13"/>
      <c r="B315" s="13"/>
      <c r="C315" s="13"/>
      <c r="D315" s="13"/>
      <c r="E315" s="13"/>
      <c r="F315" s="13"/>
      <c r="G315" s="13"/>
      <c r="H315" s="13"/>
      <c r="I315" s="14"/>
    </row>
    <row r="316" spans="1:9" x14ac:dyDescent="0.3">
      <c r="A316" s="13"/>
      <c r="B316" s="13"/>
      <c r="C316" s="13"/>
      <c r="D316" s="13"/>
      <c r="E316" s="13"/>
      <c r="F316" s="13"/>
      <c r="G316" s="13"/>
      <c r="H316" s="13"/>
      <c r="I316" s="14"/>
    </row>
    <row r="317" spans="1:9" x14ac:dyDescent="0.3">
      <c r="A317" s="13"/>
      <c r="B317" s="13"/>
      <c r="C317" s="13"/>
      <c r="D317" s="13"/>
      <c r="E317" s="13"/>
      <c r="F317" s="13"/>
      <c r="G317" s="13"/>
      <c r="H317" s="13"/>
      <c r="I317" s="14"/>
    </row>
    <row r="318" spans="1:9" x14ac:dyDescent="0.3">
      <c r="A318" s="13"/>
      <c r="B318" s="13"/>
      <c r="C318" s="13"/>
      <c r="D318" s="13"/>
      <c r="E318" s="13"/>
      <c r="F318" s="13"/>
      <c r="G318" s="13"/>
      <c r="H318" s="13"/>
      <c r="I318" s="14"/>
    </row>
    <row r="319" spans="1:9" x14ac:dyDescent="0.3">
      <c r="A319" s="13"/>
      <c r="B319" s="13"/>
      <c r="C319" s="13"/>
      <c r="D319" s="13"/>
      <c r="E319" s="13"/>
      <c r="F319" s="13"/>
      <c r="G319" s="13"/>
      <c r="H319" s="13"/>
      <c r="I319" s="14"/>
    </row>
    <row r="320" spans="1:9" x14ac:dyDescent="0.3">
      <c r="A320" s="13"/>
      <c r="B320" s="13"/>
      <c r="C320" s="13"/>
      <c r="D320" s="13"/>
      <c r="E320" s="13"/>
      <c r="F320" s="13"/>
      <c r="G320" s="13"/>
      <c r="H320" s="13"/>
      <c r="I320" s="14"/>
    </row>
    <row r="321" spans="1:9" x14ac:dyDescent="0.3">
      <c r="A321" s="13"/>
      <c r="B321" s="13"/>
      <c r="C321" s="13"/>
      <c r="D321" s="13"/>
      <c r="E321" s="13"/>
      <c r="F321" s="13"/>
      <c r="G321" s="13"/>
      <c r="H321" s="13"/>
      <c r="I321" s="14"/>
    </row>
    <row r="322" spans="1:9" x14ac:dyDescent="0.3">
      <c r="A322" s="13"/>
      <c r="B322" s="13"/>
      <c r="C322" s="13"/>
      <c r="D322" s="13"/>
      <c r="E322" s="13"/>
      <c r="F322" s="13"/>
      <c r="G322" s="13"/>
      <c r="H322" s="13"/>
      <c r="I322" s="14"/>
    </row>
    <row r="323" spans="1:9" x14ac:dyDescent="0.3">
      <c r="A323" s="13"/>
      <c r="B323" s="13"/>
      <c r="C323" s="13"/>
      <c r="D323" s="13"/>
      <c r="E323" s="13"/>
      <c r="F323" s="13"/>
      <c r="G323" s="13"/>
      <c r="H323" s="13"/>
      <c r="I323" s="14"/>
    </row>
    <row r="324" spans="1:9" x14ac:dyDescent="0.3">
      <c r="A324" s="13"/>
      <c r="B324" s="13"/>
      <c r="C324" s="13"/>
      <c r="D324" s="13"/>
      <c r="E324" s="13"/>
      <c r="F324" s="13"/>
      <c r="G324" s="13"/>
      <c r="H324" s="13"/>
      <c r="I324" s="14"/>
    </row>
    <row r="325" spans="1:9" x14ac:dyDescent="0.3">
      <c r="A325" s="13"/>
      <c r="B325" s="13"/>
      <c r="C325" s="13"/>
      <c r="D325" s="13"/>
      <c r="E325" s="13"/>
      <c r="F325" s="13"/>
      <c r="G325" s="13"/>
      <c r="H325" s="13"/>
      <c r="I325" s="14"/>
    </row>
    <row r="326" spans="1:9" x14ac:dyDescent="0.3">
      <c r="A326" s="13"/>
      <c r="B326" s="13"/>
      <c r="C326" s="13"/>
      <c r="D326" s="13"/>
      <c r="E326" s="13"/>
      <c r="F326" s="13"/>
      <c r="G326" s="13"/>
      <c r="H326" s="13"/>
      <c r="I326" s="14"/>
    </row>
    <row r="327" spans="1:9" x14ac:dyDescent="0.3">
      <c r="A327" s="13"/>
      <c r="B327" s="13"/>
      <c r="C327" s="13"/>
      <c r="D327" s="13"/>
      <c r="E327" s="13"/>
      <c r="F327" s="13"/>
      <c r="G327" s="13"/>
      <c r="H327" s="13"/>
      <c r="I327" s="14"/>
    </row>
    <row r="328" spans="1:9" x14ac:dyDescent="0.3">
      <c r="A328" s="13"/>
      <c r="B328" s="13"/>
      <c r="C328" s="13"/>
      <c r="D328" s="13"/>
      <c r="E328" s="13"/>
      <c r="F328" s="13"/>
      <c r="G328" s="13"/>
      <c r="H328" s="13"/>
      <c r="I328" s="14"/>
    </row>
    <row r="329" spans="1:9" x14ac:dyDescent="0.3">
      <c r="A329" s="13"/>
      <c r="B329" s="13"/>
      <c r="C329" s="13"/>
      <c r="D329" s="13"/>
      <c r="E329" s="13"/>
      <c r="F329" s="13"/>
      <c r="G329" s="13"/>
      <c r="H329" s="13"/>
      <c r="I329" s="14"/>
    </row>
    <row r="330" spans="1:9" x14ac:dyDescent="0.3">
      <c r="A330" s="13"/>
      <c r="B330" s="13"/>
      <c r="C330" s="13"/>
      <c r="D330" s="13"/>
      <c r="E330" s="13"/>
      <c r="F330" s="13"/>
      <c r="G330" s="13"/>
      <c r="H330" s="13"/>
      <c r="I330" s="14"/>
    </row>
    <row r="331" spans="1:9" x14ac:dyDescent="0.3">
      <c r="A331" s="13"/>
      <c r="B331" s="13"/>
      <c r="C331" s="13"/>
      <c r="D331" s="13"/>
      <c r="E331" s="13"/>
      <c r="F331" s="13"/>
      <c r="G331" s="13"/>
      <c r="H331" s="13"/>
      <c r="I331" s="14"/>
    </row>
    <row r="332" spans="1:9" x14ac:dyDescent="0.3">
      <c r="A332" s="13"/>
      <c r="B332" s="13"/>
      <c r="C332" s="13"/>
      <c r="D332" s="13"/>
      <c r="E332" s="13"/>
      <c r="F332" s="13"/>
      <c r="G332" s="13"/>
      <c r="H332" s="13"/>
      <c r="I332" s="14"/>
    </row>
    <row r="333" spans="1:9" x14ac:dyDescent="0.3">
      <c r="A333" s="13"/>
      <c r="B333" s="13"/>
      <c r="C333" s="13"/>
      <c r="D333" s="13"/>
      <c r="E333" s="13"/>
      <c r="F333" s="13"/>
      <c r="G333" s="13"/>
      <c r="H333" s="13"/>
      <c r="I333" s="14"/>
    </row>
    <row r="334" spans="1:9" x14ac:dyDescent="0.3">
      <c r="A334" s="13"/>
      <c r="B334" s="13"/>
      <c r="C334" s="13"/>
      <c r="D334" s="13"/>
      <c r="E334" s="13"/>
      <c r="F334" s="13"/>
      <c r="G334" s="13"/>
      <c r="H334" s="13"/>
      <c r="I334" s="14"/>
    </row>
    <row r="335" spans="1:9" x14ac:dyDescent="0.3">
      <c r="A335" s="13"/>
      <c r="B335" s="13"/>
      <c r="C335" s="13"/>
      <c r="D335" s="13"/>
      <c r="E335" s="13"/>
      <c r="F335" s="13"/>
      <c r="G335" s="13"/>
      <c r="H335" s="13"/>
      <c r="I335" s="14"/>
    </row>
    <row r="336" spans="1:9" x14ac:dyDescent="0.3">
      <c r="A336" s="13"/>
      <c r="B336" s="13"/>
      <c r="C336" s="13"/>
      <c r="D336" s="13"/>
      <c r="E336" s="13"/>
      <c r="F336" s="13"/>
      <c r="G336" s="13"/>
      <c r="H336" s="13"/>
      <c r="I336" s="14"/>
    </row>
    <row r="337" spans="1:9" x14ac:dyDescent="0.3">
      <c r="A337" s="13"/>
      <c r="B337" s="13"/>
      <c r="C337" s="13"/>
      <c r="D337" s="13"/>
      <c r="E337" s="13"/>
      <c r="F337" s="13"/>
      <c r="G337" s="13"/>
      <c r="H337" s="13"/>
      <c r="I337" s="14"/>
    </row>
    <row r="338" spans="1:9" x14ac:dyDescent="0.3">
      <c r="A338" s="13"/>
      <c r="B338" s="13"/>
      <c r="C338" s="13"/>
      <c r="D338" s="13"/>
      <c r="E338" s="13"/>
      <c r="F338" s="13"/>
      <c r="G338" s="13"/>
      <c r="H338" s="13"/>
      <c r="I338" s="14"/>
    </row>
    <row r="339" spans="1:9" x14ac:dyDescent="0.3">
      <c r="A339" s="13"/>
      <c r="B339" s="13"/>
      <c r="C339" s="13"/>
      <c r="D339" s="13"/>
      <c r="E339" s="13"/>
      <c r="F339" s="13"/>
      <c r="G339" s="13"/>
      <c r="H339" s="13"/>
      <c r="I339" s="14"/>
    </row>
    <row r="340" spans="1:9" x14ac:dyDescent="0.3">
      <c r="A340" s="13"/>
      <c r="B340" s="13"/>
      <c r="C340" s="13"/>
      <c r="D340" s="13"/>
      <c r="E340" s="13"/>
      <c r="F340" s="13"/>
      <c r="G340" s="13"/>
      <c r="H340" s="13"/>
      <c r="I340" s="14"/>
    </row>
    <row r="341" spans="1:9" x14ac:dyDescent="0.3">
      <c r="A341" s="13"/>
      <c r="B341" s="13"/>
      <c r="C341" s="13"/>
      <c r="D341" s="13"/>
      <c r="E341" s="13"/>
      <c r="F341" s="13"/>
      <c r="G341" s="13"/>
      <c r="H341" s="13"/>
      <c r="I341" s="14"/>
    </row>
    <row r="342" spans="1:9" x14ac:dyDescent="0.3">
      <c r="A342" s="13"/>
      <c r="B342" s="13"/>
      <c r="C342" s="13"/>
      <c r="D342" s="13"/>
      <c r="E342" s="13"/>
      <c r="F342" s="13"/>
      <c r="G342" s="13"/>
      <c r="H342" s="13"/>
      <c r="I342" s="14"/>
    </row>
    <row r="343" spans="1:9" x14ac:dyDescent="0.3">
      <c r="A343" s="13"/>
      <c r="B343" s="13"/>
      <c r="C343" s="13"/>
      <c r="D343" s="13"/>
      <c r="E343" s="13"/>
      <c r="F343" s="13"/>
      <c r="G343" s="13"/>
      <c r="H343" s="13"/>
      <c r="I343" s="14"/>
    </row>
    <row r="344" spans="1:9" x14ac:dyDescent="0.3">
      <c r="A344" s="13"/>
      <c r="B344" s="13"/>
      <c r="C344" s="13"/>
      <c r="D344" s="13"/>
      <c r="E344" s="13"/>
      <c r="F344" s="13"/>
      <c r="G344" s="13"/>
      <c r="H344" s="13"/>
      <c r="I344" s="14"/>
    </row>
    <row r="345" spans="1:9" x14ac:dyDescent="0.3">
      <c r="A345" s="13"/>
      <c r="B345" s="13"/>
      <c r="C345" s="13"/>
      <c r="D345" s="13"/>
      <c r="E345" s="13"/>
      <c r="F345" s="13"/>
      <c r="G345" s="13"/>
      <c r="H345" s="13"/>
      <c r="I345" s="14"/>
    </row>
    <row r="346" spans="1:9" x14ac:dyDescent="0.3">
      <c r="A346" s="13"/>
      <c r="B346" s="13"/>
      <c r="C346" s="13"/>
      <c r="D346" s="13"/>
      <c r="E346" s="13"/>
      <c r="F346" s="13"/>
      <c r="G346" s="13"/>
      <c r="H346" s="13"/>
      <c r="I346" s="14"/>
    </row>
    <row r="347" spans="1:9" x14ac:dyDescent="0.3">
      <c r="A347" s="13"/>
      <c r="B347" s="13"/>
      <c r="C347" s="13"/>
      <c r="D347" s="13"/>
      <c r="E347" s="13"/>
      <c r="F347" s="13"/>
      <c r="G347" s="13"/>
      <c r="H347" s="13"/>
      <c r="I347" s="14"/>
    </row>
    <row r="348" spans="1:9" x14ac:dyDescent="0.3">
      <c r="A348" s="13"/>
      <c r="B348" s="13"/>
      <c r="C348" s="13"/>
      <c r="D348" s="13"/>
      <c r="E348" s="13"/>
      <c r="F348" s="13"/>
      <c r="G348" s="13"/>
      <c r="H348" s="13"/>
      <c r="I348" s="14"/>
    </row>
    <row r="349" spans="1:9" x14ac:dyDescent="0.3">
      <c r="A349" s="13"/>
      <c r="B349" s="13"/>
      <c r="C349" s="13"/>
      <c r="D349" s="13"/>
      <c r="E349" s="13"/>
      <c r="F349" s="13"/>
      <c r="G349" s="13"/>
      <c r="H349" s="13"/>
      <c r="I349" s="14"/>
    </row>
    <row r="350" spans="1:9" x14ac:dyDescent="0.3">
      <c r="A350" s="13"/>
      <c r="B350" s="13"/>
      <c r="C350" s="13"/>
      <c r="D350" s="13"/>
      <c r="E350" s="13"/>
      <c r="F350" s="13"/>
      <c r="G350" s="13"/>
      <c r="H350" s="13"/>
      <c r="I350" s="14"/>
    </row>
    <row r="351" spans="1:9" x14ac:dyDescent="0.3">
      <c r="A351" s="13"/>
      <c r="B351" s="13"/>
      <c r="C351" s="13"/>
      <c r="D351" s="13"/>
      <c r="E351" s="13"/>
      <c r="F351" s="13"/>
      <c r="G351" s="13"/>
      <c r="H351" s="13"/>
      <c r="I351" s="14"/>
    </row>
    <row r="352" spans="1:9" x14ac:dyDescent="0.3">
      <c r="A352" s="13"/>
      <c r="B352" s="13"/>
      <c r="C352" s="13"/>
      <c r="D352" s="13"/>
      <c r="E352" s="13"/>
      <c r="F352" s="13"/>
      <c r="G352" s="13"/>
      <c r="H352" s="13"/>
      <c r="I352" s="14"/>
    </row>
    <row r="353" spans="1:9" x14ac:dyDescent="0.3">
      <c r="A353" s="13"/>
      <c r="B353" s="13"/>
      <c r="C353" s="13"/>
      <c r="D353" s="13"/>
      <c r="E353" s="13"/>
      <c r="F353" s="13"/>
      <c r="G353" s="13"/>
      <c r="H353" s="13"/>
      <c r="I353" s="14"/>
    </row>
    <row r="354" spans="1:9" x14ac:dyDescent="0.3">
      <c r="A354" s="13"/>
      <c r="B354" s="13"/>
      <c r="C354" s="13"/>
      <c r="D354" s="13"/>
      <c r="E354" s="13"/>
      <c r="F354" s="13"/>
      <c r="G354" s="13"/>
      <c r="H354" s="13"/>
      <c r="I354" s="14"/>
    </row>
    <row r="355" spans="1:9" x14ac:dyDescent="0.3">
      <c r="A355" s="13"/>
      <c r="B355" s="13"/>
      <c r="C355" s="13"/>
      <c r="D355" s="13"/>
      <c r="E355" s="13"/>
      <c r="F355" s="13"/>
      <c r="G355" s="13"/>
      <c r="H355" s="13"/>
      <c r="I355" s="14"/>
    </row>
    <row r="356" spans="1:9" x14ac:dyDescent="0.3">
      <c r="A356" s="13"/>
      <c r="B356" s="13"/>
      <c r="C356" s="13"/>
      <c r="D356" s="13"/>
      <c r="E356" s="13"/>
      <c r="F356" s="13"/>
      <c r="G356" s="13"/>
      <c r="H356" s="13"/>
      <c r="I356" s="14"/>
    </row>
    <row r="357" spans="1:9" x14ac:dyDescent="0.3">
      <c r="A357" s="13"/>
      <c r="B357" s="13"/>
      <c r="C357" s="13"/>
      <c r="D357" s="13"/>
      <c r="E357" s="13"/>
      <c r="F357" s="13"/>
      <c r="G357" s="13"/>
      <c r="H357" s="13"/>
      <c r="I357" s="14"/>
    </row>
    <row r="358" spans="1:9" x14ac:dyDescent="0.3">
      <c r="A358" s="13"/>
      <c r="B358" s="13"/>
      <c r="C358" s="13"/>
      <c r="D358" s="13"/>
      <c r="E358" s="13"/>
      <c r="F358" s="13"/>
      <c r="G358" s="13"/>
      <c r="H358" s="13"/>
      <c r="I358" s="14"/>
    </row>
    <row r="359" spans="1:9" x14ac:dyDescent="0.3">
      <c r="A359" s="13"/>
      <c r="B359" s="13"/>
      <c r="C359" s="13"/>
      <c r="D359" s="13"/>
      <c r="E359" s="13"/>
      <c r="F359" s="13"/>
      <c r="G359" s="13"/>
      <c r="H359" s="13"/>
      <c r="I359" s="14"/>
    </row>
    <row r="360" spans="1:9" x14ac:dyDescent="0.3">
      <c r="A360" s="13"/>
      <c r="B360" s="13"/>
      <c r="C360" s="13"/>
      <c r="D360" s="13"/>
      <c r="E360" s="13"/>
      <c r="F360" s="13"/>
      <c r="G360" s="13"/>
      <c r="H360" s="13"/>
      <c r="I360" s="14"/>
    </row>
    <row r="361" spans="1:9" x14ac:dyDescent="0.3">
      <c r="A361" s="13"/>
      <c r="B361" s="13"/>
      <c r="C361" s="13"/>
      <c r="D361" s="13"/>
      <c r="E361" s="13"/>
      <c r="F361" s="13"/>
      <c r="G361" s="13"/>
      <c r="H361" s="13"/>
      <c r="I361" s="14"/>
    </row>
    <row r="362" spans="1:9" x14ac:dyDescent="0.3">
      <c r="A362" s="13"/>
      <c r="B362" s="13"/>
      <c r="C362" s="13"/>
      <c r="D362" s="13"/>
      <c r="E362" s="13"/>
      <c r="F362" s="13"/>
      <c r="G362" s="13"/>
      <c r="H362" s="13"/>
      <c r="I362" s="14"/>
    </row>
    <row r="363" spans="1:9" x14ac:dyDescent="0.3">
      <c r="A363" s="13"/>
      <c r="B363" s="13"/>
      <c r="C363" s="13"/>
      <c r="D363" s="13"/>
      <c r="E363" s="13"/>
      <c r="F363" s="13"/>
      <c r="G363" s="13"/>
      <c r="H363" s="13"/>
      <c r="I363" s="14"/>
    </row>
    <row r="364" spans="1:9" x14ac:dyDescent="0.3">
      <c r="A364" s="13"/>
      <c r="B364" s="13"/>
      <c r="C364" s="13"/>
      <c r="D364" s="13"/>
      <c r="E364" s="13"/>
      <c r="F364" s="13"/>
      <c r="G364" s="13"/>
      <c r="H364" s="13"/>
      <c r="I364" s="14"/>
    </row>
    <row r="365" spans="1:9" x14ac:dyDescent="0.3">
      <c r="A365" s="13"/>
      <c r="B365" s="13"/>
      <c r="C365" s="13"/>
      <c r="D365" s="13"/>
      <c r="E365" s="13"/>
      <c r="F365" s="13"/>
      <c r="G365" s="13"/>
      <c r="H365" s="13"/>
      <c r="I365" s="14"/>
    </row>
    <row r="366" spans="1:9" x14ac:dyDescent="0.3">
      <c r="A366" s="13"/>
      <c r="B366" s="13"/>
      <c r="C366" s="13"/>
      <c r="D366" s="13"/>
      <c r="E366" s="13"/>
      <c r="F366" s="13"/>
      <c r="G366" s="13"/>
      <c r="H366" s="13"/>
      <c r="I366" s="14"/>
    </row>
    <row r="367" spans="1:9" x14ac:dyDescent="0.3">
      <c r="A367" s="13"/>
      <c r="B367" s="13"/>
      <c r="C367" s="13"/>
      <c r="D367" s="13"/>
      <c r="E367" s="13"/>
      <c r="F367" s="13"/>
      <c r="G367" s="13"/>
      <c r="H367" s="13"/>
      <c r="I367" s="14"/>
    </row>
    <row r="368" spans="1:9" x14ac:dyDescent="0.3">
      <c r="A368" s="13"/>
      <c r="B368" s="13"/>
      <c r="C368" s="13"/>
      <c r="D368" s="13"/>
      <c r="E368" s="13"/>
      <c r="F368" s="13"/>
      <c r="G368" s="13"/>
      <c r="H368" s="13"/>
      <c r="I368" s="14"/>
    </row>
    <row r="369" spans="1:9" x14ac:dyDescent="0.3">
      <c r="A369" s="13"/>
      <c r="B369" s="13"/>
      <c r="C369" s="13"/>
      <c r="D369" s="13"/>
      <c r="E369" s="13"/>
      <c r="F369" s="13"/>
      <c r="G369" s="13"/>
      <c r="H369" s="13"/>
      <c r="I369" s="14"/>
    </row>
    <row r="370" spans="1:9" x14ac:dyDescent="0.3">
      <c r="A370" s="13"/>
      <c r="B370" s="13"/>
      <c r="C370" s="13"/>
      <c r="D370" s="13"/>
      <c r="E370" s="13"/>
      <c r="F370" s="13"/>
      <c r="G370" s="13"/>
      <c r="H370" s="13"/>
      <c r="I370" s="14"/>
    </row>
    <row r="371" spans="1:9" x14ac:dyDescent="0.3">
      <c r="A371" s="13"/>
      <c r="B371" s="13"/>
      <c r="C371" s="13"/>
      <c r="D371" s="13"/>
      <c r="E371" s="13"/>
      <c r="F371" s="13"/>
      <c r="G371" s="13"/>
      <c r="H371" s="13"/>
      <c r="I371" s="14"/>
    </row>
    <row r="372" spans="1:9" x14ac:dyDescent="0.3">
      <c r="A372" s="13"/>
      <c r="B372" s="13"/>
      <c r="C372" s="13"/>
      <c r="D372" s="13"/>
      <c r="E372" s="13"/>
      <c r="F372" s="13"/>
      <c r="G372" s="13"/>
      <c r="H372" s="13"/>
      <c r="I372" s="14"/>
    </row>
    <row r="373" spans="1:9" x14ac:dyDescent="0.3">
      <c r="A373" s="13"/>
      <c r="B373" s="13"/>
      <c r="C373" s="13"/>
      <c r="D373" s="13"/>
      <c r="E373" s="13"/>
      <c r="F373" s="13"/>
      <c r="G373" s="13"/>
      <c r="H373" s="13"/>
      <c r="I373" s="14"/>
    </row>
    <row r="374" spans="1:9" x14ac:dyDescent="0.3">
      <c r="A374" s="13"/>
      <c r="B374" s="13"/>
      <c r="C374" s="13"/>
      <c r="D374" s="13"/>
      <c r="E374" s="13"/>
      <c r="F374" s="13"/>
      <c r="G374" s="13"/>
      <c r="H374" s="13"/>
      <c r="I374" s="14"/>
    </row>
    <row r="375" spans="1:9" x14ac:dyDescent="0.3">
      <c r="A375" s="13"/>
      <c r="B375" s="13"/>
      <c r="C375" s="13"/>
      <c r="D375" s="13"/>
      <c r="E375" s="13"/>
      <c r="F375" s="13"/>
      <c r="G375" s="13"/>
      <c r="H375" s="13"/>
      <c r="I375" s="14"/>
    </row>
    <row r="376" spans="1:9" x14ac:dyDescent="0.3">
      <c r="A376" s="13"/>
      <c r="B376" s="13"/>
      <c r="C376" s="13"/>
      <c r="D376" s="13"/>
      <c r="E376" s="13"/>
      <c r="F376" s="13"/>
      <c r="G376" s="13"/>
      <c r="H376" s="13"/>
      <c r="I376" s="14"/>
    </row>
    <row r="377" spans="1:9" x14ac:dyDescent="0.3">
      <c r="A377" s="13"/>
      <c r="B377" s="13"/>
      <c r="C377" s="13"/>
      <c r="D377" s="13"/>
      <c r="E377" s="13"/>
      <c r="F377" s="13"/>
      <c r="G377" s="13"/>
      <c r="H377" s="13"/>
      <c r="I377" s="14"/>
    </row>
    <row r="378" spans="1:9" x14ac:dyDescent="0.3">
      <c r="A378" s="13"/>
      <c r="B378" s="13"/>
      <c r="C378" s="13"/>
      <c r="D378" s="13"/>
      <c r="E378" s="13"/>
      <c r="F378" s="13"/>
      <c r="G378" s="13"/>
      <c r="H378" s="13"/>
      <c r="I378" s="14"/>
    </row>
    <row r="379" spans="1:9" x14ac:dyDescent="0.3">
      <c r="A379" s="13"/>
      <c r="B379" s="13"/>
      <c r="C379" s="13"/>
      <c r="D379" s="13"/>
      <c r="E379" s="13"/>
      <c r="F379" s="13"/>
      <c r="G379" s="13"/>
      <c r="H379" s="13"/>
      <c r="I379" s="14"/>
    </row>
    <row r="380" spans="1:9" x14ac:dyDescent="0.3">
      <c r="A380" s="13"/>
      <c r="B380" s="13"/>
      <c r="C380" s="13"/>
      <c r="D380" s="13"/>
      <c r="E380" s="13"/>
      <c r="F380" s="13"/>
      <c r="G380" s="13"/>
      <c r="H380" s="13"/>
      <c r="I380" s="14"/>
    </row>
    <row r="381" spans="1:9" x14ac:dyDescent="0.3">
      <c r="A381" s="13"/>
      <c r="B381" s="13"/>
      <c r="C381" s="13"/>
      <c r="D381" s="13"/>
      <c r="E381" s="13"/>
      <c r="F381" s="13"/>
      <c r="G381" s="13"/>
      <c r="H381" s="13"/>
      <c r="I381" s="14"/>
    </row>
    <row r="382" spans="1:9" x14ac:dyDescent="0.3">
      <c r="A382" s="13"/>
      <c r="B382" s="13"/>
      <c r="C382" s="13"/>
      <c r="D382" s="13"/>
      <c r="E382" s="13"/>
      <c r="F382" s="13"/>
      <c r="G382" s="13"/>
      <c r="H382" s="13"/>
      <c r="I382" s="14"/>
    </row>
    <row r="383" spans="1:9" x14ac:dyDescent="0.3">
      <c r="A383" s="13"/>
      <c r="B383" s="13"/>
      <c r="C383" s="13"/>
      <c r="D383" s="13"/>
      <c r="E383" s="13"/>
      <c r="F383" s="13"/>
      <c r="G383" s="13"/>
      <c r="H383" s="13"/>
      <c r="I383" s="14"/>
    </row>
    <row r="384" spans="1:9" x14ac:dyDescent="0.3">
      <c r="A384" s="13"/>
      <c r="B384" s="13"/>
      <c r="C384" s="13"/>
      <c r="D384" s="13"/>
      <c r="E384" s="13"/>
      <c r="F384" s="13"/>
      <c r="G384" s="13"/>
      <c r="H384" s="13"/>
      <c r="I384" s="14"/>
    </row>
    <row r="385" spans="1:9" x14ac:dyDescent="0.3">
      <c r="A385" s="13"/>
      <c r="B385" s="13"/>
      <c r="C385" s="13"/>
      <c r="D385" s="13"/>
      <c r="E385" s="13"/>
      <c r="F385" s="13"/>
      <c r="G385" s="13"/>
      <c r="H385" s="13"/>
      <c r="I385" s="14"/>
    </row>
    <row r="386" spans="1:9" x14ac:dyDescent="0.3">
      <c r="A386" s="13"/>
      <c r="B386" s="13"/>
      <c r="C386" s="13"/>
      <c r="D386" s="13"/>
      <c r="E386" s="13"/>
      <c r="F386" s="13"/>
      <c r="G386" s="13"/>
      <c r="H386" s="13"/>
      <c r="I386" s="14"/>
    </row>
    <row r="387" spans="1:9" x14ac:dyDescent="0.3">
      <c r="A387" s="13"/>
      <c r="B387" s="13"/>
      <c r="C387" s="13"/>
      <c r="D387" s="13"/>
      <c r="E387" s="13"/>
      <c r="F387" s="13"/>
      <c r="G387" s="13"/>
      <c r="H387" s="13"/>
      <c r="I387" s="14"/>
    </row>
    <row r="388" spans="1:9" x14ac:dyDescent="0.3">
      <c r="A388" s="13"/>
      <c r="B388" s="13"/>
      <c r="C388" s="13"/>
      <c r="D388" s="13"/>
      <c r="E388" s="13"/>
      <c r="F388" s="13"/>
      <c r="G388" s="13"/>
      <c r="H388" s="13"/>
      <c r="I388" s="14"/>
    </row>
    <row r="389" spans="1:9" x14ac:dyDescent="0.3">
      <c r="A389" s="13"/>
      <c r="B389" s="13"/>
      <c r="C389" s="13"/>
      <c r="D389" s="13"/>
      <c r="E389" s="13"/>
      <c r="F389" s="13"/>
      <c r="G389" s="13"/>
      <c r="H389" s="13"/>
      <c r="I389" s="14"/>
    </row>
    <row r="390" spans="1:9" x14ac:dyDescent="0.3">
      <c r="A390" s="13"/>
      <c r="B390" s="13"/>
      <c r="C390" s="13"/>
      <c r="D390" s="13"/>
      <c r="E390" s="13"/>
      <c r="F390" s="13"/>
      <c r="G390" s="13"/>
      <c r="H390" s="13"/>
      <c r="I390" s="14"/>
    </row>
    <row r="391" spans="1:9" x14ac:dyDescent="0.3">
      <c r="A391" s="13"/>
      <c r="B391" s="13"/>
      <c r="C391" s="13"/>
      <c r="D391" s="13"/>
      <c r="E391" s="13"/>
      <c r="F391" s="13"/>
      <c r="G391" s="13"/>
      <c r="H391" s="13"/>
      <c r="I391" s="14"/>
    </row>
    <row r="392" spans="1:9" x14ac:dyDescent="0.3">
      <c r="A392" s="13"/>
      <c r="B392" s="13"/>
      <c r="C392" s="13"/>
      <c r="D392" s="13"/>
      <c r="E392" s="13"/>
      <c r="F392" s="13"/>
      <c r="G392" s="13"/>
      <c r="H392" s="13"/>
      <c r="I392" s="14"/>
    </row>
    <row r="393" spans="1:9" x14ac:dyDescent="0.3">
      <c r="A393" s="13"/>
      <c r="B393" s="13"/>
      <c r="C393" s="13"/>
      <c r="D393" s="13"/>
      <c r="E393" s="13"/>
      <c r="F393" s="13"/>
      <c r="G393" s="13"/>
      <c r="H393" s="13"/>
      <c r="I393" s="14"/>
    </row>
    <row r="394" spans="1:9" x14ac:dyDescent="0.3">
      <c r="A394" s="13"/>
      <c r="B394" s="13"/>
      <c r="C394" s="13"/>
      <c r="D394" s="13"/>
      <c r="E394" s="13"/>
      <c r="F394" s="13"/>
      <c r="G394" s="13"/>
      <c r="H394" s="13"/>
      <c r="I394" s="14"/>
    </row>
    <row r="395" spans="1:9" x14ac:dyDescent="0.3">
      <c r="A395" s="13"/>
      <c r="B395" s="13"/>
      <c r="C395" s="13"/>
      <c r="D395" s="13"/>
      <c r="E395" s="13"/>
      <c r="F395" s="13"/>
      <c r="G395" s="13"/>
      <c r="H395" s="13"/>
      <c r="I395" s="14"/>
    </row>
    <row r="396" spans="1:9" x14ac:dyDescent="0.3">
      <c r="A396" s="13"/>
      <c r="B396" s="13"/>
      <c r="C396" s="13"/>
      <c r="D396" s="13"/>
      <c r="E396" s="13"/>
      <c r="F396" s="13"/>
      <c r="G396" s="13"/>
      <c r="H396" s="13"/>
      <c r="I396" s="14"/>
    </row>
    <row r="397" spans="1:9" x14ac:dyDescent="0.3">
      <c r="A397" s="13"/>
      <c r="B397" s="13"/>
      <c r="C397" s="13"/>
      <c r="D397" s="13"/>
      <c r="E397" s="13"/>
      <c r="F397" s="13"/>
      <c r="G397" s="13"/>
      <c r="H397" s="13"/>
      <c r="I397" s="14"/>
    </row>
    <row r="398" spans="1:9" x14ac:dyDescent="0.3">
      <c r="A398" s="13"/>
      <c r="B398" s="13"/>
      <c r="C398" s="13"/>
      <c r="D398" s="13"/>
      <c r="E398" s="13"/>
      <c r="F398" s="13"/>
      <c r="G398" s="13"/>
      <c r="H398" s="13"/>
      <c r="I398" s="14"/>
    </row>
    <row r="399" spans="1:9" x14ac:dyDescent="0.3">
      <c r="A399" s="13"/>
      <c r="B399" s="13"/>
      <c r="C399" s="13"/>
      <c r="D399" s="13"/>
      <c r="E399" s="13"/>
      <c r="F399" s="13"/>
      <c r="G399" s="13"/>
      <c r="H399" s="13"/>
      <c r="I399" s="14"/>
    </row>
    <row r="400" spans="1:9" x14ac:dyDescent="0.3">
      <c r="A400" s="13"/>
      <c r="B400" s="13"/>
      <c r="C400" s="13"/>
      <c r="D400" s="13"/>
      <c r="E400" s="13"/>
      <c r="F400" s="13"/>
      <c r="G400" s="13"/>
      <c r="H400" s="13"/>
      <c r="I400" s="14"/>
    </row>
    <row r="401" spans="1:9" x14ac:dyDescent="0.3">
      <c r="A401" s="13"/>
      <c r="B401" s="13"/>
      <c r="C401" s="13"/>
      <c r="D401" s="13"/>
      <c r="E401" s="13"/>
      <c r="F401" s="13"/>
      <c r="G401" s="13"/>
      <c r="H401" s="13"/>
      <c r="I401" s="14"/>
    </row>
    <row r="402" spans="1:9" x14ac:dyDescent="0.3">
      <c r="A402" s="13"/>
      <c r="B402" s="13"/>
      <c r="C402" s="13"/>
      <c r="D402" s="13"/>
      <c r="E402" s="13"/>
      <c r="F402" s="13"/>
      <c r="G402" s="13"/>
      <c r="H402" s="13"/>
      <c r="I402" s="14"/>
    </row>
    <row r="403" spans="1:9" x14ac:dyDescent="0.3">
      <c r="A403" s="13"/>
      <c r="B403" s="13"/>
      <c r="C403" s="13"/>
      <c r="D403" s="13"/>
      <c r="E403" s="13"/>
      <c r="F403" s="13"/>
      <c r="G403" s="13"/>
      <c r="H403" s="13"/>
      <c r="I403" s="14"/>
    </row>
    <row r="404" spans="1:9" x14ac:dyDescent="0.3">
      <c r="A404" s="13"/>
      <c r="B404" s="13"/>
      <c r="C404" s="13"/>
      <c r="D404" s="13"/>
      <c r="E404" s="13"/>
      <c r="F404" s="13"/>
      <c r="G404" s="13"/>
      <c r="H404" s="13"/>
      <c r="I404" s="14"/>
    </row>
    <row r="405" spans="1:9" x14ac:dyDescent="0.3">
      <c r="A405" s="13"/>
      <c r="B405" s="13"/>
      <c r="C405" s="13"/>
      <c r="D405" s="13"/>
      <c r="E405" s="13"/>
      <c r="F405" s="13"/>
      <c r="G405" s="13"/>
      <c r="H405" s="13"/>
      <c r="I405" s="14"/>
    </row>
    <row r="406" spans="1:9" x14ac:dyDescent="0.3">
      <c r="A406" s="13"/>
      <c r="B406" s="13"/>
      <c r="C406" s="13"/>
      <c r="D406" s="13"/>
      <c r="E406" s="13"/>
      <c r="F406" s="13"/>
      <c r="G406" s="13"/>
      <c r="H406" s="13"/>
      <c r="I406" s="14"/>
    </row>
    <row r="407" spans="1:9" x14ac:dyDescent="0.3">
      <c r="A407" s="13"/>
      <c r="B407" s="13"/>
      <c r="C407" s="13"/>
      <c r="D407" s="13"/>
      <c r="E407" s="13"/>
      <c r="F407" s="13"/>
      <c r="G407" s="13"/>
      <c r="H407" s="13"/>
      <c r="I407" s="14"/>
    </row>
    <row r="408" spans="1:9" x14ac:dyDescent="0.3">
      <c r="A408" s="13"/>
      <c r="B408" s="13"/>
      <c r="C408" s="13"/>
      <c r="D408" s="13"/>
      <c r="E408" s="13"/>
      <c r="F408" s="13"/>
      <c r="G408" s="13"/>
      <c r="H408" s="13"/>
      <c r="I408" s="14"/>
    </row>
    <row r="409" spans="1:9" x14ac:dyDescent="0.3">
      <c r="A409" s="13"/>
      <c r="B409" s="13"/>
      <c r="C409" s="13"/>
      <c r="D409" s="13"/>
      <c r="E409" s="13"/>
      <c r="F409" s="13"/>
      <c r="G409" s="13"/>
      <c r="H409" s="13"/>
      <c r="I409" s="14"/>
    </row>
    <row r="410" spans="1:9" x14ac:dyDescent="0.3">
      <c r="A410" s="13"/>
      <c r="B410" s="13"/>
      <c r="C410" s="13"/>
      <c r="D410" s="13"/>
      <c r="E410" s="13"/>
      <c r="F410" s="13"/>
      <c r="G410" s="13"/>
      <c r="H410" s="13"/>
      <c r="I410" s="14"/>
    </row>
    <row r="411" spans="1:9" x14ac:dyDescent="0.3">
      <c r="A411" s="13"/>
      <c r="B411" s="13"/>
      <c r="C411" s="13"/>
      <c r="D411" s="13"/>
      <c r="E411" s="13"/>
      <c r="F411" s="13"/>
      <c r="G411" s="13"/>
      <c r="H411" s="13"/>
      <c r="I411" s="14"/>
    </row>
    <row r="412" spans="1:9" x14ac:dyDescent="0.3">
      <c r="A412" s="13"/>
      <c r="B412" s="13"/>
      <c r="C412" s="13"/>
      <c r="D412" s="13"/>
      <c r="E412" s="13"/>
      <c r="F412" s="13"/>
      <c r="G412" s="13"/>
      <c r="H412" s="13"/>
      <c r="I412" s="14"/>
    </row>
    <row r="413" spans="1:9" x14ac:dyDescent="0.3">
      <c r="A413" s="13"/>
      <c r="B413" s="13"/>
      <c r="C413" s="13"/>
      <c r="D413" s="13"/>
      <c r="E413" s="13"/>
      <c r="F413" s="13"/>
      <c r="G413" s="13"/>
      <c r="H413" s="13"/>
      <c r="I413" s="14"/>
    </row>
    <row r="414" spans="1:9" x14ac:dyDescent="0.3">
      <c r="A414" s="13"/>
      <c r="B414" s="13"/>
      <c r="C414" s="13"/>
      <c r="D414" s="13"/>
      <c r="E414" s="13"/>
      <c r="F414" s="13"/>
      <c r="G414" s="13"/>
      <c r="H414" s="13"/>
      <c r="I414" s="14"/>
    </row>
    <row r="415" spans="1:9" x14ac:dyDescent="0.3">
      <c r="A415" s="13"/>
      <c r="B415" s="13"/>
      <c r="C415" s="13"/>
      <c r="D415" s="13"/>
      <c r="E415" s="13"/>
      <c r="F415" s="13"/>
      <c r="G415" s="13"/>
      <c r="H415" s="13"/>
      <c r="I415" s="14"/>
    </row>
    <row r="416" spans="1:9" x14ac:dyDescent="0.3">
      <c r="A416" s="13"/>
      <c r="B416" s="13"/>
      <c r="C416" s="13"/>
      <c r="D416" s="13"/>
      <c r="E416" s="13"/>
      <c r="F416" s="13"/>
      <c r="G416" s="13"/>
      <c r="H416" s="13"/>
      <c r="I416" s="14"/>
    </row>
    <row r="417" spans="1:9" x14ac:dyDescent="0.3">
      <c r="A417" s="13"/>
      <c r="B417" s="13"/>
      <c r="C417" s="13"/>
      <c r="D417" s="13"/>
      <c r="E417" s="13"/>
      <c r="F417" s="13"/>
      <c r="G417" s="13"/>
      <c r="H417" s="13"/>
      <c r="I417" s="14"/>
    </row>
    <row r="418" spans="1:9" x14ac:dyDescent="0.3">
      <c r="A418" s="13"/>
      <c r="B418" s="13"/>
      <c r="C418" s="13"/>
      <c r="D418" s="13"/>
      <c r="E418" s="13"/>
      <c r="F418" s="13"/>
      <c r="G418" s="13"/>
      <c r="H418" s="13"/>
      <c r="I418" s="14"/>
    </row>
    <row r="419" spans="1:9" x14ac:dyDescent="0.3">
      <c r="A419" s="13"/>
      <c r="B419" s="13"/>
      <c r="C419" s="13"/>
      <c r="D419" s="13"/>
      <c r="E419" s="13"/>
      <c r="F419" s="13"/>
      <c r="G419" s="13"/>
      <c r="H419" s="13"/>
      <c r="I419" s="14"/>
    </row>
    <row r="420" spans="1:9" x14ac:dyDescent="0.3">
      <c r="A420" s="13"/>
      <c r="B420" s="13"/>
      <c r="C420" s="13"/>
      <c r="D420" s="13"/>
      <c r="E420" s="13"/>
      <c r="F420" s="13"/>
      <c r="G420" s="13"/>
      <c r="H420" s="13"/>
      <c r="I420" s="14"/>
    </row>
    <row r="421" spans="1:9" x14ac:dyDescent="0.3">
      <c r="A421" s="13"/>
      <c r="B421" s="13"/>
      <c r="C421" s="13"/>
      <c r="D421" s="13"/>
      <c r="E421" s="13"/>
      <c r="F421" s="13"/>
      <c r="G421" s="13"/>
      <c r="H421" s="13"/>
      <c r="I421" s="14"/>
    </row>
    <row r="422" spans="1:9" x14ac:dyDescent="0.3">
      <c r="A422" s="13"/>
      <c r="B422" s="13"/>
      <c r="C422" s="13"/>
      <c r="D422" s="13"/>
      <c r="E422" s="13"/>
      <c r="F422" s="13"/>
      <c r="G422" s="13"/>
      <c r="H422" s="13"/>
      <c r="I422" s="14"/>
    </row>
    <row r="423" spans="1:9" x14ac:dyDescent="0.3">
      <c r="A423" s="13"/>
      <c r="B423" s="13"/>
      <c r="C423" s="13"/>
      <c r="D423" s="13"/>
      <c r="E423" s="13"/>
      <c r="F423" s="13"/>
      <c r="G423" s="13"/>
      <c r="H423" s="13"/>
      <c r="I423" s="14"/>
    </row>
    <row r="424" spans="1:9" x14ac:dyDescent="0.3">
      <c r="A424" s="13"/>
      <c r="B424" s="13"/>
      <c r="C424" s="13"/>
      <c r="D424" s="13"/>
      <c r="E424" s="13"/>
      <c r="F424" s="13"/>
      <c r="G424" s="13"/>
      <c r="H424" s="13"/>
      <c r="I424" s="14"/>
    </row>
    <row r="425" spans="1:9" x14ac:dyDescent="0.3">
      <c r="A425" s="13"/>
      <c r="B425" s="13"/>
      <c r="C425" s="13"/>
      <c r="D425" s="13"/>
      <c r="E425" s="13"/>
      <c r="F425" s="13"/>
      <c r="G425" s="13"/>
      <c r="H425" s="13"/>
      <c r="I425" s="14"/>
    </row>
    <row r="426" spans="1:9" x14ac:dyDescent="0.3">
      <c r="A426" s="13"/>
      <c r="B426" s="13"/>
      <c r="C426" s="13"/>
      <c r="D426" s="13"/>
      <c r="E426" s="13"/>
      <c r="F426" s="13"/>
      <c r="G426" s="13"/>
      <c r="H426" s="13"/>
      <c r="I426" s="14"/>
    </row>
    <row r="427" spans="1:9" x14ac:dyDescent="0.3">
      <c r="A427" s="13"/>
      <c r="B427" s="13"/>
      <c r="C427" s="13"/>
      <c r="D427" s="13"/>
      <c r="E427" s="13"/>
      <c r="F427" s="13"/>
      <c r="G427" s="13"/>
      <c r="H427" s="13"/>
      <c r="I427" s="14"/>
    </row>
    <row r="428" spans="1:9" x14ac:dyDescent="0.3">
      <c r="A428" s="13"/>
      <c r="B428" s="13"/>
      <c r="C428" s="13"/>
      <c r="D428" s="13"/>
      <c r="E428" s="13"/>
      <c r="F428" s="13"/>
      <c r="G428" s="13"/>
      <c r="H428" s="13"/>
      <c r="I428" s="14"/>
    </row>
    <row r="429" spans="1:9" x14ac:dyDescent="0.3">
      <c r="A429" s="13"/>
      <c r="B429" s="13"/>
      <c r="C429" s="13"/>
      <c r="D429" s="13"/>
      <c r="E429" s="13"/>
      <c r="F429" s="13"/>
      <c r="G429" s="13"/>
      <c r="H429" s="13"/>
      <c r="I429" s="14"/>
    </row>
    <row r="430" spans="1:9" x14ac:dyDescent="0.3">
      <c r="A430" s="13"/>
      <c r="B430" s="13"/>
      <c r="C430" s="13"/>
      <c r="D430" s="13"/>
      <c r="E430" s="13"/>
      <c r="F430" s="13"/>
      <c r="G430" s="13"/>
      <c r="H430" s="13"/>
      <c r="I430" s="14"/>
    </row>
    <row r="431" spans="1:9" x14ac:dyDescent="0.3">
      <c r="A431" s="13"/>
      <c r="B431" s="13"/>
      <c r="C431" s="13"/>
      <c r="D431" s="13"/>
      <c r="E431" s="13"/>
      <c r="F431" s="13"/>
      <c r="G431" s="13"/>
      <c r="H431" s="13"/>
      <c r="I431" s="14"/>
    </row>
    <row r="432" spans="1:9" x14ac:dyDescent="0.3">
      <c r="A432" s="13"/>
      <c r="B432" s="13"/>
      <c r="C432" s="13"/>
      <c r="D432" s="13"/>
      <c r="E432" s="13"/>
      <c r="F432" s="13"/>
      <c r="G432" s="13"/>
      <c r="H432" s="13"/>
      <c r="I432" s="14"/>
    </row>
    <row r="433" spans="1:9" x14ac:dyDescent="0.3">
      <c r="A433" s="13"/>
      <c r="B433" s="13"/>
      <c r="C433" s="13"/>
      <c r="D433" s="13"/>
      <c r="E433" s="13"/>
      <c r="F433" s="13"/>
      <c r="G433" s="13"/>
      <c r="H433" s="13"/>
      <c r="I433" s="14"/>
    </row>
    <row r="434" spans="1:9" x14ac:dyDescent="0.3">
      <c r="A434" s="13"/>
      <c r="B434" s="13"/>
      <c r="C434" s="13"/>
      <c r="D434" s="13"/>
      <c r="E434" s="13"/>
      <c r="F434" s="13"/>
      <c r="G434" s="13"/>
      <c r="H434" s="13"/>
      <c r="I434" s="14"/>
    </row>
    <row r="435" spans="1:9" x14ac:dyDescent="0.3">
      <c r="A435" s="13"/>
      <c r="B435" s="13"/>
      <c r="C435" s="13"/>
      <c r="D435" s="13"/>
      <c r="E435" s="13"/>
      <c r="F435" s="13"/>
      <c r="G435" s="13"/>
      <c r="H435" s="13"/>
      <c r="I435" s="14"/>
    </row>
    <row r="436" spans="1:9" x14ac:dyDescent="0.3">
      <c r="A436" s="13"/>
      <c r="B436" s="13"/>
      <c r="C436" s="13"/>
      <c r="D436" s="13"/>
      <c r="E436" s="13"/>
      <c r="F436" s="13"/>
      <c r="G436" s="13"/>
      <c r="H436" s="13"/>
      <c r="I436" s="14"/>
    </row>
    <row r="437" spans="1:9" x14ac:dyDescent="0.3">
      <c r="A437" s="13"/>
      <c r="B437" s="13"/>
      <c r="C437" s="13"/>
      <c r="D437" s="13"/>
      <c r="E437" s="13"/>
      <c r="F437" s="13"/>
      <c r="G437" s="13"/>
      <c r="H437" s="13"/>
      <c r="I437" s="14"/>
    </row>
    <row r="438" spans="1:9" x14ac:dyDescent="0.3">
      <c r="A438" s="13"/>
      <c r="B438" s="13"/>
      <c r="C438" s="13"/>
      <c r="D438" s="13"/>
      <c r="E438" s="13"/>
      <c r="F438" s="13"/>
      <c r="G438" s="13"/>
      <c r="H438" s="13"/>
      <c r="I438" s="14"/>
    </row>
    <row r="439" spans="1:9" x14ac:dyDescent="0.3">
      <c r="A439" s="13"/>
      <c r="B439" s="13"/>
      <c r="C439" s="13"/>
      <c r="D439" s="13"/>
      <c r="E439" s="13"/>
      <c r="F439" s="13"/>
      <c r="G439" s="13"/>
      <c r="H439" s="13"/>
      <c r="I439" s="14"/>
    </row>
    <row r="440" spans="1:9" x14ac:dyDescent="0.3">
      <c r="A440" s="13"/>
      <c r="B440" s="13"/>
      <c r="C440" s="13"/>
      <c r="D440" s="13"/>
      <c r="E440" s="13"/>
      <c r="F440" s="13"/>
      <c r="G440" s="13"/>
      <c r="H440" s="13"/>
      <c r="I440" s="14"/>
    </row>
    <row r="441" spans="1:9" x14ac:dyDescent="0.3">
      <c r="A441" s="13"/>
      <c r="B441" s="13"/>
      <c r="C441" s="13"/>
      <c r="D441" s="13"/>
      <c r="E441" s="13"/>
      <c r="F441" s="13"/>
      <c r="G441" s="13"/>
      <c r="H441" s="13"/>
      <c r="I441" s="14"/>
    </row>
    <row r="442" spans="1:9" x14ac:dyDescent="0.3">
      <c r="A442" s="13"/>
      <c r="B442" s="13"/>
      <c r="C442" s="13"/>
      <c r="D442" s="13"/>
      <c r="E442" s="13"/>
      <c r="F442" s="13"/>
      <c r="G442" s="13"/>
      <c r="H442" s="13"/>
      <c r="I442" s="14"/>
    </row>
    <row r="443" spans="1:9" x14ac:dyDescent="0.3">
      <c r="A443" s="13"/>
      <c r="B443" s="13"/>
      <c r="C443" s="13"/>
      <c r="D443" s="13"/>
      <c r="E443" s="13"/>
      <c r="F443" s="13"/>
      <c r="G443" s="13"/>
      <c r="H443" s="13"/>
      <c r="I443" s="14"/>
    </row>
    <row r="444" spans="1:9" x14ac:dyDescent="0.3">
      <c r="A444" s="13"/>
      <c r="B444" s="13"/>
      <c r="C444" s="13"/>
      <c r="D444" s="13"/>
      <c r="E444" s="13"/>
      <c r="F444" s="13"/>
      <c r="G444" s="13"/>
      <c r="H444" s="13"/>
      <c r="I444" s="14"/>
    </row>
    <row r="445" spans="1:9" x14ac:dyDescent="0.3">
      <c r="A445" s="13"/>
      <c r="B445" s="13"/>
      <c r="C445" s="13"/>
      <c r="D445" s="13"/>
      <c r="E445" s="13"/>
      <c r="F445" s="13"/>
      <c r="G445" s="13"/>
      <c r="H445" s="13"/>
      <c r="I445" s="14"/>
    </row>
    <row r="446" spans="1:9" x14ac:dyDescent="0.3">
      <c r="A446" s="13"/>
      <c r="B446" s="13"/>
      <c r="C446" s="13"/>
      <c r="D446" s="13"/>
      <c r="E446" s="13"/>
      <c r="F446" s="13"/>
      <c r="G446" s="13"/>
      <c r="H446" s="13"/>
      <c r="I446" s="14"/>
    </row>
    <row r="447" spans="1:9" x14ac:dyDescent="0.3">
      <c r="A447" s="13"/>
      <c r="B447" s="13"/>
      <c r="C447" s="13"/>
      <c r="D447" s="13"/>
      <c r="E447" s="13"/>
      <c r="F447" s="13"/>
      <c r="G447" s="13"/>
      <c r="H447" s="13"/>
      <c r="I447" s="14"/>
    </row>
    <row r="448" spans="1:9" x14ac:dyDescent="0.3">
      <c r="A448" s="13"/>
      <c r="B448" s="13"/>
      <c r="C448" s="13"/>
      <c r="D448" s="13"/>
      <c r="E448" s="13"/>
      <c r="F448" s="13"/>
      <c r="G448" s="13"/>
      <c r="H448" s="13"/>
      <c r="I448" s="14"/>
    </row>
    <row r="449" spans="1:9" x14ac:dyDescent="0.3">
      <c r="A449" s="13"/>
      <c r="B449" s="13"/>
      <c r="C449" s="13"/>
      <c r="D449" s="13"/>
      <c r="E449" s="13"/>
      <c r="F449" s="13"/>
      <c r="G449" s="13"/>
      <c r="H449" s="13"/>
      <c r="I449" s="14"/>
    </row>
    <row r="450" spans="1:9" x14ac:dyDescent="0.3">
      <c r="A450" s="13"/>
      <c r="B450" s="13"/>
      <c r="C450" s="13"/>
      <c r="D450" s="13"/>
      <c r="E450" s="13"/>
      <c r="F450" s="13"/>
      <c r="G450" s="13"/>
      <c r="H450" s="13"/>
      <c r="I450" s="14"/>
    </row>
    <row r="451" spans="1:9" x14ac:dyDescent="0.3">
      <c r="A451" s="13"/>
      <c r="B451" s="13"/>
      <c r="C451" s="13"/>
      <c r="D451" s="13"/>
      <c r="E451" s="13"/>
      <c r="F451" s="13"/>
      <c r="G451" s="13"/>
      <c r="H451" s="13"/>
      <c r="I451" s="14"/>
    </row>
    <row r="452" spans="1:9" x14ac:dyDescent="0.3">
      <c r="A452" s="13"/>
      <c r="B452" s="13"/>
      <c r="C452" s="13"/>
      <c r="D452" s="13"/>
      <c r="E452" s="13"/>
      <c r="F452" s="13"/>
      <c r="G452" s="13"/>
      <c r="H452" s="13"/>
      <c r="I452" s="14"/>
    </row>
    <row r="453" spans="1:9" x14ac:dyDescent="0.3">
      <c r="A453" s="13"/>
      <c r="B453" s="13"/>
      <c r="C453" s="13"/>
      <c r="D453" s="13"/>
      <c r="E453" s="13"/>
      <c r="F453" s="13"/>
      <c r="G453" s="13"/>
      <c r="H453" s="13"/>
      <c r="I453" s="14"/>
    </row>
    <row r="454" spans="1:9" x14ac:dyDescent="0.3">
      <c r="A454" s="13"/>
      <c r="B454" s="13"/>
      <c r="C454" s="13"/>
      <c r="D454" s="13"/>
      <c r="E454" s="13"/>
      <c r="F454" s="13"/>
      <c r="G454" s="13"/>
      <c r="H454" s="13"/>
      <c r="I454" s="14"/>
    </row>
    <row r="455" spans="1:9" x14ac:dyDescent="0.3">
      <c r="A455" s="13"/>
      <c r="B455" s="13"/>
      <c r="C455" s="13"/>
      <c r="D455" s="13"/>
      <c r="E455" s="13"/>
      <c r="F455" s="13"/>
      <c r="G455" s="13"/>
      <c r="H455" s="13"/>
      <c r="I455" s="14"/>
    </row>
    <row r="456" spans="1:9" x14ac:dyDescent="0.3">
      <c r="A456" s="13"/>
      <c r="B456" s="13"/>
      <c r="C456" s="13"/>
      <c r="D456" s="13"/>
      <c r="E456" s="13"/>
      <c r="F456" s="13"/>
      <c r="G456" s="13"/>
      <c r="H456" s="13"/>
      <c r="I456" s="14"/>
    </row>
    <row r="457" spans="1:9" x14ac:dyDescent="0.3">
      <c r="A457" s="13"/>
      <c r="B457" s="13"/>
      <c r="C457" s="13"/>
      <c r="D457" s="13"/>
      <c r="E457" s="13"/>
      <c r="F457" s="13"/>
      <c r="G457" s="13"/>
      <c r="H457" s="13"/>
      <c r="I457" s="14"/>
    </row>
    <row r="458" spans="1:9" x14ac:dyDescent="0.3">
      <c r="A458" s="13"/>
      <c r="B458" s="13"/>
      <c r="C458" s="13"/>
      <c r="D458" s="13"/>
      <c r="E458" s="13"/>
      <c r="F458" s="13"/>
      <c r="G458" s="13"/>
      <c r="H458" s="13"/>
      <c r="I458" s="14"/>
    </row>
    <row r="459" spans="1:9" x14ac:dyDescent="0.3">
      <c r="A459" s="13"/>
      <c r="B459" s="13"/>
      <c r="C459" s="13"/>
      <c r="D459" s="13"/>
      <c r="E459" s="13"/>
      <c r="F459" s="13"/>
      <c r="G459" s="13"/>
      <c r="H459" s="13"/>
      <c r="I459" s="14"/>
    </row>
    <row r="460" spans="1:9" x14ac:dyDescent="0.3">
      <c r="A460" s="13"/>
      <c r="B460" s="13"/>
      <c r="C460" s="13"/>
      <c r="D460" s="13"/>
      <c r="E460" s="13"/>
      <c r="F460" s="13"/>
      <c r="G460" s="13"/>
      <c r="H460" s="13"/>
      <c r="I460" s="14"/>
    </row>
    <row r="461" spans="1:9" x14ac:dyDescent="0.3">
      <c r="A461" s="13"/>
      <c r="B461" s="13"/>
      <c r="C461" s="13"/>
      <c r="D461" s="13"/>
      <c r="E461" s="13"/>
      <c r="F461" s="13"/>
      <c r="G461" s="13"/>
      <c r="H461" s="13"/>
      <c r="I461" s="14"/>
    </row>
    <row r="462" spans="1:9" x14ac:dyDescent="0.3">
      <c r="A462" s="13"/>
      <c r="B462" s="13"/>
      <c r="C462" s="13"/>
      <c r="D462" s="13"/>
      <c r="E462" s="13"/>
      <c r="F462" s="13"/>
      <c r="G462" s="13"/>
      <c r="H462" s="13"/>
      <c r="I462" s="14"/>
    </row>
    <row r="463" spans="1:9" x14ac:dyDescent="0.3">
      <c r="A463" s="13"/>
      <c r="B463" s="13"/>
      <c r="C463" s="13"/>
      <c r="D463" s="13"/>
      <c r="E463" s="13"/>
      <c r="F463" s="13"/>
      <c r="G463" s="13"/>
      <c r="H463" s="13"/>
      <c r="I463" s="14"/>
    </row>
    <row r="464" spans="1:9" x14ac:dyDescent="0.3">
      <c r="A464" s="13"/>
      <c r="B464" s="13"/>
      <c r="C464" s="13"/>
      <c r="D464" s="13"/>
      <c r="E464" s="13"/>
      <c r="F464" s="13"/>
      <c r="G464" s="13"/>
      <c r="H464" s="13"/>
      <c r="I464" s="14"/>
    </row>
    <row r="465" spans="1:9" x14ac:dyDescent="0.3">
      <c r="A465" s="13"/>
      <c r="B465" s="13"/>
      <c r="C465" s="13"/>
      <c r="D465" s="13"/>
      <c r="E465" s="13"/>
      <c r="F465" s="13"/>
      <c r="G465" s="13"/>
      <c r="H465" s="13"/>
      <c r="I465" s="14"/>
    </row>
    <row r="466" spans="1:9" x14ac:dyDescent="0.3">
      <c r="A466" s="13"/>
      <c r="B466" s="13"/>
      <c r="C466" s="13"/>
      <c r="D466" s="13"/>
      <c r="E466" s="13"/>
      <c r="F466" s="13"/>
      <c r="G466" s="13"/>
      <c r="H466" s="13"/>
      <c r="I466" s="14"/>
    </row>
    <row r="467" spans="1:9" x14ac:dyDescent="0.3">
      <c r="A467" s="13"/>
      <c r="B467" s="13"/>
      <c r="C467" s="13"/>
      <c r="D467" s="13"/>
      <c r="E467" s="13"/>
      <c r="F467" s="13"/>
      <c r="G467" s="13"/>
      <c r="H467" s="13"/>
      <c r="I467" s="14"/>
    </row>
    <row r="468" spans="1:9" x14ac:dyDescent="0.3">
      <c r="A468" s="13"/>
      <c r="B468" s="13"/>
      <c r="C468" s="13"/>
      <c r="D468" s="13"/>
      <c r="E468" s="13"/>
      <c r="F468" s="13"/>
      <c r="G468" s="13"/>
      <c r="H468" s="13"/>
      <c r="I468" s="14"/>
    </row>
    <row r="469" spans="1:9" x14ac:dyDescent="0.3">
      <c r="A469" s="13"/>
      <c r="B469" s="13"/>
      <c r="C469" s="13"/>
      <c r="D469" s="13"/>
      <c r="E469" s="13"/>
      <c r="F469" s="13"/>
      <c r="G469" s="13"/>
      <c r="H469" s="13"/>
      <c r="I469" s="14"/>
    </row>
    <row r="470" spans="1:9" x14ac:dyDescent="0.3">
      <c r="A470" s="13"/>
      <c r="B470" s="13"/>
      <c r="C470" s="13"/>
      <c r="D470" s="13"/>
      <c r="E470" s="13"/>
      <c r="F470" s="13"/>
      <c r="G470" s="13"/>
      <c r="H470" s="13"/>
      <c r="I470" s="14"/>
    </row>
    <row r="471" spans="1:9" x14ac:dyDescent="0.3">
      <c r="A471" s="13"/>
      <c r="B471" s="13"/>
      <c r="C471" s="13"/>
      <c r="D471" s="13"/>
      <c r="E471" s="13"/>
      <c r="F471" s="13"/>
      <c r="G471" s="13"/>
      <c r="H471" s="13"/>
      <c r="I471" s="14"/>
    </row>
    <row r="472" spans="1:9" x14ac:dyDescent="0.3">
      <c r="A472" s="13"/>
      <c r="B472" s="13"/>
      <c r="C472" s="13"/>
      <c r="D472" s="13"/>
      <c r="E472" s="13"/>
      <c r="F472" s="13"/>
      <c r="G472" s="13"/>
      <c r="H472" s="13"/>
      <c r="I472" s="14"/>
    </row>
    <row r="473" spans="1:9" x14ac:dyDescent="0.3">
      <c r="A473" s="13"/>
      <c r="B473" s="13"/>
      <c r="C473" s="13"/>
      <c r="D473" s="13"/>
      <c r="E473" s="13"/>
      <c r="F473" s="13"/>
      <c r="G473" s="13"/>
      <c r="H473" s="13"/>
      <c r="I473" s="14"/>
    </row>
    <row r="474" spans="1:9" x14ac:dyDescent="0.3">
      <c r="A474" s="13"/>
      <c r="B474" s="13"/>
      <c r="C474" s="13"/>
      <c r="D474" s="13"/>
      <c r="E474" s="13"/>
      <c r="F474" s="13"/>
      <c r="G474" s="13"/>
      <c r="H474" s="13"/>
      <c r="I474" s="14"/>
    </row>
    <row r="475" spans="1:9" x14ac:dyDescent="0.3">
      <c r="A475" s="13"/>
      <c r="B475" s="13"/>
      <c r="C475" s="13"/>
      <c r="D475" s="13"/>
      <c r="E475" s="13"/>
      <c r="F475" s="13"/>
      <c r="G475" s="13"/>
      <c r="H475" s="13"/>
      <c r="I475" s="14"/>
    </row>
    <row r="476" spans="1:9" x14ac:dyDescent="0.3">
      <c r="A476" s="13"/>
      <c r="B476" s="13"/>
      <c r="C476" s="13"/>
      <c r="D476" s="13"/>
      <c r="E476" s="13"/>
      <c r="F476" s="13"/>
      <c r="G476" s="13"/>
      <c r="H476" s="13"/>
      <c r="I476" s="14"/>
    </row>
    <row r="477" spans="1:9" x14ac:dyDescent="0.3">
      <c r="A477" s="13"/>
      <c r="B477" s="13"/>
      <c r="C477" s="13"/>
      <c r="D477" s="13"/>
      <c r="E477" s="13"/>
      <c r="F477" s="13"/>
      <c r="G477" s="13"/>
      <c r="H477" s="13"/>
      <c r="I477" s="14"/>
    </row>
    <row r="478" spans="1:9" x14ac:dyDescent="0.3">
      <c r="A478" s="13"/>
      <c r="B478" s="13"/>
      <c r="C478" s="13"/>
      <c r="D478" s="13"/>
      <c r="E478" s="13"/>
      <c r="F478" s="13"/>
      <c r="G478" s="13"/>
      <c r="H478" s="13"/>
      <c r="I478" s="14"/>
    </row>
    <row r="479" spans="1:9" x14ac:dyDescent="0.3">
      <c r="A479" s="13"/>
      <c r="B479" s="13"/>
      <c r="C479" s="13"/>
      <c r="D479" s="13"/>
      <c r="E479" s="13"/>
      <c r="F479" s="13"/>
      <c r="G479" s="13"/>
      <c r="H479" s="13"/>
      <c r="I479" s="14"/>
    </row>
    <row r="480" spans="1:9" x14ac:dyDescent="0.3">
      <c r="A480" s="13"/>
      <c r="B480" s="13"/>
      <c r="C480" s="13"/>
      <c r="D480" s="13"/>
      <c r="E480" s="13"/>
      <c r="F480" s="13"/>
      <c r="G480" s="13"/>
      <c r="H480" s="13"/>
      <c r="I480" s="14"/>
    </row>
    <row r="481" spans="1:9" x14ac:dyDescent="0.3">
      <c r="A481" s="13"/>
      <c r="B481" s="13"/>
      <c r="C481" s="13"/>
      <c r="D481" s="13"/>
      <c r="E481" s="13"/>
      <c r="F481" s="13"/>
      <c r="G481" s="13"/>
      <c r="H481" s="13"/>
      <c r="I481" s="14"/>
    </row>
    <row r="482" spans="1:9" x14ac:dyDescent="0.3">
      <c r="A482" s="13"/>
      <c r="B482" s="13"/>
      <c r="C482" s="13"/>
      <c r="D482" s="13"/>
      <c r="E482" s="13"/>
      <c r="F482" s="13"/>
      <c r="G482" s="13"/>
      <c r="H482" s="13"/>
      <c r="I482" s="14"/>
    </row>
    <row r="483" spans="1:9" x14ac:dyDescent="0.3">
      <c r="A483" s="13"/>
      <c r="B483" s="13"/>
      <c r="C483" s="13"/>
      <c r="D483" s="13"/>
      <c r="E483" s="13"/>
      <c r="F483" s="13"/>
      <c r="G483" s="13"/>
      <c r="H483" s="13"/>
      <c r="I483" s="14"/>
    </row>
    <row r="484" spans="1:9" x14ac:dyDescent="0.3">
      <c r="A484" s="13"/>
      <c r="B484" s="13"/>
      <c r="C484" s="13"/>
      <c r="D484" s="13"/>
      <c r="E484" s="13"/>
      <c r="F484" s="13"/>
      <c r="G484" s="13"/>
      <c r="H484" s="13"/>
      <c r="I484" s="14"/>
    </row>
    <row r="485" spans="1:9" x14ac:dyDescent="0.3">
      <c r="A485" s="13"/>
      <c r="B485" s="13"/>
      <c r="C485" s="13"/>
      <c r="D485" s="13"/>
      <c r="E485" s="13"/>
      <c r="F485" s="13"/>
      <c r="G485" s="13"/>
      <c r="H485" s="13"/>
      <c r="I485" s="14"/>
    </row>
    <row r="486" spans="1:9" x14ac:dyDescent="0.3">
      <c r="A486" s="13"/>
      <c r="B486" s="13"/>
      <c r="C486" s="13"/>
      <c r="D486" s="13"/>
      <c r="E486" s="13"/>
      <c r="F486" s="13"/>
      <c r="G486" s="13"/>
      <c r="H486" s="13"/>
      <c r="I486" s="14"/>
    </row>
    <row r="487" spans="1:9" x14ac:dyDescent="0.3">
      <c r="A487" s="13"/>
      <c r="B487" s="13"/>
      <c r="C487" s="13"/>
      <c r="D487" s="13"/>
      <c r="E487" s="13"/>
      <c r="F487" s="13"/>
      <c r="G487" s="13"/>
      <c r="H487" s="13"/>
      <c r="I487" s="14"/>
    </row>
    <row r="488" spans="1:9" x14ac:dyDescent="0.3">
      <c r="A488" s="13"/>
      <c r="B488" s="13"/>
      <c r="C488" s="13"/>
      <c r="D488" s="13"/>
      <c r="E488" s="13"/>
      <c r="F488" s="13"/>
      <c r="G488" s="13"/>
      <c r="H488" s="13"/>
      <c r="I488" s="14"/>
    </row>
    <row r="489" spans="1:9" x14ac:dyDescent="0.3">
      <c r="A489" s="13"/>
      <c r="B489" s="13"/>
      <c r="C489" s="13"/>
      <c r="D489" s="13"/>
      <c r="E489" s="13"/>
      <c r="F489" s="13"/>
      <c r="G489" s="13"/>
      <c r="H489" s="13"/>
      <c r="I489" s="14"/>
    </row>
    <row r="490" spans="1:9" x14ac:dyDescent="0.3">
      <c r="A490" s="13"/>
      <c r="B490" s="13"/>
      <c r="C490" s="13"/>
      <c r="D490" s="13"/>
      <c r="E490" s="13"/>
      <c r="F490" s="13"/>
      <c r="G490" s="13"/>
      <c r="H490" s="13"/>
      <c r="I490" s="14"/>
    </row>
    <row r="491" spans="1:9" x14ac:dyDescent="0.3">
      <c r="A491" s="13"/>
      <c r="B491" s="13"/>
      <c r="C491" s="13"/>
      <c r="D491" s="13"/>
      <c r="E491" s="13"/>
      <c r="F491" s="13"/>
      <c r="G491" s="13"/>
      <c r="H491" s="13"/>
      <c r="I491" s="14"/>
    </row>
    <row r="492" spans="1:9" x14ac:dyDescent="0.3">
      <c r="A492" s="13"/>
      <c r="B492" s="13"/>
      <c r="C492" s="13"/>
      <c r="D492" s="13"/>
      <c r="E492" s="13"/>
      <c r="F492" s="13"/>
      <c r="G492" s="13"/>
      <c r="H492" s="13"/>
      <c r="I492" s="14"/>
    </row>
    <row r="493" spans="1:9" x14ac:dyDescent="0.3">
      <c r="A493" s="13"/>
      <c r="B493" s="13"/>
      <c r="C493" s="13"/>
      <c r="D493" s="13"/>
      <c r="E493" s="13"/>
      <c r="F493" s="13"/>
      <c r="G493" s="13"/>
      <c r="H493" s="13"/>
      <c r="I493" s="14"/>
    </row>
    <row r="494" spans="1:9" x14ac:dyDescent="0.3">
      <c r="A494" s="13"/>
      <c r="B494" s="13"/>
      <c r="C494" s="13"/>
      <c r="D494" s="13"/>
      <c r="E494" s="13"/>
      <c r="F494" s="13"/>
      <c r="G494" s="13"/>
      <c r="H494" s="13"/>
      <c r="I494" s="14"/>
    </row>
    <row r="495" spans="1:9" x14ac:dyDescent="0.3">
      <c r="A495" s="13"/>
      <c r="B495" s="13"/>
      <c r="C495" s="13"/>
      <c r="D495" s="13"/>
      <c r="E495" s="13"/>
      <c r="F495" s="13"/>
      <c r="G495" s="13"/>
      <c r="H495" s="13"/>
      <c r="I495" s="14"/>
    </row>
    <row r="496" spans="1:9" x14ac:dyDescent="0.3">
      <c r="A496" s="13"/>
      <c r="B496" s="13"/>
      <c r="C496" s="13"/>
      <c r="D496" s="13"/>
      <c r="E496" s="13"/>
      <c r="F496" s="13"/>
      <c r="G496" s="13"/>
      <c r="H496" s="13"/>
      <c r="I496" s="14"/>
    </row>
    <row r="497" spans="1:9" x14ac:dyDescent="0.3">
      <c r="A497" s="13"/>
      <c r="B497" s="13"/>
      <c r="C497" s="13"/>
      <c r="D497" s="13"/>
      <c r="E497" s="13"/>
      <c r="F497" s="13"/>
      <c r="G497" s="13"/>
      <c r="H497" s="13"/>
      <c r="I497" s="14"/>
    </row>
    <row r="498" spans="1:9" x14ac:dyDescent="0.3">
      <c r="A498" s="13"/>
      <c r="B498" s="13"/>
      <c r="C498" s="13"/>
      <c r="D498" s="13"/>
      <c r="E498" s="13"/>
      <c r="F498" s="13"/>
      <c r="G498" s="13"/>
      <c r="H498" s="13"/>
      <c r="I498" s="14"/>
    </row>
    <row r="499" spans="1:9" x14ac:dyDescent="0.3">
      <c r="A499" s="13"/>
      <c r="B499" s="13"/>
      <c r="C499" s="13"/>
      <c r="D499" s="13"/>
      <c r="E499" s="13"/>
      <c r="F499" s="13"/>
      <c r="G499" s="13"/>
      <c r="H499" s="13"/>
      <c r="I499" s="14"/>
    </row>
    <row r="500" spans="1:9" x14ac:dyDescent="0.3">
      <c r="A500" s="13"/>
      <c r="B500" s="13"/>
      <c r="C500" s="13"/>
      <c r="D500" s="13"/>
      <c r="E500" s="13"/>
      <c r="F500" s="13"/>
      <c r="G500" s="13"/>
      <c r="H500" s="13"/>
      <c r="I500" s="14"/>
    </row>
    <row r="501" spans="1:9" x14ac:dyDescent="0.3">
      <c r="A501" s="13"/>
      <c r="B501" s="13"/>
      <c r="C501" s="13"/>
      <c r="D501" s="13"/>
      <c r="E501" s="13"/>
      <c r="F501" s="13"/>
      <c r="G501" s="13"/>
      <c r="H501" s="13"/>
      <c r="I501" s="14"/>
    </row>
    <row r="502" spans="1:9" x14ac:dyDescent="0.3">
      <c r="A502" s="13"/>
      <c r="B502" s="13"/>
      <c r="C502" s="13"/>
      <c r="D502" s="13"/>
      <c r="E502" s="13"/>
      <c r="F502" s="13"/>
      <c r="G502" s="13"/>
      <c r="H502" s="13"/>
      <c r="I502" s="14"/>
    </row>
    <row r="503" spans="1:9" x14ac:dyDescent="0.3">
      <c r="A503" s="13"/>
      <c r="B503" s="13"/>
      <c r="C503" s="13"/>
      <c r="D503" s="13"/>
      <c r="E503" s="13"/>
      <c r="F503" s="13"/>
      <c r="G503" s="13"/>
      <c r="H503" s="13"/>
      <c r="I503" s="14"/>
    </row>
    <row r="504" spans="1:9" x14ac:dyDescent="0.3">
      <c r="A504" s="13"/>
      <c r="B504" s="13"/>
      <c r="C504" s="13"/>
      <c r="D504" s="13"/>
      <c r="E504" s="13"/>
      <c r="F504" s="13"/>
      <c r="G504" s="13"/>
      <c r="H504" s="13"/>
      <c r="I504" s="14"/>
    </row>
    <row r="505" spans="1:9" x14ac:dyDescent="0.3">
      <c r="A505" s="13"/>
      <c r="B505" s="13"/>
      <c r="C505" s="13"/>
      <c r="D505" s="13"/>
      <c r="E505" s="13"/>
      <c r="F505" s="13"/>
      <c r="G505" s="13"/>
      <c r="H505" s="13"/>
      <c r="I505" s="14"/>
    </row>
    <row r="506" spans="1:9" x14ac:dyDescent="0.3">
      <c r="A506" s="13"/>
      <c r="B506" s="13"/>
      <c r="C506" s="13"/>
      <c r="D506" s="13"/>
      <c r="E506" s="13"/>
      <c r="F506" s="13"/>
      <c r="G506" s="13"/>
      <c r="H506" s="13"/>
      <c r="I506" s="14"/>
    </row>
    <row r="507" spans="1:9" x14ac:dyDescent="0.3">
      <c r="A507" s="13"/>
      <c r="B507" s="13"/>
      <c r="C507" s="13"/>
      <c r="D507" s="13"/>
      <c r="E507" s="13"/>
      <c r="F507" s="13"/>
      <c r="G507" s="13"/>
      <c r="H507" s="13"/>
      <c r="I507" s="14"/>
    </row>
    <row r="508" spans="1:9" x14ac:dyDescent="0.3">
      <c r="A508" s="13"/>
      <c r="B508" s="13"/>
      <c r="C508" s="13"/>
      <c r="D508" s="13"/>
      <c r="E508" s="13"/>
      <c r="F508" s="13"/>
      <c r="G508" s="13"/>
      <c r="H508" s="13"/>
      <c r="I508" s="14"/>
    </row>
    <row r="509" spans="1:9" x14ac:dyDescent="0.3">
      <c r="A509" s="13"/>
      <c r="B509" s="13"/>
      <c r="C509" s="13"/>
      <c r="D509" s="13"/>
      <c r="E509" s="13"/>
      <c r="F509" s="13"/>
      <c r="G509" s="13"/>
      <c r="H509" s="13"/>
      <c r="I509" s="14"/>
    </row>
    <row r="510" spans="1:9" x14ac:dyDescent="0.3">
      <c r="A510" s="13"/>
      <c r="B510" s="13"/>
      <c r="C510" s="13"/>
      <c r="D510" s="13"/>
      <c r="E510" s="13"/>
      <c r="F510" s="13"/>
      <c r="G510" s="13"/>
      <c r="H510" s="13"/>
      <c r="I510" s="14"/>
    </row>
    <row r="511" spans="1:9" x14ac:dyDescent="0.3">
      <c r="A511" s="13"/>
      <c r="B511" s="13"/>
      <c r="C511" s="13"/>
      <c r="D511" s="13"/>
      <c r="E511" s="13"/>
      <c r="F511" s="13"/>
      <c r="G511" s="13"/>
      <c r="H511" s="13"/>
      <c r="I511" s="14"/>
    </row>
    <row r="512" spans="1:9" x14ac:dyDescent="0.3">
      <c r="A512" s="13"/>
      <c r="B512" s="13"/>
      <c r="C512" s="13"/>
      <c r="D512" s="13"/>
      <c r="E512" s="13"/>
      <c r="F512" s="13"/>
      <c r="G512" s="13"/>
      <c r="H512" s="13"/>
      <c r="I512" s="14"/>
    </row>
    <row r="513" spans="1:9" x14ac:dyDescent="0.3">
      <c r="A513" s="13"/>
      <c r="B513" s="13"/>
      <c r="C513" s="13"/>
      <c r="D513" s="13"/>
      <c r="E513" s="13"/>
      <c r="F513" s="13"/>
      <c r="G513" s="13"/>
      <c r="H513" s="13"/>
      <c r="I513" s="14"/>
    </row>
    <row r="514" spans="1:9" x14ac:dyDescent="0.3">
      <c r="A514" s="13"/>
      <c r="B514" s="13"/>
      <c r="C514" s="13"/>
      <c r="D514" s="13"/>
      <c r="E514" s="13"/>
      <c r="F514" s="13"/>
      <c r="G514" s="13"/>
      <c r="H514" s="13"/>
      <c r="I514" s="14"/>
    </row>
    <row r="515" spans="1:9" x14ac:dyDescent="0.3">
      <c r="A515" s="13"/>
      <c r="B515" s="13"/>
      <c r="C515" s="13"/>
      <c r="D515" s="13"/>
      <c r="E515" s="13"/>
      <c r="F515" s="13"/>
      <c r="G515" s="13"/>
      <c r="H515" s="13"/>
      <c r="I515" s="14"/>
    </row>
    <row r="516" spans="1:9" x14ac:dyDescent="0.3">
      <c r="A516" s="13"/>
      <c r="B516" s="13"/>
      <c r="C516" s="13"/>
      <c r="D516" s="13"/>
      <c r="E516" s="13"/>
      <c r="F516" s="13"/>
      <c r="G516" s="13"/>
      <c r="H516" s="13"/>
      <c r="I516" s="14"/>
    </row>
    <row r="517" spans="1:9" x14ac:dyDescent="0.3">
      <c r="A517" s="13"/>
      <c r="B517" s="13"/>
      <c r="C517" s="13"/>
      <c r="D517" s="13"/>
      <c r="E517" s="13"/>
      <c r="F517" s="13"/>
      <c r="G517" s="13"/>
      <c r="H517" s="13"/>
      <c r="I517" s="14"/>
    </row>
    <row r="518" spans="1:9" x14ac:dyDescent="0.3">
      <c r="A518" s="13"/>
      <c r="B518" s="13"/>
      <c r="C518" s="13"/>
      <c r="D518" s="13"/>
      <c r="E518" s="13"/>
      <c r="F518" s="13"/>
      <c r="G518" s="13"/>
      <c r="H518" s="13"/>
      <c r="I518" s="14"/>
    </row>
    <row r="519" spans="1:9" x14ac:dyDescent="0.3">
      <c r="A519" s="13"/>
      <c r="B519" s="13"/>
      <c r="C519" s="13"/>
      <c r="D519" s="13"/>
      <c r="E519" s="13"/>
      <c r="F519" s="13"/>
      <c r="G519" s="13"/>
      <c r="H519" s="13"/>
      <c r="I519" s="14"/>
    </row>
    <row r="520" spans="1:9" x14ac:dyDescent="0.3">
      <c r="A520" s="13"/>
      <c r="B520" s="13"/>
      <c r="C520" s="13"/>
      <c r="D520" s="13"/>
      <c r="E520" s="13"/>
      <c r="F520" s="13"/>
      <c r="G520" s="13"/>
      <c r="H520" s="13"/>
      <c r="I520" s="14"/>
    </row>
    <row r="521" spans="1:9" x14ac:dyDescent="0.3">
      <c r="A521" s="13"/>
      <c r="B521" s="13"/>
      <c r="C521" s="13"/>
      <c r="D521" s="13"/>
      <c r="E521" s="13"/>
      <c r="F521" s="13"/>
      <c r="G521" s="13"/>
      <c r="H521" s="13"/>
      <c r="I521" s="14"/>
    </row>
    <row r="522" spans="1:9" x14ac:dyDescent="0.3">
      <c r="A522" s="13"/>
      <c r="B522" s="13"/>
      <c r="C522" s="13"/>
      <c r="D522" s="13"/>
      <c r="E522" s="13"/>
      <c r="F522" s="13"/>
      <c r="G522" s="13"/>
      <c r="H522" s="13"/>
      <c r="I522" s="14"/>
    </row>
    <row r="523" spans="1:9" x14ac:dyDescent="0.3">
      <c r="A523" s="13"/>
      <c r="B523" s="13"/>
      <c r="C523" s="13"/>
      <c r="D523" s="13"/>
      <c r="E523" s="13"/>
      <c r="F523" s="13"/>
      <c r="G523" s="13"/>
      <c r="H523" s="13"/>
      <c r="I523" s="14"/>
    </row>
    <row r="524" spans="1:9" x14ac:dyDescent="0.3">
      <c r="A524" s="13"/>
      <c r="B524" s="13"/>
      <c r="C524" s="13"/>
      <c r="D524" s="13"/>
      <c r="E524" s="13"/>
      <c r="F524" s="13"/>
      <c r="G524" s="13"/>
      <c r="H524" s="13"/>
      <c r="I524" s="14"/>
    </row>
    <row r="525" spans="1:9" x14ac:dyDescent="0.3">
      <c r="A525" s="13"/>
      <c r="B525" s="13"/>
      <c r="C525" s="13"/>
      <c r="D525" s="13"/>
      <c r="E525" s="13"/>
      <c r="F525" s="13"/>
      <c r="G525" s="13"/>
      <c r="H525" s="13"/>
      <c r="I525" s="14"/>
    </row>
    <row r="526" spans="1:9" x14ac:dyDescent="0.3">
      <c r="A526" s="13"/>
      <c r="B526" s="13"/>
      <c r="C526" s="13"/>
      <c r="D526" s="13"/>
      <c r="E526" s="13"/>
      <c r="F526" s="13"/>
      <c r="G526" s="13"/>
      <c r="H526" s="13"/>
      <c r="I526" s="14"/>
    </row>
    <row r="527" spans="1:9" x14ac:dyDescent="0.3">
      <c r="A527" s="13"/>
      <c r="B527" s="13"/>
      <c r="C527" s="13"/>
      <c r="D527" s="13"/>
      <c r="E527" s="13"/>
      <c r="F527" s="13"/>
      <c r="G527" s="13"/>
      <c r="H527" s="13"/>
      <c r="I527" s="14"/>
    </row>
    <row r="528" spans="1:9" x14ac:dyDescent="0.3">
      <c r="A528" s="13"/>
      <c r="B528" s="13"/>
      <c r="C528" s="13"/>
      <c r="D528" s="13"/>
      <c r="E528" s="13"/>
      <c r="F528" s="13"/>
      <c r="G528" s="13"/>
      <c r="H528" s="13"/>
      <c r="I528" s="14"/>
    </row>
    <row r="529" spans="1:9" x14ac:dyDescent="0.3">
      <c r="A529" s="13"/>
      <c r="B529" s="13"/>
      <c r="C529" s="13"/>
      <c r="D529" s="13"/>
      <c r="E529" s="13"/>
      <c r="F529" s="13"/>
      <c r="G529" s="13"/>
      <c r="H529" s="13"/>
      <c r="I529" s="14"/>
    </row>
    <row r="530" spans="1:9" x14ac:dyDescent="0.3">
      <c r="A530" s="13"/>
      <c r="B530" s="13"/>
      <c r="C530" s="13"/>
      <c r="D530" s="13"/>
      <c r="E530" s="13"/>
      <c r="F530" s="13"/>
      <c r="G530" s="13"/>
      <c r="H530" s="13"/>
      <c r="I530" s="14"/>
    </row>
    <row r="531" spans="1:9" x14ac:dyDescent="0.3">
      <c r="A531" s="13"/>
      <c r="B531" s="13"/>
      <c r="C531" s="13"/>
      <c r="D531" s="13"/>
      <c r="E531" s="13"/>
      <c r="F531" s="13"/>
      <c r="G531" s="13"/>
      <c r="H531" s="13"/>
      <c r="I531" s="14"/>
    </row>
    <row r="532" spans="1:9" x14ac:dyDescent="0.3">
      <c r="A532" s="13"/>
      <c r="B532" s="13"/>
      <c r="C532" s="13"/>
      <c r="D532" s="13"/>
      <c r="E532" s="13"/>
      <c r="F532" s="13"/>
      <c r="G532" s="13"/>
      <c r="H532" s="13"/>
      <c r="I532" s="14"/>
    </row>
    <row r="533" spans="1:9" x14ac:dyDescent="0.3">
      <c r="A533" s="13"/>
      <c r="B533" s="13"/>
      <c r="C533" s="13"/>
      <c r="D533" s="13"/>
      <c r="E533" s="13"/>
      <c r="F533" s="13"/>
      <c r="G533" s="13"/>
      <c r="H533" s="13"/>
      <c r="I533" s="14"/>
    </row>
    <row r="534" spans="1:9" x14ac:dyDescent="0.3">
      <c r="A534" s="13"/>
      <c r="B534" s="13"/>
      <c r="C534" s="13"/>
      <c r="D534" s="13"/>
      <c r="E534" s="13"/>
      <c r="F534" s="13"/>
      <c r="G534" s="13"/>
      <c r="H534" s="13"/>
      <c r="I534" s="14"/>
    </row>
    <row r="535" spans="1:9" x14ac:dyDescent="0.3">
      <c r="A535" s="13"/>
      <c r="B535" s="13"/>
      <c r="C535" s="13"/>
      <c r="D535" s="13"/>
      <c r="E535" s="13"/>
      <c r="F535" s="13"/>
      <c r="G535" s="13"/>
      <c r="H535" s="13"/>
      <c r="I535" s="14"/>
    </row>
    <row r="536" spans="1:9" x14ac:dyDescent="0.3">
      <c r="A536" s="13"/>
      <c r="B536" s="13"/>
      <c r="C536" s="13"/>
      <c r="D536" s="13"/>
      <c r="E536" s="13"/>
      <c r="F536" s="13"/>
      <c r="G536" s="13"/>
      <c r="H536" s="13"/>
      <c r="I536" s="14"/>
    </row>
    <row r="537" spans="1:9" x14ac:dyDescent="0.3">
      <c r="A537" s="13"/>
      <c r="B537" s="13"/>
      <c r="C537" s="13"/>
      <c r="D537" s="13"/>
      <c r="E537" s="13"/>
      <c r="F537" s="13"/>
      <c r="G537" s="13"/>
      <c r="H537" s="13"/>
      <c r="I537" s="14"/>
    </row>
    <row r="538" spans="1:9" x14ac:dyDescent="0.3">
      <c r="A538" s="13"/>
      <c r="B538" s="13"/>
      <c r="C538" s="13"/>
      <c r="D538" s="13"/>
      <c r="E538" s="13"/>
      <c r="F538" s="13"/>
      <c r="G538" s="13"/>
      <c r="H538" s="13"/>
      <c r="I538" s="14"/>
    </row>
    <row r="539" spans="1:9" x14ac:dyDescent="0.3">
      <c r="A539" s="13"/>
      <c r="B539" s="13"/>
      <c r="C539" s="13"/>
      <c r="D539" s="13"/>
      <c r="E539" s="13"/>
      <c r="F539" s="13"/>
      <c r="G539" s="13"/>
      <c r="H539" s="13"/>
      <c r="I539" s="14"/>
    </row>
    <row r="540" spans="1:9" x14ac:dyDescent="0.3">
      <c r="A540" s="13"/>
      <c r="B540" s="13"/>
      <c r="C540" s="13"/>
      <c r="D540" s="13"/>
      <c r="E540" s="13"/>
      <c r="F540" s="13"/>
      <c r="G540" s="13"/>
      <c r="H540" s="13"/>
      <c r="I540" s="14"/>
    </row>
    <row r="541" spans="1:9" x14ac:dyDescent="0.3">
      <c r="A541" s="13"/>
      <c r="B541" s="13"/>
      <c r="C541" s="13"/>
      <c r="D541" s="13"/>
      <c r="E541" s="13"/>
      <c r="F541" s="13"/>
      <c r="G541" s="13"/>
      <c r="H541" s="13"/>
      <c r="I541" s="14"/>
    </row>
    <row r="542" spans="1:9" x14ac:dyDescent="0.3">
      <c r="A542" s="13"/>
      <c r="B542" s="13"/>
      <c r="C542" s="13"/>
      <c r="D542" s="13"/>
      <c r="E542" s="13"/>
      <c r="F542" s="13"/>
      <c r="G542" s="13"/>
      <c r="H542" s="13"/>
      <c r="I542" s="14"/>
    </row>
    <row r="543" spans="1:9" x14ac:dyDescent="0.3">
      <c r="A543" s="13"/>
      <c r="B543" s="13"/>
      <c r="C543" s="13"/>
      <c r="D543" s="13"/>
      <c r="E543" s="13"/>
      <c r="F543" s="13"/>
      <c r="G543" s="13"/>
      <c r="H543" s="13"/>
      <c r="I543" s="14"/>
    </row>
    <row r="544" spans="1:9" x14ac:dyDescent="0.3">
      <c r="A544" s="13"/>
      <c r="B544" s="13"/>
      <c r="C544" s="13"/>
      <c r="D544" s="13"/>
      <c r="E544" s="13"/>
      <c r="F544" s="13"/>
      <c r="G544" s="13"/>
      <c r="H544" s="13"/>
      <c r="I544" s="14"/>
    </row>
    <row r="545" spans="1:9" x14ac:dyDescent="0.3">
      <c r="A545" s="13"/>
      <c r="B545" s="13"/>
      <c r="C545" s="13"/>
      <c r="D545" s="13"/>
      <c r="E545" s="13"/>
      <c r="F545" s="13"/>
      <c r="G545" s="13"/>
      <c r="H545" s="13"/>
      <c r="I545" s="14"/>
    </row>
    <row r="546" spans="1:9" x14ac:dyDescent="0.3">
      <c r="A546" s="13"/>
      <c r="B546" s="13"/>
      <c r="C546" s="13"/>
      <c r="D546" s="13"/>
      <c r="E546" s="13"/>
      <c r="F546" s="13"/>
      <c r="G546" s="13"/>
      <c r="H546" s="13"/>
      <c r="I546" s="14"/>
    </row>
    <row r="547" spans="1:9" x14ac:dyDescent="0.3">
      <c r="A547" s="13"/>
      <c r="B547" s="13"/>
      <c r="C547" s="13"/>
      <c r="D547" s="13"/>
      <c r="E547" s="13"/>
      <c r="F547" s="13"/>
      <c r="G547" s="13"/>
      <c r="H547" s="13"/>
      <c r="I547" s="14"/>
    </row>
    <row r="548" spans="1:9" x14ac:dyDescent="0.3">
      <c r="A548" s="13"/>
      <c r="B548" s="13"/>
      <c r="C548" s="13"/>
      <c r="D548" s="13"/>
      <c r="E548" s="13"/>
      <c r="F548" s="13"/>
      <c r="G548" s="13"/>
      <c r="H548" s="13"/>
      <c r="I548" s="14"/>
    </row>
    <row r="549" spans="1:9" x14ac:dyDescent="0.3">
      <c r="A549" s="13"/>
      <c r="B549" s="13"/>
      <c r="C549" s="13"/>
      <c r="D549" s="13"/>
      <c r="E549" s="13"/>
      <c r="F549" s="13"/>
      <c r="G549" s="13"/>
      <c r="H549" s="13"/>
      <c r="I549" s="14"/>
    </row>
    <row r="550" spans="1:9" x14ac:dyDescent="0.3">
      <c r="A550" s="13"/>
      <c r="B550" s="13"/>
      <c r="C550" s="13"/>
      <c r="D550" s="13"/>
      <c r="E550" s="13"/>
      <c r="F550" s="13"/>
      <c r="G550" s="13"/>
      <c r="H550" s="13"/>
      <c r="I550" s="14"/>
    </row>
    <row r="551" spans="1:9" x14ac:dyDescent="0.3">
      <c r="A551" s="13"/>
      <c r="B551" s="13"/>
      <c r="C551" s="13"/>
      <c r="D551" s="13"/>
      <c r="E551" s="13"/>
      <c r="F551" s="13"/>
      <c r="G551" s="13"/>
      <c r="H551" s="13"/>
      <c r="I551" s="14"/>
    </row>
    <row r="552" spans="1:9" x14ac:dyDescent="0.3">
      <c r="A552" s="13"/>
      <c r="B552" s="13"/>
      <c r="C552" s="13"/>
      <c r="D552" s="13"/>
      <c r="E552" s="13"/>
      <c r="F552" s="13"/>
      <c r="G552" s="13"/>
      <c r="H552" s="13"/>
      <c r="I552" s="14"/>
    </row>
    <row r="553" spans="1:9" x14ac:dyDescent="0.3">
      <c r="A553" s="13"/>
      <c r="B553" s="13"/>
      <c r="C553" s="13"/>
      <c r="D553" s="13"/>
      <c r="E553" s="13"/>
      <c r="F553" s="13"/>
      <c r="G553" s="13"/>
      <c r="H553" s="13"/>
      <c r="I553" s="14"/>
    </row>
    <row r="554" spans="1:9" x14ac:dyDescent="0.3">
      <c r="A554" s="13"/>
      <c r="B554" s="13"/>
      <c r="C554" s="13"/>
      <c r="D554" s="13"/>
      <c r="E554" s="13"/>
      <c r="F554" s="13"/>
      <c r="G554" s="13"/>
      <c r="H554" s="13"/>
      <c r="I554" s="14"/>
    </row>
    <row r="555" spans="1:9" x14ac:dyDescent="0.3">
      <c r="A555" s="13"/>
      <c r="B555" s="13"/>
      <c r="C555" s="13"/>
      <c r="D555" s="13"/>
      <c r="E555" s="13"/>
      <c r="F555" s="13"/>
      <c r="G555" s="13"/>
      <c r="H555" s="13"/>
      <c r="I555" s="14"/>
    </row>
    <row r="556" spans="1:9" x14ac:dyDescent="0.3">
      <c r="A556" s="13"/>
      <c r="B556" s="13"/>
      <c r="C556" s="13"/>
      <c r="D556" s="13"/>
      <c r="E556" s="13"/>
      <c r="F556" s="13"/>
      <c r="G556" s="13"/>
      <c r="H556" s="13"/>
      <c r="I556" s="14"/>
    </row>
    <row r="557" spans="1:9" x14ac:dyDescent="0.3">
      <c r="A557" s="13"/>
      <c r="B557" s="13"/>
      <c r="C557" s="13"/>
      <c r="D557" s="13"/>
      <c r="E557" s="13"/>
      <c r="F557" s="13"/>
      <c r="G557" s="13"/>
      <c r="H557" s="13"/>
      <c r="I557" s="14"/>
    </row>
    <row r="558" spans="1:9" x14ac:dyDescent="0.3">
      <c r="A558" s="13"/>
      <c r="B558" s="13"/>
      <c r="C558" s="13"/>
      <c r="D558" s="13"/>
      <c r="E558" s="13"/>
      <c r="F558" s="13"/>
      <c r="G558" s="13"/>
      <c r="H558" s="13"/>
      <c r="I558" s="14"/>
    </row>
    <row r="559" spans="1:9" x14ac:dyDescent="0.3">
      <c r="A559" s="13"/>
      <c r="B559" s="13"/>
      <c r="C559" s="13"/>
      <c r="D559" s="13"/>
      <c r="E559" s="13"/>
      <c r="F559" s="13"/>
      <c r="G559" s="13"/>
      <c r="H559" s="13"/>
      <c r="I559" s="14"/>
    </row>
    <row r="560" spans="1:9" x14ac:dyDescent="0.3">
      <c r="A560" s="13"/>
      <c r="B560" s="13"/>
      <c r="C560" s="13"/>
      <c r="D560" s="13"/>
      <c r="E560" s="13"/>
      <c r="F560" s="13"/>
      <c r="G560" s="13"/>
      <c r="H560" s="13"/>
      <c r="I560" s="14"/>
    </row>
    <row r="561" spans="1:9" x14ac:dyDescent="0.3">
      <c r="A561" s="13"/>
      <c r="B561" s="13"/>
      <c r="C561" s="13"/>
      <c r="D561" s="13"/>
      <c r="E561" s="13"/>
      <c r="F561" s="13"/>
      <c r="G561" s="13"/>
      <c r="H561" s="13"/>
      <c r="I561" s="14"/>
    </row>
    <row r="562" spans="1:9" x14ac:dyDescent="0.3">
      <c r="A562" s="13"/>
      <c r="B562" s="13"/>
      <c r="C562" s="13"/>
      <c r="D562" s="13"/>
      <c r="E562" s="13"/>
      <c r="F562" s="13"/>
      <c r="G562" s="13"/>
      <c r="H562" s="13"/>
      <c r="I562" s="14"/>
    </row>
    <row r="563" spans="1:9" x14ac:dyDescent="0.3">
      <c r="A563" s="13"/>
      <c r="B563" s="13"/>
      <c r="C563" s="13"/>
      <c r="D563" s="13"/>
      <c r="E563" s="13"/>
      <c r="F563" s="13"/>
      <c r="G563" s="13"/>
      <c r="H563" s="13"/>
      <c r="I563" s="14"/>
    </row>
    <row r="564" spans="1:9" x14ac:dyDescent="0.3">
      <c r="A564" s="13"/>
      <c r="B564" s="13"/>
      <c r="C564" s="13"/>
      <c r="D564" s="13"/>
      <c r="E564" s="13"/>
      <c r="F564" s="13"/>
      <c r="G564" s="13"/>
      <c r="H564" s="13"/>
      <c r="I564" s="14"/>
    </row>
    <row r="565" spans="1:9" x14ac:dyDescent="0.3">
      <c r="A565" s="13"/>
      <c r="B565" s="13"/>
      <c r="C565" s="13"/>
      <c r="D565" s="13"/>
      <c r="E565" s="13"/>
      <c r="F565" s="13"/>
      <c r="G565" s="13"/>
      <c r="H565" s="13"/>
      <c r="I565" s="14"/>
    </row>
    <row r="566" spans="1:9" x14ac:dyDescent="0.3">
      <c r="A566" s="13"/>
      <c r="B566" s="13"/>
      <c r="C566" s="13"/>
      <c r="D566" s="13"/>
      <c r="E566" s="13"/>
      <c r="F566" s="13"/>
      <c r="G566" s="13"/>
      <c r="H566" s="13"/>
      <c r="I566" s="14"/>
    </row>
    <row r="567" spans="1:9" x14ac:dyDescent="0.3">
      <c r="A567" s="13"/>
      <c r="B567" s="13"/>
      <c r="C567" s="13"/>
      <c r="D567" s="13"/>
      <c r="E567" s="13"/>
      <c r="F567" s="13"/>
      <c r="G567" s="13"/>
      <c r="H567" s="13"/>
      <c r="I567" s="14"/>
    </row>
    <row r="568" spans="1:9" x14ac:dyDescent="0.3">
      <c r="A568" s="13"/>
      <c r="B568" s="13"/>
      <c r="C568" s="13"/>
      <c r="D568" s="13"/>
      <c r="E568" s="13"/>
      <c r="F568" s="13"/>
      <c r="G568" s="13"/>
      <c r="H568" s="13"/>
      <c r="I568" s="14"/>
    </row>
    <row r="569" spans="1:9" x14ac:dyDescent="0.3">
      <c r="A569" s="13"/>
      <c r="B569" s="13"/>
      <c r="C569" s="13"/>
      <c r="D569" s="13"/>
      <c r="E569" s="13"/>
      <c r="F569" s="13"/>
      <c r="G569" s="13"/>
      <c r="H569" s="13"/>
      <c r="I569" s="14"/>
    </row>
    <row r="570" spans="1:9" x14ac:dyDescent="0.3">
      <c r="A570" s="13"/>
      <c r="B570" s="13"/>
      <c r="C570" s="13"/>
      <c r="D570" s="13"/>
      <c r="E570" s="13"/>
      <c r="F570" s="13"/>
      <c r="G570" s="13"/>
      <c r="H570" s="13"/>
      <c r="I570" s="14"/>
    </row>
    <row r="571" spans="1:9" x14ac:dyDescent="0.3">
      <c r="A571" s="13"/>
      <c r="B571" s="13"/>
      <c r="C571" s="13"/>
      <c r="D571" s="13"/>
      <c r="E571" s="13"/>
      <c r="F571" s="13"/>
      <c r="G571" s="13"/>
      <c r="H571" s="13"/>
      <c r="I571" s="14"/>
    </row>
    <row r="572" spans="1:9" x14ac:dyDescent="0.3">
      <c r="A572" s="13"/>
      <c r="B572" s="13"/>
      <c r="C572" s="13"/>
      <c r="D572" s="13"/>
      <c r="E572" s="13"/>
      <c r="F572" s="13"/>
      <c r="G572" s="13"/>
      <c r="H572" s="13"/>
      <c r="I572" s="14"/>
    </row>
    <row r="573" spans="1:9" x14ac:dyDescent="0.3">
      <c r="A573" s="13"/>
      <c r="B573" s="13"/>
      <c r="C573" s="13"/>
      <c r="D573" s="13"/>
      <c r="E573" s="13"/>
      <c r="F573" s="13"/>
      <c r="G573" s="13"/>
      <c r="H573" s="13"/>
      <c r="I573" s="14"/>
    </row>
    <row r="574" spans="1:9" x14ac:dyDescent="0.3">
      <c r="A574" s="13"/>
      <c r="B574" s="13"/>
      <c r="C574" s="13"/>
      <c r="D574" s="13"/>
      <c r="E574" s="13"/>
      <c r="F574" s="13"/>
      <c r="G574" s="13"/>
      <c r="H574" s="13"/>
      <c r="I574" s="14"/>
    </row>
    <row r="575" spans="1:9" x14ac:dyDescent="0.3">
      <c r="A575" s="13"/>
      <c r="B575" s="13"/>
      <c r="C575" s="13"/>
      <c r="D575" s="13"/>
      <c r="E575" s="13"/>
      <c r="F575" s="13"/>
      <c r="G575" s="13"/>
      <c r="H575" s="13"/>
      <c r="I575" s="14"/>
    </row>
    <row r="576" spans="1:9" x14ac:dyDescent="0.3">
      <c r="A576" s="13"/>
      <c r="B576" s="13"/>
      <c r="C576" s="13"/>
      <c r="D576" s="13"/>
      <c r="E576" s="13"/>
      <c r="F576" s="13"/>
      <c r="G576" s="13"/>
      <c r="H576" s="13"/>
      <c r="I576" s="14"/>
    </row>
    <row r="577" spans="1:9" x14ac:dyDescent="0.3">
      <c r="A577" s="13"/>
      <c r="B577" s="13"/>
      <c r="C577" s="13"/>
      <c r="D577" s="13"/>
      <c r="E577" s="13"/>
      <c r="F577" s="13"/>
      <c r="G577" s="13"/>
      <c r="H577" s="13"/>
      <c r="I577" s="14"/>
    </row>
    <row r="578" spans="1:9" x14ac:dyDescent="0.3">
      <c r="A578" s="13"/>
      <c r="B578" s="13"/>
      <c r="C578" s="13"/>
      <c r="D578" s="13"/>
      <c r="E578" s="13"/>
      <c r="F578" s="13"/>
      <c r="G578" s="13"/>
      <c r="H578" s="13"/>
      <c r="I578" s="14"/>
    </row>
    <row r="579" spans="1:9" x14ac:dyDescent="0.3">
      <c r="A579" s="13"/>
      <c r="B579" s="13"/>
      <c r="C579" s="13"/>
      <c r="D579" s="13"/>
      <c r="E579" s="13"/>
      <c r="F579" s="13"/>
      <c r="G579" s="13"/>
      <c r="H579" s="13"/>
      <c r="I579" s="14"/>
    </row>
    <row r="580" spans="1:9" x14ac:dyDescent="0.3">
      <c r="A580" s="13"/>
      <c r="B580" s="13"/>
      <c r="C580" s="13"/>
      <c r="D580" s="13"/>
      <c r="E580" s="13"/>
      <c r="F580" s="13"/>
      <c r="G580" s="13"/>
      <c r="H580" s="13"/>
      <c r="I580" s="14"/>
    </row>
    <row r="581" spans="1:9" x14ac:dyDescent="0.3">
      <c r="A581" s="13"/>
      <c r="B581" s="13"/>
      <c r="C581" s="13"/>
      <c r="D581" s="13"/>
      <c r="E581" s="13"/>
      <c r="F581" s="13"/>
      <c r="G581" s="13"/>
      <c r="H581" s="13"/>
      <c r="I581" s="14"/>
    </row>
    <row r="582" spans="1:9" x14ac:dyDescent="0.3">
      <c r="A582" s="13"/>
      <c r="B582" s="13"/>
      <c r="C582" s="13"/>
      <c r="D582" s="13"/>
      <c r="E582" s="13"/>
      <c r="F582" s="13"/>
      <c r="G582" s="13"/>
      <c r="H582" s="13"/>
      <c r="I582" s="14"/>
    </row>
    <row r="583" spans="1:9" x14ac:dyDescent="0.3">
      <c r="A583" s="13"/>
      <c r="B583" s="13"/>
      <c r="C583" s="13"/>
      <c r="D583" s="13"/>
      <c r="E583" s="13"/>
      <c r="F583" s="13"/>
      <c r="G583" s="13"/>
      <c r="H583" s="13"/>
      <c r="I583" s="14"/>
    </row>
    <row r="584" spans="1:9" x14ac:dyDescent="0.3">
      <c r="A584" s="13"/>
      <c r="B584" s="13"/>
      <c r="C584" s="13"/>
      <c r="D584" s="13"/>
      <c r="E584" s="13"/>
      <c r="F584" s="13"/>
      <c r="G584" s="13"/>
      <c r="H584" s="13"/>
      <c r="I584" s="14"/>
    </row>
    <row r="585" spans="1:9" x14ac:dyDescent="0.3">
      <c r="A585" s="13"/>
      <c r="B585" s="13"/>
      <c r="C585" s="13"/>
      <c r="D585" s="13"/>
      <c r="E585" s="13"/>
      <c r="F585" s="13"/>
      <c r="G585" s="13"/>
      <c r="H585" s="13"/>
      <c r="I585" s="14"/>
    </row>
    <row r="586" spans="1:9" x14ac:dyDescent="0.3">
      <c r="A586" s="13"/>
      <c r="B586" s="13"/>
      <c r="C586" s="13"/>
      <c r="D586" s="13"/>
      <c r="E586" s="13"/>
      <c r="F586" s="13"/>
      <c r="G586" s="13"/>
      <c r="H586" s="13"/>
      <c r="I586" s="14"/>
    </row>
    <row r="587" spans="1:9" x14ac:dyDescent="0.3">
      <c r="A587" s="13"/>
      <c r="B587" s="13"/>
      <c r="C587" s="13"/>
      <c r="D587" s="13"/>
      <c r="E587" s="13"/>
      <c r="F587" s="13"/>
      <c r="G587" s="13"/>
      <c r="H587" s="13"/>
      <c r="I587" s="14"/>
    </row>
    <row r="588" spans="1:9" x14ac:dyDescent="0.3">
      <c r="A588" s="13"/>
      <c r="B588" s="13"/>
      <c r="C588" s="13"/>
      <c r="D588" s="13"/>
      <c r="E588" s="13"/>
      <c r="F588" s="13"/>
      <c r="G588" s="13"/>
      <c r="H588" s="13"/>
      <c r="I588" s="14"/>
    </row>
    <row r="589" spans="1:9" x14ac:dyDescent="0.3">
      <c r="A589" s="13"/>
      <c r="B589" s="13"/>
      <c r="C589" s="13"/>
      <c r="D589" s="13"/>
      <c r="E589" s="13"/>
      <c r="F589" s="13"/>
      <c r="G589" s="13"/>
      <c r="H589" s="13"/>
      <c r="I589" s="14"/>
    </row>
    <row r="590" spans="1:9" x14ac:dyDescent="0.3">
      <c r="A590" s="13"/>
      <c r="B590" s="13"/>
      <c r="C590" s="13"/>
      <c r="D590" s="13"/>
      <c r="E590" s="13"/>
      <c r="F590" s="13"/>
      <c r="G590" s="13"/>
      <c r="H590" s="13"/>
      <c r="I590" s="14"/>
    </row>
    <row r="591" spans="1:9" x14ac:dyDescent="0.3">
      <c r="A591" s="13"/>
      <c r="B591" s="13"/>
      <c r="C591" s="13"/>
      <c r="D591" s="13"/>
      <c r="E591" s="13"/>
      <c r="F591" s="13"/>
      <c r="G591" s="13"/>
      <c r="H591" s="13"/>
      <c r="I591" s="14"/>
    </row>
    <row r="592" spans="1:9" x14ac:dyDescent="0.3">
      <c r="A592" s="13"/>
      <c r="B592" s="13"/>
      <c r="C592" s="13"/>
      <c r="D592" s="13"/>
      <c r="E592" s="13"/>
      <c r="F592" s="13"/>
      <c r="G592" s="13"/>
      <c r="H592" s="13"/>
      <c r="I592" s="14"/>
    </row>
    <row r="593" spans="1:9" x14ac:dyDescent="0.3">
      <c r="A593" s="13"/>
      <c r="B593" s="13"/>
      <c r="C593" s="13"/>
      <c r="D593" s="13"/>
      <c r="E593" s="13"/>
      <c r="F593" s="13"/>
      <c r="G593" s="13"/>
      <c r="H593" s="13"/>
      <c r="I593" s="14"/>
    </row>
    <row r="594" spans="1:9" x14ac:dyDescent="0.3">
      <c r="A594" s="13"/>
      <c r="B594" s="13"/>
      <c r="C594" s="13"/>
      <c r="D594" s="13"/>
      <c r="E594" s="13"/>
      <c r="F594" s="13"/>
      <c r="G594" s="13"/>
      <c r="H594" s="13"/>
      <c r="I594" s="14"/>
    </row>
    <row r="595" spans="1:9" x14ac:dyDescent="0.3">
      <c r="A595" s="13"/>
      <c r="B595" s="13"/>
      <c r="C595" s="13"/>
      <c r="D595" s="13"/>
      <c r="E595" s="13"/>
      <c r="F595" s="13"/>
      <c r="G595" s="13"/>
      <c r="H595" s="13"/>
      <c r="I595" s="14"/>
    </row>
    <row r="596" spans="1:9" x14ac:dyDescent="0.3">
      <c r="A596" s="13"/>
      <c r="B596" s="13"/>
      <c r="C596" s="13"/>
      <c r="D596" s="13"/>
      <c r="E596" s="13"/>
      <c r="F596" s="13"/>
      <c r="G596" s="13"/>
      <c r="H596" s="13"/>
      <c r="I596" s="14"/>
    </row>
    <row r="597" spans="1:9" x14ac:dyDescent="0.3">
      <c r="A597" s="13"/>
      <c r="B597" s="13"/>
      <c r="C597" s="13"/>
      <c r="D597" s="13"/>
      <c r="E597" s="13"/>
      <c r="F597" s="13"/>
      <c r="G597" s="13"/>
      <c r="H597" s="13"/>
      <c r="I597" s="14"/>
    </row>
    <row r="598" spans="1:9" x14ac:dyDescent="0.3">
      <c r="A598" s="13"/>
      <c r="B598" s="13"/>
      <c r="C598" s="13"/>
      <c r="D598" s="13"/>
      <c r="E598" s="13"/>
      <c r="F598" s="13"/>
      <c r="G598" s="13"/>
      <c r="H598" s="13"/>
      <c r="I598" s="14"/>
    </row>
    <row r="599" spans="1:9" x14ac:dyDescent="0.3">
      <c r="A599" s="13"/>
      <c r="B599" s="13"/>
      <c r="C599" s="13"/>
      <c r="D599" s="13"/>
      <c r="E599" s="13"/>
      <c r="F599" s="13"/>
      <c r="G599" s="13"/>
      <c r="H599" s="13"/>
      <c r="I599" s="14"/>
    </row>
    <row r="600" spans="1:9" x14ac:dyDescent="0.3">
      <c r="A600" s="13"/>
      <c r="B600" s="13"/>
      <c r="C600" s="13"/>
      <c r="D600" s="13"/>
      <c r="E600" s="13"/>
      <c r="F600" s="13"/>
      <c r="G600" s="13"/>
      <c r="H600" s="13"/>
      <c r="I600" s="14"/>
    </row>
    <row r="601" spans="1:9" x14ac:dyDescent="0.3">
      <c r="A601" s="13"/>
      <c r="B601" s="13"/>
      <c r="C601" s="13"/>
      <c r="D601" s="13"/>
      <c r="E601" s="13"/>
      <c r="F601" s="13"/>
      <c r="G601" s="13"/>
      <c r="H601" s="13"/>
      <c r="I601" s="14"/>
    </row>
    <row r="602" spans="1:9" x14ac:dyDescent="0.3">
      <c r="A602" s="13"/>
      <c r="B602" s="13"/>
      <c r="C602" s="13"/>
      <c r="D602" s="13"/>
      <c r="E602" s="13"/>
      <c r="F602" s="13"/>
      <c r="G602" s="13"/>
      <c r="H602" s="13"/>
      <c r="I602" s="14"/>
    </row>
    <row r="603" spans="1:9" x14ac:dyDescent="0.3">
      <c r="A603" s="13"/>
      <c r="B603" s="13"/>
      <c r="C603" s="13"/>
      <c r="D603" s="13"/>
      <c r="E603" s="13"/>
      <c r="F603" s="13"/>
      <c r="G603" s="13"/>
      <c r="H603" s="13"/>
      <c r="I603" s="14"/>
    </row>
    <row r="604" spans="1:9" x14ac:dyDescent="0.3">
      <c r="A604" s="13"/>
      <c r="B604" s="13"/>
      <c r="C604" s="13"/>
      <c r="D604" s="13"/>
      <c r="E604" s="13"/>
      <c r="F604" s="13"/>
      <c r="G604" s="13"/>
      <c r="H604" s="13"/>
      <c r="I604" s="14"/>
    </row>
    <row r="605" spans="1:9" x14ac:dyDescent="0.3">
      <c r="A605" s="13"/>
      <c r="B605" s="13"/>
      <c r="C605" s="13"/>
      <c r="D605" s="13"/>
      <c r="E605" s="13"/>
      <c r="F605" s="13"/>
      <c r="G605" s="13"/>
      <c r="H605" s="13"/>
      <c r="I605" s="14"/>
    </row>
    <row r="606" spans="1:9" x14ac:dyDescent="0.3">
      <c r="A606" s="13"/>
      <c r="B606" s="13"/>
      <c r="C606" s="13"/>
      <c r="D606" s="13"/>
      <c r="E606" s="13"/>
      <c r="F606" s="13"/>
      <c r="G606" s="13"/>
      <c r="H606" s="13"/>
      <c r="I606" s="14"/>
    </row>
    <row r="607" spans="1:9" x14ac:dyDescent="0.3">
      <c r="A607" s="13"/>
      <c r="B607" s="13"/>
      <c r="C607" s="13"/>
      <c r="D607" s="13"/>
      <c r="E607" s="13"/>
      <c r="F607" s="13"/>
      <c r="G607" s="13"/>
      <c r="H607" s="13"/>
      <c r="I607" s="14"/>
    </row>
    <row r="608" spans="1:9" x14ac:dyDescent="0.3">
      <c r="A608" s="13"/>
      <c r="B608" s="13"/>
      <c r="C608" s="13"/>
      <c r="D608" s="13"/>
      <c r="E608" s="13"/>
      <c r="F608" s="13"/>
      <c r="G608" s="13"/>
      <c r="H608" s="13"/>
      <c r="I608" s="14"/>
    </row>
    <row r="609" spans="1:9" x14ac:dyDescent="0.3">
      <c r="A609" s="13"/>
      <c r="B609" s="13"/>
      <c r="C609" s="13"/>
      <c r="D609" s="13"/>
      <c r="E609" s="13"/>
      <c r="F609" s="13"/>
      <c r="G609" s="13"/>
      <c r="H609" s="13"/>
      <c r="I609" s="14"/>
    </row>
    <row r="610" spans="1:9" x14ac:dyDescent="0.3">
      <c r="A610" s="13"/>
      <c r="B610" s="13"/>
      <c r="C610" s="13"/>
      <c r="D610" s="13"/>
      <c r="E610" s="13"/>
      <c r="F610" s="13"/>
      <c r="G610" s="13"/>
      <c r="H610" s="13"/>
      <c r="I610" s="14"/>
    </row>
    <row r="611" spans="1:9" x14ac:dyDescent="0.3">
      <c r="A611" s="13"/>
      <c r="B611" s="13"/>
      <c r="C611" s="13"/>
      <c r="D611" s="13"/>
      <c r="E611" s="13"/>
      <c r="F611" s="13"/>
      <c r="G611" s="13"/>
      <c r="H611" s="13"/>
      <c r="I611" s="14"/>
    </row>
    <row r="612" spans="1:9" x14ac:dyDescent="0.3">
      <c r="A612" s="13"/>
      <c r="B612" s="13"/>
      <c r="C612" s="13"/>
      <c r="D612" s="13"/>
      <c r="E612" s="13"/>
      <c r="F612" s="13"/>
      <c r="G612" s="13"/>
      <c r="H612" s="13"/>
      <c r="I612" s="14"/>
    </row>
    <row r="613" spans="1:9" x14ac:dyDescent="0.3">
      <c r="A613" s="13"/>
      <c r="B613" s="13"/>
      <c r="C613" s="13"/>
      <c r="D613" s="13"/>
      <c r="E613" s="13"/>
      <c r="F613" s="13"/>
      <c r="G613" s="13"/>
      <c r="H613" s="13"/>
      <c r="I613" s="14"/>
    </row>
    <row r="614" spans="1:9" x14ac:dyDescent="0.3">
      <c r="A614" s="13"/>
      <c r="B614" s="13"/>
      <c r="C614" s="13"/>
      <c r="D614" s="13"/>
      <c r="E614" s="13"/>
      <c r="F614" s="13"/>
      <c r="G614" s="13"/>
      <c r="H614" s="13"/>
      <c r="I614" s="14"/>
    </row>
    <row r="615" spans="1:9" x14ac:dyDescent="0.3">
      <c r="A615" s="13"/>
      <c r="B615" s="13"/>
      <c r="C615" s="13"/>
      <c r="D615" s="13"/>
      <c r="E615" s="13"/>
      <c r="F615" s="13"/>
      <c r="G615" s="13"/>
      <c r="H615" s="13"/>
      <c r="I615" s="14"/>
    </row>
    <row r="616" spans="1:9" x14ac:dyDescent="0.3">
      <c r="A616" s="13"/>
      <c r="B616" s="13"/>
      <c r="C616" s="13"/>
      <c r="D616" s="13"/>
      <c r="E616" s="13"/>
      <c r="F616" s="13"/>
      <c r="G616" s="13"/>
      <c r="H616" s="13"/>
      <c r="I616" s="14"/>
    </row>
    <row r="617" spans="1:9" x14ac:dyDescent="0.3">
      <c r="A617" s="13"/>
      <c r="B617" s="13"/>
      <c r="C617" s="13"/>
      <c r="D617" s="13"/>
      <c r="E617" s="13"/>
      <c r="F617" s="13"/>
      <c r="G617" s="13"/>
      <c r="H617" s="13"/>
      <c r="I617" s="14"/>
    </row>
    <row r="618" spans="1:9" x14ac:dyDescent="0.3">
      <c r="A618" s="13"/>
      <c r="B618" s="13"/>
      <c r="C618" s="13"/>
      <c r="D618" s="13"/>
      <c r="E618" s="13"/>
      <c r="F618" s="13"/>
      <c r="G618" s="13"/>
      <c r="H618" s="13"/>
      <c r="I618" s="14"/>
    </row>
    <row r="619" spans="1:9" x14ac:dyDescent="0.3">
      <c r="A619" s="13"/>
      <c r="B619" s="13"/>
      <c r="C619" s="13"/>
      <c r="D619" s="13"/>
      <c r="E619" s="13"/>
      <c r="F619" s="13"/>
      <c r="G619" s="13"/>
      <c r="H619" s="13"/>
      <c r="I619" s="14"/>
    </row>
    <row r="620" spans="1:9" x14ac:dyDescent="0.3">
      <c r="A620" s="13"/>
      <c r="B620" s="13"/>
      <c r="C620" s="13"/>
      <c r="D620" s="13"/>
      <c r="E620" s="13"/>
      <c r="F620" s="13"/>
      <c r="G620" s="13"/>
      <c r="H620" s="13"/>
      <c r="I620" s="14"/>
    </row>
    <row r="621" spans="1:9" x14ac:dyDescent="0.3">
      <c r="A621" s="13"/>
      <c r="B621" s="13"/>
      <c r="C621" s="13"/>
      <c r="D621" s="13"/>
      <c r="E621" s="13"/>
      <c r="F621" s="13"/>
      <c r="G621" s="13"/>
      <c r="H621" s="13"/>
      <c r="I621" s="14"/>
    </row>
    <row r="622" spans="1:9" x14ac:dyDescent="0.3">
      <c r="A622" s="13"/>
      <c r="B622" s="13"/>
      <c r="C622" s="13"/>
      <c r="D622" s="13"/>
      <c r="E622" s="13"/>
      <c r="F622" s="13"/>
      <c r="G622" s="13"/>
      <c r="H622" s="13"/>
      <c r="I622" s="14"/>
    </row>
    <row r="623" spans="1:9" x14ac:dyDescent="0.3">
      <c r="A623" s="13"/>
      <c r="B623" s="13"/>
      <c r="C623" s="13"/>
      <c r="D623" s="13"/>
      <c r="E623" s="13"/>
      <c r="F623" s="13"/>
      <c r="G623" s="13"/>
      <c r="H623" s="13"/>
      <c r="I623" s="14"/>
    </row>
    <row r="624" spans="1:9" x14ac:dyDescent="0.3">
      <c r="A624" s="13"/>
      <c r="B624" s="13"/>
      <c r="C624" s="13"/>
      <c r="D624" s="13"/>
      <c r="E624" s="13"/>
      <c r="F624" s="13"/>
      <c r="G624" s="13"/>
      <c r="H624" s="13"/>
      <c r="I624" s="14"/>
    </row>
    <row r="625" spans="1:9" x14ac:dyDescent="0.3">
      <c r="A625" s="13"/>
      <c r="B625" s="13"/>
      <c r="C625" s="13"/>
      <c r="D625" s="13"/>
      <c r="E625" s="13"/>
      <c r="F625" s="13"/>
      <c r="G625" s="13"/>
      <c r="H625" s="13"/>
      <c r="I625" s="14"/>
    </row>
    <row r="626" spans="1:9" x14ac:dyDescent="0.3">
      <c r="A626" s="13"/>
      <c r="B626" s="13"/>
      <c r="C626" s="13"/>
      <c r="D626" s="13"/>
      <c r="E626" s="13"/>
      <c r="F626" s="13"/>
      <c r="G626" s="13"/>
      <c r="H626" s="13"/>
      <c r="I626" s="14"/>
    </row>
    <row r="627" spans="1:9" x14ac:dyDescent="0.3">
      <c r="A627" s="13"/>
      <c r="B627" s="13"/>
      <c r="C627" s="13"/>
      <c r="D627" s="13"/>
      <c r="E627" s="13"/>
      <c r="F627" s="13"/>
      <c r="G627" s="13"/>
      <c r="H627" s="13"/>
      <c r="I627" s="14"/>
    </row>
    <row r="628" spans="1:9" x14ac:dyDescent="0.3">
      <c r="A628" s="13"/>
      <c r="B628" s="13"/>
      <c r="C628" s="13"/>
      <c r="D628" s="13"/>
      <c r="E628" s="13"/>
      <c r="F628" s="13"/>
      <c r="G628" s="13"/>
      <c r="H628" s="13"/>
      <c r="I628" s="14"/>
    </row>
    <row r="629" spans="1:9" x14ac:dyDescent="0.3">
      <c r="A629" s="13"/>
      <c r="B629" s="13"/>
      <c r="C629" s="13"/>
      <c r="D629" s="13"/>
      <c r="E629" s="13"/>
      <c r="F629" s="13"/>
      <c r="G629" s="13"/>
      <c r="H629" s="13"/>
      <c r="I629" s="14"/>
    </row>
    <row r="630" spans="1:9" x14ac:dyDescent="0.3">
      <c r="A630" s="13"/>
      <c r="B630" s="13"/>
      <c r="C630" s="13"/>
      <c r="D630" s="13"/>
      <c r="E630" s="13"/>
      <c r="F630" s="13"/>
      <c r="G630" s="13"/>
      <c r="H630" s="13"/>
      <c r="I630" s="14"/>
    </row>
    <row r="631" spans="1:9" x14ac:dyDescent="0.3">
      <c r="A631" s="13"/>
      <c r="B631" s="13"/>
      <c r="C631" s="13"/>
      <c r="D631" s="13"/>
      <c r="E631" s="13"/>
      <c r="F631" s="13"/>
      <c r="G631" s="13"/>
      <c r="H631" s="13"/>
      <c r="I631" s="14"/>
    </row>
    <row r="632" spans="1:9" x14ac:dyDescent="0.3">
      <c r="A632" s="13"/>
      <c r="B632" s="13"/>
      <c r="C632" s="13"/>
      <c r="D632" s="13"/>
      <c r="E632" s="13"/>
      <c r="F632" s="13"/>
      <c r="G632" s="13"/>
      <c r="H632" s="13"/>
      <c r="I632" s="14"/>
    </row>
    <row r="633" spans="1:9" x14ac:dyDescent="0.3">
      <c r="A633" s="13"/>
      <c r="B633" s="13"/>
      <c r="C633" s="13"/>
      <c r="D633" s="13"/>
      <c r="E633" s="13"/>
      <c r="F633" s="13"/>
      <c r="G633" s="13"/>
      <c r="H633" s="13"/>
      <c r="I633" s="14"/>
    </row>
    <row r="634" spans="1:9" x14ac:dyDescent="0.3">
      <c r="A634" s="13"/>
      <c r="B634" s="13"/>
      <c r="C634" s="13"/>
      <c r="D634" s="13"/>
      <c r="E634" s="13"/>
      <c r="F634" s="13"/>
      <c r="G634" s="13"/>
      <c r="H634" s="13"/>
      <c r="I634" s="14"/>
    </row>
    <row r="635" spans="1:9" x14ac:dyDescent="0.3">
      <c r="A635" s="13"/>
      <c r="B635" s="13"/>
      <c r="C635" s="13"/>
      <c r="D635" s="13"/>
      <c r="E635" s="13"/>
      <c r="F635" s="13"/>
      <c r="G635" s="13"/>
      <c r="H635" s="13"/>
      <c r="I635" s="14"/>
    </row>
    <row r="636" spans="1:9" x14ac:dyDescent="0.3">
      <c r="A636" s="13"/>
      <c r="B636" s="13"/>
      <c r="C636" s="13"/>
      <c r="D636" s="13"/>
      <c r="E636" s="13"/>
      <c r="F636" s="13"/>
      <c r="G636" s="13"/>
      <c r="H636" s="13"/>
      <c r="I636" s="14"/>
    </row>
    <row r="637" spans="1:9" x14ac:dyDescent="0.3">
      <c r="A637" s="13"/>
      <c r="B637" s="13"/>
      <c r="C637" s="13"/>
      <c r="D637" s="13"/>
      <c r="E637" s="13"/>
      <c r="F637" s="13"/>
      <c r="G637" s="13"/>
      <c r="H637" s="13"/>
      <c r="I637" s="14"/>
    </row>
    <row r="638" spans="1:9" x14ac:dyDescent="0.3">
      <c r="A638" s="13"/>
      <c r="B638" s="13"/>
      <c r="C638" s="13"/>
      <c r="D638" s="13"/>
      <c r="E638" s="13"/>
      <c r="F638" s="13"/>
      <c r="G638" s="13"/>
      <c r="H638" s="13"/>
      <c r="I638" s="14"/>
    </row>
    <row r="639" spans="1:9" x14ac:dyDescent="0.3">
      <c r="A639" s="13"/>
      <c r="B639" s="13"/>
      <c r="C639" s="13"/>
      <c r="D639" s="13"/>
      <c r="E639" s="13"/>
      <c r="F639" s="13"/>
      <c r="G639" s="13"/>
      <c r="H639" s="13"/>
      <c r="I639" s="14"/>
    </row>
    <row r="640" spans="1:9" x14ac:dyDescent="0.3">
      <c r="A640" s="13"/>
      <c r="B640" s="13"/>
      <c r="C640" s="13"/>
      <c r="D640" s="13"/>
      <c r="E640" s="13"/>
      <c r="F640" s="13"/>
      <c r="G640" s="13"/>
      <c r="H640" s="13"/>
      <c r="I640" s="14"/>
    </row>
    <row r="641" spans="1:9" x14ac:dyDescent="0.3">
      <c r="A641" s="13"/>
      <c r="B641" s="13"/>
      <c r="C641" s="13"/>
      <c r="D641" s="13"/>
      <c r="E641" s="13"/>
      <c r="F641" s="13"/>
      <c r="G641" s="13"/>
      <c r="H641" s="13"/>
      <c r="I641" s="14"/>
    </row>
    <row r="642" spans="1:9" x14ac:dyDescent="0.3">
      <c r="A642" s="13"/>
      <c r="B642" s="13"/>
      <c r="C642" s="13"/>
      <c r="D642" s="13"/>
      <c r="E642" s="13"/>
      <c r="F642" s="13"/>
      <c r="G642" s="13"/>
      <c r="H642" s="13"/>
      <c r="I642" s="14"/>
    </row>
    <row r="643" spans="1:9" x14ac:dyDescent="0.3">
      <c r="A643" s="13"/>
      <c r="B643" s="13"/>
      <c r="C643" s="13"/>
      <c r="D643" s="13"/>
      <c r="E643" s="13"/>
      <c r="F643" s="13"/>
      <c r="G643" s="13"/>
      <c r="H643" s="13"/>
      <c r="I643" s="14"/>
    </row>
    <row r="644" spans="1:9" x14ac:dyDescent="0.3">
      <c r="A644" s="13"/>
      <c r="B644" s="13"/>
      <c r="C644" s="13"/>
      <c r="D644" s="13"/>
      <c r="E644" s="13"/>
      <c r="F644" s="13"/>
      <c r="G644" s="13"/>
      <c r="H644" s="13"/>
      <c r="I644" s="14"/>
    </row>
    <row r="645" spans="1:9" x14ac:dyDescent="0.3">
      <c r="A645" s="13"/>
      <c r="B645" s="13"/>
      <c r="C645" s="13"/>
      <c r="D645" s="13"/>
      <c r="E645" s="13"/>
      <c r="F645" s="13"/>
      <c r="G645" s="13"/>
      <c r="H645" s="13"/>
      <c r="I645" s="14"/>
    </row>
    <row r="646" spans="1:9" x14ac:dyDescent="0.3">
      <c r="A646" s="13"/>
      <c r="B646" s="13"/>
      <c r="C646" s="13"/>
      <c r="D646" s="13"/>
      <c r="E646" s="13"/>
      <c r="F646" s="13"/>
      <c r="G646" s="13"/>
      <c r="H646" s="13"/>
      <c r="I646" s="14"/>
    </row>
    <row r="647" spans="1:9" x14ac:dyDescent="0.3">
      <c r="A647" s="13"/>
      <c r="B647" s="13"/>
      <c r="C647" s="13"/>
      <c r="D647" s="13"/>
      <c r="E647" s="13"/>
      <c r="F647" s="13"/>
      <c r="G647" s="13"/>
      <c r="H647" s="13"/>
      <c r="I647" s="14"/>
    </row>
    <row r="648" spans="1:9" x14ac:dyDescent="0.3">
      <c r="A648" s="13"/>
      <c r="B648" s="13"/>
      <c r="C648" s="13"/>
      <c r="D648" s="13"/>
      <c r="E648" s="13"/>
      <c r="F648" s="13"/>
      <c r="G648" s="13"/>
      <c r="H648" s="13"/>
      <c r="I648" s="14"/>
    </row>
    <row r="649" spans="1:9" x14ac:dyDescent="0.3">
      <c r="A649" s="13"/>
      <c r="B649" s="13"/>
      <c r="C649" s="13"/>
      <c r="D649" s="13"/>
      <c r="E649" s="13"/>
      <c r="F649" s="13"/>
      <c r="G649" s="13"/>
      <c r="H649" s="13"/>
      <c r="I649" s="14"/>
    </row>
    <row r="650" spans="1:9" x14ac:dyDescent="0.3">
      <c r="A650" s="13"/>
      <c r="B650" s="13"/>
      <c r="C650" s="13"/>
      <c r="D650" s="13"/>
      <c r="E650" s="13"/>
      <c r="F650" s="13"/>
      <c r="G650" s="13"/>
      <c r="H650" s="13"/>
      <c r="I650" s="14"/>
    </row>
    <row r="651" spans="1:9" x14ac:dyDescent="0.3">
      <c r="A651" s="13"/>
      <c r="B651" s="13"/>
      <c r="C651" s="13"/>
      <c r="D651" s="13"/>
      <c r="E651" s="13"/>
      <c r="F651" s="13"/>
      <c r="G651" s="13"/>
      <c r="H651" s="13"/>
      <c r="I651" s="14"/>
    </row>
    <row r="652" spans="1:9" x14ac:dyDescent="0.3">
      <c r="A652" s="13"/>
      <c r="B652" s="13"/>
      <c r="C652" s="13"/>
      <c r="D652" s="13"/>
      <c r="E652" s="13"/>
      <c r="F652" s="13"/>
      <c r="G652" s="13"/>
      <c r="H652" s="13"/>
      <c r="I652" s="14"/>
    </row>
    <row r="653" spans="1:9" x14ac:dyDescent="0.3">
      <c r="A653" s="13"/>
      <c r="B653" s="13"/>
      <c r="C653" s="13"/>
      <c r="D653" s="13"/>
      <c r="E653" s="13"/>
      <c r="F653" s="13"/>
      <c r="G653" s="13"/>
      <c r="H653" s="13"/>
      <c r="I653" s="14"/>
    </row>
    <row r="654" spans="1:9" x14ac:dyDescent="0.3">
      <c r="A654" s="13"/>
      <c r="B654" s="13"/>
      <c r="C654" s="13"/>
      <c r="D654" s="13"/>
      <c r="E654" s="13"/>
      <c r="F654" s="13"/>
      <c r="G654" s="13"/>
      <c r="H654" s="13"/>
      <c r="I654" s="14"/>
    </row>
    <row r="655" spans="1:9" x14ac:dyDescent="0.3">
      <c r="A655" s="13"/>
      <c r="B655" s="13"/>
      <c r="C655" s="13"/>
      <c r="D655" s="13"/>
      <c r="E655" s="13"/>
      <c r="F655" s="13"/>
      <c r="G655" s="13"/>
      <c r="H655" s="13"/>
      <c r="I655" s="14"/>
    </row>
    <row r="656" spans="1:9" x14ac:dyDescent="0.3">
      <c r="A656" s="13"/>
      <c r="B656" s="13"/>
      <c r="C656" s="13"/>
      <c r="D656" s="13"/>
      <c r="E656" s="13"/>
      <c r="F656" s="13"/>
      <c r="G656" s="13"/>
      <c r="H656" s="13"/>
      <c r="I656" s="14"/>
    </row>
    <row r="657" spans="1:9" x14ac:dyDescent="0.3">
      <c r="A657" s="13"/>
      <c r="B657" s="13"/>
      <c r="C657" s="13"/>
      <c r="D657" s="13"/>
      <c r="E657" s="13"/>
      <c r="F657" s="13"/>
      <c r="G657" s="13"/>
      <c r="H657" s="13"/>
      <c r="I657" s="14"/>
    </row>
    <row r="658" spans="1:9" x14ac:dyDescent="0.3">
      <c r="A658" s="13"/>
      <c r="B658" s="13"/>
      <c r="C658" s="13"/>
      <c r="D658" s="13"/>
      <c r="E658" s="13"/>
      <c r="F658" s="13"/>
      <c r="G658" s="13"/>
      <c r="H658" s="13"/>
      <c r="I658" s="14"/>
    </row>
    <row r="659" spans="1:9" x14ac:dyDescent="0.3">
      <c r="A659" s="13"/>
      <c r="B659" s="13"/>
      <c r="C659" s="13"/>
      <c r="D659" s="13"/>
      <c r="E659" s="13"/>
      <c r="F659" s="13"/>
      <c r="G659" s="13"/>
      <c r="H659" s="13"/>
      <c r="I659" s="14"/>
    </row>
    <row r="660" spans="1:9" x14ac:dyDescent="0.3">
      <c r="A660" s="13"/>
      <c r="B660" s="13"/>
      <c r="C660" s="13"/>
      <c r="D660" s="13"/>
      <c r="E660" s="13"/>
      <c r="F660" s="13"/>
      <c r="G660" s="13"/>
      <c r="H660" s="13"/>
      <c r="I660" s="14"/>
    </row>
    <row r="661" spans="1:9" x14ac:dyDescent="0.3">
      <c r="A661" s="13"/>
      <c r="B661" s="13"/>
      <c r="C661" s="13"/>
      <c r="D661" s="13"/>
      <c r="E661" s="13"/>
      <c r="F661" s="13"/>
      <c r="G661" s="13"/>
      <c r="H661" s="13"/>
      <c r="I661" s="14"/>
    </row>
    <row r="662" spans="1:9" x14ac:dyDescent="0.3">
      <c r="A662" s="13"/>
      <c r="B662" s="13"/>
      <c r="C662" s="13"/>
      <c r="D662" s="13"/>
      <c r="E662" s="13"/>
      <c r="F662" s="13"/>
      <c r="G662" s="13"/>
      <c r="H662" s="13"/>
      <c r="I662" s="14"/>
    </row>
    <row r="663" spans="1:9" x14ac:dyDescent="0.3">
      <c r="A663" s="13"/>
      <c r="B663" s="13"/>
      <c r="C663" s="13"/>
      <c r="D663" s="13"/>
      <c r="E663" s="13"/>
      <c r="F663" s="13"/>
      <c r="G663" s="13"/>
      <c r="H663" s="13"/>
      <c r="I663" s="14"/>
    </row>
    <row r="664" spans="1:9" x14ac:dyDescent="0.3">
      <c r="A664" s="13"/>
      <c r="B664" s="13"/>
      <c r="C664" s="13"/>
      <c r="D664" s="13"/>
      <c r="E664" s="13"/>
      <c r="F664" s="13"/>
      <c r="G664" s="13"/>
      <c r="H664" s="13"/>
      <c r="I664" s="14"/>
    </row>
    <row r="665" spans="1:9" x14ac:dyDescent="0.3">
      <c r="A665" s="13"/>
      <c r="B665" s="13"/>
      <c r="C665" s="13"/>
      <c r="D665" s="13"/>
      <c r="E665" s="13"/>
      <c r="F665" s="13"/>
      <c r="G665" s="13"/>
      <c r="H665" s="13"/>
      <c r="I665" s="14"/>
    </row>
    <row r="666" spans="1:9" x14ac:dyDescent="0.3">
      <c r="A666" s="13"/>
      <c r="B666" s="13"/>
      <c r="C666" s="13"/>
      <c r="D666" s="13"/>
      <c r="E666" s="13"/>
      <c r="F666" s="13"/>
      <c r="G666" s="13"/>
      <c r="H666" s="13"/>
      <c r="I666" s="14"/>
    </row>
    <row r="667" spans="1:9" x14ac:dyDescent="0.3">
      <c r="A667" s="13"/>
      <c r="B667" s="13"/>
      <c r="C667" s="13"/>
      <c r="D667" s="13"/>
      <c r="E667" s="13"/>
      <c r="F667" s="13"/>
      <c r="G667" s="13"/>
      <c r="H667" s="13"/>
      <c r="I667" s="14"/>
    </row>
    <row r="668" spans="1:9" x14ac:dyDescent="0.3">
      <c r="A668" s="13"/>
      <c r="B668" s="13"/>
      <c r="C668" s="13"/>
      <c r="D668" s="13"/>
      <c r="E668" s="13"/>
      <c r="F668" s="13"/>
      <c r="G668" s="13"/>
      <c r="H668" s="13"/>
      <c r="I668" s="14"/>
    </row>
    <row r="669" spans="1:9" x14ac:dyDescent="0.3">
      <c r="A669" s="13"/>
      <c r="B669" s="13"/>
      <c r="C669" s="13"/>
      <c r="D669" s="13"/>
      <c r="E669" s="13"/>
      <c r="F669" s="13"/>
      <c r="G669" s="13"/>
      <c r="H669" s="13"/>
      <c r="I669" s="14"/>
    </row>
    <row r="670" spans="1:9" x14ac:dyDescent="0.3">
      <c r="A670" s="13"/>
      <c r="B670" s="13"/>
      <c r="C670" s="13"/>
      <c r="D670" s="13"/>
      <c r="E670" s="13"/>
      <c r="F670" s="13"/>
      <c r="G670" s="13"/>
      <c r="H670" s="13"/>
      <c r="I670" s="14"/>
    </row>
    <row r="671" spans="1:9" x14ac:dyDescent="0.3">
      <c r="A671" s="13"/>
      <c r="B671" s="13"/>
      <c r="C671" s="13"/>
      <c r="D671" s="13"/>
      <c r="E671" s="13"/>
      <c r="F671" s="13"/>
      <c r="G671" s="13"/>
      <c r="H671" s="13"/>
      <c r="I671" s="14"/>
    </row>
    <row r="672" spans="1:9" x14ac:dyDescent="0.3">
      <c r="A672" s="13"/>
      <c r="B672" s="13"/>
      <c r="C672" s="13"/>
      <c r="D672" s="13"/>
      <c r="E672" s="13"/>
      <c r="F672" s="13"/>
      <c r="G672" s="13"/>
      <c r="H672" s="13"/>
      <c r="I672" s="14"/>
    </row>
    <row r="673" spans="1:9" x14ac:dyDescent="0.3">
      <c r="A673" s="13"/>
      <c r="B673" s="13"/>
      <c r="C673" s="13"/>
      <c r="D673" s="13"/>
      <c r="E673" s="13"/>
      <c r="F673" s="13"/>
      <c r="G673" s="13"/>
      <c r="H673" s="13"/>
      <c r="I673" s="14"/>
    </row>
    <row r="674" spans="1:9" x14ac:dyDescent="0.3">
      <c r="A674" s="13"/>
      <c r="B674" s="13"/>
      <c r="C674" s="13"/>
      <c r="D674" s="13"/>
      <c r="E674" s="13"/>
      <c r="F674" s="13"/>
      <c r="G674" s="13"/>
      <c r="H674" s="13"/>
      <c r="I674" s="14"/>
    </row>
    <row r="675" spans="1:9" x14ac:dyDescent="0.3">
      <c r="A675" s="13"/>
      <c r="B675" s="13"/>
      <c r="C675" s="13"/>
      <c r="D675" s="13"/>
      <c r="E675" s="13"/>
      <c r="F675" s="13"/>
      <c r="G675" s="13"/>
      <c r="H675" s="13"/>
      <c r="I675" s="14"/>
    </row>
    <row r="676" spans="1:9" x14ac:dyDescent="0.3">
      <c r="A676" s="13"/>
      <c r="B676" s="13"/>
      <c r="C676" s="13"/>
      <c r="D676" s="13"/>
      <c r="E676" s="13"/>
      <c r="F676" s="13"/>
      <c r="G676" s="13"/>
      <c r="H676" s="13"/>
      <c r="I676" s="14"/>
    </row>
    <row r="677" spans="1:9" x14ac:dyDescent="0.3">
      <c r="A677" s="13"/>
      <c r="B677" s="13"/>
      <c r="C677" s="13"/>
      <c r="D677" s="13"/>
      <c r="E677" s="13"/>
      <c r="F677" s="13"/>
      <c r="G677" s="13"/>
      <c r="H677" s="13"/>
      <c r="I677" s="14"/>
    </row>
    <row r="678" spans="1:9" x14ac:dyDescent="0.3">
      <c r="A678" s="13"/>
      <c r="B678" s="13"/>
      <c r="C678" s="13"/>
      <c r="D678" s="13"/>
      <c r="E678" s="13"/>
      <c r="F678" s="13"/>
      <c r="G678" s="13"/>
      <c r="H678" s="13"/>
      <c r="I678" s="14"/>
    </row>
    <row r="679" spans="1:9" x14ac:dyDescent="0.3">
      <c r="A679" s="13"/>
      <c r="B679" s="13"/>
      <c r="C679" s="13"/>
      <c r="D679" s="13"/>
      <c r="E679" s="13"/>
      <c r="F679" s="13"/>
      <c r="G679" s="13"/>
      <c r="H679" s="13"/>
      <c r="I679" s="14"/>
    </row>
    <row r="680" spans="1:9" x14ac:dyDescent="0.3">
      <c r="A680" s="13"/>
      <c r="B680" s="13"/>
      <c r="C680" s="13"/>
      <c r="D680" s="13"/>
      <c r="E680" s="13"/>
      <c r="F680" s="13"/>
      <c r="G680" s="13"/>
      <c r="H680" s="13"/>
      <c r="I680" s="14"/>
    </row>
    <row r="681" spans="1:9" x14ac:dyDescent="0.3">
      <c r="A681" s="13"/>
      <c r="B681" s="13"/>
      <c r="C681" s="13"/>
      <c r="D681" s="13"/>
      <c r="E681" s="13"/>
      <c r="F681" s="13"/>
      <c r="G681" s="13"/>
      <c r="H681" s="13"/>
      <c r="I681" s="14"/>
    </row>
    <row r="682" spans="1:9" x14ac:dyDescent="0.3">
      <c r="A682" s="13"/>
      <c r="B682" s="13"/>
      <c r="C682" s="13"/>
      <c r="D682" s="13"/>
      <c r="E682" s="13"/>
      <c r="F682" s="13"/>
      <c r="G682" s="13"/>
      <c r="H682" s="13"/>
      <c r="I682" s="14"/>
    </row>
    <row r="683" spans="1:9" x14ac:dyDescent="0.3">
      <c r="A683" s="13"/>
      <c r="B683" s="13"/>
      <c r="C683" s="13"/>
      <c r="D683" s="13"/>
      <c r="E683" s="13"/>
      <c r="F683" s="13"/>
      <c r="G683" s="13"/>
      <c r="H683" s="13"/>
      <c r="I683" s="14"/>
    </row>
    <row r="684" spans="1:9" x14ac:dyDescent="0.3">
      <c r="A684" s="13"/>
      <c r="B684" s="13"/>
      <c r="C684" s="13"/>
      <c r="D684" s="13"/>
      <c r="E684" s="13"/>
      <c r="F684" s="13"/>
      <c r="G684" s="13"/>
      <c r="H684" s="13"/>
      <c r="I684" s="14"/>
    </row>
    <row r="685" spans="1:9" x14ac:dyDescent="0.3">
      <c r="A685" s="13"/>
      <c r="B685" s="13"/>
      <c r="C685" s="13"/>
      <c r="D685" s="13"/>
      <c r="E685" s="13"/>
      <c r="F685" s="13"/>
      <c r="G685" s="13"/>
      <c r="H685" s="13"/>
      <c r="I685" s="14"/>
    </row>
    <row r="686" spans="1:9" x14ac:dyDescent="0.3">
      <c r="A686" s="13"/>
      <c r="B686" s="13"/>
      <c r="C686" s="13"/>
      <c r="D686" s="13"/>
      <c r="E686" s="13"/>
      <c r="F686" s="13"/>
      <c r="G686" s="13"/>
      <c r="H686" s="13"/>
      <c r="I686" s="14"/>
    </row>
    <row r="687" spans="1:9" x14ac:dyDescent="0.3">
      <c r="A687" s="13"/>
      <c r="B687" s="13"/>
      <c r="C687" s="13"/>
      <c r="D687" s="13"/>
      <c r="E687" s="13"/>
      <c r="F687" s="13"/>
      <c r="G687" s="13"/>
      <c r="H687" s="13"/>
      <c r="I687" s="14"/>
    </row>
    <row r="688" spans="1:9" x14ac:dyDescent="0.3">
      <c r="A688" s="13"/>
      <c r="B688" s="13"/>
      <c r="C688" s="13"/>
      <c r="D688" s="13"/>
      <c r="E688" s="13"/>
      <c r="F688" s="13"/>
      <c r="G688" s="13"/>
      <c r="H688" s="13"/>
      <c r="I688" s="14"/>
    </row>
    <row r="689" spans="1:9" x14ac:dyDescent="0.3">
      <c r="A689" s="13"/>
      <c r="B689" s="13"/>
      <c r="C689" s="13"/>
      <c r="D689" s="13"/>
      <c r="E689" s="13"/>
      <c r="F689" s="13"/>
      <c r="G689" s="13"/>
      <c r="H689" s="13"/>
      <c r="I689" s="14"/>
    </row>
    <row r="690" spans="1:9" x14ac:dyDescent="0.3">
      <c r="A690" s="13"/>
      <c r="B690" s="13"/>
      <c r="C690" s="13"/>
      <c r="D690" s="13"/>
      <c r="E690" s="13"/>
      <c r="F690" s="13"/>
      <c r="G690" s="13"/>
      <c r="H690" s="13"/>
      <c r="I690" s="14"/>
    </row>
    <row r="691" spans="1:9" x14ac:dyDescent="0.3">
      <c r="A691" s="13"/>
      <c r="B691" s="13"/>
      <c r="C691" s="13"/>
      <c r="D691" s="13"/>
      <c r="E691" s="13"/>
      <c r="F691" s="13"/>
      <c r="G691" s="13"/>
      <c r="H691" s="13"/>
      <c r="I691" s="14"/>
    </row>
    <row r="692" spans="1:9" x14ac:dyDescent="0.3">
      <c r="A692" s="13"/>
      <c r="B692" s="13"/>
      <c r="C692" s="13"/>
      <c r="D692" s="13"/>
      <c r="E692" s="13"/>
      <c r="F692" s="13"/>
      <c r="G692" s="13"/>
      <c r="H692" s="13"/>
      <c r="I692" s="14"/>
    </row>
    <row r="693" spans="1:9" x14ac:dyDescent="0.3">
      <c r="A693" s="13"/>
      <c r="B693" s="13"/>
      <c r="C693" s="13"/>
      <c r="D693" s="13"/>
      <c r="E693" s="13"/>
      <c r="F693" s="13"/>
      <c r="G693" s="13"/>
      <c r="H693" s="13"/>
      <c r="I693" s="14"/>
    </row>
    <row r="694" spans="1:9" x14ac:dyDescent="0.3">
      <c r="A694" s="13"/>
      <c r="B694" s="13"/>
      <c r="C694" s="13"/>
      <c r="D694" s="13"/>
      <c r="E694" s="13"/>
      <c r="F694" s="13"/>
      <c r="G694" s="13"/>
      <c r="H694" s="13"/>
      <c r="I694" s="14"/>
    </row>
    <row r="695" spans="1:9" x14ac:dyDescent="0.3">
      <c r="A695" s="13"/>
      <c r="B695" s="13"/>
      <c r="C695" s="13"/>
      <c r="D695" s="13"/>
      <c r="E695" s="13"/>
      <c r="F695" s="13"/>
      <c r="G695" s="13"/>
      <c r="H695" s="13"/>
      <c r="I695" s="14"/>
    </row>
    <row r="696" spans="1:9" x14ac:dyDescent="0.3">
      <c r="A696" s="13"/>
      <c r="B696" s="13"/>
      <c r="C696" s="13"/>
      <c r="D696" s="13"/>
      <c r="E696" s="13"/>
      <c r="F696" s="13"/>
      <c r="G696" s="13"/>
      <c r="H696" s="13"/>
      <c r="I696" s="14"/>
    </row>
    <row r="697" spans="1:9" x14ac:dyDescent="0.3">
      <c r="A697" s="13"/>
      <c r="B697" s="13"/>
      <c r="C697" s="13"/>
      <c r="D697" s="13"/>
      <c r="E697" s="13"/>
      <c r="F697" s="13"/>
      <c r="G697" s="13"/>
      <c r="H697" s="13"/>
      <c r="I697" s="14"/>
    </row>
    <row r="698" spans="1:9" x14ac:dyDescent="0.3">
      <c r="A698" s="13"/>
      <c r="B698" s="13"/>
      <c r="C698" s="13"/>
      <c r="D698" s="13"/>
      <c r="E698" s="13"/>
      <c r="F698" s="13"/>
      <c r="G698" s="13"/>
      <c r="H698" s="13"/>
      <c r="I698" s="14"/>
    </row>
    <row r="699" spans="1:9" x14ac:dyDescent="0.3">
      <c r="A699" s="13"/>
      <c r="B699" s="13"/>
      <c r="C699" s="13"/>
      <c r="D699" s="13"/>
      <c r="E699" s="13"/>
      <c r="F699" s="13"/>
      <c r="G699" s="13"/>
      <c r="H699" s="13"/>
      <c r="I699" s="14"/>
    </row>
    <row r="700" spans="1:9" x14ac:dyDescent="0.3">
      <c r="A700" s="13"/>
      <c r="B700" s="13"/>
      <c r="C700" s="13"/>
      <c r="D700" s="13"/>
      <c r="E700" s="13"/>
      <c r="F700" s="13"/>
      <c r="G700" s="13"/>
      <c r="H700" s="13"/>
      <c r="I700" s="14"/>
    </row>
    <row r="701" spans="1:9" x14ac:dyDescent="0.3">
      <c r="A701" s="13"/>
      <c r="B701" s="13"/>
      <c r="C701" s="13"/>
      <c r="D701" s="13"/>
      <c r="E701" s="13"/>
      <c r="F701" s="13"/>
      <c r="G701" s="13"/>
      <c r="H701" s="13"/>
      <c r="I701" s="14"/>
    </row>
    <row r="702" spans="1:9" x14ac:dyDescent="0.3">
      <c r="A702" s="13"/>
      <c r="B702" s="13"/>
      <c r="C702" s="13"/>
      <c r="D702" s="13"/>
      <c r="E702" s="13"/>
      <c r="F702" s="13"/>
      <c r="G702" s="13"/>
      <c r="H702" s="13"/>
      <c r="I702" s="14"/>
    </row>
    <row r="703" spans="1:9" x14ac:dyDescent="0.3">
      <c r="A703" s="13"/>
      <c r="B703" s="13"/>
      <c r="C703" s="13"/>
      <c r="D703" s="13"/>
      <c r="E703" s="13"/>
      <c r="F703" s="13"/>
      <c r="G703" s="13"/>
      <c r="H703" s="13"/>
      <c r="I703" s="14"/>
    </row>
    <row r="704" spans="1:9" x14ac:dyDescent="0.3">
      <c r="A704" s="13"/>
      <c r="B704" s="13"/>
      <c r="C704" s="13"/>
      <c r="D704" s="13"/>
      <c r="E704" s="13"/>
      <c r="F704" s="13"/>
      <c r="G704" s="13"/>
      <c r="H704" s="13"/>
      <c r="I704" s="14"/>
    </row>
    <row r="705" spans="1:9" x14ac:dyDescent="0.3">
      <c r="A705" s="13"/>
      <c r="B705" s="13"/>
      <c r="C705" s="13"/>
      <c r="D705" s="13"/>
      <c r="E705" s="13"/>
      <c r="F705" s="13"/>
      <c r="G705" s="13"/>
      <c r="H705" s="13"/>
      <c r="I705" s="14"/>
    </row>
    <row r="706" spans="1:9" x14ac:dyDescent="0.3">
      <c r="A706" s="13"/>
      <c r="B706" s="13"/>
      <c r="C706" s="13"/>
      <c r="D706" s="13"/>
      <c r="E706" s="13"/>
      <c r="F706" s="13"/>
      <c r="G706" s="13"/>
      <c r="H706" s="13"/>
      <c r="I706" s="14"/>
    </row>
    <row r="707" spans="1:9" x14ac:dyDescent="0.3">
      <c r="A707" s="13"/>
      <c r="B707" s="13"/>
      <c r="C707" s="13"/>
      <c r="D707" s="13"/>
      <c r="E707" s="13"/>
      <c r="F707" s="13"/>
      <c r="G707" s="13"/>
      <c r="H707" s="13"/>
      <c r="I707" s="14"/>
    </row>
    <row r="708" spans="1:9" x14ac:dyDescent="0.3">
      <c r="A708" s="13"/>
      <c r="B708" s="13"/>
      <c r="C708" s="13"/>
      <c r="D708" s="13"/>
      <c r="E708" s="13"/>
      <c r="F708" s="13"/>
      <c r="G708" s="13"/>
      <c r="H708" s="13"/>
      <c r="I708" s="14"/>
    </row>
    <row r="709" spans="1:9" x14ac:dyDescent="0.3">
      <c r="A709" s="13"/>
      <c r="B709" s="13"/>
      <c r="C709" s="13"/>
      <c r="D709" s="13"/>
      <c r="E709" s="13"/>
      <c r="F709" s="13"/>
      <c r="G709" s="13"/>
      <c r="H709" s="13"/>
      <c r="I709" s="14"/>
    </row>
    <row r="710" spans="1:9" x14ac:dyDescent="0.3">
      <c r="A710" s="13"/>
      <c r="B710" s="13"/>
      <c r="C710" s="13"/>
      <c r="D710" s="13"/>
      <c r="E710" s="13"/>
      <c r="F710" s="13"/>
      <c r="G710" s="13"/>
      <c r="H710" s="13"/>
      <c r="I710" s="14"/>
    </row>
    <row r="711" spans="1:9" x14ac:dyDescent="0.3">
      <c r="A711" s="13"/>
      <c r="B711" s="13"/>
      <c r="C711" s="13"/>
      <c r="D711" s="13"/>
      <c r="E711" s="13"/>
      <c r="F711" s="13"/>
      <c r="G711" s="13"/>
      <c r="H711" s="13"/>
      <c r="I711" s="14"/>
    </row>
    <row r="712" spans="1:9" x14ac:dyDescent="0.3">
      <c r="A712" s="13"/>
      <c r="B712" s="13"/>
      <c r="C712" s="13"/>
      <c r="D712" s="13"/>
      <c r="E712" s="13"/>
      <c r="F712" s="13"/>
      <c r="G712" s="13"/>
      <c r="H712" s="13"/>
      <c r="I712" s="14"/>
    </row>
    <row r="713" spans="1:9" x14ac:dyDescent="0.3">
      <c r="A713" s="13"/>
      <c r="B713" s="13"/>
      <c r="C713" s="13"/>
      <c r="D713" s="13"/>
      <c r="E713" s="13"/>
      <c r="F713" s="13"/>
      <c r="G713" s="13"/>
      <c r="H713" s="13"/>
      <c r="I713" s="14"/>
    </row>
    <row r="714" spans="1:9" x14ac:dyDescent="0.3">
      <c r="A714" s="13"/>
      <c r="B714" s="13"/>
      <c r="C714" s="13"/>
      <c r="D714" s="13"/>
      <c r="E714" s="13"/>
      <c r="F714" s="13"/>
      <c r="G714" s="13"/>
      <c r="H714" s="13"/>
      <c r="I714" s="14"/>
    </row>
    <row r="715" spans="1:9" x14ac:dyDescent="0.3">
      <c r="A715" s="13"/>
      <c r="B715" s="13"/>
      <c r="C715" s="13"/>
      <c r="D715" s="13"/>
      <c r="E715" s="13"/>
      <c r="F715" s="13"/>
      <c r="G715" s="13"/>
      <c r="H715" s="13"/>
      <c r="I715" s="14"/>
    </row>
    <row r="716" spans="1:9" x14ac:dyDescent="0.3">
      <c r="A716" s="13"/>
      <c r="B716" s="13"/>
      <c r="C716" s="13"/>
      <c r="D716" s="13"/>
      <c r="E716" s="13"/>
      <c r="F716" s="13"/>
      <c r="G716" s="13"/>
      <c r="H716" s="13"/>
      <c r="I716" s="14"/>
    </row>
    <row r="717" spans="1:9" x14ac:dyDescent="0.3">
      <c r="A717" s="13"/>
      <c r="B717" s="13"/>
      <c r="C717" s="13"/>
      <c r="D717" s="13"/>
      <c r="E717" s="13"/>
      <c r="F717" s="13"/>
      <c r="G717" s="13"/>
      <c r="H717" s="13"/>
      <c r="I717" s="14"/>
    </row>
    <row r="718" spans="1:9" x14ac:dyDescent="0.3">
      <c r="A718" s="13"/>
      <c r="B718" s="13"/>
      <c r="C718" s="13"/>
      <c r="D718" s="13"/>
      <c r="E718" s="13"/>
      <c r="F718" s="13"/>
      <c r="G718" s="13"/>
      <c r="H718" s="13"/>
      <c r="I718" s="14"/>
    </row>
    <row r="719" spans="1:9" x14ac:dyDescent="0.3">
      <c r="A719" s="13"/>
      <c r="B719" s="13"/>
      <c r="C719" s="13"/>
      <c r="D719" s="13"/>
      <c r="E719" s="13"/>
      <c r="F719" s="13"/>
      <c r="G719" s="13"/>
      <c r="H719" s="13"/>
      <c r="I719" s="14"/>
    </row>
    <row r="720" spans="1:9" x14ac:dyDescent="0.3">
      <c r="A720" s="13"/>
      <c r="B720" s="13"/>
      <c r="C720" s="13"/>
      <c r="D720" s="13"/>
      <c r="E720" s="13"/>
      <c r="F720" s="13"/>
      <c r="G720" s="13"/>
      <c r="H720" s="13"/>
      <c r="I720" s="14"/>
    </row>
    <row r="721" spans="1:9" x14ac:dyDescent="0.3">
      <c r="A721" s="13"/>
      <c r="B721" s="13"/>
      <c r="C721" s="13"/>
      <c r="D721" s="13"/>
      <c r="E721" s="13"/>
      <c r="F721" s="13"/>
      <c r="G721" s="13"/>
      <c r="H721" s="13"/>
      <c r="I721" s="14"/>
    </row>
    <row r="722" spans="1:9" x14ac:dyDescent="0.3">
      <c r="A722" s="13"/>
      <c r="B722" s="13"/>
      <c r="C722" s="13"/>
      <c r="D722" s="13"/>
      <c r="E722" s="13"/>
      <c r="F722" s="13"/>
      <c r="G722" s="13"/>
      <c r="H722" s="13"/>
      <c r="I722" s="14"/>
    </row>
    <row r="723" spans="1:9" x14ac:dyDescent="0.3">
      <c r="A723" s="13"/>
      <c r="B723" s="13"/>
      <c r="C723" s="13"/>
      <c r="D723" s="13"/>
      <c r="E723" s="13"/>
      <c r="F723" s="13"/>
      <c r="G723" s="13"/>
      <c r="H723" s="13"/>
      <c r="I723" s="14"/>
    </row>
    <row r="724" spans="1:9" x14ac:dyDescent="0.3">
      <c r="A724" s="13"/>
      <c r="B724" s="13"/>
      <c r="C724" s="13"/>
      <c r="D724" s="13"/>
      <c r="E724" s="13"/>
      <c r="F724" s="13"/>
      <c r="G724" s="13"/>
      <c r="H724" s="13"/>
      <c r="I724" s="14"/>
    </row>
    <row r="725" spans="1:9" x14ac:dyDescent="0.3">
      <c r="A725" s="13"/>
      <c r="B725" s="13"/>
      <c r="C725" s="13"/>
      <c r="D725" s="13"/>
      <c r="E725" s="13"/>
      <c r="F725" s="13"/>
      <c r="G725" s="13"/>
      <c r="H725" s="13"/>
      <c r="I725" s="14"/>
    </row>
    <row r="726" spans="1:9" x14ac:dyDescent="0.3">
      <c r="A726" s="13"/>
      <c r="B726" s="13"/>
      <c r="C726" s="13"/>
      <c r="D726" s="13"/>
      <c r="E726" s="13"/>
      <c r="F726" s="13"/>
      <c r="G726" s="13"/>
      <c r="H726" s="13"/>
      <c r="I726" s="14"/>
    </row>
    <row r="727" spans="1:9" x14ac:dyDescent="0.3">
      <c r="A727" s="13"/>
      <c r="B727" s="13"/>
      <c r="C727" s="13"/>
      <c r="D727" s="13"/>
      <c r="E727" s="13"/>
      <c r="F727" s="13"/>
      <c r="G727" s="13"/>
      <c r="H727" s="13"/>
      <c r="I727" s="14"/>
    </row>
    <row r="728" spans="1:9" x14ac:dyDescent="0.3">
      <c r="A728" s="13"/>
      <c r="B728" s="13"/>
      <c r="C728" s="13"/>
      <c r="D728" s="13"/>
      <c r="E728" s="13"/>
      <c r="F728" s="13"/>
      <c r="G728" s="13"/>
      <c r="H728" s="13"/>
      <c r="I728" s="14"/>
    </row>
    <row r="729" spans="1:9" x14ac:dyDescent="0.3">
      <c r="A729" s="13"/>
      <c r="B729" s="13"/>
      <c r="C729" s="13"/>
      <c r="D729" s="13"/>
      <c r="E729" s="13"/>
      <c r="F729" s="13"/>
      <c r="G729" s="13"/>
      <c r="H729" s="13"/>
      <c r="I729" s="14"/>
    </row>
    <row r="730" spans="1:9" x14ac:dyDescent="0.3">
      <c r="A730" s="13"/>
      <c r="B730" s="13"/>
      <c r="C730" s="13"/>
      <c r="D730" s="13"/>
      <c r="E730" s="13"/>
      <c r="F730" s="13"/>
      <c r="G730" s="13"/>
      <c r="H730" s="13"/>
      <c r="I730" s="14"/>
    </row>
    <row r="731" spans="1:9" x14ac:dyDescent="0.3">
      <c r="A731" s="13"/>
      <c r="B731" s="13"/>
      <c r="C731" s="13"/>
      <c r="D731" s="13"/>
      <c r="E731" s="13"/>
      <c r="F731" s="13"/>
      <c r="G731" s="13"/>
      <c r="H731" s="13"/>
      <c r="I731" s="14"/>
    </row>
    <row r="732" spans="1:9" x14ac:dyDescent="0.3">
      <c r="A732" s="13"/>
      <c r="B732" s="13"/>
      <c r="C732" s="13"/>
      <c r="D732" s="13"/>
      <c r="E732" s="13"/>
      <c r="F732" s="13"/>
      <c r="G732" s="13"/>
      <c r="H732" s="13"/>
      <c r="I732" s="14"/>
    </row>
    <row r="733" spans="1:9" x14ac:dyDescent="0.3">
      <c r="A733" s="13"/>
      <c r="B733" s="13"/>
      <c r="C733" s="13"/>
      <c r="D733" s="13"/>
      <c r="E733" s="13"/>
      <c r="F733" s="13"/>
      <c r="G733" s="13"/>
      <c r="H733" s="13"/>
      <c r="I733" s="14"/>
    </row>
    <row r="734" spans="1:9" x14ac:dyDescent="0.3">
      <c r="A734" s="13"/>
      <c r="B734" s="13"/>
      <c r="C734" s="13"/>
      <c r="D734" s="13"/>
      <c r="E734" s="13"/>
      <c r="F734" s="13"/>
      <c r="G734" s="13"/>
      <c r="H734" s="13"/>
      <c r="I734" s="14"/>
    </row>
    <row r="735" spans="1:9" x14ac:dyDescent="0.3">
      <c r="A735" s="13"/>
      <c r="B735" s="13"/>
      <c r="C735" s="13"/>
      <c r="D735" s="13"/>
      <c r="E735" s="13"/>
      <c r="F735" s="13"/>
      <c r="G735" s="13"/>
      <c r="H735" s="13"/>
      <c r="I735" s="14"/>
    </row>
    <row r="736" spans="1:9" x14ac:dyDescent="0.3">
      <c r="A736" s="13"/>
      <c r="B736" s="13"/>
      <c r="C736" s="13"/>
      <c r="D736" s="13"/>
      <c r="E736" s="13"/>
      <c r="F736" s="13"/>
      <c r="G736" s="13"/>
      <c r="H736" s="13"/>
      <c r="I736" s="14"/>
    </row>
    <row r="737" spans="1:9" x14ac:dyDescent="0.3">
      <c r="A737" s="13"/>
      <c r="B737" s="13"/>
      <c r="C737" s="13"/>
      <c r="D737" s="13"/>
      <c r="E737" s="13"/>
      <c r="F737" s="13"/>
      <c r="G737" s="13"/>
      <c r="H737" s="13"/>
      <c r="I737" s="14"/>
    </row>
    <row r="738" spans="1:9" x14ac:dyDescent="0.3">
      <c r="A738" s="13"/>
      <c r="B738" s="13"/>
      <c r="C738" s="13"/>
      <c r="D738" s="13"/>
      <c r="E738" s="13"/>
      <c r="F738" s="13"/>
      <c r="G738" s="13"/>
      <c r="H738" s="13"/>
      <c r="I738" s="14"/>
    </row>
    <row r="739" spans="1:9" x14ac:dyDescent="0.3">
      <c r="A739" s="13"/>
      <c r="B739" s="13"/>
      <c r="C739" s="13"/>
      <c r="D739" s="13"/>
      <c r="E739" s="13"/>
      <c r="F739" s="13"/>
      <c r="G739" s="13"/>
      <c r="H739" s="13"/>
      <c r="I739" s="14"/>
    </row>
    <row r="740" spans="1:9" x14ac:dyDescent="0.3">
      <c r="A740" s="13"/>
      <c r="B740" s="13"/>
      <c r="C740" s="13"/>
      <c r="D740" s="13"/>
      <c r="E740" s="13"/>
      <c r="F740" s="13"/>
      <c r="G740" s="13"/>
      <c r="H740" s="13"/>
      <c r="I740" s="14"/>
    </row>
    <row r="741" spans="1:9" x14ac:dyDescent="0.3">
      <c r="A741" s="13"/>
      <c r="B741" s="13"/>
      <c r="C741" s="13"/>
      <c r="D741" s="13"/>
      <c r="E741" s="13"/>
      <c r="F741" s="13"/>
      <c r="G741" s="13"/>
      <c r="H741" s="13"/>
      <c r="I741" s="14"/>
    </row>
    <row r="742" spans="1:9" x14ac:dyDescent="0.3">
      <c r="A742" s="13"/>
      <c r="B742" s="13"/>
      <c r="C742" s="13"/>
      <c r="D742" s="13"/>
      <c r="E742" s="13"/>
      <c r="F742" s="13"/>
      <c r="G742" s="13"/>
      <c r="H742" s="13"/>
      <c r="I742" s="14"/>
    </row>
    <row r="743" spans="1:9" x14ac:dyDescent="0.3">
      <c r="A743" s="13"/>
      <c r="B743" s="13"/>
      <c r="C743" s="13"/>
      <c r="D743" s="13"/>
      <c r="E743" s="13"/>
      <c r="F743" s="13"/>
      <c r="G743" s="13"/>
      <c r="H743" s="13"/>
      <c r="I743" s="14"/>
    </row>
    <row r="744" spans="1:9" x14ac:dyDescent="0.3">
      <c r="A744" s="13"/>
      <c r="B744" s="13"/>
      <c r="C744" s="13"/>
      <c r="D744" s="13"/>
      <c r="E744" s="13"/>
      <c r="F744" s="13"/>
      <c r="G744" s="13"/>
      <c r="H744" s="13"/>
      <c r="I744" s="14"/>
    </row>
    <row r="745" spans="1:9" x14ac:dyDescent="0.3">
      <c r="A745" s="13"/>
      <c r="B745" s="13"/>
      <c r="C745" s="13"/>
      <c r="D745" s="13"/>
      <c r="E745" s="13"/>
      <c r="F745" s="13"/>
      <c r="G745" s="13"/>
      <c r="H745" s="13"/>
      <c r="I745" s="14"/>
    </row>
    <row r="746" spans="1:9" x14ac:dyDescent="0.3">
      <c r="A746" s="13"/>
      <c r="B746" s="13"/>
      <c r="C746" s="13"/>
      <c r="D746" s="13"/>
      <c r="E746" s="13"/>
      <c r="F746" s="13"/>
      <c r="G746" s="13"/>
      <c r="H746" s="13"/>
      <c r="I746" s="14"/>
    </row>
    <row r="747" spans="1:9" x14ac:dyDescent="0.3">
      <c r="A747" s="13"/>
      <c r="B747" s="13"/>
      <c r="C747" s="13"/>
      <c r="D747" s="13"/>
      <c r="E747" s="13"/>
      <c r="F747" s="13"/>
      <c r="G747" s="13"/>
      <c r="H747" s="13"/>
      <c r="I747" s="14"/>
    </row>
    <row r="748" spans="1:9" x14ac:dyDescent="0.3">
      <c r="A748" s="13"/>
      <c r="B748" s="13"/>
      <c r="C748" s="13"/>
      <c r="D748" s="13"/>
      <c r="E748" s="13"/>
      <c r="F748" s="13"/>
      <c r="G748" s="13"/>
      <c r="H748" s="13"/>
      <c r="I748" s="14"/>
    </row>
    <row r="749" spans="1:9" x14ac:dyDescent="0.3">
      <c r="A749" s="13"/>
      <c r="B749" s="13"/>
      <c r="C749" s="13"/>
      <c r="D749" s="13"/>
      <c r="E749" s="13"/>
      <c r="F749" s="13"/>
      <c r="G749" s="13"/>
      <c r="H749" s="13"/>
      <c r="I749" s="14"/>
    </row>
    <row r="750" spans="1:9" x14ac:dyDescent="0.3">
      <c r="A750" s="13"/>
      <c r="B750" s="13"/>
      <c r="C750" s="13"/>
      <c r="D750" s="13"/>
      <c r="E750" s="13"/>
      <c r="F750" s="13"/>
      <c r="G750" s="13"/>
      <c r="H750" s="13"/>
      <c r="I750" s="14"/>
    </row>
    <row r="751" spans="1:9" x14ac:dyDescent="0.3">
      <c r="A751" s="13"/>
      <c r="B751" s="13"/>
      <c r="C751" s="13"/>
      <c r="D751" s="13"/>
      <c r="E751" s="13"/>
      <c r="F751" s="13"/>
      <c r="G751" s="13"/>
      <c r="H751" s="13"/>
      <c r="I751" s="14"/>
    </row>
    <row r="752" spans="1:9" x14ac:dyDescent="0.3">
      <c r="A752" s="13"/>
      <c r="B752" s="13"/>
      <c r="C752" s="13"/>
      <c r="D752" s="13"/>
      <c r="E752" s="13"/>
      <c r="F752" s="13"/>
      <c r="G752" s="13"/>
      <c r="H752" s="13"/>
      <c r="I752" s="14"/>
    </row>
    <row r="753" spans="1:9" x14ac:dyDescent="0.3">
      <c r="A753" s="13"/>
      <c r="B753" s="13"/>
      <c r="C753" s="13"/>
      <c r="D753" s="13"/>
      <c r="E753" s="13"/>
      <c r="F753" s="13"/>
      <c r="G753" s="13"/>
      <c r="H753" s="13"/>
      <c r="I753" s="14"/>
    </row>
    <row r="754" spans="1:9" x14ac:dyDescent="0.3">
      <c r="A754" s="13"/>
      <c r="B754" s="13"/>
      <c r="C754" s="13"/>
      <c r="D754" s="13"/>
      <c r="E754" s="13"/>
      <c r="F754" s="13"/>
      <c r="G754" s="13"/>
      <c r="H754" s="13"/>
      <c r="I754" s="14"/>
    </row>
    <row r="755" spans="1:9" x14ac:dyDescent="0.3">
      <c r="A755" s="13"/>
      <c r="B755" s="13"/>
      <c r="C755" s="13"/>
      <c r="D755" s="13"/>
      <c r="E755" s="13"/>
      <c r="F755" s="13"/>
      <c r="G755" s="13"/>
      <c r="H755" s="13"/>
      <c r="I755" s="14"/>
    </row>
    <row r="756" spans="1:9" x14ac:dyDescent="0.3">
      <c r="A756" s="13"/>
      <c r="B756" s="13"/>
      <c r="C756" s="13"/>
      <c r="D756" s="13"/>
      <c r="E756" s="13"/>
      <c r="F756" s="13"/>
      <c r="G756" s="13"/>
      <c r="H756" s="13"/>
      <c r="I756" s="14"/>
    </row>
    <row r="757" spans="1:9" x14ac:dyDescent="0.3">
      <c r="A757" s="13"/>
      <c r="B757" s="13"/>
      <c r="C757" s="13"/>
      <c r="D757" s="13"/>
      <c r="E757" s="13"/>
      <c r="F757" s="13"/>
      <c r="G757" s="13"/>
      <c r="H757" s="13"/>
      <c r="I757" s="14"/>
    </row>
    <row r="758" spans="1:9" x14ac:dyDescent="0.3">
      <c r="A758" s="13"/>
      <c r="B758" s="13"/>
      <c r="C758" s="13"/>
      <c r="D758" s="13"/>
      <c r="E758" s="13"/>
      <c r="F758" s="13"/>
      <c r="G758" s="13"/>
      <c r="H758" s="13"/>
      <c r="I758" s="14"/>
    </row>
    <row r="759" spans="1:9" x14ac:dyDescent="0.3">
      <c r="A759" s="13"/>
      <c r="B759" s="13"/>
      <c r="C759" s="13"/>
      <c r="D759" s="13"/>
      <c r="E759" s="13"/>
      <c r="F759" s="13"/>
      <c r="G759" s="13"/>
      <c r="H759" s="13"/>
      <c r="I759" s="14"/>
    </row>
    <row r="760" spans="1:9" x14ac:dyDescent="0.3">
      <c r="A760" s="13"/>
      <c r="B760" s="13"/>
      <c r="C760" s="13"/>
      <c r="D760" s="13"/>
      <c r="E760" s="13"/>
      <c r="F760" s="13"/>
      <c r="G760" s="13"/>
      <c r="H760" s="13"/>
      <c r="I760" s="14"/>
    </row>
    <row r="761" spans="1:9" x14ac:dyDescent="0.3">
      <c r="A761" s="13"/>
      <c r="B761" s="13"/>
      <c r="C761" s="13"/>
      <c r="D761" s="13"/>
      <c r="E761" s="13"/>
      <c r="F761" s="13"/>
      <c r="G761" s="13"/>
      <c r="H761" s="13"/>
      <c r="I761" s="14"/>
    </row>
    <row r="762" spans="1:9" x14ac:dyDescent="0.3">
      <c r="A762" s="13"/>
      <c r="B762" s="13"/>
      <c r="C762" s="13"/>
      <c r="D762" s="13"/>
      <c r="E762" s="13"/>
      <c r="F762" s="13"/>
      <c r="G762" s="13"/>
      <c r="H762" s="13"/>
      <c r="I762" s="14"/>
    </row>
    <row r="763" spans="1:9" x14ac:dyDescent="0.3">
      <c r="A763" s="13"/>
      <c r="B763" s="13"/>
      <c r="C763" s="13"/>
      <c r="D763" s="13"/>
      <c r="E763" s="13"/>
      <c r="F763" s="13"/>
      <c r="G763" s="13"/>
      <c r="H763" s="13"/>
      <c r="I763" s="14"/>
    </row>
    <row r="764" spans="1:9" x14ac:dyDescent="0.3">
      <c r="A764" s="13"/>
      <c r="B764" s="13"/>
      <c r="C764" s="13"/>
      <c r="D764" s="13"/>
      <c r="E764" s="13"/>
      <c r="F764" s="13"/>
      <c r="G764" s="13"/>
      <c r="H764" s="13"/>
      <c r="I764" s="14"/>
    </row>
    <row r="765" spans="1:9" x14ac:dyDescent="0.3">
      <c r="A765" s="13"/>
      <c r="B765" s="13"/>
      <c r="C765" s="13"/>
      <c r="D765" s="13"/>
      <c r="E765" s="13"/>
      <c r="F765" s="13"/>
      <c r="G765" s="13"/>
      <c r="H765" s="13"/>
      <c r="I765" s="14"/>
    </row>
    <row r="766" spans="1:9" x14ac:dyDescent="0.3">
      <c r="A766" s="13"/>
      <c r="B766" s="13"/>
      <c r="C766" s="13"/>
      <c r="D766" s="13"/>
      <c r="E766" s="13"/>
      <c r="F766" s="13"/>
      <c r="G766" s="13"/>
      <c r="H766" s="13"/>
      <c r="I766" s="14"/>
    </row>
    <row r="767" spans="1:9" x14ac:dyDescent="0.3">
      <c r="A767" s="13"/>
      <c r="B767" s="13"/>
      <c r="C767" s="13"/>
      <c r="D767" s="13"/>
      <c r="E767" s="13"/>
      <c r="F767" s="13"/>
      <c r="G767" s="13"/>
      <c r="H767" s="13"/>
      <c r="I767" s="14"/>
    </row>
    <row r="768" spans="1:9" x14ac:dyDescent="0.3">
      <c r="A768" s="13"/>
      <c r="B768" s="13"/>
      <c r="C768" s="13"/>
      <c r="D768" s="13"/>
      <c r="E768" s="13"/>
      <c r="F768" s="13"/>
      <c r="G768" s="13"/>
      <c r="H768" s="13"/>
      <c r="I768" s="14"/>
    </row>
    <row r="769" spans="1:9" x14ac:dyDescent="0.3">
      <c r="A769" s="13"/>
      <c r="B769" s="13"/>
      <c r="C769" s="13"/>
      <c r="D769" s="13"/>
      <c r="E769" s="13"/>
      <c r="F769" s="13"/>
      <c r="G769" s="13"/>
      <c r="H769" s="13"/>
      <c r="I769" s="14"/>
    </row>
    <row r="770" spans="1:9" x14ac:dyDescent="0.3">
      <c r="A770" s="13"/>
      <c r="B770" s="13"/>
      <c r="C770" s="13"/>
      <c r="D770" s="13"/>
      <c r="E770" s="13"/>
      <c r="F770" s="13"/>
      <c r="G770" s="13"/>
      <c r="H770" s="13"/>
      <c r="I770" s="14"/>
    </row>
    <row r="771" spans="1:9" x14ac:dyDescent="0.3">
      <c r="A771" s="13"/>
      <c r="B771" s="13"/>
      <c r="C771" s="13"/>
      <c r="D771" s="13"/>
      <c r="E771" s="13"/>
      <c r="F771" s="13"/>
      <c r="G771" s="13"/>
      <c r="H771" s="13"/>
      <c r="I771" s="14"/>
    </row>
    <row r="772" spans="1:9" x14ac:dyDescent="0.3">
      <c r="A772" s="13"/>
      <c r="B772" s="13"/>
      <c r="C772" s="13"/>
      <c r="D772" s="13"/>
      <c r="E772" s="13"/>
      <c r="F772" s="13"/>
      <c r="G772" s="13"/>
      <c r="H772" s="13"/>
      <c r="I772" s="14"/>
    </row>
    <row r="773" spans="1:9" x14ac:dyDescent="0.3">
      <c r="A773" s="13"/>
      <c r="B773" s="13"/>
      <c r="C773" s="13"/>
      <c r="D773" s="13"/>
      <c r="E773" s="13"/>
      <c r="F773" s="13"/>
      <c r="G773" s="13"/>
      <c r="H773" s="13"/>
      <c r="I773" s="14"/>
    </row>
    <row r="774" spans="1:9" x14ac:dyDescent="0.3">
      <c r="A774" s="13"/>
      <c r="B774" s="13"/>
      <c r="C774" s="13"/>
      <c r="D774" s="13"/>
      <c r="E774" s="13"/>
      <c r="F774" s="13"/>
      <c r="G774" s="13"/>
      <c r="H774" s="13"/>
      <c r="I774" s="14"/>
    </row>
    <row r="775" spans="1:9" x14ac:dyDescent="0.3">
      <c r="A775" s="13"/>
      <c r="B775" s="13"/>
      <c r="C775" s="13"/>
      <c r="D775" s="13"/>
      <c r="E775" s="13"/>
      <c r="F775" s="13"/>
      <c r="G775" s="13"/>
      <c r="H775" s="13"/>
      <c r="I775" s="14"/>
    </row>
    <row r="776" spans="1:9" x14ac:dyDescent="0.3">
      <c r="A776" s="13"/>
      <c r="B776" s="13"/>
      <c r="C776" s="13"/>
      <c r="D776" s="13"/>
      <c r="E776" s="13"/>
      <c r="F776" s="13"/>
      <c r="G776" s="13"/>
      <c r="H776" s="13"/>
      <c r="I776" s="14"/>
    </row>
    <row r="777" spans="1:9" x14ac:dyDescent="0.3">
      <c r="A777" s="13"/>
      <c r="B777" s="13"/>
      <c r="C777" s="13"/>
      <c r="D777" s="13"/>
      <c r="E777" s="13"/>
      <c r="F777" s="13"/>
      <c r="G777" s="13"/>
      <c r="H777" s="13"/>
      <c r="I777" s="14"/>
    </row>
    <row r="778" spans="1:9" x14ac:dyDescent="0.3">
      <c r="A778" s="13"/>
      <c r="B778" s="13"/>
      <c r="C778" s="13"/>
      <c r="D778" s="13"/>
      <c r="E778" s="13"/>
      <c r="F778" s="13"/>
      <c r="G778" s="13"/>
      <c r="H778" s="13"/>
      <c r="I778" s="14"/>
    </row>
    <row r="779" spans="1:9" x14ac:dyDescent="0.3">
      <c r="A779" s="13"/>
      <c r="B779" s="13"/>
      <c r="C779" s="13"/>
      <c r="D779" s="13"/>
      <c r="E779" s="13"/>
      <c r="F779" s="13"/>
      <c r="G779" s="13"/>
      <c r="H779" s="13"/>
      <c r="I779" s="14"/>
    </row>
    <row r="780" spans="1:9" x14ac:dyDescent="0.3">
      <c r="A780" s="13"/>
      <c r="B780" s="13"/>
      <c r="C780" s="13"/>
      <c r="D780" s="13"/>
      <c r="E780" s="13"/>
      <c r="F780" s="13"/>
      <c r="G780" s="13"/>
      <c r="H780" s="13"/>
      <c r="I780" s="14"/>
    </row>
    <row r="781" spans="1:9" x14ac:dyDescent="0.3">
      <c r="A781" s="13"/>
      <c r="B781" s="13"/>
      <c r="C781" s="13"/>
      <c r="D781" s="13"/>
      <c r="E781" s="13"/>
      <c r="F781" s="13"/>
      <c r="G781" s="13"/>
      <c r="H781" s="13"/>
      <c r="I781" s="14"/>
    </row>
    <row r="782" spans="1:9" x14ac:dyDescent="0.3">
      <c r="A782" s="13"/>
      <c r="B782" s="13"/>
      <c r="C782" s="13"/>
      <c r="D782" s="13"/>
      <c r="E782" s="13"/>
      <c r="F782" s="13"/>
      <c r="G782" s="13"/>
      <c r="H782" s="13"/>
      <c r="I782" s="14"/>
    </row>
    <row r="783" spans="1:9" x14ac:dyDescent="0.3">
      <c r="A783" s="13"/>
      <c r="B783" s="13"/>
      <c r="C783" s="13"/>
      <c r="D783" s="13"/>
      <c r="E783" s="13"/>
      <c r="F783" s="13"/>
      <c r="G783" s="13"/>
      <c r="H783" s="13"/>
      <c r="I783" s="14"/>
    </row>
    <row r="784" spans="1:9" x14ac:dyDescent="0.3">
      <c r="A784" s="13"/>
      <c r="B784" s="13"/>
      <c r="C784" s="13"/>
      <c r="D784" s="13"/>
      <c r="E784" s="13"/>
      <c r="F784" s="13"/>
      <c r="G784" s="13"/>
      <c r="H784" s="13"/>
      <c r="I784" s="14"/>
    </row>
    <row r="785" spans="1:9" x14ac:dyDescent="0.3">
      <c r="A785" s="13"/>
      <c r="B785" s="13"/>
      <c r="C785" s="13"/>
      <c r="D785" s="13"/>
      <c r="E785" s="13"/>
      <c r="F785" s="13"/>
      <c r="G785" s="13"/>
      <c r="H785" s="13"/>
      <c r="I785" s="14"/>
    </row>
    <row r="786" spans="1:9" x14ac:dyDescent="0.3">
      <c r="A786" s="13"/>
      <c r="B786" s="13"/>
      <c r="C786" s="13"/>
      <c r="D786" s="13"/>
      <c r="E786" s="13"/>
      <c r="F786" s="13"/>
      <c r="G786" s="13"/>
      <c r="H786" s="13"/>
      <c r="I786" s="14"/>
    </row>
    <row r="787" spans="1:9" x14ac:dyDescent="0.3">
      <c r="A787" s="13"/>
      <c r="B787" s="13"/>
      <c r="C787" s="13"/>
      <c r="D787" s="13"/>
      <c r="E787" s="13"/>
      <c r="F787" s="13"/>
      <c r="G787" s="13"/>
      <c r="H787" s="13"/>
      <c r="I787" s="14"/>
    </row>
    <row r="788" spans="1:9" x14ac:dyDescent="0.3">
      <c r="A788" s="13"/>
      <c r="B788" s="13"/>
      <c r="C788" s="13"/>
      <c r="D788" s="13"/>
      <c r="E788" s="13"/>
      <c r="F788" s="13"/>
      <c r="G788" s="13"/>
      <c r="H788" s="13"/>
      <c r="I788" s="14"/>
    </row>
    <row r="789" spans="1:9" x14ac:dyDescent="0.3">
      <c r="A789" s="13"/>
      <c r="B789" s="13"/>
      <c r="C789" s="13"/>
      <c r="D789" s="13"/>
      <c r="E789" s="13"/>
      <c r="F789" s="13"/>
      <c r="G789" s="13"/>
      <c r="H789" s="13"/>
      <c r="I789" s="14"/>
    </row>
    <row r="790" spans="1:9" x14ac:dyDescent="0.3">
      <c r="A790" s="13"/>
      <c r="B790" s="13"/>
      <c r="C790" s="13"/>
      <c r="D790" s="13"/>
      <c r="E790" s="13"/>
      <c r="F790" s="13"/>
      <c r="G790" s="13"/>
      <c r="H790" s="13"/>
      <c r="I790" s="14"/>
    </row>
    <row r="791" spans="1:9" x14ac:dyDescent="0.3">
      <c r="A791" s="13"/>
      <c r="B791" s="13"/>
      <c r="C791" s="13"/>
      <c r="D791" s="13"/>
      <c r="E791" s="13"/>
      <c r="F791" s="13"/>
      <c r="G791" s="13"/>
      <c r="H791" s="13"/>
      <c r="I791" s="14"/>
    </row>
    <row r="792" spans="1:9" x14ac:dyDescent="0.3">
      <c r="A792" s="13"/>
      <c r="B792" s="13"/>
      <c r="C792" s="13"/>
      <c r="D792" s="13"/>
      <c r="E792" s="13"/>
      <c r="F792" s="13"/>
      <c r="G792" s="13"/>
      <c r="H792" s="13"/>
      <c r="I792" s="14"/>
    </row>
    <row r="793" spans="1:9" x14ac:dyDescent="0.3">
      <c r="A793" s="13"/>
      <c r="B793" s="13"/>
      <c r="C793" s="13"/>
      <c r="D793" s="13"/>
      <c r="E793" s="13"/>
      <c r="F793" s="13"/>
      <c r="G793" s="13"/>
      <c r="H793" s="13"/>
      <c r="I793" s="14"/>
    </row>
    <row r="794" spans="1:9" x14ac:dyDescent="0.3">
      <c r="A794" s="13"/>
      <c r="B794" s="13"/>
      <c r="C794" s="13"/>
      <c r="D794" s="13"/>
      <c r="E794" s="13"/>
      <c r="F794" s="13"/>
      <c r="G794" s="13"/>
      <c r="H794" s="13"/>
      <c r="I794" s="14"/>
    </row>
    <row r="795" spans="1:9" x14ac:dyDescent="0.3">
      <c r="A795" s="13"/>
      <c r="B795" s="13"/>
      <c r="C795" s="13"/>
      <c r="D795" s="13"/>
      <c r="E795" s="13"/>
      <c r="F795" s="13"/>
      <c r="G795" s="13"/>
      <c r="H795" s="13"/>
      <c r="I795" s="14"/>
    </row>
    <row r="796" spans="1:9" x14ac:dyDescent="0.3">
      <c r="A796" s="13"/>
      <c r="B796" s="13"/>
      <c r="C796" s="13"/>
      <c r="D796" s="13"/>
      <c r="E796" s="13"/>
      <c r="F796" s="13"/>
      <c r="G796" s="13"/>
      <c r="H796" s="13"/>
      <c r="I796" s="14"/>
    </row>
    <row r="797" spans="1:9" x14ac:dyDescent="0.3">
      <c r="A797" s="13"/>
      <c r="B797" s="13"/>
      <c r="C797" s="13"/>
      <c r="D797" s="13"/>
      <c r="E797" s="13"/>
      <c r="F797" s="13"/>
      <c r="G797" s="13"/>
      <c r="H797" s="13"/>
      <c r="I797" s="14"/>
    </row>
    <row r="798" spans="1:9" x14ac:dyDescent="0.3">
      <c r="A798" s="13"/>
      <c r="B798" s="13"/>
      <c r="C798" s="13"/>
      <c r="D798" s="13"/>
      <c r="E798" s="13"/>
      <c r="F798" s="13"/>
      <c r="G798" s="13"/>
      <c r="H798" s="13"/>
      <c r="I798" s="14"/>
    </row>
    <row r="799" spans="1:9" x14ac:dyDescent="0.3">
      <c r="A799" s="13"/>
      <c r="B799" s="13"/>
      <c r="C799" s="13"/>
      <c r="D799" s="13"/>
      <c r="E799" s="13"/>
      <c r="F799" s="13"/>
      <c r="G799" s="13"/>
      <c r="H799" s="13"/>
      <c r="I799" s="14"/>
    </row>
    <row r="800" spans="1:9" x14ac:dyDescent="0.3">
      <c r="A800" s="13"/>
      <c r="B800" s="13"/>
      <c r="C800" s="13"/>
      <c r="D800" s="13"/>
      <c r="E800" s="13"/>
      <c r="F800" s="13"/>
      <c r="G800" s="13"/>
      <c r="H800" s="13"/>
      <c r="I800" s="14"/>
    </row>
    <row r="801" spans="1:9" x14ac:dyDescent="0.3">
      <c r="A801" s="13"/>
      <c r="B801" s="13"/>
      <c r="C801" s="13"/>
      <c r="D801" s="13"/>
      <c r="E801" s="13"/>
      <c r="F801" s="13"/>
      <c r="G801" s="13"/>
      <c r="H801" s="13"/>
      <c r="I801" s="14"/>
    </row>
    <row r="802" spans="1:9" x14ac:dyDescent="0.3">
      <c r="A802" s="13"/>
      <c r="B802" s="13"/>
      <c r="C802" s="13"/>
      <c r="D802" s="13"/>
      <c r="E802" s="13"/>
      <c r="F802" s="13"/>
      <c r="G802" s="13"/>
      <c r="H802" s="13"/>
      <c r="I802" s="14"/>
    </row>
    <row r="803" spans="1:9" x14ac:dyDescent="0.3">
      <c r="A803" s="13"/>
      <c r="B803" s="13"/>
      <c r="C803" s="13"/>
      <c r="D803" s="13"/>
      <c r="E803" s="13"/>
      <c r="F803" s="13"/>
      <c r="G803" s="13"/>
      <c r="H803" s="13"/>
      <c r="I803" s="14"/>
    </row>
    <row r="804" spans="1:9" x14ac:dyDescent="0.3">
      <c r="A804" s="13"/>
      <c r="B804" s="13"/>
      <c r="C804" s="13"/>
      <c r="D804" s="13"/>
      <c r="E804" s="13"/>
      <c r="F804" s="13"/>
      <c r="G804" s="13"/>
      <c r="H804" s="13"/>
      <c r="I804" s="14"/>
    </row>
    <row r="805" spans="1:9" x14ac:dyDescent="0.3">
      <c r="A805" s="13"/>
      <c r="B805" s="13"/>
      <c r="C805" s="13"/>
      <c r="D805" s="13"/>
      <c r="E805" s="13"/>
      <c r="F805" s="13"/>
      <c r="G805" s="13"/>
      <c r="H805" s="13"/>
      <c r="I805" s="14"/>
    </row>
    <row r="806" spans="1:9" x14ac:dyDescent="0.3">
      <c r="A806" s="13"/>
      <c r="B806" s="13"/>
      <c r="C806" s="13"/>
      <c r="D806" s="13"/>
      <c r="E806" s="13"/>
      <c r="F806" s="13"/>
      <c r="G806" s="13"/>
      <c r="H806" s="13"/>
      <c r="I806" s="14"/>
    </row>
    <row r="807" spans="1:9" x14ac:dyDescent="0.3">
      <c r="A807" s="13"/>
      <c r="B807" s="13"/>
      <c r="C807" s="13"/>
      <c r="D807" s="13"/>
      <c r="E807" s="13"/>
      <c r="F807" s="13"/>
      <c r="G807" s="13"/>
      <c r="H807" s="13"/>
      <c r="I807" s="14"/>
    </row>
    <row r="808" spans="1:9" x14ac:dyDescent="0.3">
      <c r="A808" s="13"/>
      <c r="B808" s="13"/>
      <c r="C808" s="13"/>
      <c r="D808" s="13"/>
      <c r="E808" s="13"/>
      <c r="F808" s="13"/>
      <c r="G808" s="13"/>
      <c r="H808" s="13"/>
      <c r="I808" s="14"/>
    </row>
    <row r="809" spans="1:9" x14ac:dyDescent="0.3">
      <c r="A809" s="13"/>
      <c r="B809" s="13"/>
      <c r="C809" s="13"/>
      <c r="D809" s="13"/>
      <c r="E809" s="13"/>
      <c r="F809" s="13"/>
      <c r="G809" s="13"/>
      <c r="H809" s="13"/>
      <c r="I809" s="14"/>
    </row>
    <row r="810" spans="1:9" x14ac:dyDescent="0.3">
      <c r="A810" s="13"/>
      <c r="B810" s="13"/>
      <c r="C810" s="13"/>
      <c r="D810" s="13"/>
      <c r="E810" s="13"/>
      <c r="F810" s="13"/>
      <c r="G810" s="13"/>
      <c r="H810" s="13"/>
      <c r="I810" s="14"/>
    </row>
    <row r="811" spans="1:9" x14ac:dyDescent="0.3">
      <c r="A811" s="13"/>
      <c r="B811" s="13"/>
      <c r="C811" s="13"/>
      <c r="D811" s="13"/>
      <c r="E811" s="13"/>
      <c r="F811" s="13"/>
      <c r="G811" s="13"/>
      <c r="H811" s="13"/>
      <c r="I811" s="14"/>
    </row>
    <row r="812" spans="1:9" x14ac:dyDescent="0.3">
      <c r="A812" s="13"/>
      <c r="B812" s="13"/>
      <c r="C812" s="13"/>
      <c r="D812" s="13"/>
      <c r="E812" s="13"/>
      <c r="F812" s="13"/>
      <c r="G812" s="13"/>
      <c r="H812" s="13"/>
      <c r="I812" s="14"/>
    </row>
    <row r="813" spans="1:9" x14ac:dyDescent="0.3">
      <c r="A813" s="13"/>
      <c r="B813" s="13"/>
      <c r="C813" s="13"/>
      <c r="D813" s="13"/>
      <c r="E813" s="13"/>
      <c r="F813" s="13"/>
      <c r="G813" s="13"/>
      <c r="H813" s="13"/>
      <c r="I813" s="14"/>
    </row>
  </sheetData>
  <autoFilter ref="A3:I800" xr:uid="{00000000-0009-0000-0000-000011000000}">
    <sortState xmlns:xlrd2="http://schemas.microsoft.com/office/spreadsheetml/2017/richdata2" ref="A4:I801">
      <sortCondition ref="C3:C4"/>
    </sortState>
  </autoFilter>
  <phoneticPr fontId="4"/>
  <pageMargins left="0.39370078740157483" right="0.39370078740157483" top="0.39370078740157483" bottom="0.39370078740157483" header="0.39370078740157483" footer="0.39370078740157483"/>
  <pageSetup paperSize="9" scale="65" fitToHeight="0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E645"/>
  <sheetViews>
    <sheetView showGridLines="0" topLeftCell="A76" zoomScale="85" zoomScaleNormal="85" workbookViewId="0">
      <selection activeCell="A88" sqref="A88"/>
    </sheetView>
  </sheetViews>
  <sheetFormatPr defaultColWidth="8.6328125" defaultRowHeight="18" x14ac:dyDescent="0.3"/>
  <cols>
    <col min="1" max="1" width="30.6328125" style="75" customWidth="1"/>
    <col min="2" max="2" width="28" style="75" bestFit="1" customWidth="1"/>
    <col min="3" max="3" width="10.6328125" customWidth="1"/>
    <col min="4" max="4" width="5.6328125" customWidth="1"/>
    <col min="5" max="5" width="39.6328125" style="75" bestFit="1" customWidth="1"/>
    <col min="6" max="16384" width="8.6328125" style="75"/>
  </cols>
  <sheetData>
    <row r="1" spans="1:5" x14ac:dyDescent="0.3">
      <c r="A1" s="77" t="s">
        <v>232</v>
      </c>
      <c r="B1" s="77" t="s">
        <v>233</v>
      </c>
      <c r="C1" s="78" t="s">
        <v>1104</v>
      </c>
      <c r="D1" s="74"/>
    </row>
    <row r="2" spans="1:5" x14ac:dyDescent="0.3">
      <c r="A2" s="79" t="s">
        <v>234</v>
      </c>
      <c r="B2" s="79" t="s">
        <v>235</v>
      </c>
      <c r="C2" s="80"/>
      <c r="E2" s="73" t="s">
        <v>236</v>
      </c>
    </row>
    <row r="3" spans="1:5" x14ac:dyDescent="0.3">
      <c r="A3" s="79" t="s">
        <v>237</v>
      </c>
      <c r="B3" s="79" t="s">
        <v>238</v>
      </c>
      <c r="C3" s="80"/>
    </row>
    <row r="4" spans="1:5" x14ac:dyDescent="0.3">
      <c r="A4" s="79" t="s">
        <v>239</v>
      </c>
      <c r="B4" s="79" t="s">
        <v>240</v>
      </c>
      <c r="C4" s="80"/>
    </row>
    <row r="5" spans="1:5" x14ac:dyDescent="0.3">
      <c r="A5" s="79" t="s">
        <v>241</v>
      </c>
      <c r="B5" s="79" t="s">
        <v>242</v>
      </c>
      <c r="C5" s="80"/>
    </row>
    <row r="6" spans="1:5" x14ac:dyDescent="0.3">
      <c r="A6" s="81" t="s">
        <v>243</v>
      </c>
      <c r="B6" s="82" t="s">
        <v>244</v>
      </c>
      <c r="C6" s="80" t="s">
        <v>1105</v>
      </c>
    </row>
    <row r="7" spans="1:5" x14ac:dyDescent="0.3">
      <c r="A7" s="81" t="s">
        <v>245</v>
      </c>
      <c r="B7" s="79" t="s">
        <v>246</v>
      </c>
      <c r="C7" s="80" t="s">
        <v>1105</v>
      </c>
    </row>
    <row r="8" spans="1:5" x14ac:dyDescent="0.3">
      <c r="A8" s="79" t="s">
        <v>247</v>
      </c>
      <c r="B8" s="79" t="s">
        <v>248</v>
      </c>
      <c r="C8" s="80"/>
    </row>
    <row r="9" spans="1:5" x14ac:dyDescent="0.3">
      <c r="A9" s="79" t="s">
        <v>249</v>
      </c>
      <c r="B9" s="79" t="s">
        <v>250</v>
      </c>
      <c r="C9" s="80"/>
    </row>
    <row r="10" spans="1:5" x14ac:dyDescent="0.3">
      <c r="A10" s="79" t="s">
        <v>251</v>
      </c>
      <c r="B10" s="79" t="s">
        <v>252</v>
      </c>
      <c r="C10" s="80"/>
    </row>
    <row r="11" spans="1:5" x14ac:dyDescent="0.3">
      <c r="A11" s="79" t="s">
        <v>253</v>
      </c>
      <c r="B11" s="82" t="s">
        <v>254</v>
      </c>
      <c r="C11" s="80"/>
    </row>
    <row r="12" spans="1:5" x14ac:dyDescent="0.3">
      <c r="A12" s="79" t="s">
        <v>255</v>
      </c>
      <c r="B12" s="79" t="s">
        <v>256</v>
      </c>
      <c r="C12" s="80"/>
    </row>
    <row r="13" spans="1:5" x14ac:dyDescent="0.3">
      <c r="A13" s="79" t="s">
        <v>257</v>
      </c>
      <c r="B13" s="82" t="s">
        <v>258</v>
      </c>
      <c r="C13" s="80"/>
    </row>
    <row r="14" spans="1:5" x14ac:dyDescent="0.3">
      <c r="A14" s="79" t="s">
        <v>259</v>
      </c>
      <c r="B14" s="79" t="s">
        <v>260</v>
      </c>
      <c r="C14" s="80"/>
    </row>
    <row r="15" spans="1:5" x14ac:dyDescent="0.3">
      <c r="A15" s="79" t="s">
        <v>261</v>
      </c>
      <c r="B15" s="79" t="s">
        <v>262</v>
      </c>
      <c r="C15" s="80"/>
    </row>
    <row r="16" spans="1:5" x14ac:dyDescent="0.3">
      <c r="A16" s="79" t="s">
        <v>263</v>
      </c>
      <c r="B16" s="79" t="s">
        <v>264</v>
      </c>
      <c r="C16" s="80"/>
    </row>
    <row r="17" spans="1:3" x14ac:dyDescent="0.3">
      <c r="A17" s="79" t="s">
        <v>265</v>
      </c>
      <c r="B17" s="79" t="s">
        <v>266</v>
      </c>
      <c r="C17" s="80"/>
    </row>
    <row r="18" spans="1:3" x14ac:dyDescent="0.3">
      <c r="A18" s="79" t="s">
        <v>267</v>
      </c>
      <c r="B18" s="79" t="s">
        <v>268</v>
      </c>
      <c r="C18" s="80"/>
    </row>
    <row r="19" spans="1:3" x14ac:dyDescent="0.3">
      <c r="A19" s="79" t="s">
        <v>269</v>
      </c>
      <c r="B19" s="79" t="s">
        <v>270</v>
      </c>
      <c r="C19" s="80"/>
    </row>
    <row r="20" spans="1:3" x14ac:dyDescent="0.3">
      <c r="A20" s="79" t="s">
        <v>271</v>
      </c>
      <c r="B20" s="79" t="s">
        <v>272</v>
      </c>
      <c r="C20" s="80"/>
    </row>
    <row r="21" spans="1:3" x14ac:dyDescent="0.3">
      <c r="A21" s="79" t="s">
        <v>273</v>
      </c>
      <c r="B21" s="79" t="s">
        <v>274</v>
      </c>
      <c r="C21" s="80"/>
    </row>
    <row r="22" spans="1:3" x14ac:dyDescent="0.3">
      <c r="A22" s="79" t="s">
        <v>275</v>
      </c>
      <c r="B22" s="79" t="s">
        <v>276</v>
      </c>
      <c r="C22" s="80"/>
    </row>
    <row r="23" spans="1:3" x14ac:dyDescent="0.3">
      <c r="A23" s="79" t="s">
        <v>277</v>
      </c>
      <c r="B23" s="79" t="s">
        <v>278</v>
      </c>
      <c r="C23" s="80"/>
    </row>
    <row r="24" spans="1:3" x14ac:dyDescent="0.3">
      <c r="A24" s="79" t="s">
        <v>279</v>
      </c>
      <c r="B24" s="79" t="s">
        <v>280</v>
      </c>
      <c r="C24" s="80"/>
    </row>
    <row r="25" spans="1:3" x14ac:dyDescent="0.3">
      <c r="A25" s="79" t="s">
        <v>281</v>
      </c>
      <c r="B25" s="82" t="s">
        <v>282</v>
      </c>
      <c r="C25" s="80"/>
    </row>
    <row r="26" spans="1:3" x14ac:dyDescent="0.3">
      <c r="A26" s="79" t="s">
        <v>283</v>
      </c>
      <c r="B26" s="79" t="s">
        <v>284</v>
      </c>
      <c r="C26" s="80"/>
    </row>
    <row r="27" spans="1:3" x14ac:dyDescent="0.3">
      <c r="A27" s="83" t="s">
        <v>1106</v>
      </c>
      <c r="B27" s="83" t="s">
        <v>1107</v>
      </c>
      <c r="C27" s="80" t="s">
        <v>1105</v>
      </c>
    </row>
    <row r="28" spans="1:3" x14ac:dyDescent="0.3">
      <c r="A28" s="79" t="s">
        <v>285</v>
      </c>
      <c r="B28" s="79" t="s">
        <v>286</v>
      </c>
      <c r="C28" s="80"/>
    </row>
    <row r="29" spans="1:3" x14ac:dyDescent="0.3">
      <c r="A29" s="79" t="s">
        <v>287</v>
      </c>
      <c r="B29" s="79" t="s">
        <v>288</v>
      </c>
      <c r="C29" s="80"/>
    </row>
    <row r="30" spans="1:3" x14ac:dyDescent="0.3">
      <c r="A30" s="79" t="s">
        <v>289</v>
      </c>
      <c r="B30" s="79" t="s">
        <v>290</v>
      </c>
      <c r="C30" s="80"/>
    </row>
    <row r="31" spans="1:3" x14ac:dyDescent="0.3">
      <c r="A31" s="81" t="s">
        <v>291</v>
      </c>
      <c r="B31" s="82" t="s">
        <v>292</v>
      </c>
      <c r="C31" s="80" t="s">
        <v>1105</v>
      </c>
    </row>
    <row r="32" spans="1:3" x14ac:dyDescent="0.3">
      <c r="A32" s="81" t="s">
        <v>293</v>
      </c>
      <c r="B32" s="82" t="s">
        <v>294</v>
      </c>
      <c r="C32" s="80" t="s">
        <v>1105</v>
      </c>
    </row>
    <row r="33" spans="1:3" x14ac:dyDescent="0.3">
      <c r="A33" s="79" t="s">
        <v>295</v>
      </c>
      <c r="B33" s="79" t="s">
        <v>296</v>
      </c>
      <c r="C33" s="80"/>
    </row>
    <row r="34" spans="1:3" x14ac:dyDescent="0.3">
      <c r="A34" s="79" t="s">
        <v>297</v>
      </c>
      <c r="B34" s="82" t="s">
        <v>298</v>
      </c>
      <c r="C34" s="80"/>
    </row>
    <row r="35" spans="1:3" x14ac:dyDescent="0.3">
      <c r="A35" s="79" t="s">
        <v>299</v>
      </c>
      <c r="B35" s="82" t="s">
        <v>300</v>
      </c>
      <c r="C35" s="80"/>
    </row>
    <row r="36" spans="1:3" x14ac:dyDescent="0.3">
      <c r="A36" s="79" t="s">
        <v>301</v>
      </c>
      <c r="B36" s="79" t="s">
        <v>302</v>
      </c>
      <c r="C36" s="80"/>
    </row>
    <row r="37" spans="1:3" x14ac:dyDescent="0.3">
      <c r="A37" s="79" t="s">
        <v>303</v>
      </c>
      <c r="B37" s="79" t="s">
        <v>304</v>
      </c>
      <c r="C37" s="80"/>
    </row>
    <row r="38" spans="1:3" x14ac:dyDescent="0.3">
      <c r="A38" s="79" t="s">
        <v>305</v>
      </c>
      <c r="B38" s="79" t="s">
        <v>306</v>
      </c>
      <c r="C38" s="80"/>
    </row>
    <row r="39" spans="1:3" x14ac:dyDescent="0.3">
      <c r="A39" s="79" t="s">
        <v>307</v>
      </c>
      <c r="B39" s="79" t="s">
        <v>308</v>
      </c>
      <c r="C39" s="80"/>
    </row>
    <row r="40" spans="1:3" x14ac:dyDescent="0.3">
      <c r="A40" s="79" t="s">
        <v>309</v>
      </c>
      <c r="B40" s="79" t="s">
        <v>310</v>
      </c>
      <c r="C40" s="80"/>
    </row>
    <row r="41" spans="1:3" x14ac:dyDescent="0.3">
      <c r="A41" s="79" t="s">
        <v>311</v>
      </c>
      <c r="B41" s="79" t="s">
        <v>312</v>
      </c>
      <c r="C41" s="80"/>
    </row>
    <row r="42" spans="1:3" x14ac:dyDescent="0.3">
      <c r="A42" s="79" t="s">
        <v>313</v>
      </c>
      <c r="B42" s="79" t="s">
        <v>314</v>
      </c>
      <c r="C42" s="80"/>
    </row>
    <row r="43" spans="1:3" x14ac:dyDescent="0.3">
      <c r="A43" s="79" t="s">
        <v>315</v>
      </c>
      <c r="B43" s="79" t="s">
        <v>316</v>
      </c>
      <c r="C43" s="80"/>
    </row>
    <row r="44" spans="1:3" x14ac:dyDescent="0.3">
      <c r="A44" s="79" t="s">
        <v>317</v>
      </c>
      <c r="B44" s="79" t="s">
        <v>318</v>
      </c>
      <c r="C44" s="80"/>
    </row>
    <row r="45" spans="1:3" x14ac:dyDescent="0.3">
      <c r="A45" s="79" t="s">
        <v>319</v>
      </c>
      <c r="B45" s="79" t="s">
        <v>320</v>
      </c>
      <c r="C45" s="80"/>
    </row>
    <row r="46" spans="1:3" x14ac:dyDescent="0.3">
      <c r="A46" s="79" t="s">
        <v>321</v>
      </c>
      <c r="B46" s="79" t="s">
        <v>322</v>
      </c>
      <c r="C46" s="80"/>
    </row>
    <row r="47" spans="1:3" x14ac:dyDescent="0.3">
      <c r="A47" s="79" t="s">
        <v>323</v>
      </c>
      <c r="B47" s="79" t="s">
        <v>324</v>
      </c>
      <c r="C47" s="80"/>
    </row>
    <row r="48" spans="1:3" x14ac:dyDescent="0.3">
      <c r="A48" s="79" t="s">
        <v>325</v>
      </c>
      <c r="B48" s="79" t="s">
        <v>326</v>
      </c>
      <c r="C48" s="80"/>
    </row>
    <row r="49" spans="1:3" x14ac:dyDescent="0.3">
      <c r="A49" s="79" t="s">
        <v>327</v>
      </c>
      <c r="B49" s="79" t="s">
        <v>328</v>
      </c>
      <c r="C49" s="80"/>
    </row>
    <row r="50" spans="1:3" x14ac:dyDescent="0.3">
      <c r="A50" s="79" t="s">
        <v>329</v>
      </c>
      <c r="B50" s="79" t="s">
        <v>330</v>
      </c>
      <c r="C50" s="80"/>
    </row>
    <row r="51" spans="1:3" x14ac:dyDescent="0.3">
      <c r="A51" s="79" t="s">
        <v>331</v>
      </c>
      <c r="B51" s="79" t="s">
        <v>332</v>
      </c>
      <c r="C51" s="80"/>
    </row>
    <row r="52" spans="1:3" x14ac:dyDescent="0.3">
      <c r="A52" s="79" t="s">
        <v>333</v>
      </c>
      <c r="B52" s="82" t="s">
        <v>334</v>
      </c>
      <c r="C52" s="80"/>
    </row>
    <row r="53" spans="1:3" x14ac:dyDescent="0.3">
      <c r="A53" s="79" t="s">
        <v>336</v>
      </c>
      <c r="B53" s="82" t="s">
        <v>337</v>
      </c>
      <c r="C53" s="80"/>
    </row>
    <row r="54" spans="1:3" x14ac:dyDescent="0.3">
      <c r="A54" s="79" t="s">
        <v>338</v>
      </c>
      <c r="B54" s="82" t="s">
        <v>339</v>
      </c>
      <c r="C54" s="80"/>
    </row>
    <row r="55" spans="1:3" x14ac:dyDescent="0.3">
      <c r="A55" s="79" t="s">
        <v>340</v>
      </c>
      <c r="B55" s="82" t="s">
        <v>341</v>
      </c>
      <c r="C55" s="80"/>
    </row>
    <row r="56" spans="1:3" x14ac:dyDescent="0.3">
      <c r="A56" s="79" t="s">
        <v>342</v>
      </c>
      <c r="B56" s="79" t="s">
        <v>343</v>
      </c>
      <c r="C56" s="80"/>
    </row>
    <row r="57" spans="1:3" x14ac:dyDescent="0.3">
      <c r="A57" s="79" t="s">
        <v>344</v>
      </c>
      <c r="B57" s="79" t="s">
        <v>345</v>
      </c>
      <c r="C57" s="80"/>
    </row>
    <row r="58" spans="1:3" x14ac:dyDescent="0.3">
      <c r="A58" s="79" t="s">
        <v>346</v>
      </c>
      <c r="B58" s="79" t="s">
        <v>347</v>
      </c>
      <c r="C58" s="80"/>
    </row>
    <row r="59" spans="1:3" x14ac:dyDescent="0.3">
      <c r="A59" s="79" t="s">
        <v>348</v>
      </c>
      <c r="B59" s="82" t="s">
        <v>349</v>
      </c>
      <c r="C59" s="80"/>
    </row>
    <row r="60" spans="1:3" x14ac:dyDescent="0.3">
      <c r="A60" s="79" t="s">
        <v>350</v>
      </c>
      <c r="B60" s="82" t="s">
        <v>351</v>
      </c>
      <c r="C60" s="80"/>
    </row>
    <row r="61" spans="1:3" x14ac:dyDescent="0.3">
      <c r="A61" s="79" t="s">
        <v>352</v>
      </c>
      <c r="B61" s="79" t="s">
        <v>353</v>
      </c>
      <c r="C61" s="80"/>
    </row>
    <row r="62" spans="1:3" x14ac:dyDescent="0.3">
      <c r="A62" s="79" t="s">
        <v>354</v>
      </c>
      <c r="B62" s="79" t="s">
        <v>355</v>
      </c>
      <c r="C62" s="80"/>
    </row>
    <row r="63" spans="1:3" x14ac:dyDescent="0.3">
      <c r="A63" s="79" t="s">
        <v>356</v>
      </c>
      <c r="B63" s="79" t="s">
        <v>357</v>
      </c>
      <c r="C63" s="80"/>
    </row>
    <row r="64" spans="1:3" x14ac:dyDescent="0.3">
      <c r="A64" s="79" t="s">
        <v>358</v>
      </c>
      <c r="B64" s="79" t="s">
        <v>359</v>
      </c>
      <c r="C64" s="80"/>
    </row>
    <row r="65" spans="1:3" x14ac:dyDescent="0.3">
      <c r="A65" s="79" t="s">
        <v>360</v>
      </c>
      <c r="B65" s="79" t="s">
        <v>361</v>
      </c>
      <c r="C65" s="80"/>
    </row>
    <row r="66" spans="1:3" x14ac:dyDescent="0.3">
      <c r="A66" s="79" t="s">
        <v>362</v>
      </c>
      <c r="B66" s="82" t="s">
        <v>363</v>
      </c>
      <c r="C66" s="80"/>
    </row>
    <row r="67" spans="1:3" x14ac:dyDescent="0.3">
      <c r="A67" s="79" t="s">
        <v>364</v>
      </c>
      <c r="B67" s="79" t="s">
        <v>365</v>
      </c>
      <c r="C67" s="80"/>
    </row>
    <row r="68" spans="1:3" x14ac:dyDescent="0.3">
      <c r="A68" s="84" t="s">
        <v>366</v>
      </c>
      <c r="B68" s="85" t="s">
        <v>367</v>
      </c>
      <c r="C68" s="80"/>
    </row>
    <row r="69" spans="1:3" x14ac:dyDescent="0.3">
      <c r="A69" s="79" t="s">
        <v>368</v>
      </c>
      <c r="B69" s="82" t="s">
        <v>369</v>
      </c>
      <c r="C69" s="80"/>
    </row>
    <row r="70" spans="1:3" x14ac:dyDescent="0.3">
      <c r="A70" s="79" t="s">
        <v>370</v>
      </c>
      <c r="B70" s="79" t="s">
        <v>371</v>
      </c>
      <c r="C70" s="80"/>
    </row>
    <row r="71" spans="1:3" x14ac:dyDescent="0.3">
      <c r="A71" s="79" t="s">
        <v>372</v>
      </c>
      <c r="B71" s="79" t="s">
        <v>373</v>
      </c>
      <c r="C71" s="80"/>
    </row>
    <row r="72" spans="1:3" x14ac:dyDescent="0.3">
      <c r="A72" s="79" t="s">
        <v>374</v>
      </c>
      <c r="B72" s="79" t="s">
        <v>375</v>
      </c>
      <c r="C72" s="80"/>
    </row>
    <row r="73" spans="1:3" x14ac:dyDescent="0.3">
      <c r="A73" s="79" t="s">
        <v>376</v>
      </c>
      <c r="B73" s="82" t="s">
        <v>377</v>
      </c>
      <c r="C73" s="80"/>
    </row>
    <row r="74" spans="1:3" x14ac:dyDescent="0.3">
      <c r="A74" s="79" t="s">
        <v>182</v>
      </c>
      <c r="B74" s="79" t="s">
        <v>378</v>
      </c>
      <c r="C74" s="80"/>
    </row>
    <row r="75" spans="1:3" x14ac:dyDescent="0.3">
      <c r="A75" s="79" t="s">
        <v>379</v>
      </c>
      <c r="B75" s="79" t="s">
        <v>380</v>
      </c>
      <c r="C75" s="80"/>
    </row>
    <row r="76" spans="1:3" x14ac:dyDescent="0.3">
      <c r="A76" s="79" t="s">
        <v>381</v>
      </c>
      <c r="B76" s="79" t="s">
        <v>382</v>
      </c>
      <c r="C76" s="80"/>
    </row>
    <row r="77" spans="1:3" x14ac:dyDescent="0.3">
      <c r="A77" s="79" t="s">
        <v>383</v>
      </c>
      <c r="B77" s="79" t="s">
        <v>384</v>
      </c>
      <c r="C77" s="80"/>
    </row>
    <row r="78" spans="1:3" x14ac:dyDescent="0.3">
      <c r="A78" s="79" t="s">
        <v>385</v>
      </c>
      <c r="B78" s="79" t="s">
        <v>386</v>
      </c>
      <c r="C78" s="80"/>
    </row>
    <row r="79" spans="1:3" x14ac:dyDescent="0.3">
      <c r="A79" s="79" t="s">
        <v>387</v>
      </c>
      <c r="B79" s="79" t="s">
        <v>388</v>
      </c>
      <c r="C79" s="80"/>
    </row>
    <row r="80" spans="1:3" x14ac:dyDescent="0.3">
      <c r="A80" s="79" t="s">
        <v>389</v>
      </c>
      <c r="B80" s="83" t="s">
        <v>1234</v>
      </c>
      <c r="C80" s="80" t="s">
        <v>1105</v>
      </c>
    </row>
    <row r="81" spans="1:3" x14ac:dyDescent="0.3">
      <c r="A81" s="79" t="s">
        <v>390</v>
      </c>
      <c r="B81" s="79" t="s">
        <v>391</v>
      </c>
      <c r="C81" s="80"/>
    </row>
    <row r="82" spans="1:3" x14ac:dyDescent="0.3">
      <c r="A82" s="83" t="s">
        <v>1108</v>
      </c>
      <c r="B82" s="83" t="s">
        <v>1109</v>
      </c>
      <c r="C82" s="80" t="s">
        <v>1105</v>
      </c>
    </row>
    <row r="83" spans="1:3" x14ac:dyDescent="0.3">
      <c r="A83" s="79" t="s">
        <v>392</v>
      </c>
      <c r="B83" s="79" t="s">
        <v>393</v>
      </c>
      <c r="C83" s="80"/>
    </row>
    <row r="84" spans="1:3" x14ac:dyDescent="0.3">
      <c r="A84" s="79" t="s">
        <v>394</v>
      </c>
      <c r="B84" s="79" t="s">
        <v>395</v>
      </c>
      <c r="C84" s="80"/>
    </row>
    <row r="85" spans="1:3" x14ac:dyDescent="0.3">
      <c r="A85" s="79" t="s">
        <v>396</v>
      </c>
      <c r="B85" s="79" t="s">
        <v>397</v>
      </c>
      <c r="C85" s="80"/>
    </row>
    <row r="86" spans="1:3" x14ac:dyDescent="0.3">
      <c r="A86" s="79" t="s">
        <v>398</v>
      </c>
      <c r="B86" s="82" t="s">
        <v>399</v>
      </c>
      <c r="C86" s="80"/>
    </row>
    <row r="87" spans="1:3" x14ac:dyDescent="0.3">
      <c r="A87" s="79" t="s">
        <v>400</v>
      </c>
      <c r="B87" s="79" t="s">
        <v>401</v>
      </c>
      <c r="C87" s="80"/>
    </row>
    <row r="88" spans="1:3" x14ac:dyDescent="0.3">
      <c r="A88" s="79" t="s">
        <v>402</v>
      </c>
      <c r="B88" s="79" t="s">
        <v>403</v>
      </c>
      <c r="C88" s="80"/>
    </row>
    <row r="89" spans="1:3" x14ac:dyDescent="0.3">
      <c r="A89" s="79" t="s">
        <v>404</v>
      </c>
      <c r="B89" s="79" t="s">
        <v>405</v>
      </c>
      <c r="C89" s="80"/>
    </row>
    <row r="90" spans="1:3" x14ac:dyDescent="0.3">
      <c r="A90" s="79" t="s">
        <v>406</v>
      </c>
      <c r="B90" s="79" t="s">
        <v>407</v>
      </c>
      <c r="C90" s="80"/>
    </row>
    <row r="91" spans="1:3" x14ac:dyDescent="0.3">
      <c r="A91" s="79" t="s">
        <v>408</v>
      </c>
      <c r="B91" s="79" t="s">
        <v>409</v>
      </c>
      <c r="C91" s="80"/>
    </row>
    <row r="92" spans="1:3" x14ac:dyDescent="0.3">
      <c r="A92" s="79" t="s">
        <v>410</v>
      </c>
      <c r="B92" s="79" t="s">
        <v>411</v>
      </c>
      <c r="C92" s="80"/>
    </row>
    <row r="93" spans="1:3" x14ac:dyDescent="0.3">
      <c r="A93" s="79" t="s">
        <v>412</v>
      </c>
      <c r="B93" s="79" t="s">
        <v>413</v>
      </c>
      <c r="C93" s="80"/>
    </row>
    <row r="94" spans="1:3" x14ac:dyDescent="0.3">
      <c r="A94" s="79" t="s">
        <v>414</v>
      </c>
      <c r="B94" s="79" t="s">
        <v>415</v>
      </c>
      <c r="C94" s="80"/>
    </row>
    <row r="95" spans="1:3" x14ac:dyDescent="0.3">
      <c r="A95" s="79" t="s">
        <v>416</v>
      </c>
      <c r="B95" s="79" t="s">
        <v>417</v>
      </c>
      <c r="C95" s="80"/>
    </row>
    <row r="96" spans="1:3" x14ac:dyDescent="0.3">
      <c r="A96" s="79" t="s">
        <v>418</v>
      </c>
      <c r="B96" s="79" t="s">
        <v>419</v>
      </c>
      <c r="C96" s="80"/>
    </row>
    <row r="97" spans="1:3" x14ac:dyDescent="0.3">
      <c r="A97" s="79" t="s">
        <v>420</v>
      </c>
      <c r="B97" s="79" t="s">
        <v>421</v>
      </c>
      <c r="C97" s="80"/>
    </row>
    <row r="98" spans="1:3" x14ac:dyDescent="0.3">
      <c r="A98" s="79" t="s">
        <v>422</v>
      </c>
      <c r="B98" s="79" t="s">
        <v>423</v>
      </c>
      <c r="C98" s="80"/>
    </row>
    <row r="99" spans="1:3" x14ac:dyDescent="0.3">
      <c r="A99" s="79" t="s">
        <v>424</v>
      </c>
      <c r="B99" s="79" t="s">
        <v>425</v>
      </c>
      <c r="C99" s="80"/>
    </row>
    <row r="100" spans="1:3" x14ac:dyDescent="0.3">
      <c r="A100" s="79" t="s">
        <v>426</v>
      </c>
      <c r="B100" s="79" t="s">
        <v>427</v>
      </c>
      <c r="C100" s="80"/>
    </row>
    <row r="101" spans="1:3" x14ac:dyDescent="0.3">
      <c r="A101" s="79" t="s">
        <v>428</v>
      </c>
      <c r="B101" s="79" t="s">
        <v>429</v>
      </c>
      <c r="C101" s="80"/>
    </row>
    <row r="102" spans="1:3" x14ac:dyDescent="0.3">
      <c r="A102" s="79" t="s">
        <v>430</v>
      </c>
      <c r="B102" s="79" t="s">
        <v>431</v>
      </c>
      <c r="C102" s="80"/>
    </row>
    <row r="103" spans="1:3" x14ac:dyDescent="0.3">
      <c r="A103" s="79" t="s">
        <v>432</v>
      </c>
      <c r="B103" s="79" t="s">
        <v>433</v>
      </c>
      <c r="C103" s="80"/>
    </row>
    <row r="104" spans="1:3" x14ac:dyDescent="0.3">
      <c r="A104" s="79" t="s">
        <v>434</v>
      </c>
      <c r="B104" s="79" t="s">
        <v>435</v>
      </c>
      <c r="C104" s="80"/>
    </row>
    <row r="105" spans="1:3" x14ac:dyDescent="0.3">
      <c r="A105" s="79" t="s">
        <v>436</v>
      </c>
      <c r="B105" s="79" t="s">
        <v>437</v>
      </c>
      <c r="C105" s="80"/>
    </row>
    <row r="106" spans="1:3" x14ac:dyDescent="0.3">
      <c r="A106" s="79" t="s">
        <v>438</v>
      </c>
      <c r="B106" s="79" t="s">
        <v>439</v>
      </c>
      <c r="C106" s="80"/>
    </row>
    <row r="107" spans="1:3" x14ac:dyDescent="0.3">
      <c r="A107" s="79" t="s">
        <v>440</v>
      </c>
      <c r="B107" s="79" t="s">
        <v>441</v>
      </c>
      <c r="C107" s="80"/>
    </row>
    <row r="108" spans="1:3" x14ac:dyDescent="0.3">
      <c r="A108" s="79" t="s">
        <v>442</v>
      </c>
      <c r="B108" s="79" t="s">
        <v>443</v>
      </c>
      <c r="C108" s="80"/>
    </row>
    <row r="109" spans="1:3" x14ac:dyDescent="0.3">
      <c r="A109" s="79" t="s">
        <v>444</v>
      </c>
      <c r="B109" s="79" t="s">
        <v>445</v>
      </c>
      <c r="C109" s="80"/>
    </row>
    <row r="110" spans="1:3" x14ac:dyDescent="0.3">
      <c r="A110" s="79" t="s">
        <v>446</v>
      </c>
      <c r="B110" s="79" t="s">
        <v>447</v>
      </c>
      <c r="C110" s="80"/>
    </row>
    <row r="111" spans="1:3" x14ac:dyDescent="0.3">
      <c r="A111" s="79" t="s">
        <v>448</v>
      </c>
      <c r="B111" s="79" t="s">
        <v>449</v>
      </c>
      <c r="C111" s="80"/>
    </row>
    <row r="112" spans="1:3" x14ac:dyDescent="0.3">
      <c r="A112" s="79" t="s">
        <v>450</v>
      </c>
      <c r="B112" s="79" t="s">
        <v>451</v>
      </c>
      <c r="C112" s="80"/>
    </row>
    <row r="113" spans="1:3" x14ac:dyDescent="0.3">
      <c r="A113" s="79" t="s">
        <v>452</v>
      </c>
      <c r="B113" s="79" t="s">
        <v>453</v>
      </c>
      <c r="C113" s="80"/>
    </row>
    <row r="114" spans="1:3" x14ac:dyDescent="0.3">
      <c r="A114" s="82" t="s">
        <v>1110</v>
      </c>
      <c r="B114" s="83" t="s">
        <v>1111</v>
      </c>
      <c r="C114" s="80" t="s">
        <v>1105</v>
      </c>
    </row>
    <row r="115" spans="1:3" x14ac:dyDescent="0.3">
      <c r="A115" s="79" t="s">
        <v>454</v>
      </c>
      <c r="B115" s="79" t="s">
        <v>455</v>
      </c>
      <c r="C115" s="80"/>
    </row>
    <row r="116" spans="1:3" x14ac:dyDescent="0.3">
      <c r="A116" s="79" t="s">
        <v>456</v>
      </c>
      <c r="B116" s="79" t="s">
        <v>457</v>
      </c>
      <c r="C116" s="80"/>
    </row>
    <row r="117" spans="1:3" x14ac:dyDescent="0.3">
      <c r="A117" s="79" t="s">
        <v>458</v>
      </c>
      <c r="B117" s="79" t="s">
        <v>459</v>
      </c>
      <c r="C117" s="80"/>
    </row>
    <row r="118" spans="1:3" x14ac:dyDescent="0.3">
      <c r="A118" s="79" t="s">
        <v>460</v>
      </c>
      <c r="B118" s="79" t="s">
        <v>461</v>
      </c>
      <c r="C118" s="80"/>
    </row>
    <row r="119" spans="1:3" x14ac:dyDescent="0.3">
      <c r="A119" s="79" t="s">
        <v>462</v>
      </c>
      <c r="B119" s="79" t="s">
        <v>463</v>
      </c>
      <c r="C119" s="80"/>
    </row>
    <row r="120" spans="1:3" x14ac:dyDescent="0.3">
      <c r="A120" s="79" t="s">
        <v>464</v>
      </c>
      <c r="B120" s="79" t="s">
        <v>465</v>
      </c>
      <c r="C120" s="80"/>
    </row>
    <row r="121" spans="1:3" x14ac:dyDescent="0.3">
      <c r="A121" s="79" t="s">
        <v>466</v>
      </c>
      <c r="B121" s="79" t="s">
        <v>467</v>
      </c>
      <c r="C121" s="80"/>
    </row>
    <row r="122" spans="1:3" x14ac:dyDescent="0.3">
      <c r="A122" s="79" t="s">
        <v>468</v>
      </c>
      <c r="B122" s="79" t="s">
        <v>469</v>
      </c>
      <c r="C122" s="80"/>
    </row>
    <row r="123" spans="1:3" x14ac:dyDescent="0.3">
      <c r="A123" s="79" t="s">
        <v>470</v>
      </c>
      <c r="B123" s="79" t="s">
        <v>471</v>
      </c>
      <c r="C123" s="80"/>
    </row>
    <row r="124" spans="1:3" x14ac:dyDescent="0.3">
      <c r="A124" s="79" t="s">
        <v>472</v>
      </c>
      <c r="B124" s="79" t="s">
        <v>473</v>
      </c>
      <c r="C124" s="80"/>
    </row>
    <row r="125" spans="1:3" x14ac:dyDescent="0.3">
      <c r="A125" s="82" t="s">
        <v>1112</v>
      </c>
      <c r="B125" s="83" t="s">
        <v>1113</v>
      </c>
      <c r="C125" s="80" t="s">
        <v>1105</v>
      </c>
    </row>
    <row r="126" spans="1:3" x14ac:dyDescent="0.3">
      <c r="A126" s="79" t="s">
        <v>474</v>
      </c>
      <c r="B126" s="79" t="s">
        <v>475</v>
      </c>
      <c r="C126" s="80"/>
    </row>
    <row r="127" spans="1:3" x14ac:dyDescent="0.3">
      <c r="A127" s="79" t="s">
        <v>476</v>
      </c>
      <c r="B127" s="79" t="s">
        <v>477</v>
      </c>
      <c r="C127" s="80"/>
    </row>
    <row r="128" spans="1:3" x14ac:dyDescent="0.3">
      <c r="A128" s="79" t="s">
        <v>478</v>
      </c>
      <c r="B128" s="79" t="s">
        <v>479</v>
      </c>
      <c r="C128" s="80"/>
    </row>
    <row r="129" spans="1:3" x14ac:dyDescent="0.3">
      <c r="A129" s="79" t="s">
        <v>480</v>
      </c>
      <c r="B129" s="79" t="s">
        <v>481</v>
      </c>
      <c r="C129" s="80"/>
    </row>
    <row r="130" spans="1:3" x14ac:dyDescent="0.3">
      <c r="A130" s="79" t="s">
        <v>482</v>
      </c>
      <c r="B130" s="79" t="s">
        <v>483</v>
      </c>
      <c r="C130" s="80"/>
    </row>
    <row r="131" spans="1:3" x14ac:dyDescent="0.3">
      <c r="A131" s="79" t="s">
        <v>484</v>
      </c>
      <c r="B131" s="79" t="s">
        <v>485</v>
      </c>
      <c r="C131" s="80"/>
    </row>
    <row r="132" spans="1:3" x14ac:dyDescent="0.3">
      <c r="A132" s="81" t="s">
        <v>486</v>
      </c>
      <c r="B132" s="79" t="s">
        <v>487</v>
      </c>
      <c r="C132" s="80" t="s">
        <v>1105</v>
      </c>
    </row>
    <row r="133" spans="1:3" x14ac:dyDescent="0.3">
      <c r="A133" s="79" t="s">
        <v>488</v>
      </c>
      <c r="B133" s="79" t="s">
        <v>489</v>
      </c>
      <c r="C133" s="80"/>
    </row>
    <row r="134" spans="1:3" x14ac:dyDescent="0.3">
      <c r="A134" s="79" t="s">
        <v>490</v>
      </c>
      <c r="B134" s="79" t="s">
        <v>491</v>
      </c>
      <c r="C134" s="80"/>
    </row>
    <row r="135" spans="1:3" x14ac:dyDescent="0.3">
      <c r="A135" s="79" t="s">
        <v>492</v>
      </c>
      <c r="B135" s="79" t="s">
        <v>493</v>
      </c>
      <c r="C135" s="80"/>
    </row>
    <row r="136" spans="1:3" x14ac:dyDescent="0.3">
      <c r="A136" s="79" t="s">
        <v>494</v>
      </c>
      <c r="B136" s="79" t="s">
        <v>495</v>
      </c>
      <c r="C136" s="80"/>
    </row>
    <row r="137" spans="1:3" x14ac:dyDescent="0.3">
      <c r="A137" s="79" t="s">
        <v>496</v>
      </c>
      <c r="B137" s="79" t="s">
        <v>497</v>
      </c>
      <c r="C137" s="80"/>
    </row>
    <row r="138" spans="1:3" x14ac:dyDescent="0.3">
      <c r="A138" s="79" t="s">
        <v>498</v>
      </c>
      <c r="B138" s="79" t="s">
        <v>499</v>
      </c>
      <c r="C138" s="80"/>
    </row>
    <row r="139" spans="1:3" x14ac:dyDescent="0.3">
      <c r="A139" s="79" t="s">
        <v>500</v>
      </c>
      <c r="B139" s="82" t="s">
        <v>501</v>
      </c>
      <c r="C139" s="80"/>
    </row>
    <row r="140" spans="1:3" x14ac:dyDescent="0.3">
      <c r="A140" s="79" t="s">
        <v>502</v>
      </c>
      <c r="B140" s="79" t="s">
        <v>503</v>
      </c>
      <c r="C140" s="80"/>
    </row>
    <row r="141" spans="1:3" x14ac:dyDescent="0.3">
      <c r="A141" s="79" t="s">
        <v>504</v>
      </c>
      <c r="B141" s="79" t="s">
        <v>505</v>
      </c>
      <c r="C141" s="80"/>
    </row>
    <row r="142" spans="1:3" x14ac:dyDescent="0.3">
      <c r="A142" s="79" t="s">
        <v>506</v>
      </c>
      <c r="B142" s="79" t="s">
        <v>507</v>
      </c>
      <c r="C142" s="80"/>
    </row>
    <row r="143" spans="1:3" x14ac:dyDescent="0.3">
      <c r="A143" s="79" t="s">
        <v>508</v>
      </c>
      <c r="B143" s="79" t="s">
        <v>509</v>
      </c>
      <c r="C143" s="80"/>
    </row>
    <row r="144" spans="1:3" x14ac:dyDescent="0.3">
      <c r="A144" s="79" t="s">
        <v>510</v>
      </c>
      <c r="B144" s="79" t="s">
        <v>511</v>
      </c>
      <c r="C144" s="80"/>
    </row>
    <row r="145" spans="1:3" x14ac:dyDescent="0.3">
      <c r="A145" s="79" t="s">
        <v>512</v>
      </c>
      <c r="B145" s="79" t="s">
        <v>513</v>
      </c>
      <c r="C145" s="80"/>
    </row>
    <row r="146" spans="1:3" x14ac:dyDescent="0.3">
      <c r="A146" s="79" t="s">
        <v>514</v>
      </c>
      <c r="B146" s="79" t="s">
        <v>515</v>
      </c>
      <c r="C146" s="80"/>
    </row>
    <row r="147" spans="1:3" x14ac:dyDescent="0.3">
      <c r="A147" s="79" t="s">
        <v>516</v>
      </c>
      <c r="B147" s="79" t="s">
        <v>517</v>
      </c>
      <c r="C147" s="80"/>
    </row>
    <row r="148" spans="1:3" x14ac:dyDescent="0.3">
      <c r="A148" s="79" t="s">
        <v>518</v>
      </c>
      <c r="B148" s="82" t="s">
        <v>1114</v>
      </c>
      <c r="C148" s="80"/>
    </row>
    <row r="149" spans="1:3" x14ac:dyDescent="0.3">
      <c r="A149" s="79" t="s">
        <v>519</v>
      </c>
      <c r="B149" s="82" t="s">
        <v>1115</v>
      </c>
      <c r="C149" s="80"/>
    </row>
    <row r="150" spans="1:3" x14ac:dyDescent="0.3">
      <c r="A150" s="79" t="s">
        <v>520</v>
      </c>
      <c r="B150" s="79" t="s">
        <v>521</v>
      </c>
      <c r="C150" s="80"/>
    </row>
    <row r="151" spans="1:3" x14ac:dyDescent="0.3">
      <c r="A151" s="79" t="s">
        <v>522</v>
      </c>
      <c r="B151" s="79" t="s">
        <v>523</v>
      </c>
      <c r="C151" s="80"/>
    </row>
    <row r="152" spans="1:3" x14ac:dyDescent="0.3">
      <c r="A152" s="79" t="s">
        <v>524</v>
      </c>
      <c r="B152" s="79" t="s">
        <v>525</v>
      </c>
      <c r="C152" s="80"/>
    </row>
    <row r="153" spans="1:3" x14ac:dyDescent="0.3">
      <c r="A153" s="79" t="s">
        <v>526</v>
      </c>
      <c r="B153" s="82" t="s">
        <v>527</v>
      </c>
      <c r="C153" s="80"/>
    </row>
    <row r="154" spans="1:3" x14ac:dyDescent="0.3">
      <c r="A154" s="79" t="s">
        <v>528</v>
      </c>
      <c r="B154" s="79" t="s">
        <v>529</v>
      </c>
      <c r="C154" s="80"/>
    </row>
    <row r="155" spans="1:3" x14ac:dyDescent="0.3">
      <c r="A155" s="79" t="s">
        <v>530</v>
      </c>
      <c r="B155" s="79" t="s">
        <v>531</v>
      </c>
      <c r="C155" s="80"/>
    </row>
    <row r="156" spans="1:3" x14ac:dyDescent="0.3">
      <c r="A156" s="79" t="s">
        <v>532</v>
      </c>
      <c r="B156" s="79" t="s">
        <v>533</v>
      </c>
      <c r="C156" s="80"/>
    </row>
    <row r="157" spans="1:3" x14ac:dyDescent="0.3">
      <c r="A157" s="79" t="s">
        <v>534</v>
      </c>
      <c r="B157" s="79" t="s">
        <v>535</v>
      </c>
      <c r="C157" s="80"/>
    </row>
    <row r="158" spans="1:3" x14ac:dyDescent="0.3">
      <c r="A158" s="79" t="s">
        <v>536</v>
      </c>
      <c r="B158" s="83" t="s">
        <v>1235</v>
      </c>
      <c r="C158" s="80" t="s">
        <v>1105</v>
      </c>
    </row>
    <row r="159" spans="1:3" x14ac:dyDescent="0.3">
      <c r="A159" s="79" t="s">
        <v>537</v>
      </c>
      <c r="B159" s="83" t="s">
        <v>1236</v>
      </c>
      <c r="C159" s="80" t="s">
        <v>1105</v>
      </c>
    </row>
    <row r="160" spans="1:3" x14ac:dyDescent="0.3">
      <c r="A160" s="79" t="s">
        <v>538</v>
      </c>
      <c r="B160" s="79" t="s">
        <v>539</v>
      </c>
      <c r="C160" s="80"/>
    </row>
    <row r="161" spans="1:3" x14ac:dyDescent="0.3">
      <c r="A161" s="79" t="s">
        <v>540</v>
      </c>
      <c r="B161" s="79" t="s">
        <v>541</v>
      </c>
      <c r="C161" s="80"/>
    </row>
    <row r="162" spans="1:3" x14ac:dyDescent="0.3">
      <c r="A162" s="79" t="s">
        <v>542</v>
      </c>
      <c r="B162" s="79" t="s">
        <v>543</v>
      </c>
      <c r="C162" s="80"/>
    </row>
    <row r="163" spans="1:3" x14ac:dyDescent="0.3">
      <c r="A163" s="79" t="s">
        <v>544</v>
      </c>
      <c r="B163" s="79" t="s">
        <v>545</v>
      </c>
      <c r="C163" s="80"/>
    </row>
    <row r="164" spans="1:3" x14ac:dyDescent="0.3">
      <c r="A164" s="79" t="s">
        <v>546</v>
      </c>
      <c r="B164" s="79" t="s">
        <v>547</v>
      </c>
      <c r="C164" s="80"/>
    </row>
    <row r="165" spans="1:3" x14ac:dyDescent="0.3">
      <c r="A165" s="79" t="s">
        <v>548</v>
      </c>
      <c r="B165" s="79" t="s">
        <v>549</v>
      </c>
      <c r="C165" s="80"/>
    </row>
    <row r="166" spans="1:3" x14ac:dyDescent="0.3">
      <c r="A166" s="79" t="s">
        <v>550</v>
      </c>
      <c r="B166" s="79" t="s">
        <v>551</v>
      </c>
      <c r="C166" s="80"/>
    </row>
    <row r="167" spans="1:3" x14ac:dyDescent="0.3">
      <c r="A167" s="79" t="s">
        <v>552</v>
      </c>
      <c r="B167" s="79" t="s">
        <v>553</v>
      </c>
      <c r="C167" s="80"/>
    </row>
    <row r="168" spans="1:3" x14ac:dyDescent="0.3">
      <c r="A168" s="79" t="s">
        <v>554</v>
      </c>
      <c r="B168" s="79" t="s">
        <v>555</v>
      </c>
      <c r="C168" s="80"/>
    </row>
    <row r="169" spans="1:3" x14ac:dyDescent="0.3">
      <c r="A169" s="83" t="s">
        <v>1237</v>
      </c>
      <c r="B169" s="79" t="s">
        <v>556</v>
      </c>
      <c r="C169" s="80" t="s">
        <v>1105</v>
      </c>
    </row>
    <row r="170" spans="1:3" x14ac:dyDescent="0.3">
      <c r="A170" s="86" t="s">
        <v>1238</v>
      </c>
      <c r="B170" s="83" t="s">
        <v>1239</v>
      </c>
      <c r="C170" s="80" t="s">
        <v>1116</v>
      </c>
    </row>
    <row r="171" spans="1:3" x14ac:dyDescent="0.3">
      <c r="A171" s="79" t="s">
        <v>557</v>
      </c>
      <c r="B171" s="79" t="s">
        <v>558</v>
      </c>
      <c r="C171" s="80"/>
    </row>
    <row r="172" spans="1:3" x14ac:dyDescent="0.3">
      <c r="A172" s="87" t="s">
        <v>1095</v>
      </c>
      <c r="B172" s="79" t="s">
        <v>560</v>
      </c>
      <c r="C172" s="80"/>
    </row>
    <row r="173" spans="1:3" x14ac:dyDescent="0.3">
      <c r="A173" s="87" t="s">
        <v>1094</v>
      </c>
      <c r="B173" s="79" t="s">
        <v>561</v>
      </c>
      <c r="C173" s="80"/>
    </row>
    <row r="174" spans="1:3" x14ac:dyDescent="0.3">
      <c r="A174" s="79" t="s">
        <v>562</v>
      </c>
      <c r="B174" s="79" t="s">
        <v>563</v>
      </c>
      <c r="C174" s="80"/>
    </row>
    <row r="175" spans="1:3" x14ac:dyDescent="0.3">
      <c r="A175" s="79" t="s">
        <v>564</v>
      </c>
      <c r="B175" s="79" t="s">
        <v>565</v>
      </c>
      <c r="C175" s="80"/>
    </row>
    <row r="176" spans="1:3" x14ac:dyDescent="0.3">
      <c r="A176" s="79" t="s">
        <v>566</v>
      </c>
      <c r="B176" s="79" t="s">
        <v>567</v>
      </c>
      <c r="C176" s="80"/>
    </row>
    <row r="177" spans="1:3" x14ac:dyDescent="0.3">
      <c r="A177" s="79" t="s">
        <v>568</v>
      </c>
      <c r="B177" s="79" t="s">
        <v>569</v>
      </c>
      <c r="C177" s="80"/>
    </row>
    <row r="178" spans="1:3" x14ac:dyDescent="0.3">
      <c r="A178" s="79" t="s">
        <v>570</v>
      </c>
      <c r="B178" s="79" t="s">
        <v>571</v>
      </c>
      <c r="C178" s="80"/>
    </row>
    <row r="179" spans="1:3" x14ac:dyDescent="0.3">
      <c r="A179" s="79" t="s">
        <v>572</v>
      </c>
      <c r="B179" s="79" t="s">
        <v>573</v>
      </c>
      <c r="C179" s="80"/>
    </row>
    <row r="180" spans="1:3" x14ac:dyDescent="0.3">
      <c r="A180" s="79" t="s">
        <v>574</v>
      </c>
      <c r="B180" s="79" t="s">
        <v>575</v>
      </c>
      <c r="C180" s="80"/>
    </row>
    <row r="181" spans="1:3" x14ac:dyDescent="0.3">
      <c r="A181" s="79" t="s">
        <v>576</v>
      </c>
      <c r="B181" s="79" t="s">
        <v>577</v>
      </c>
      <c r="C181" s="80"/>
    </row>
    <row r="182" spans="1:3" x14ac:dyDescent="0.3">
      <c r="A182" s="79" t="s">
        <v>578</v>
      </c>
      <c r="B182" s="79" t="s">
        <v>579</v>
      </c>
      <c r="C182" s="80"/>
    </row>
    <row r="183" spans="1:3" x14ac:dyDescent="0.3">
      <c r="A183" s="79" t="s">
        <v>580</v>
      </c>
      <c r="B183" s="79" t="s">
        <v>581</v>
      </c>
      <c r="C183" s="80"/>
    </row>
    <row r="184" spans="1:3" x14ac:dyDescent="0.3">
      <c r="A184" s="79" t="s">
        <v>582</v>
      </c>
      <c r="B184" s="79" t="s">
        <v>583</v>
      </c>
      <c r="C184" s="80"/>
    </row>
    <row r="185" spans="1:3" x14ac:dyDescent="0.3">
      <c r="A185" s="79" t="s">
        <v>584</v>
      </c>
      <c r="B185" s="79" t="s">
        <v>585</v>
      </c>
      <c r="C185" s="80"/>
    </row>
    <row r="186" spans="1:3" x14ac:dyDescent="0.3">
      <c r="A186" s="79" t="s">
        <v>586</v>
      </c>
      <c r="B186" s="79" t="s">
        <v>587</v>
      </c>
      <c r="C186" s="80"/>
    </row>
    <row r="187" spans="1:3" x14ac:dyDescent="0.3">
      <c r="A187" s="79" t="s">
        <v>588</v>
      </c>
      <c r="B187" s="79" t="s">
        <v>589</v>
      </c>
      <c r="C187" s="80"/>
    </row>
    <row r="188" spans="1:3" x14ac:dyDescent="0.3">
      <c r="A188" s="79" t="s">
        <v>590</v>
      </c>
      <c r="B188" s="79" t="s">
        <v>591</v>
      </c>
      <c r="C188" s="80"/>
    </row>
    <row r="189" spans="1:3" x14ac:dyDescent="0.3">
      <c r="A189" s="79" t="s">
        <v>592</v>
      </c>
      <c r="B189" s="82" t="s">
        <v>593</v>
      </c>
      <c r="C189" s="80"/>
    </row>
    <row r="190" spans="1:3" x14ac:dyDescent="0.3">
      <c r="A190" s="79" t="s">
        <v>594</v>
      </c>
      <c r="B190" s="79" t="s">
        <v>595</v>
      </c>
      <c r="C190" s="80"/>
    </row>
    <row r="191" spans="1:3" x14ac:dyDescent="0.3">
      <c r="A191" s="79" t="s">
        <v>596</v>
      </c>
      <c r="B191" s="82" t="s">
        <v>597</v>
      </c>
      <c r="C191" s="80"/>
    </row>
    <row r="192" spans="1:3" x14ac:dyDescent="0.3">
      <c r="A192" s="79" t="s">
        <v>598</v>
      </c>
      <c r="B192" s="82" t="s">
        <v>599</v>
      </c>
      <c r="C192" s="80"/>
    </row>
    <row r="193" spans="1:3" x14ac:dyDescent="0.3">
      <c r="A193" s="79" t="s">
        <v>600</v>
      </c>
      <c r="B193" s="79" t="s">
        <v>601</v>
      </c>
      <c r="C193" s="80"/>
    </row>
    <row r="194" spans="1:3" x14ac:dyDescent="0.3">
      <c r="A194" s="79" t="s">
        <v>602</v>
      </c>
      <c r="B194" s="79" t="s">
        <v>603</v>
      </c>
      <c r="C194" s="80"/>
    </row>
    <row r="195" spans="1:3" x14ac:dyDescent="0.3">
      <c r="A195" s="79" t="s">
        <v>604</v>
      </c>
      <c r="B195" s="79" t="s">
        <v>605</v>
      </c>
      <c r="C195" s="80"/>
    </row>
    <row r="196" spans="1:3" x14ac:dyDescent="0.3">
      <c r="A196" s="79" t="s">
        <v>606</v>
      </c>
      <c r="B196" s="79" t="s">
        <v>607</v>
      </c>
      <c r="C196" s="80"/>
    </row>
    <row r="197" spans="1:3" x14ac:dyDescent="0.3">
      <c r="A197" s="79" t="s">
        <v>608</v>
      </c>
      <c r="B197" s="79" t="s">
        <v>609</v>
      </c>
      <c r="C197" s="80"/>
    </row>
    <row r="198" spans="1:3" x14ac:dyDescent="0.3">
      <c r="A198" s="79" t="s">
        <v>610</v>
      </c>
      <c r="B198" s="82" t="s">
        <v>611</v>
      </c>
      <c r="C198" s="80"/>
    </row>
    <row r="199" spans="1:3" x14ac:dyDescent="0.3">
      <c r="A199" s="79" t="s">
        <v>612</v>
      </c>
      <c r="B199" s="82" t="s">
        <v>613</v>
      </c>
      <c r="C199" s="80"/>
    </row>
    <row r="200" spans="1:3" x14ac:dyDescent="0.3">
      <c r="A200" s="79" t="s">
        <v>614</v>
      </c>
      <c r="B200" s="82" t="s">
        <v>615</v>
      </c>
      <c r="C200" s="80"/>
    </row>
    <row r="201" spans="1:3" x14ac:dyDescent="0.3">
      <c r="A201" s="79" t="s">
        <v>616</v>
      </c>
      <c r="B201" s="79" t="s">
        <v>617</v>
      </c>
      <c r="C201" s="80"/>
    </row>
    <row r="202" spans="1:3" x14ac:dyDescent="0.3">
      <c r="A202" s="79" t="s">
        <v>618</v>
      </c>
      <c r="B202" s="82" t="s">
        <v>619</v>
      </c>
      <c r="C202" s="80"/>
    </row>
    <row r="203" spans="1:3" x14ac:dyDescent="0.3">
      <c r="A203" s="79" t="s">
        <v>620</v>
      </c>
      <c r="B203" s="82" t="s">
        <v>621</v>
      </c>
      <c r="C203" s="80"/>
    </row>
    <row r="204" spans="1:3" x14ac:dyDescent="0.3">
      <c r="A204" s="79" t="s">
        <v>622</v>
      </c>
      <c r="B204" s="79" t="s">
        <v>623</v>
      </c>
      <c r="C204" s="80"/>
    </row>
    <row r="205" spans="1:3" x14ac:dyDescent="0.3">
      <c r="A205" s="79" t="s">
        <v>624</v>
      </c>
      <c r="B205" s="79" t="s">
        <v>625</v>
      </c>
      <c r="C205" s="80"/>
    </row>
    <row r="206" spans="1:3" x14ac:dyDescent="0.3">
      <c r="A206" s="79" t="s">
        <v>626</v>
      </c>
      <c r="B206" s="79" t="s">
        <v>627</v>
      </c>
      <c r="C206" s="80"/>
    </row>
    <row r="207" spans="1:3" x14ac:dyDescent="0.3">
      <c r="A207" s="79" t="s">
        <v>628</v>
      </c>
      <c r="B207" s="79" t="s">
        <v>629</v>
      </c>
      <c r="C207" s="80"/>
    </row>
    <row r="208" spans="1:3" x14ac:dyDescent="0.3">
      <c r="A208" s="79" t="s">
        <v>630</v>
      </c>
      <c r="B208" s="82" t="s">
        <v>631</v>
      </c>
      <c r="C208" s="80"/>
    </row>
    <row r="209" spans="1:3" x14ac:dyDescent="0.3">
      <c r="A209" s="79" t="s">
        <v>632</v>
      </c>
      <c r="B209" s="79" t="s">
        <v>633</v>
      </c>
      <c r="C209" s="80"/>
    </row>
    <row r="210" spans="1:3" x14ac:dyDescent="0.3">
      <c r="A210" s="79" t="s">
        <v>634</v>
      </c>
      <c r="B210" s="79" t="s">
        <v>635</v>
      </c>
      <c r="C210" s="80"/>
    </row>
    <row r="211" spans="1:3" x14ac:dyDescent="0.3">
      <c r="A211" s="79" t="s">
        <v>636</v>
      </c>
      <c r="B211" s="79" t="s">
        <v>637</v>
      </c>
      <c r="C211" s="80"/>
    </row>
    <row r="212" spans="1:3" x14ac:dyDescent="0.3">
      <c r="A212" s="79" t="s">
        <v>638</v>
      </c>
      <c r="B212" s="82" t="s">
        <v>639</v>
      </c>
      <c r="C212" s="80"/>
    </row>
    <row r="213" spans="1:3" x14ac:dyDescent="0.3">
      <c r="A213" s="79" t="s">
        <v>640</v>
      </c>
      <c r="B213" s="79" t="s">
        <v>641</v>
      </c>
      <c r="C213" s="80"/>
    </row>
    <row r="214" spans="1:3" x14ac:dyDescent="0.3">
      <c r="A214" s="79" t="s">
        <v>642</v>
      </c>
      <c r="B214" s="79" t="s">
        <v>643</v>
      </c>
      <c r="C214" s="80"/>
    </row>
    <row r="215" spans="1:3" x14ac:dyDescent="0.3">
      <c r="A215" s="79" t="s">
        <v>644</v>
      </c>
      <c r="B215" s="79" t="s">
        <v>645</v>
      </c>
      <c r="C215" s="80"/>
    </row>
    <row r="216" spans="1:3" x14ac:dyDescent="0.3">
      <c r="A216" s="79" t="s">
        <v>646</v>
      </c>
      <c r="B216" s="79" t="s">
        <v>647</v>
      </c>
      <c r="C216" s="80"/>
    </row>
    <row r="217" spans="1:3" x14ac:dyDescent="0.3">
      <c r="A217" s="79" t="s">
        <v>196</v>
      </c>
      <c r="B217" s="79" t="s">
        <v>648</v>
      </c>
      <c r="C217" s="80"/>
    </row>
    <row r="218" spans="1:3" x14ac:dyDescent="0.3">
      <c r="A218" s="79" t="s">
        <v>649</v>
      </c>
      <c r="B218" s="79" t="s">
        <v>650</v>
      </c>
      <c r="C218" s="80"/>
    </row>
    <row r="219" spans="1:3" x14ac:dyDescent="0.3">
      <c r="A219" s="79" t="s">
        <v>651</v>
      </c>
      <c r="B219" s="79" t="s">
        <v>652</v>
      </c>
      <c r="C219" s="80"/>
    </row>
    <row r="220" spans="1:3" x14ac:dyDescent="0.3">
      <c r="A220" s="79" t="s">
        <v>653</v>
      </c>
      <c r="B220" s="79" t="s">
        <v>654</v>
      </c>
      <c r="C220" s="80"/>
    </row>
    <row r="221" spans="1:3" x14ac:dyDescent="0.3">
      <c r="A221" s="79" t="s">
        <v>655</v>
      </c>
      <c r="B221" s="79" t="s">
        <v>656</v>
      </c>
      <c r="C221" s="80"/>
    </row>
    <row r="222" spans="1:3" x14ac:dyDescent="0.3">
      <c r="A222" s="79" t="s">
        <v>657</v>
      </c>
      <c r="B222" s="79" t="s">
        <v>658</v>
      </c>
      <c r="C222" s="80"/>
    </row>
    <row r="223" spans="1:3" x14ac:dyDescent="0.3">
      <c r="A223" s="79" t="s">
        <v>659</v>
      </c>
      <c r="B223" s="82" t="s">
        <v>1117</v>
      </c>
      <c r="C223" s="80"/>
    </row>
    <row r="224" spans="1:3" x14ac:dyDescent="0.3">
      <c r="A224" s="79" t="s">
        <v>660</v>
      </c>
      <c r="B224" s="79" t="s">
        <v>661</v>
      </c>
      <c r="C224" s="80"/>
    </row>
    <row r="225" spans="1:4" x14ac:dyDescent="0.3">
      <c r="A225" s="79" t="s">
        <v>662</v>
      </c>
      <c r="B225" s="79" t="s">
        <v>663</v>
      </c>
      <c r="C225" s="80"/>
    </row>
    <row r="226" spans="1:4" x14ac:dyDescent="0.3">
      <c r="A226" s="79" t="s">
        <v>664</v>
      </c>
      <c r="B226" s="79" t="s">
        <v>665</v>
      </c>
      <c r="C226" s="80"/>
    </row>
    <row r="227" spans="1:4" x14ac:dyDescent="0.3">
      <c r="A227" s="79" t="s">
        <v>666</v>
      </c>
      <c r="B227" s="79" t="s">
        <v>335</v>
      </c>
      <c r="C227" s="80"/>
    </row>
    <row r="228" spans="1:4" x14ac:dyDescent="0.3">
      <c r="A228" s="79" t="s">
        <v>667</v>
      </c>
      <c r="B228" s="83" t="s">
        <v>1240</v>
      </c>
      <c r="C228" s="80" t="s">
        <v>1105</v>
      </c>
    </row>
    <row r="229" spans="1:4" x14ac:dyDescent="0.3">
      <c r="A229" s="79" t="s">
        <v>668</v>
      </c>
      <c r="B229" s="79" t="s">
        <v>669</v>
      </c>
      <c r="C229" s="80"/>
    </row>
    <row r="230" spans="1:4" x14ac:dyDescent="0.3">
      <c r="A230" s="79" t="s">
        <v>670</v>
      </c>
      <c r="B230" s="79" t="s">
        <v>671</v>
      </c>
      <c r="C230" s="80"/>
    </row>
    <row r="231" spans="1:4" x14ac:dyDescent="0.3">
      <c r="A231" s="88" t="s">
        <v>1118</v>
      </c>
      <c r="B231" s="88" t="s">
        <v>1119</v>
      </c>
      <c r="C231" s="89">
        <v>45071</v>
      </c>
      <c r="D231" s="76"/>
    </row>
    <row r="232" spans="1:4" x14ac:dyDescent="0.3">
      <c r="A232" s="79" t="s">
        <v>672</v>
      </c>
      <c r="B232" s="79" t="s">
        <v>673</v>
      </c>
      <c r="C232" s="80"/>
    </row>
    <row r="233" spans="1:4" x14ac:dyDescent="0.3">
      <c r="A233" s="79" t="s">
        <v>674</v>
      </c>
      <c r="B233" s="79" t="s">
        <v>675</v>
      </c>
      <c r="C233" s="80"/>
    </row>
    <row r="234" spans="1:4" x14ac:dyDescent="0.3">
      <c r="A234" s="88" t="s">
        <v>1120</v>
      </c>
      <c r="B234" s="88" t="s">
        <v>1121</v>
      </c>
      <c r="C234" s="89">
        <v>45071</v>
      </c>
    </row>
    <row r="235" spans="1:4" x14ac:dyDescent="0.3">
      <c r="A235" s="80" t="s">
        <v>1122</v>
      </c>
      <c r="B235" s="79" t="s">
        <v>1123</v>
      </c>
      <c r="C235" s="80"/>
    </row>
    <row r="236" spans="1:4" x14ac:dyDescent="0.3">
      <c r="A236" s="90" t="s">
        <v>1124</v>
      </c>
      <c r="B236" s="90" t="s">
        <v>1125</v>
      </c>
      <c r="C236" s="89">
        <v>45071</v>
      </c>
    </row>
    <row r="237" spans="1:4" x14ac:dyDescent="0.3">
      <c r="A237" s="90" t="s">
        <v>1126</v>
      </c>
      <c r="B237" s="91" t="s">
        <v>1127</v>
      </c>
      <c r="C237" s="89">
        <v>45071</v>
      </c>
    </row>
    <row r="238" spans="1:4" x14ac:dyDescent="0.3">
      <c r="A238" s="91" t="s">
        <v>1128</v>
      </c>
      <c r="B238" s="91" t="s">
        <v>1129</v>
      </c>
      <c r="C238" s="89">
        <v>45071</v>
      </c>
    </row>
    <row r="239" spans="1:4" x14ac:dyDescent="0.3">
      <c r="A239" s="91" t="s">
        <v>1130</v>
      </c>
      <c r="B239" s="91" t="s">
        <v>1131</v>
      </c>
      <c r="C239" s="89">
        <v>45071</v>
      </c>
    </row>
    <row r="240" spans="1:4" x14ac:dyDescent="0.3">
      <c r="A240" s="88" t="s">
        <v>1132</v>
      </c>
      <c r="B240" s="91" t="s">
        <v>1133</v>
      </c>
      <c r="C240" s="89">
        <v>45071</v>
      </c>
    </row>
    <row r="241" spans="1:3" x14ac:dyDescent="0.3">
      <c r="A241" s="88" t="s">
        <v>1134</v>
      </c>
      <c r="B241" s="91" t="s">
        <v>1135</v>
      </c>
      <c r="C241" s="89">
        <v>45071</v>
      </c>
    </row>
    <row r="242" spans="1:3" x14ac:dyDescent="0.3">
      <c r="A242" s="80" t="s">
        <v>1136</v>
      </c>
      <c r="B242" s="79" t="s">
        <v>1137</v>
      </c>
      <c r="C242" s="80"/>
    </row>
    <row r="243" spans="1:3" x14ac:dyDescent="0.3">
      <c r="A243" s="80" t="s">
        <v>1138</v>
      </c>
      <c r="B243" s="79" t="s">
        <v>1139</v>
      </c>
      <c r="C243" s="80"/>
    </row>
    <row r="244" spans="1:3" x14ac:dyDescent="0.3">
      <c r="A244" s="80" t="s">
        <v>559</v>
      </c>
      <c r="B244" s="79" t="s">
        <v>1140</v>
      </c>
      <c r="C244" s="80"/>
    </row>
    <row r="245" spans="1:3" x14ac:dyDescent="0.3">
      <c r="A245" s="91" t="s">
        <v>1141</v>
      </c>
      <c r="B245" s="91" t="s">
        <v>1142</v>
      </c>
      <c r="C245" s="89">
        <v>45071</v>
      </c>
    </row>
    <row r="246" spans="1:3" x14ac:dyDescent="0.3">
      <c r="A246" s="91" t="s">
        <v>1143</v>
      </c>
      <c r="B246" s="91" t="s">
        <v>1144</v>
      </c>
      <c r="C246" s="89">
        <v>45071</v>
      </c>
    </row>
    <row r="247" spans="1:3" x14ac:dyDescent="0.3">
      <c r="A247" s="79" t="s">
        <v>1145</v>
      </c>
      <c r="B247" s="79" t="s">
        <v>1146</v>
      </c>
      <c r="C247" s="80"/>
    </row>
    <row r="248" spans="1:3" x14ac:dyDescent="0.3">
      <c r="A248" s="79" t="s">
        <v>676</v>
      </c>
      <c r="B248" s="79" t="s">
        <v>677</v>
      </c>
      <c r="C248" s="80"/>
    </row>
    <row r="249" spans="1:3" x14ac:dyDescent="0.3">
      <c r="A249" s="79" t="s">
        <v>678</v>
      </c>
      <c r="B249" s="79" t="s">
        <v>679</v>
      </c>
      <c r="C249" s="80"/>
    </row>
    <row r="250" spans="1:3" x14ac:dyDescent="0.3">
      <c r="A250" s="79" t="s">
        <v>680</v>
      </c>
      <c r="B250" s="79" t="s">
        <v>681</v>
      </c>
      <c r="C250" s="80"/>
    </row>
    <row r="251" spans="1:3" x14ac:dyDescent="0.3">
      <c r="A251" s="79" t="s">
        <v>682</v>
      </c>
      <c r="B251" s="79" t="s">
        <v>683</v>
      </c>
      <c r="C251" s="80"/>
    </row>
    <row r="252" spans="1:3" x14ac:dyDescent="0.3">
      <c r="A252" s="79" t="s">
        <v>684</v>
      </c>
      <c r="B252" s="79" t="s">
        <v>685</v>
      </c>
      <c r="C252" s="80"/>
    </row>
    <row r="253" spans="1:3" x14ac:dyDescent="0.3">
      <c r="A253" s="79" t="s">
        <v>686</v>
      </c>
      <c r="B253" s="79" t="s">
        <v>687</v>
      </c>
      <c r="C253" s="80"/>
    </row>
    <row r="254" spans="1:3" x14ac:dyDescent="0.3">
      <c r="A254" s="79" t="s">
        <v>688</v>
      </c>
      <c r="B254" s="79" t="s">
        <v>689</v>
      </c>
      <c r="C254" s="80"/>
    </row>
    <row r="255" spans="1:3" x14ac:dyDescent="0.3">
      <c r="A255" s="79" t="s">
        <v>690</v>
      </c>
      <c r="B255" s="79" t="s">
        <v>691</v>
      </c>
      <c r="C255" s="80"/>
    </row>
    <row r="256" spans="1:3" x14ac:dyDescent="0.3">
      <c r="A256" s="79" t="s">
        <v>692</v>
      </c>
      <c r="B256" s="79" t="s">
        <v>693</v>
      </c>
      <c r="C256" s="80"/>
    </row>
    <row r="257" spans="1:3" x14ac:dyDescent="0.3">
      <c r="A257" s="79" t="s">
        <v>694</v>
      </c>
      <c r="B257" s="79" t="s">
        <v>695</v>
      </c>
      <c r="C257" s="80"/>
    </row>
    <row r="258" spans="1:3" x14ac:dyDescent="0.3">
      <c r="A258" s="79" t="s">
        <v>696</v>
      </c>
      <c r="B258" s="79" t="s">
        <v>697</v>
      </c>
      <c r="C258" s="80"/>
    </row>
    <row r="259" spans="1:3" x14ac:dyDescent="0.3">
      <c r="A259" s="79" t="s">
        <v>698</v>
      </c>
      <c r="B259" s="79" t="s">
        <v>699</v>
      </c>
      <c r="C259" s="80"/>
    </row>
    <row r="260" spans="1:3" x14ac:dyDescent="0.3">
      <c r="A260" s="79" t="s">
        <v>700</v>
      </c>
      <c r="B260" s="79" t="s">
        <v>701</v>
      </c>
      <c r="C260" s="80"/>
    </row>
    <row r="261" spans="1:3" x14ac:dyDescent="0.3">
      <c r="A261" s="79" t="s">
        <v>702</v>
      </c>
      <c r="B261" s="79" t="s">
        <v>703</v>
      </c>
      <c r="C261" s="80"/>
    </row>
    <row r="262" spans="1:3" x14ac:dyDescent="0.3">
      <c r="A262" s="79" t="s">
        <v>704</v>
      </c>
      <c r="B262" s="79" t="s">
        <v>705</v>
      </c>
      <c r="C262" s="80"/>
    </row>
    <row r="263" spans="1:3" x14ac:dyDescent="0.3">
      <c r="A263" s="79" t="s">
        <v>706</v>
      </c>
      <c r="B263" s="79" t="s">
        <v>707</v>
      </c>
      <c r="C263" s="80"/>
    </row>
    <row r="264" spans="1:3" x14ac:dyDescent="0.3">
      <c r="A264" s="79" t="s">
        <v>708</v>
      </c>
      <c r="B264" s="79" t="s">
        <v>709</v>
      </c>
      <c r="C264" s="80"/>
    </row>
    <row r="265" spans="1:3" x14ac:dyDescent="0.3">
      <c r="A265" s="79" t="s">
        <v>710</v>
      </c>
      <c r="B265" s="79" t="s">
        <v>711</v>
      </c>
      <c r="C265" s="80"/>
    </row>
    <row r="266" spans="1:3" x14ac:dyDescent="0.3">
      <c r="A266" s="79" t="s">
        <v>712</v>
      </c>
      <c r="B266" s="79" t="s">
        <v>713</v>
      </c>
      <c r="C266" s="80"/>
    </row>
    <row r="267" spans="1:3" x14ac:dyDescent="0.3">
      <c r="A267" s="79" t="s">
        <v>714</v>
      </c>
      <c r="B267" s="79" t="s">
        <v>715</v>
      </c>
      <c r="C267" s="80"/>
    </row>
    <row r="268" spans="1:3" x14ac:dyDescent="0.3">
      <c r="A268" s="79" t="s">
        <v>716</v>
      </c>
      <c r="B268" s="79" t="s">
        <v>717</v>
      </c>
      <c r="C268" s="80"/>
    </row>
    <row r="269" spans="1:3" x14ac:dyDescent="0.3">
      <c r="A269" s="79" t="s">
        <v>718</v>
      </c>
      <c r="B269" s="79" t="s">
        <v>719</v>
      </c>
      <c r="C269" s="80"/>
    </row>
    <row r="270" spans="1:3" x14ac:dyDescent="0.3">
      <c r="A270" s="79" t="s">
        <v>720</v>
      </c>
      <c r="B270" s="79" t="s">
        <v>721</v>
      </c>
      <c r="C270" s="80"/>
    </row>
    <row r="271" spans="1:3" x14ac:dyDescent="0.3">
      <c r="A271" s="79" t="s">
        <v>722</v>
      </c>
      <c r="B271" s="79" t="s">
        <v>723</v>
      </c>
      <c r="C271" s="80"/>
    </row>
    <row r="272" spans="1:3" x14ac:dyDescent="0.3">
      <c r="A272" s="79" t="s">
        <v>724</v>
      </c>
      <c r="B272" s="79" t="s">
        <v>725</v>
      </c>
      <c r="C272" s="80"/>
    </row>
    <row r="273" spans="1:3" x14ac:dyDescent="0.3">
      <c r="A273" s="82" t="s">
        <v>726</v>
      </c>
      <c r="B273" s="83" t="s">
        <v>1147</v>
      </c>
      <c r="C273" s="80" t="s">
        <v>1105</v>
      </c>
    </row>
    <row r="274" spans="1:3" x14ac:dyDescent="0.3">
      <c r="A274" s="79" t="s">
        <v>727</v>
      </c>
      <c r="B274" s="79" t="s">
        <v>728</v>
      </c>
      <c r="C274" s="80"/>
    </row>
    <row r="275" spans="1:3" x14ac:dyDescent="0.3">
      <c r="A275" s="79" t="s">
        <v>729</v>
      </c>
      <c r="B275" s="79" t="s">
        <v>730</v>
      </c>
      <c r="C275" s="80"/>
    </row>
    <row r="276" spans="1:3" x14ac:dyDescent="0.3">
      <c r="A276" s="79" t="s">
        <v>731</v>
      </c>
      <c r="B276" s="79" t="s">
        <v>732</v>
      </c>
      <c r="C276" s="80"/>
    </row>
    <row r="277" spans="1:3" x14ac:dyDescent="0.3">
      <c r="A277" s="79" t="s">
        <v>733</v>
      </c>
      <c r="B277" s="79" t="s">
        <v>734</v>
      </c>
      <c r="C277" s="80"/>
    </row>
    <row r="278" spans="1:3" x14ac:dyDescent="0.3">
      <c r="A278" s="79" t="s">
        <v>735</v>
      </c>
      <c r="B278" s="79" t="s">
        <v>736</v>
      </c>
      <c r="C278" s="80"/>
    </row>
    <row r="279" spans="1:3" x14ac:dyDescent="0.3">
      <c r="A279" s="79" t="s">
        <v>737</v>
      </c>
      <c r="B279" s="79" t="s">
        <v>334</v>
      </c>
      <c r="C279" s="80"/>
    </row>
    <row r="280" spans="1:3" x14ac:dyDescent="0.3">
      <c r="A280" s="79" t="s">
        <v>738</v>
      </c>
      <c r="B280" s="79" t="s">
        <v>739</v>
      </c>
      <c r="C280" s="80"/>
    </row>
    <row r="281" spans="1:3" x14ac:dyDescent="0.3">
      <c r="A281" s="79" t="s">
        <v>740</v>
      </c>
      <c r="B281" s="79" t="s">
        <v>741</v>
      </c>
      <c r="C281" s="80"/>
    </row>
    <row r="282" spans="1:3" x14ac:dyDescent="0.3">
      <c r="A282" s="79" t="s">
        <v>742</v>
      </c>
      <c r="B282" s="79" t="s">
        <v>743</v>
      </c>
      <c r="C282" s="80"/>
    </row>
    <row r="283" spans="1:3" x14ac:dyDescent="0.3">
      <c r="A283" s="79" t="s">
        <v>744</v>
      </c>
      <c r="B283" s="79" t="s">
        <v>745</v>
      </c>
      <c r="C283" s="80"/>
    </row>
    <row r="284" spans="1:3" x14ac:dyDescent="0.3">
      <c r="A284" s="79" t="s">
        <v>746</v>
      </c>
      <c r="B284" s="79" t="s">
        <v>747</v>
      </c>
      <c r="C284" s="80"/>
    </row>
    <row r="285" spans="1:3" x14ac:dyDescent="0.3">
      <c r="A285" s="79" t="s">
        <v>748</v>
      </c>
      <c r="B285" s="79" t="s">
        <v>749</v>
      </c>
      <c r="C285" s="80"/>
    </row>
    <row r="286" spans="1:3" x14ac:dyDescent="0.3">
      <c r="A286" s="79" t="s">
        <v>750</v>
      </c>
      <c r="B286" s="79" t="s">
        <v>751</v>
      </c>
      <c r="C286" s="80"/>
    </row>
    <row r="287" spans="1:3" x14ac:dyDescent="0.3">
      <c r="A287" s="79" t="s">
        <v>752</v>
      </c>
      <c r="B287" s="79" t="s">
        <v>741</v>
      </c>
      <c r="C287" s="80"/>
    </row>
    <row r="288" spans="1:3" x14ac:dyDescent="0.3">
      <c r="A288" s="79" t="s">
        <v>753</v>
      </c>
      <c r="B288" s="79" t="s">
        <v>754</v>
      </c>
      <c r="C288" s="80"/>
    </row>
    <row r="289" spans="1:3" x14ac:dyDescent="0.3">
      <c r="A289" s="79" t="s">
        <v>755</v>
      </c>
      <c r="B289" s="79" t="s">
        <v>756</v>
      </c>
      <c r="C289" s="80"/>
    </row>
    <row r="290" spans="1:3" x14ac:dyDescent="0.3">
      <c r="A290" s="79" t="s">
        <v>757</v>
      </c>
      <c r="B290" s="79" t="s">
        <v>758</v>
      </c>
      <c r="C290" s="80"/>
    </row>
    <row r="291" spans="1:3" x14ac:dyDescent="0.3">
      <c r="A291" s="79" t="s">
        <v>759</v>
      </c>
      <c r="B291" s="79" t="s">
        <v>760</v>
      </c>
      <c r="C291" s="80"/>
    </row>
    <row r="292" spans="1:3" x14ac:dyDescent="0.3">
      <c r="A292" s="79" t="s">
        <v>761</v>
      </c>
      <c r="B292" s="79" t="s">
        <v>762</v>
      </c>
      <c r="C292" s="80"/>
    </row>
    <row r="293" spans="1:3" x14ac:dyDescent="0.3">
      <c r="A293" s="79" t="s">
        <v>763</v>
      </c>
      <c r="B293" s="79" t="s">
        <v>764</v>
      </c>
      <c r="C293" s="80"/>
    </row>
    <row r="294" spans="1:3" x14ac:dyDescent="0.3">
      <c r="A294" s="79" t="s">
        <v>765</v>
      </c>
      <c r="B294" s="79" t="s">
        <v>766</v>
      </c>
      <c r="C294" s="80"/>
    </row>
    <row r="295" spans="1:3" x14ac:dyDescent="0.3">
      <c r="A295" s="79" t="s">
        <v>767</v>
      </c>
      <c r="B295" s="79" t="s">
        <v>768</v>
      </c>
      <c r="C295" s="80"/>
    </row>
    <row r="296" spans="1:3" x14ac:dyDescent="0.3">
      <c r="A296" s="79" t="s">
        <v>770</v>
      </c>
      <c r="B296" s="79" t="s">
        <v>771</v>
      </c>
      <c r="C296" s="80"/>
    </row>
    <row r="297" spans="1:3" x14ac:dyDescent="0.3">
      <c r="A297" s="79" t="s">
        <v>772</v>
      </c>
      <c r="B297" s="79" t="s">
        <v>773</v>
      </c>
      <c r="C297" s="80"/>
    </row>
    <row r="298" spans="1:3" x14ac:dyDescent="0.3">
      <c r="A298" s="79" t="s">
        <v>774</v>
      </c>
      <c r="B298" s="79" t="s">
        <v>775</v>
      </c>
      <c r="C298" s="80"/>
    </row>
    <row r="299" spans="1:3" x14ac:dyDescent="0.3">
      <c r="A299" s="79" t="s">
        <v>776</v>
      </c>
      <c r="B299" s="79" t="s">
        <v>777</v>
      </c>
      <c r="C299" s="80"/>
    </row>
    <row r="300" spans="1:3" x14ac:dyDescent="0.3">
      <c r="A300" s="79" t="s">
        <v>778</v>
      </c>
      <c r="B300" s="79" t="s">
        <v>779</v>
      </c>
      <c r="C300" s="80"/>
    </row>
    <row r="301" spans="1:3" x14ac:dyDescent="0.3">
      <c r="A301" s="79" t="s">
        <v>780</v>
      </c>
      <c r="B301" s="79" t="s">
        <v>769</v>
      </c>
      <c r="C301" s="80"/>
    </row>
    <row r="302" spans="1:3" x14ac:dyDescent="0.3">
      <c r="A302" s="79" t="s">
        <v>781</v>
      </c>
      <c r="B302" s="79" t="s">
        <v>782</v>
      </c>
      <c r="C302" s="80"/>
    </row>
    <row r="303" spans="1:3" x14ac:dyDescent="0.3">
      <c r="A303" s="79" t="s">
        <v>783</v>
      </c>
      <c r="B303" s="79" t="s">
        <v>784</v>
      </c>
      <c r="C303" s="80"/>
    </row>
    <row r="304" spans="1:3" x14ac:dyDescent="0.3">
      <c r="A304" s="79" t="s">
        <v>785</v>
      </c>
      <c r="B304" s="79" t="s">
        <v>786</v>
      </c>
      <c r="C304" s="80"/>
    </row>
    <row r="305" spans="1:3" x14ac:dyDescent="0.3">
      <c r="A305" s="79" t="s">
        <v>787</v>
      </c>
      <c r="B305" s="79" t="s">
        <v>788</v>
      </c>
      <c r="C305" s="80"/>
    </row>
    <row r="306" spans="1:3" x14ac:dyDescent="0.3">
      <c r="A306" s="79" t="s">
        <v>789</v>
      </c>
      <c r="B306" s="79" t="s">
        <v>790</v>
      </c>
      <c r="C306" s="80"/>
    </row>
    <row r="307" spans="1:3" x14ac:dyDescent="0.3">
      <c r="A307" s="79" t="s">
        <v>791</v>
      </c>
      <c r="B307" s="79" t="s">
        <v>792</v>
      </c>
      <c r="C307" s="80"/>
    </row>
    <row r="308" spans="1:3" x14ac:dyDescent="0.3">
      <c r="A308" s="79" t="s">
        <v>793</v>
      </c>
      <c r="B308" s="79" t="s">
        <v>794</v>
      </c>
      <c r="C308" s="80"/>
    </row>
    <row r="309" spans="1:3" x14ac:dyDescent="0.3">
      <c r="A309" s="79" t="s">
        <v>795</v>
      </c>
      <c r="B309" s="79" t="s">
        <v>796</v>
      </c>
      <c r="C309" s="80"/>
    </row>
    <row r="310" spans="1:3" x14ac:dyDescent="0.3">
      <c r="A310" s="79" t="s">
        <v>797</v>
      </c>
      <c r="B310" s="79" t="s">
        <v>798</v>
      </c>
      <c r="C310" s="80"/>
    </row>
    <row r="311" spans="1:3" x14ac:dyDescent="0.3">
      <c r="A311" s="79" t="s">
        <v>799</v>
      </c>
      <c r="B311" s="79" t="s">
        <v>800</v>
      </c>
      <c r="C311" s="80"/>
    </row>
    <row r="312" spans="1:3" x14ac:dyDescent="0.3">
      <c r="A312" s="79" t="s">
        <v>801</v>
      </c>
      <c r="B312" s="79" t="s">
        <v>802</v>
      </c>
      <c r="C312" s="80"/>
    </row>
    <row r="313" spans="1:3" x14ac:dyDescent="0.3">
      <c r="A313" s="79" t="s">
        <v>803</v>
      </c>
      <c r="B313" s="79" t="s">
        <v>804</v>
      </c>
      <c r="C313" s="80"/>
    </row>
    <row r="314" spans="1:3" x14ac:dyDescent="0.3">
      <c r="A314" s="79" t="s">
        <v>805</v>
      </c>
      <c r="B314" s="79" t="s">
        <v>806</v>
      </c>
      <c r="C314" s="80"/>
    </row>
    <row r="315" spans="1:3" x14ac:dyDescent="0.3">
      <c r="A315" s="79" t="s">
        <v>807</v>
      </c>
      <c r="B315" s="79" t="s">
        <v>808</v>
      </c>
      <c r="C315" s="80"/>
    </row>
    <row r="316" spans="1:3" x14ac:dyDescent="0.3">
      <c r="A316" s="79" t="s">
        <v>809</v>
      </c>
      <c r="B316" s="79" t="s">
        <v>810</v>
      </c>
      <c r="C316" s="80"/>
    </row>
    <row r="317" spans="1:3" x14ac:dyDescent="0.3">
      <c r="A317" s="79" t="s">
        <v>811</v>
      </c>
      <c r="B317" s="79" t="s">
        <v>812</v>
      </c>
      <c r="C317" s="80"/>
    </row>
    <row r="318" spans="1:3" x14ac:dyDescent="0.3">
      <c r="A318" s="79" t="s">
        <v>813</v>
      </c>
      <c r="B318" s="79" t="s">
        <v>814</v>
      </c>
      <c r="C318" s="80"/>
    </row>
    <row r="319" spans="1:3" x14ac:dyDescent="0.3">
      <c r="A319" s="92" t="s">
        <v>1148</v>
      </c>
      <c r="B319" s="79" t="s">
        <v>815</v>
      </c>
      <c r="C319" s="80" t="s">
        <v>1105</v>
      </c>
    </row>
    <row r="320" spans="1:3" x14ac:dyDescent="0.3">
      <c r="A320" s="79" t="s">
        <v>816</v>
      </c>
      <c r="B320" s="79" t="s">
        <v>817</v>
      </c>
      <c r="C320" s="80"/>
    </row>
    <row r="321" spans="1:3" x14ac:dyDescent="0.3">
      <c r="A321" s="79" t="s">
        <v>818</v>
      </c>
      <c r="B321" s="79" t="s">
        <v>819</v>
      </c>
      <c r="C321" s="80"/>
    </row>
    <row r="322" spans="1:3" x14ac:dyDescent="0.3">
      <c r="A322" s="79" t="s">
        <v>820</v>
      </c>
      <c r="B322" s="79" t="s">
        <v>821</v>
      </c>
      <c r="C322" s="80"/>
    </row>
    <row r="323" spans="1:3" x14ac:dyDescent="0.3">
      <c r="A323" s="79" t="s">
        <v>822</v>
      </c>
      <c r="B323" s="79" t="s">
        <v>823</v>
      </c>
      <c r="C323" s="80"/>
    </row>
    <row r="324" spans="1:3" x14ac:dyDescent="0.3">
      <c r="A324" s="79" t="s">
        <v>824</v>
      </c>
      <c r="B324" s="79" t="s">
        <v>825</v>
      </c>
      <c r="C324" s="80"/>
    </row>
    <row r="325" spans="1:3" x14ac:dyDescent="0.3">
      <c r="A325" s="79" t="s">
        <v>826</v>
      </c>
      <c r="B325" s="79" t="s">
        <v>827</v>
      </c>
      <c r="C325" s="80"/>
    </row>
    <row r="326" spans="1:3" x14ac:dyDescent="0.3">
      <c r="A326" s="79" t="s">
        <v>828</v>
      </c>
      <c r="B326" s="79" t="s">
        <v>829</v>
      </c>
      <c r="C326" s="80"/>
    </row>
    <row r="327" spans="1:3" x14ac:dyDescent="0.3">
      <c r="A327" s="79" t="s">
        <v>830</v>
      </c>
      <c r="B327" s="79" t="s">
        <v>831</v>
      </c>
      <c r="C327" s="80"/>
    </row>
    <row r="328" spans="1:3" x14ac:dyDescent="0.3">
      <c r="A328" s="79" t="s">
        <v>832</v>
      </c>
      <c r="B328" s="79" t="s">
        <v>833</v>
      </c>
      <c r="C328" s="80"/>
    </row>
    <row r="329" spans="1:3" x14ac:dyDescent="0.3">
      <c r="A329" s="79" t="s">
        <v>834</v>
      </c>
      <c r="B329" s="79" t="s">
        <v>835</v>
      </c>
      <c r="C329" s="80"/>
    </row>
    <row r="330" spans="1:3" x14ac:dyDescent="0.3">
      <c r="A330" s="79" t="s">
        <v>836</v>
      </c>
      <c r="B330" s="79" t="s">
        <v>837</v>
      </c>
      <c r="C330" s="80"/>
    </row>
    <row r="331" spans="1:3" x14ac:dyDescent="0.3">
      <c r="A331" s="79" t="s">
        <v>838</v>
      </c>
      <c r="B331" s="79" t="s">
        <v>839</v>
      </c>
      <c r="C331" s="80"/>
    </row>
    <row r="332" spans="1:3" x14ac:dyDescent="0.3">
      <c r="A332" s="79" t="s">
        <v>840</v>
      </c>
      <c r="B332" s="79" t="s">
        <v>841</v>
      </c>
      <c r="C332" s="80"/>
    </row>
    <row r="333" spans="1:3" x14ac:dyDescent="0.3">
      <c r="A333" s="79" t="s">
        <v>842</v>
      </c>
      <c r="B333" s="79" t="s">
        <v>843</v>
      </c>
      <c r="C333" s="80"/>
    </row>
    <row r="334" spans="1:3" x14ac:dyDescent="0.3">
      <c r="A334" s="79" t="s">
        <v>844</v>
      </c>
      <c r="B334" s="79" t="s">
        <v>845</v>
      </c>
      <c r="C334" s="80"/>
    </row>
    <row r="335" spans="1:3" x14ac:dyDescent="0.3">
      <c r="A335" s="79" t="s">
        <v>846</v>
      </c>
      <c r="B335" s="79" t="s">
        <v>847</v>
      </c>
      <c r="C335" s="80"/>
    </row>
    <row r="336" spans="1:3" x14ac:dyDescent="0.3">
      <c r="A336" s="79" t="s">
        <v>848</v>
      </c>
      <c r="B336" s="79" t="s">
        <v>849</v>
      </c>
      <c r="C336" s="80"/>
    </row>
    <row r="337" spans="1:3" x14ac:dyDescent="0.3">
      <c r="A337" s="79" t="s">
        <v>850</v>
      </c>
      <c r="B337" s="79" t="s">
        <v>851</v>
      </c>
      <c r="C337" s="80"/>
    </row>
    <row r="338" spans="1:3" x14ac:dyDescent="0.3">
      <c r="A338" s="79" t="s">
        <v>852</v>
      </c>
      <c r="B338" s="79" t="s">
        <v>853</v>
      </c>
      <c r="C338" s="80"/>
    </row>
    <row r="339" spans="1:3" x14ac:dyDescent="0.3">
      <c r="A339" s="79" t="s">
        <v>854</v>
      </c>
      <c r="B339" s="79" t="s">
        <v>855</v>
      </c>
      <c r="C339" s="80"/>
    </row>
    <row r="340" spans="1:3" x14ac:dyDescent="0.3">
      <c r="A340" s="79" t="s">
        <v>856</v>
      </c>
      <c r="B340" s="79" t="s">
        <v>857</v>
      </c>
      <c r="C340" s="80"/>
    </row>
    <row r="341" spans="1:3" x14ac:dyDescent="0.3">
      <c r="A341" s="79" t="s">
        <v>858</v>
      </c>
      <c r="B341" s="79" t="s">
        <v>859</v>
      </c>
      <c r="C341" s="80"/>
    </row>
    <row r="342" spans="1:3" x14ac:dyDescent="0.3">
      <c r="A342" s="79" t="s">
        <v>860</v>
      </c>
      <c r="B342" s="79" t="s">
        <v>861</v>
      </c>
      <c r="C342" s="80"/>
    </row>
    <row r="343" spans="1:3" x14ac:dyDescent="0.3">
      <c r="A343" s="79" t="s">
        <v>862</v>
      </c>
      <c r="B343" s="79" t="s">
        <v>863</v>
      </c>
      <c r="C343" s="80"/>
    </row>
    <row r="344" spans="1:3" x14ac:dyDescent="0.3">
      <c r="A344" s="79" t="s">
        <v>864</v>
      </c>
      <c r="B344" s="79" t="s">
        <v>865</v>
      </c>
      <c r="C344" s="80"/>
    </row>
    <row r="345" spans="1:3" x14ac:dyDescent="0.3">
      <c r="A345" s="79" t="s">
        <v>866</v>
      </c>
      <c r="B345" s="79" t="s">
        <v>867</v>
      </c>
      <c r="C345" s="80"/>
    </row>
    <row r="346" spans="1:3" x14ac:dyDescent="0.3">
      <c r="A346" s="79" t="s">
        <v>868</v>
      </c>
      <c r="B346" s="79" t="s">
        <v>869</v>
      </c>
      <c r="C346" s="80"/>
    </row>
    <row r="347" spans="1:3" x14ac:dyDescent="0.3">
      <c r="A347" s="79" t="s">
        <v>870</v>
      </c>
      <c r="B347" s="79" t="s">
        <v>871</v>
      </c>
      <c r="C347" s="80"/>
    </row>
    <row r="348" spans="1:3" x14ac:dyDescent="0.3">
      <c r="A348" s="79" t="s">
        <v>872</v>
      </c>
      <c r="B348" s="79" t="s">
        <v>873</v>
      </c>
      <c r="C348" s="80"/>
    </row>
    <row r="349" spans="1:3" x14ac:dyDescent="0.3">
      <c r="A349" s="79" t="s">
        <v>874</v>
      </c>
      <c r="B349" s="79" t="s">
        <v>875</v>
      </c>
      <c r="C349" s="80"/>
    </row>
    <row r="350" spans="1:3" x14ac:dyDescent="0.3">
      <c r="A350" s="79" t="s">
        <v>876</v>
      </c>
      <c r="B350" s="79" t="s">
        <v>877</v>
      </c>
      <c r="C350" s="80"/>
    </row>
    <row r="351" spans="1:3" x14ac:dyDescent="0.3">
      <c r="A351" s="79" t="s">
        <v>878</v>
      </c>
      <c r="B351" s="79" t="s">
        <v>879</v>
      </c>
      <c r="C351" s="80"/>
    </row>
    <row r="352" spans="1:3" x14ac:dyDescent="0.3">
      <c r="A352" s="79" t="s">
        <v>880</v>
      </c>
      <c r="B352" s="79" t="s">
        <v>881</v>
      </c>
      <c r="C352" s="80"/>
    </row>
    <row r="353" spans="1:3" x14ac:dyDescent="0.3">
      <c r="A353" s="79" t="s">
        <v>882</v>
      </c>
      <c r="B353" s="79" t="s">
        <v>883</v>
      </c>
      <c r="C353" s="80"/>
    </row>
    <row r="354" spans="1:3" x14ac:dyDescent="0.3">
      <c r="A354" s="79" t="s">
        <v>884</v>
      </c>
      <c r="B354" s="79" t="s">
        <v>885</v>
      </c>
      <c r="C354" s="80"/>
    </row>
    <row r="355" spans="1:3" x14ac:dyDescent="0.3">
      <c r="A355" s="79" t="s">
        <v>886</v>
      </c>
      <c r="B355" s="79" t="s">
        <v>887</v>
      </c>
      <c r="C355" s="80"/>
    </row>
    <row r="356" spans="1:3" x14ac:dyDescent="0.3">
      <c r="A356" s="79" t="s">
        <v>888</v>
      </c>
      <c r="B356" s="79" t="s">
        <v>889</v>
      </c>
      <c r="C356" s="80"/>
    </row>
    <row r="357" spans="1:3" x14ac:dyDescent="0.3">
      <c r="A357" s="79" t="s">
        <v>890</v>
      </c>
      <c r="B357" s="79" t="s">
        <v>891</v>
      </c>
      <c r="C357" s="80"/>
    </row>
    <row r="358" spans="1:3" x14ac:dyDescent="0.3">
      <c r="A358" s="79" t="s">
        <v>892</v>
      </c>
      <c r="B358" s="79" t="s">
        <v>893</v>
      </c>
      <c r="C358" s="80"/>
    </row>
    <row r="359" spans="1:3" x14ac:dyDescent="0.3">
      <c r="A359" s="79" t="s">
        <v>894</v>
      </c>
      <c r="B359" s="79" t="s">
        <v>895</v>
      </c>
      <c r="C359" s="80"/>
    </row>
    <row r="360" spans="1:3" x14ac:dyDescent="0.3">
      <c r="A360" s="79" t="s">
        <v>896</v>
      </c>
      <c r="B360" s="79" t="s">
        <v>897</v>
      </c>
      <c r="C360" s="80"/>
    </row>
    <row r="361" spans="1:3" x14ac:dyDescent="0.3">
      <c r="A361" s="79" t="s">
        <v>898</v>
      </c>
      <c r="B361" s="79" t="s">
        <v>899</v>
      </c>
      <c r="C361" s="80"/>
    </row>
    <row r="362" spans="1:3" x14ac:dyDescent="0.3">
      <c r="A362" s="79" t="s">
        <v>900</v>
      </c>
      <c r="B362" s="79" t="s">
        <v>901</v>
      </c>
      <c r="C362" s="80"/>
    </row>
    <row r="363" spans="1:3" x14ac:dyDescent="0.3">
      <c r="A363" s="79" t="s">
        <v>902</v>
      </c>
      <c r="B363" s="79" t="s">
        <v>903</v>
      </c>
      <c r="C363" s="80"/>
    </row>
    <row r="364" spans="1:3" x14ac:dyDescent="0.3">
      <c r="A364" s="79" t="s">
        <v>904</v>
      </c>
      <c r="B364" s="79" t="s">
        <v>905</v>
      </c>
      <c r="C364" s="80"/>
    </row>
    <row r="365" spans="1:3" x14ac:dyDescent="0.3">
      <c r="A365" s="79" t="s">
        <v>906</v>
      </c>
      <c r="B365" s="79" t="s">
        <v>907</v>
      </c>
      <c r="C365" s="80"/>
    </row>
    <row r="366" spans="1:3" x14ac:dyDescent="0.3">
      <c r="A366" s="79" t="s">
        <v>908</v>
      </c>
      <c r="B366" s="79" t="s">
        <v>909</v>
      </c>
      <c r="C366" s="80"/>
    </row>
    <row r="367" spans="1:3" x14ac:dyDescent="0.3">
      <c r="A367" s="79" t="s">
        <v>910</v>
      </c>
      <c r="B367" s="79" t="s">
        <v>911</v>
      </c>
      <c r="C367" s="80"/>
    </row>
    <row r="368" spans="1:3" x14ac:dyDescent="0.3">
      <c r="A368" s="79" t="s">
        <v>912</v>
      </c>
      <c r="B368" s="79" t="s">
        <v>913</v>
      </c>
      <c r="C368" s="80"/>
    </row>
    <row r="369" spans="1:3" x14ac:dyDescent="0.3">
      <c r="A369" s="82" t="s">
        <v>914</v>
      </c>
      <c r="B369" s="79" t="s">
        <v>915</v>
      </c>
      <c r="C369" s="80"/>
    </row>
    <row r="370" spans="1:3" x14ac:dyDescent="0.3">
      <c r="A370" s="79" t="s">
        <v>916</v>
      </c>
      <c r="B370" s="79" t="s">
        <v>917</v>
      </c>
      <c r="C370" s="80"/>
    </row>
    <row r="371" spans="1:3" x14ac:dyDescent="0.3">
      <c r="A371" s="79" t="s">
        <v>918</v>
      </c>
      <c r="B371" s="79" t="s">
        <v>919</v>
      </c>
      <c r="C371" s="80"/>
    </row>
    <row r="372" spans="1:3" x14ac:dyDescent="0.3">
      <c r="A372" s="79" t="s">
        <v>920</v>
      </c>
      <c r="B372" s="79" t="s">
        <v>921</v>
      </c>
      <c r="C372" s="80"/>
    </row>
    <row r="373" spans="1:3" x14ac:dyDescent="0.3">
      <c r="A373" s="79" t="s">
        <v>922</v>
      </c>
      <c r="B373" s="79" t="s">
        <v>923</v>
      </c>
      <c r="C373" s="80"/>
    </row>
    <row r="374" spans="1:3" x14ac:dyDescent="0.3">
      <c r="A374" s="79" t="s">
        <v>924</v>
      </c>
      <c r="B374" s="79" t="s">
        <v>925</v>
      </c>
      <c r="C374" s="80"/>
    </row>
    <row r="375" spans="1:3" x14ac:dyDescent="0.3">
      <c r="A375" s="79" t="s">
        <v>926</v>
      </c>
      <c r="B375" s="79" t="s">
        <v>927</v>
      </c>
      <c r="C375" s="80"/>
    </row>
    <row r="376" spans="1:3" x14ac:dyDescent="0.3">
      <c r="A376" s="79" t="s">
        <v>928</v>
      </c>
      <c r="B376" s="79" t="s">
        <v>929</v>
      </c>
      <c r="C376" s="80"/>
    </row>
    <row r="377" spans="1:3" x14ac:dyDescent="0.3">
      <c r="A377" s="79" t="s">
        <v>930</v>
      </c>
      <c r="B377" s="79" t="s">
        <v>931</v>
      </c>
      <c r="C377" s="80"/>
    </row>
    <row r="378" spans="1:3" x14ac:dyDescent="0.3">
      <c r="A378" s="79" t="s">
        <v>932</v>
      </c>
      <c r="B378" s="79" t="s">
        <v>933</v>
      </c>
      <c r="C378" s="80"/>
    </row>
    <row r="379" spans="1:3" x14ac:dyDescent="0.3">
      <c r="A379" s="79" t="s">
        <v>934</v>
      </c>
      <c r="B379" s="79" t="s">
        <v>935</v>
      </c>
      <c r="C379" s="80"/>
    </row>
    <row r="380" spans="1:3" x14ac:dyDescent="0.3">
      <c r="A380" s="79" t="s">
        <v>936</v>
      </c>
      <c r="B380" s="79" t="s">
        <v>937</v>
      </c>
      <c r="C380" s="80"/>
    </row>
    <row r="381" spans="1:3" x14ac:dyDescent="0.3">
      <c r="A381" s="79" t="s">
        <v>938</v>
      </c>
      <c r="B381" s="79" t="s">
        <v>939</v>
      </c>
      <c r="C381" s="80"/>
    </row>
    <row r="382" spans="1:3" x14ac:dyDescent="0.3">
      <c r="A382" s="79" t="s">
        <v>940</v>
      </c>
      <c r="B382" s="79" t="s">
        <v>941</v>
      </c>
      <c r="C382" s="80"/>
    </row>
    <row r="383" spans="1:3" x14ac:dyDescent="0.3">
      <c r="A383" s="79" t="s">
        <v>942</v>
      </c>
      <c r="B383" s="79" t="s">
        <v>943</v>
      </c>
      <c r="C383" s="80"/>
    </row>
    <row r="384" spans="1:3" x14ac:dyDescent="0.3">
      <c r="A384" s="79" t="s">
        <v>944</v>
      </c>
      <c r="B384" s="79" t="s">
        <v>945</v>
      </c>
      <c r="C384" s="80"/>
    </row>
    <row r="385" spans="1:3" x14ac:dyDescent="0.3">
      <c r="A385" s="79" t="s">
        <v>946</v>
      </c>
      <c r="B385" s="79" t="s">
        <v>947</v>
      </c>
      <c r="C385" s="80"/>
    </row>
    <row r="386" spans="1:3" x14ac:dyDescent="0.3">
      <c r="A386" s="79" t="s">
        <v>948</v>
      </c>
      <c r="B386" s="79" t="s">
        <v>949</v>
      </c>
      <c r="C386" s="80"/>
    </row>
    <row r="387" spans="1:3" x14ac:dyDescent="0.3">
      <c r="A387" s="79" t="s">
        <v>950</v>
      </c>
      <c r="B387" s="79" t="s">
        <v>951</v>
      </c>
      <c r="C387" s="80"/>
    </row>
    <row r="388" spans="1:3" x14ac:dyDescent="0.3">
      <c r="A388" s="79" t="s">
        <v>952</v>
      </c>
      <c r="B388" s="79" t="s">
        <v>953</v>
      </c>
      <c r="C388" s="80"/>
    </row>
    <row r="389" spans="1:3" x14ac:dyDescent="0.3">
      <c r="A389" s="79" t="s">
        <v>954</v>
      </c>
      <c r="B389" s="79" t="s">
        <v>955</v>
      </c>
      <c r="C389" s="80"/>
    </row>
    <row r="390" spans="1:3" x14ac:dyDescent="0.3">
      <c r="A390" s="79" t="s">
        <v>956</v>
      </c>
      <c r="B390" s="79" t="s">
        <v>957</v>
      </c>
      <c r="C390" s="80"/>
    </row>
    <row r="391" spans="1:3" x14ac:dyDescent="0.3">
      <c r="A391" s="79" t="s">
        <v>958</v>
      </c>
      <c r="B391" s="79" t="s">
        <v>959</v>
      </c>
      <c r="C391" s="80"/>
    </row>
    <row r="392" spans="1:3" x14ac:dyDescent="0.3">
      <c r="A392" s="79" t="s">
        <v>960</v>
      </c>
      <c r="B392" s="79" t="s">
        <v>961</v>
      </c>
      <c r="C392" s="80"/>
    </row>
    <row r="393" spans="1:3" x14ac:dyDescent="0.3">
      <c r="A393" s="79" t="s">
        <v>962</v>
      </c>
      <c r="B393" s="79" t="s">
        <v>963</v>
      </c>
      <c r="C393" s="80"/>
    </row>
    <row r="394" spans="1:3" x14ac:dyDescent="0.3">
      <c r="A394" s="79" t="s">
        <v>964</v>
      </c>
      <c r="B394" s="79" t="s">
        <v>965</v>
      </c>
      <c r="C394" s="80"/>
    </row>
    <row r="395" spans="1:3" x14ac:dyDescent="0.3">
      <c r="A395" s="79" t="s">
        <v>966</v>
      </c>
      <c r="B395" s="79" t="s">
        <v>967</v>
      </c>
      <c r="C395" s="80"/>
    </row>
    <row r="396" spans="1:3" x14ac:dyDescent="0.3">
      <c r="A396" s="79" t="s">
        <v>968</v>
      </c>
      <c r="B396" s="79" t="s">
        <v>969</v>
      </c>
      <c r="C396" s="80"/>
    </row>
    <row r="397" spans="1:3" x14ac:dyDescent="0.3">
      <c r="A397" s="79" t="s">
        <v>970</v>
      </c>
      <c r="B397" s="79" t="s">
        <v>971</v>
      </c>
      <c r="C397" s="80"/>
    </row>
    <row r="398" spans="1:3" x14ac:dyDescent="0.3">
      <c r="A398" s="79" t="s">
        <v>972</v>
      </c>
      <c r="B398" s="79" t="s">
        <v>973</v>
      </c>
      <c r="C398" s="80"/>
    </row>
    <row r="399" spans="1:3" x14ac:dyDescent="0.3">
      <c r="A399" s="79" t="s">
        <v>974</v>
      </c>
      <c r="B399" s="79" t="s">
        <v>975</v>
      </c>
      <c r="C399" s="80"/>
    </row>
    <row r="400" spans="1:3" x14ac:dyDescent="0.3">
      <c r="A400" s="79" t="s">
        <v>976</v>
      </c>
      <c r="B400" s="79" t="s">
        <v>977</v>
      </c>
      <c r="C400" s="80"/>
    </row>
    <row r="401" spans="1:3" x14ac:dyDescent="0.3">
      <c r="A401" s="79" t="s">
        <v>978</v>
      </c>
      <c r="B401" s="79" t="s">
        <v>979</v>
      </c>
      <c r="C401" s="80"/>
    </row>
    <row r="402" spans="1:3" x14ac:dyDescent="0.3">
      <c r="A402" s="79" t="s">
        <v>980</v>
      </c>
      <c r="B402" s="79" t="s">
        <v>981</v>
      </c>
      <c r="C402" s="80"/>
    </row>
    <row r="403" spans="1:3" x14ac:dyDescent="0.3">
      <c r="A403" s="79" t="s">
        <v>982</v>
      </c>
      <c r="B403" s="79" t="s">
        <v>983</v>
      </c>
      <c r="C403" s="80"/>
    </row>
    <row r="404" spans="1:3" x14ac:dyDescent="0.3">
      <c r="A404" s="79" t="s">
        <v>984</v>
      </c>
      <c r="B404" s="79" t="s">
        <v>985</v>
      </c>
      <c r="C404" s="80"/>
    </row>
    <row r="405" spans="1:3" x14ac:dyDescent="0.3">
      <c r="A405" s="79" t="s">
        <v>986</v>
      </c>
      <c r="B405" s="79" t="s">
        <v>987</v>
      </c>
      <c r="C405" s="80"/>
    </row>
    <row r="406" spans="1:3" x14ac:dyDescent="0.3">
      <c r="A406" s="79" t="s">
        <v>988</v>
      </c>
      <c r="B406" s="79" t="s">
        <v>989</v>
      </c>
      <c r="C406" s="80"/>
    </row>
    <row r="407" spans="1:3" x14ac:dyDescent="0.3">
      <c r="A407" s="79" t="s">
        <v>990</v>
      </c>
      <c r="B407" s="79" t="s">
        <v>991</v>
      </c>
      <c r="C407" s="80"/>
    </row>
    <row r="408" spans="1:3" x14ac:dyDescent="0.3">
      <c r="A408" s="79" t="s">
        <v>992</v>
      </c>
      <c r="B408" s="79" t="s">
        <v>993</v>
      </c>
      <c r="C408" s="80"/>
    </row>
    <row r="409" spans="1:3" x14ac:dyDescent="0.3">
      <c r="A409" s="79" t="s">
        <v>994</v>
      </c>
      <c r="B409" s="79" t="s">
        <v>995</v>
      </c>
      <c r="C409" s="80"/>
    </row>
    <row r="410" spans="1:3" x14ac:dyDescent="0.3">
      <c r="A410" s="79" t="s">
        <v>996</v>
      </c>
      <c r="B410" s="79" t="s">
        <v>997</v>
      </c>
      <c r="C410" s="80"/>
    </row>
    <row r="411" spans="1:3" x14ac:dyDescent="0.3">
      <c r="A411" s="79" t="s">
        <v>998</v>
      </c>
      <c r="B411" s="79" t="s">
        <v>999</v>
      </c>
      <c r="C411" s="80"/>
    </row>
    <row r="412" spans="1:3" x14ac:dyDescent="0.3">
      <c r="A412" s="79" t="s">
        <v>1000</v>
      </c>
      <c r="B412" s="79" t="s">
        <v>1001</v>
      </c>
      <c r="C412" s="80"/>
    </row>
    <row r="413" spans="1:3" x14ac:dyDescent="0.3">
      <c r="A413" s="79" t="s">
        <v>1002</v>
      </c>
      <c r="B413" s="79" t="s">
        <v>1003</v>
      </c>
      <c r="C413" s="80"/>
    </row>
    <row r="414" spans="1:3" x14ac:dyDescent="0.3">
      <c r="A414" s="79" t="s">
        <v>1004</v>
      </c>
      <c r="B414" s="79" t="s">
        <v>1005</v>
      </c>
      <c r="C414" s="80"/>
    </row>
    <row r="415" spans="1:3" x14ac:dyDescent="0.3">
      <c r="A415" s="79" t="s">
        <v>1006</v>
      </c>
      <c r="B415" s="79" t="s">
        <v>1007</v>
      </c>
      <c r="C415" s="80"/>
    </row>
    <row r="416" spans="1:3" x14ac:dyDescent="0.3">
      <c r="A416" s="79" t="s">
        <v>1008</v>
      </c>
      <c r="B416" s="79" t="s">
        <v>1009</v>
      </c>
      <c r="C416" s="80"/>
    </row>
    <row r="417" spans="1:3" x14ac:dyDescent="0.3">
      <c r="A417" s="79" t="s">
        <v>1010</v>
      </c>
      <c r="B417" s="79" t="s">
        <v>1011</v>
      </c>
      <c r="C417" s="80"/>
    </row>
    <row r="418" spans="1:3" x14ac:dyDescent="0.3">
      <c r="A418" s="79" t="s">
        <v>1012</v>
      </c>
      <c r="B418" s="79" t="s">
        <v>1013</v>
      </c>
      <c r="C418" s="80"/>
    </row>
    <row r="419" spans="1:3" x14ac:dyDescent="0.3">
      <c r="A419" s="79" t="s">
        <v>1014</v>
      </c>
      <c r="B419" s="79" t="s">
        <v>1015</v>
      </c>
      <c r="C419" s="80"/>
    </row>
    <row r="420" spans="1:3" x14ac:dyDescent="0.3">
      <c r="A420" s="79" t="s">
        <v>1016</v>
      </c>
      <c r="B420" s="79" t="s">
        <v>1017</v>
      </c>
      <c r="C420" s="80"/>
    </row>
    <row r="421" spans="1:3" x14ac:dyDescent="0.3">
      <c r="A421" s="79" t="s">
        <v>1018</v>
      </c>
      <c r="B421" s="79" t="s">
        <v>1019</v>
      </c>
      <c r="C421" s="80"/>
    </row>
    <row r="422" spans="1:3" x14ac:dyDescent="0.3">
      <c r="A422" s="79" t="s">
        <v>1020</v>
      </c>
      <c r="B422" s="79" t="s">
        <v>1021</v>
      </c>
      <c r="C422" s="80"/>
    </row>
    <row r="423" spans="1:3" x14ac:dyDescent="0.3">
      <c r="A423" s="79" t="s">
        <v>1022</v>
      </c>
      <c r="B423" s="79" t="s">
        <v>1023</v>
      </c>
      <c r="C423" s="80"/>
    </row>
    <row r="424" spans="1:3" x14ac:dyDescent="0.3">
      <c r="A424" s="79" t="s">
        <v>1024</v>
      </c>
      <c r="B424" s="79" t="s">
        <v>1025</v>
      </c>
      <c r="C424" s="80"/>
    </row>
    <row r="425" spans="1:3" x14ac:dyDescent="0.3">
      <c r="A425" s="79" t="s">
        <v>142</v>
      </c>
      <c r="B425" s="79" t="s">
        <v>1026</v>
      </c>
      <c r="C425" s="80"/>
    </row>
    <row r="426" spans="1:3" x14ac:dyDescent="0.3">
      <c r="A426" s="79" t="s">
        <v>1027</v>
      </c>
      <c r="B426" s="79" t="s">
        <v>1028</v>
      </c>
      <c r="C426" s="80"/>
    </row>
    <row r="427" spans="1:3" x14ac:dyDescent="0.3">
      <c r="A427" s="79" t="s">
        <v>1029</v>
      </c>
      <c r="B427" s="79" t="s">
        <v>1030</v>
      </c>
      <c r="C427" s="80"/>
    </row>
    <row r="428" spans="1:3" x14ac:dyDescent="0.3">
      <c r="A428" s="79" t="s">
        <v>1031</v>
      </c>
      <c r="B428" s="79" t="s">
        <v>1032</v>
      </c>
      <c r="C428" s="80"/>
    </row>
    <row r="429" spans="1:3" x14ac:dyDescent="0.3">
      <c r="A429" s="79" t="s">
        <v>1033</v>
      </c>
      <c r="B429" s="79" t="s">
        <v>1034</v>
      </c>
      <c r="C429" s="80"/>
    </row>
    <row r="430" spans="1:3" x14ac:dyDescent="0.3">
      <c r="A430" s="79" t="s">
        <v>1035</v>
      </c>
      <c r="B430" s="79" t="s">
        <v>1036</v>
      </c>
      <c r="C430" s="80"/>
    </row>
    <row r="431" spans="1:3" x14ac:dyDescent="0.3">
      <c r="A431" s="79" t="s">
        <v>1037</v>
      </c>
      <c r="B431" s="79" t="s">
        <v>1038</v>
      </c>
      <c r="C431" s="80"/>
    </row>
    <row r="432" spans="1:3" x14ac:dyDescent="0.3">
      <c r="A432" s="79" t="s">
        <v>1039</v>
      </c>
      <c r="B432" s="79" t="s">
        <v>1040</v>
      </c>
      <c r="C432" s="80"/>
    </row>
    <row r="433" spans="1:3" x14ac:dyDescent="0.3">
      <c r="A433" s="79" t="s">
        <v>1041</v>
      </c>
      <c r="B433" s="79" t="s">
        <v>1042</v>
      </c>
      <c r="C433" s="80"/>
    </row>
    <row r="434" spans="1:3" x14ac:dyDescent="0.3">
      <c r="A434" s="79" t="s">
        <v>1043</v>
      </c>
      <c r="B434" s="79" t="s">
        <v>1044</v>
      </c>
      <c r="C434" s="80"/>
    </row>
    <row r="435" spans="1:3" x14ac:dyDescent="0.3">
      <c r="A435" s="79" t="s">
        <v>1045</v>
      </c>
      <c r="B435" s="79" t="s">
        <v>1046</v>
      </c>
      <c r="C435" s="80"/>
    </row>
    <row r="436" spans="1:3" x14ac:dyDescent="0.3">
      <c r="A436" s="79" t="s">
        <v>1047</v>
      </c>
      <c r="B436" s="79" t="s">
        <v>593</v>
      </c>
      <c r="C436" s="80"/>
    </row>
    <row r="437" spans="1:3" x14ac:dyDescent="0.3">
      <c r="A437" s="81" t="s">
        <v>1048</v>
      </c>
      <c r="B437" s="79" t="s">
        <v>1049</v>
      </c>
      <c r="C437" s="80" t="s">
        <v>1105</v>
      </c>
    </row>
    <row r="438" spans="1:3" x14ac:dyDescent="0.3">
      <c r="A438" s="81" t="s">
        <v>1241</v>
      </c>
      <c r="B438" s="81" t="s">
        <v>1242</v>
      </c>
      <c r="C438" s="80" t="s">
        <v>1105</v>
      </c>
    </row>
    <row r="439" spans="1:3" x14ac:dyDescent="0.3">
      <c r="A439" s="79" t="s">
        <v>1050</v>
      </c>
      <c r="B439" s="79" t="s">
        <v>1051</v>
      </c>
      <c r="C439" s="80"/>
    </row>
    <row r="440" spans="1:3" x14ac:dyDescent="0.3">
      <c r="A440" s="79" t="s">
        <v>1052</v>
      </c>
      <c r="B440" s="79" t="s">
        <v>1053</v>
      </c>
      <c r="C440" s="80"/>
    </row>
    <row r="441" spans="1:3" x14ac:dyDescent="0.3">
      <c r="A441" s="79" t="s">
        <v>1054</v>
      </c>
      <c r="B441" s="79" t="s">
        <v>1055</v>
      </c>
      <c r="C441" s="80"/>
    </row>
    <row r="442" spans="1:3" x14ac:dyDescent="0.3">
      <c r="A442" s="79" t="s">
        <v>1056</v>
      </c>
      <c r="B442" s="79" t="s">
        <v>1057</v>
      </c>
      <c r="C442" s="80"/>
    </row>
    <row r="443" spans="1:3" x14ac:dyDescent="0.3">
      <c r="A443" s="79" t="s">
        <v>1058</v>
      </c>
      <c r="B443" s="79" t="s">
        <v>1059</v>
      </c>
      <c r="C443" s="80"/>
    </row>
    <row r="444" spans="1:3" x14ac:dyDescent="0.3">
      <c r="A444" s="79" t="s">
        <v>1060</v>
      </c>
      <c r="B444" s="79" t="s">
        <v>1061</v>
      </c>
      <c r="C444" s="80"/>
    </row>
    <row r="445" spans="1:3" x14ac:dyDescent="0.3">
      <c r="A445" s="79" t="s">
        <v>1062</v>
      </c>
      <c r="B445" s="79" t="s">
        <v>1063</v>
      </c>
      <c r="C445" s="80"/>
    </row>
    <row r="446" spans="1:3" x14ac:dyDescent="0.3">
      <c r="A446" s="79" t="s">
        <v>1064</v>
      </c>
      <c r="B446" s="79" t="s">
        <v>1065</v>
      </c>
      <c r="C446" s="80"/>
    </row>
    <row r="447" spans="1:3" x14ac:dyDescent="0.3">
      <c r="A447" s="79" t="s">
        <v>1066</v>
      </c>
      <c r="B447" s="79" t="s">
        <v>1067</v>
      </c>
      <c r="C447" s="80"/>
    </row>
    <row r="448" spans="1:3" x14ac:dyDescent="0.3">
      <c r="A448" s="79" t="s">
        <v>1068</v>
      </c>
      <c r="B448" s="79" t="s">
        <v>1069</v>
      </c>
      <c r="C448" s="80"/>
    </row>
    <row r="449" spans="1:3" x14ac:dyDescent="0.3">
      <c r="A449" s="79" t="s">
        <v>1070</v>
      </c>
      <c r="B449" s="79" t="s">
        <v>1071</v>
      </c>
      <c r="C449" s="80"/>
    </row>
    <row r="450" spans="1:3" x14ac:dyDescent="0.3">
      <c r="A450" s="79" t="s">
        <v>1072</v>
      </c>
      <c r="B450" s="79" t="s">
        <v>1073</v>
      </c>
      <c r="C450" s="80"/>
    </row>
    <row r="451" spans="1:3" x14ac:dyDescent="0.3">
      <c r="A451" s="79" t="s">
        <v>1074</v>
      </c>
      <c r="B451" s="79" t="s">
        <v>1075</v>
      </c>
      <c r="C451" s="80"/>
    </row>
    <row r="452" spans="1:3" x14ac:dyDescent="0.3">
      <c r="A452" s="79" t="s">
        <v>1076</v>
      </c>
      <c r="B452" s="79" t="s">
        <v>1077</v>
      </c>
      <c r="C452" s="80"/>
    </row>
    <row r="453" spans="1:3" x14ac:dyDescent="0.3">
      <c r="A453" s="79" t="s">
        <v>1078</v>
      </c>
      <c r="B453" s="79" t="s">
        <v>1079</v>
      </c>
      <c r="C453" s="80"/>
    </row>
    <row r="454" spans="1:3" x14ac:dyDescent="0.3">
      <c r="A454" s="79" t="s">
        <v>1080</v>
      </c>
      <c r="B454" s="79" t="s">
        <v>1081</v>
      </c>
      <c r="C454" s="80"/>
    </row>
    <row r="455" spans="1:3" x14ac:dyDescent="0.3">
      <c r="A455" s="79" t="s">
        <v>1082</v>
      </c>
      <c r="B455" s="79" t="s">
        <v>1083</v>
      </c>
      <c r="C455" s="80"/>
    </row>
    <row r="456" spans="1:3" x14ac:dyDescent="0.3">
      <c r="A456" s="79" t="s">
        <v>1084</v>
      </c>
      <c r="B456" s="79" t="s">
        <v>1085</v>
      </c>
      <c r="C456" s="80"/>
    </row>
    <row r="457" spans="1:3" x14ac:dyDescent="0.3">
      <c r="A457" s="79" t="s">
        <v>1086</v>
      </c>
      <c r="B457" s="79" t="s">
        <v>1087</v>
      </c>
      <c r="C457" s="80"/>
    </row>
    <row r="458" spans="1:3" x14ac:dyDescent="0.3">
      <c r="A458" s="79" t="s">
        <v>1088</v>
      </c>
      <c r="B458" s="79" t="s">
        <v>1089</v>
      </c>
      <c r="C458" s="80"/>
    </row>
    <row r="459" spans="1:3" x14ac:dyDescent="0.3">
      <c r="A459" s="79" t="s">
        <v>1090</v>
      </c>
      <c r="B459" s="79" t="s">
        <v>1091</v>
      </c>
      <c r="C459" s="80"/>
    </row>
    <row r="460" spans="1:3" x14ac:dyDescent="0.3">
      <c r="A460" s="79" t="s">
        <v>1092</v>
      </c>
      <c r="B460" s="79" t="s">
        <v>1093</v>
      </c>
      <c r="C460" s="80"/>
    </row>
    <row r="461" spans="1:3" x14ac:dyDescent="0.3">
      <c r="A461" s="82" t="s">
        <v>1149</v>
      </c>
      <c r="B461" s="79" t="s">
        <v>1150</v>
      </c>
      <c r="C461" s="80"/>
    </row>
    <row r="462" spans="1:3" x14ac:dyDescent="0.3">
      <c r="A462" s="82" t="s">
        <v>1151</v>
      </c>
      <c r="B462" s="82" t="s">
        <v>1243</v>
      </c>
      <c r="C462" s="80"/>
    </row>
    <row r="463" spans="1:3" x14ac:dyDescent="0.3">
      <c r="A463" s="82" t="s">
        <v>1152</v>
      </c>
      <c r="B463" s="82" t="s">
        <v>1153</v>
      </c>
      <c r="C463" s="80"/>
    </row>
    <row r="464" spans="1:3" x14ac:dyDescent="0.3">
      <c r="A464" s="82" t="s">
        <v>1154</v>
      </c>
      <c r="B464" s="82" t="s">
        <v>1155</v>
      </c>
      <c r="C464" s="80"/>
    </row>
    <row r="465" spans="1:3" x14ac:dyDescent="0.3">
      <c r="A465" s="82" t="s">
        <v>1156</v>
      </c>
      <c r="B465" s="82" t="s">
        <v>1157</v>
      </c>
      <c r="C465" s="80"/>
    </row>
    <row r="466" spans="1:3" x14ac:dyDescent="0.3">
      <c r="A466" s="82" t="s">
        <v>1158</v>
      </c>
      <c r="B466" s="82" t="s">
        <v>1159</v>
      </c>
      <c r="C466" s="80"/>
    </row>
    <row r="467" spans="1:3" x14ac:dyDescent="0.3">
      <c r="A467" s="82" t="s">
        <v>1160</v>
      </c>
      <c r="B467" s="82" t="s">
        <v>1161</v>
      </c>
      <c r="C467" s="80"/>
    </row>
    <row r="468" spans="1:3" x14ac:dyDescent="0.3">
      <c r="A468" s="82" t="s">
        <v>1162</v>
      </c>
      <c r="B468" s="82" t="s">
        <v>1163</v>
      </c>
      <c r="C468" s="80"/>
    </row>
    <row r="469" spans="1:3" x14ac:dyDescent="0.3">
      <c r="A469" s="82" t="s">
        <v>1164</v>
      </c>
      <c r="B469" s="82" t="s">
        <v>1165</v>
      </c>
      <c r="C469" s="80"/>
    </row>
    <row r="470" spans="1:3" x14ac:dyDescent="0.3">
      <c r="A470" s="82" t="s">
        <v>1166</v>
      </c>
      <c r="B470" s="82" t="s">
        <v>1167</v>
      </c>
      <c r="C470" s="80"/>
    </row>
    <row r="471" spans="1:3" x14ac:dyDescent="0.3">
      <c r="A471" s="82" t="s">
        <v>1168</v>
      </c>
      <c r="B471" s="82" t="s">
        <v>1169</v>
      </c>
      <c r="C471" s="80"/>
    </row>
    <row r="472" spans="1:3" x14ac:dyDescent="0.3">
      <c r="A472" s="82" t="s">
        <v>1170</v>
      </c>
      <c r="B472" s="82" t="s">
        <v>1171</v>
      </c>
      <c r="C472" s="80"/>
    </row>
    <row r="473" spans="1:3" x14ac:dyDescent="0.3">
      <c r="A473" s="93" t="s">
        <v>1172</v>
      </c>
      <c r="B473" s="82" t="s">
        <v>1173</v>
      </c>
      <c r="C473" s="80"/>
    </row>
    <row r="474" spans="1:3" x14ac:dyDescent="0.3">
      <c r="A474" s="93" t="s">
        <v>1174</v>
      </c>
      <c r="B474" s="93" t="s">
        <v>1500</v>
      </c>
      <c r="C474" s="80"/>
    </row>
    <row r="475" spans="1:3" x14ac:dyDescent="0.3">
      <c r="A475" s="93" t="s">
        <v>1175</v>
      </c>
      <c r="B475" s="93" t="s">
        <v>1501</v>
      </c>
      <c r="C475" s="80"/>
    </row>
    <row r="476" spans="1:3" x14ac:dyDescent="0.3">
      <c r="A476" s="93" t="s">
        <v>1176</v>
      </c>
      <c r="B476" s="93" t="s">
        <v>1244</v>
      </c>
      <c r="C476" s="80"/>
    </row>
    <row r="477" spans="1:3" x14ac:dyDescent="0.3">
      <c r="A477" s="93" t="s">
        <v>1177</v>
      </c>
      <c r="B477" s="93" t="s">
        <v>1245</v>
      </c>
      <c r="C477" s="80"/>
    </row>
    <row r="478" spans="1:3" x14ac:dyDescent="0.3">
      <c r="A478" s="93" t="s">
        <v>1178</v>
      </c>
      <c r="B478" s="93" t="s">
        <v>1246</v>
      </c>
      <c r="C478" s="80"/>
    </row>
    <row r="479" spans="1:3" x14ac:dyDescent="0.3">
      <c r="A479" s="94" t="s">
        <v>1179</v>
      </c>
      <c r="B479" s="93" t="s">
        <v>1247</v>
      </c>
      <c r="C479" s="80"/>
    </row>
    <row r="480" spans="1:3" x14ac:dyDescent="0.3">
      <c r="A480" s="93" t="s">
        <v>1180</v>
      </c>
      <c r="B480" s="93" t="s">
        <v>1248</v>
      </c>
      <c r="C480" s="80"/>
    </row>
    <row r="481" spans="1:3" x14ac:dyDescent="0.3">
      <c r="A481" s="93" t="s">
        <v>1181</v>
      </c>
      <c r="B481" s="93" t="s">
        <v>1182</v>
      </c>
      <c r="C481" s="80"/>
    </row>
    <row r="482" spans="1:3" x14ac:dyDescent="0.3">
      <c r="A482" s="93" t="s">
        <v>1183</v>
      </c>
      <c r="B482" s="93" t="s">
        <v>1249</v>
      </c>
      <c r="C482" s="80"/>
    </row>
    <row r="483" spans="1:3" x14ac:dyDescent="0.3">
      <c r="A483" s="94" t="s">
        <v>1184</v>
      </c>
      <c r="B483" s="93" t="s">
        <v>1250</v>
      </c>
      <c r="C483" s="80"/>
    </row>
    <row r="484" spans="1:3" x14ac:dyDescent="0.3">
      <c r="A484" s="93" t="s">
        <v>1185</v>
      </c>
      <c r="B484" s="93" t="s">
        <v>1186</v>
      </c>
      <c r="C484" s="80"/>
    </row>
    <row r="485" spans="1:3" x14ac:dyDescent="0.3">
      <c r="A485" s="93" t="s">
        <v>1187</v>
      </c>
      <c r="B485" s="93" t="s">
        <v>1251</v>
      </c>
      <c r="C485" s="80"/>
    </row>
    <row r="486" spans="1:3" x14ac:dyDescent="0.3">
      <c r="A486" s="93" t="s">
        <v>1188</v>
      </c>
      <c r="B486" s="93" t="s">
        <v>1252</v>
      </c>
      <c r="C486" s="80"/>
    </row>
    <row r="487" spans="1:3" x14ac:dyDescent="0.3">
      <c r="A487" s="93" t="s">
        <v>1261</v>
      </c>
      <c r="B487" s="93" t="s">
        <v>1262</v>
      </c>
      <c r="C487" s="80"/>
    </row>
    <row r="488" spans="1:3" x14ac:dyDescent="0.3">
      <c r="A488" s="93" t="s">
        <v>1189</v>
      </c>
      <c r="B488" s="93" t="s">
        <v>1253</v>
      </c>
      <c r="C488" s="80"/>
    </row>
    <row r="489" spans="1:3" x14ac:dyDescent="0.3">
      <c r="A489" s="93" t="s">
        <v>1190</v>
      </c>
      <c r="B489" s="93" t="s">
        <v>1191</v>
      </c>
      <c r="C489" s="80"/>
    </row>
    <row r="490" spans="1:3" x14ac:dyDescent="0.3">
      <c r="A490" s="94" t="s">
        <v>220</v>
      </c>
      <c r="B490" s="93" t="s">
        <v>1192</v>
      </c>
      <c r="C490" s="80"/>
    </row>
    <row r="491" spans="1:3" x14ac:dyDescent="0.3">
      <c r="A491" s="93" t="s">
        <v>1193</v>
      </c>
      <c r="B491" s="93" t="s">
        <v>1194</v>
      </c>
      <c r="C491" s="80"/>
    </row>
    <row r="492" spans="1:3" x14ac:dyDescent="0.3">
      <c r="A492" s="93" t="s">
        <v>1195</v>
      </c>
      <c r="B492" s="93" t="s">
        <v>1254</v>
      </c>
      <c r="C492" s="80"/>
    </row>
    <row r="493" spans="1:3" x14ac:dyDescent="0.3">
      <c r="A493" s="93" t="s">
        <v>1196</v>
      </c>
      <c r="B493" s="93" t="s">
        <v>1255</v>
      </c>
      <c r="C493" s="80"/>
    </row>
    <row r="494" spans="1:3" x14ac:dyDescent="0.3">
      <c r="A494" s="93" t="s">
        <v>1197</v>
      </c>
      <c r="B494" s="93" t="s">
        <v>1198</v>
      </c>
      <c r="C494" s="80"/>
    </row>
    <row r="495" spans="1:3" x14ac:dyDescent="0.3">
      <c r="A495" s="93" t="s">
        <v>1199</v>
      </c>
      <c r="B495" s="81" t="s">
        <v>1233</v>
      </c>
      <c r="C495" s="80" t="s">
        <v>1232</v>
      </c>
    </row>
    <row r="496" spans="1:3" x14ac:dyDescent="0.3">
      <c r="A496" s="93" t="s">
        <v>1200</v>
      </c>
      <c r="B496" s="93" t="s">
        <v>1201</v>
      </c>
      <c r="C496" s="80"/>
    </row>
    <row r="497" spans="1:3" x14ac:dyDescent="0.3">
      <c r="A497" s="93" t="s">
        <v>1202</v>
      </c>
      <c r="B497" s="93" t="s">
        <v>1203</v>
      </c>
      <c r="C497" s="80"/>
    </row>
    <row r="498" spans="1:3" x14ac:dyDescent="0.3">
      <c r="A498" s="93" t="s">
        <v>1204</v>
      </c>
      <c r="B498" s="93" t="s">
        <v>1256</v>
      </c>
      <c r="C498" s="80"/>
    </row>
    <row r="499" spans="1:3" x14ac:dyDescent="0.3">
      <c r="A499" s="93" t="s">
        <v>1205</v>
      </c>
      <c r="B499" s="93" t="s">
        <v>1257</v>
      </c>
      <c r="C499" s="80"/>
    </row>
    <row r="500" spans="1:3" x14ac:dyDescent="0.3">
      <c r="A500" s="93" t="s">
        <v>1206</v>
      </c>
      <c r="B500" s="93" t="s">
        <v>1207</v>
      </c>
      <c r="C500" s="80"/>
    </row>
    <row r="501" spans="1:3" x14ac:dyDescent="0.3">
      <c r="A501" s="93" t="s">
        <v>1208</v>
      </c>
      <c r="B501" s="93" t="s">
        <v>1209</v>
      </c>
      <c r="C501" s="80"/>
    </row>
    <row r="502" spans="1:3" x14ac:dyDescent="0.3">
      <c r="A502" s="93" t="s">
        <v>1210</v>
      </c>
      <c r="B502" s="93" t="s">
        <v>1258</v>
      </c>
      <c r="C502" s="80"/>
    </row>
    <row r="503" spans="1:3" x14ac:dyDescent="0.3">
      <c r="A503" s="93" t="s">
        <v>1211</v>
      </c>
      <c r="B503" s="93" t="s">
        <v>1212</v>
      </c>
      <c r="C503" s="80"/>
    </row>
    <row r="504" spans="1:3" x14ac:dyDescent="0.3">
      <c r="A504" s="93" t="s">
        <v>1213</v>
      </c>
      <c r="B504" s="93" t="s">
        <v>1214</v>
      </c>
      <c r="C504" s="80"/>
    </row>
    <row r="505" spans="1:3" x14ac:dyDescent="0.3">
      <c r="A505" s="93" t="s">
        <v>1215</v>
      </c>
      <c r="B505" s="93" t="s">
        <v>1259</v>
      </c>
      <c r="C505" s="80"/>
    </row>
    <row r="506" spans="1:3" x14ac:dyDescent="0.3">
      <c r="A506" s="93" t="s">
        <v>1216</v>
      </c>
      <c r="B506" s="93" t="s">
        <v>1217</v>
      </c>
      <c r="C506" s="80"/>
    </row>
    <row r="507" spans="1:3" x14ac:dyDescent="0.3">
      <c r="A507" s="93" t="s">
        <v>1218</v>
      </c>
      <c r="B507" s="93" t="s">
        <v>1219</v>
      </c>
      <c r="C507" s="80"/>
    </row>
    <row r="508" spans="1:3" x14ac:dyDescent="0.3">
      <c r="A508" s="93" t="s">
        <v>1220</v>
      </c>
      <c r="B508" s="93" t="s">
        <v>1260</v>
      </c>
      <c r="C508" s="80"/>
    </row>
    <row r="509" spans="1:3" x14ac:dyDescent="0.3">
      <c r="A509" s="93" t="s">
        <v>1221</v>
      </c>
      <c r="B509" s="93" t="s">
        <v>1222</v>
      </c>
      <c r="C509" s="80"/>
    </row>
    <row r="510" spans="1:3" x14ac:dyDescent="0.3">
      <c r="A510" s="93" t="s">
        <v>1223</v>
      </c>
      <c r="B510" s="93" t="s">
        <v>1224</v>
      </c>
      <c r="C510" s="80"/>
    </row>
    <row r="511" spans="1:3" x14ac:dyDescent="0.3">
      <c r="A511" s="93" t="s">
        <v>1225</v>
      </c>
      <c r="B511" s="93" t="s">
        <v>1226</v>
      </c>
      <c r="C511" s="80"/>
    </row>
    <row r="512" spans="1:3" x14ac:dyDescent="0.3">
      <c r="A512" s="93" t="s">
        <v>1227</v>
      </c>
      <c r="B512" s="93" t="s">
        <v>1228</v>
      </c>
      <c r="C512" s="80"/>
    </row>
    <row r="513" spans="1:3" x14ac:dyDescent="0.3">
      <c r="A513" s="93" t="s">
        <v>1229</v>
      </c>
      <c r="B513" s="93" t="s">
        <v>1230</v>
      </c>
      <c r="C513" s="80"/>
    </row>
    <row r="514" spans="1:3" x14ac:dyDescent="0.3">
      <c r="A514" s="82" t="s">
        <v>1265</v>
      </c>
      <c r="B514" s="82" t="s">
        <v>1266</v>
      </c>
      <c r="C514" s="80"/>
    </row>
    <row r="515" spans="1:3" x14ac:dyDescent="0.3">
      <c r="A515" s="82" t="s">
        <v>1267</v>
      </c>
      <c r="B515" s="82" t="s">
        <v>1268</v>
      </c>
      <c r="C515" s="80"/>
    </row>
    <row r="516" spans="1:3" x14ac:dyDescent="0.3">
      <c r="A516" s="82" t="s">
        <v>1269</v>
      </c>
      <c r="B516" s="82" t="s">
        <v>1270</v>
      </c>
      <c r="C516" s="80"/>
    </row>
    <row r="517" spans="1:3" x14ac:dyDescent="0.3">
      <c r="A517" s="82" t="s">
        <v>1271</v>
      </c>
      <c r="B517" s="82" t="s">
        <v>1272</v>
      </c>
      <c r="C517" s="80"/>
    </row>
    <row r="518" spans="1:3" x14ac:dyDescent="0.3">
      <c r="A518" s="82" t="s">
        <v>1273</v>
      </c>
      <c r="B518" s="82" t="s">
        <v>1274</v>
      </c>
      <c r="C518" s="80"/>
    </row>
    <row r="519" spans="1:3" x14ac:dyDescent="0.3">
      <c r="A519" s="82" t="s">
        <v>1275</v>
      </c>
      <c r="B519" s="82" t="s">
        <v>1276</v>
      </c>
      <c r="C519" s="80"/>
    </row>
    <row r="520" spans="1:3" x14ac:dyDescent="0.3">
      <c r="A520" s="82" t="s">
        <v>1277</v>
      </c>
      <c r="B520" s="82" t="s">
        <v>1278</v>
      </c>
      <c r="C520" s="80"/>
    </row>
    <row r="521" spans="1:3" x14ac:dyDescent="0.3">
      <c r="A521" s="82" t="s">
        <v>1279</v>
      </c>
      <c r="B521" s="82" t="s">
        <v>1280</v>
      </c>
      <c r="C521" s="80"/>
    </row>
    <row r="522" spans="1:3" x14ac:dyDescent="0.3">
      <c r="A522" s="82" t="s">
        <v>1281</v>
      </c>
      <c r="B522" s="82" t="s">
        <v>1282</v>
      </c>
      <c r="C522" s="80"/>
    </row>
    <row r="523" spans="1:3" x14ac:dyDescent="0.3">
      <c r="A523" s="82" t="s">
        <v>1283</v>
      </c>
      <c r="B523" s="82" t="s">
        <v>1284</v>
      </c>
      <c r="C523" s="80"/>
    </row>
    <row r="524" spans="1:3" x14ac:dyDescent="0.3">
      <c r="A524" s="82" t="s">
        <v>1285</v>
      </c>
      <c r="B524" s="82" t="s">
        <v>1286</v>
      </c>
      <c r="C524" s="80"/>
    </row>
    <row r="525" spans="1:3" x14ac:dyDescent="0.3">
      <c r="A525" s="82" t="s">
        <v>1287</v>
      </c>
      <c r="B525" s="82" t="s">
        <v>1288</v>
      </c>
      <c r="C525" s="80"/>
    </row>
    <row r="526" spans="1:3" x14ac:dyDescent="0.3">
      <c r="A526" s="82" t="s">
        <v>1289</v>
      </c>
      <c r="B526" s="82" t="s">
        <v>1290</v>
      </c>
      <c r="C526" s="80"/>
    </row>
    <row r="527" spans="1:3" x14ac:dyDescent="0.3">
      <c r="A527" s="82" t="s">
        <v>1291</v>
      </c>
      <c r="B527" s="82" t="s">
        <v>1292</v>
      </c>
      <c r="C527" s="80"/>
    </row>
    <row r="528" spans="1:3" x14ac:dyDescent="0.3">
      <c r="A528" s="82" t="s">
        <v>1293</v>
      </c>
      <c r="B528" s="82" t="s">
        <v>1294</v>
      </c>
      <c r="C528" s="80"/>
    </row>
    <row r="529" spans="1:3" x14ac:dyDescent="0.3">
      <c r="A529" s="82" t="s">
        <v>1295</v>
      </c>
      <c r="B529" s="82" t="s">
        <v>1296</v>
      </c>
      <c r="C529" s="80"/>
    </row>
    <row r="530" spans="1:3" x14ac:dyDescent="0.3">
      <c r="A530" s="82" t="s">
        <v>1297</v>
      </c>
      <c r="B530" s="82" t="s">
        <v>1298</v>
      </c>
      <c r="C530" s="80"/>
    </row>
    <row r="531" spans="1:3" x14ac:dyDescent="0.3">
      <c r="A531" s="82" t="s">
        <v>1299</v>
      </c>
      <c r="B531" s="82" t="s">
        <v>1300</v>
      </c>
      <c r="C531" s="80"/>
    </row>
    <row r="532" spans="1:3" x14ac:dyDescent="0.3">
      <c r="A532" s="82" t="s">
        <v>1301</v>
      </c>
      <c r="B532" s="82" t="s">
        <v>1302</v>
      </c>
      <c r="C532" s="80"/>
    </row>
    <row r="533" spans="1:3" x14ac:dyDescent="0.3">
      <c r="A533" s="82" t="s">
        <v>1303</v>
      </c>
      <c r="B533" s="82" t="s">
        <v>1304</v>
      </c>
      <c r="C533" s="80"/>
    </row>
    <row r="534" spans="1:3" x14ac:dyDescent="0.3">
      <c r="A534" s="82" t="s">
        <v>1305</v>
      </c>
      <c r="B534" s="82" t="s">
        <v>1306</v>
      </c>
      <c r="C534" s="80"/>
    </row>
    <row r="535" spans="1:3" x14ac:dyDescent="0.3">
      <c r="A535" s="82" t="s">
        <v>1307</v>
      </c>
      <c r="B535" s="82" t="s">
        <v>1308</v>
      </c>
      <c r="C535" s="80"/>
    </row>
    <row r="536" spans="1:3" x14ac:dyDescent="0.3">
      <c r="A536" s="82" t="s">
        <v>1309</v>
      </c>
      <c r="B536" s="82" t="s">
        <v>1310</v>
      </c>
      <c r="C536" s="80"/>
    </row>
    <row r="537" spans="1:3" x14ac:dyDescent="0.3">
      <c r="A537" s="82" t="s">
        <v>1311</v>
      </c>
      <c r="B537" s="82" t="s">
        <v>1312</v>
      </c>
      <c r="C537" s="80"/>
    </row>
    <row r="538" spans="1:3" x14ac:dyDescent="0.3">
      <c r="A538" s="82" t="s">
        <v>1313</v>
      </c>
      <c r="B538" s="82" t="s">
        <v>1314</v>
      </c>
      <c r="C538" s="80"/>
    </row>
    <row r="539" spans="1:3" x14ac:dyDescent="0.3">
      <c r="A539" s="82" t="s">
        <v>1315</v>
      </c>
      <c r="B539" s="82" t="s">
        <v>1316</v>
      </c>
      <c r="C539" s="80"/>
    </row>
    <row r="540" spans="1:3" x14ac:dyDescent="0.3">
      <c r="A540" s="82" t="s">
        <v>1317</v>
      </c>
      <c r="B540" s="82" t="s">
        <v>1318</v>
      </c>
      <c r="C540" s="80"/>
    </row>
    <row r="541" spans="1:3" x14ac:dyDescent="0.3">
      <c r="A541" s="82" t="s">
        <v>1319</v>
      </c>
      <c r="B541" s="82" t="s">
        <v>1320</v>
      </c>
      <c r="C541" s="80"/>
    </row>
    <row r="542" spans="1:3" x14ac:dyDescent="0.3">
      <c r="A542" s="82" t="s">
        <v>1321</v>
      </c>
      <c r="B542" s="82" t="s">
        <v>1322</v>
      </c>
      <c r="C542" s="80"/>
    </row>
    <row r="543" spans="1:3" x14ac:dyDescent="0.3">
      <c r="A543" s="82" t="s">
        <v>1323</v>
      </c>
      <c r="B543" s="82" t="s">
        <v>1324</v>
      </c>
      <c r="C543" s="80"/>
    </row>
    <row r="544" spans="1:3" x14ac:dyDescent="0.3">
      <c r="A544" s="82" t="s">
        <v>1325</v>
      </c>
      <c r="B544" s="82" t="s">
        <v>1326</v>
      </c>
      <c r="C544" s="80"/>
    </row>
    <row r="545" spans="1:3" x14ac:dyDescent="0.3">
      <c r="A545" s="82" t="s">
        <v>1327</v>
      </c>
      <c r="B545" s="82" t="s">
        <v>1328</v>
      </c>
      <c r="C545" s="80"/>
    </row>
    <row r="546" spans="1:3" x14ac:dyDescent="0.3">
      <c r="A546" s="82" t="s">
        <v>1329</v>
      </c>
      <c r="B546" s="82" t="s">
        <v>1330</v>
      </c>
      <c r="C546" s="80"/>
    </row>
    <row r="547" spans="1:3" x14ac:dyDescent="0.3">
      <c r="A547" s="82" t="s">
        <v>1331</v>
      </c>
      <c r="B547" s="82" t="s">
        <v>1332</v>
      </c>
      <c r="C547" s="80"/>
    </row>
    <row r="548" spans="1:3" x14ac:dyDescent="0.3">
      <c r="A548" s="82" t="s">
        <v>1333</v>
      </c>
      <c r="B548" s="79" t="s">
        <v>1334</v>
      </c>
      <c r="C548" s="80"/>
    </row>
    <row r="549" spans="1:3" x14ac:dyDescent="0.3">
      <c r="A549" s="82" t="s">
        <v>1335</v>
      </c>
      <c r="B549" s="82" t="s">
        <v>1336</v>
      </c>
      <c r="C549" s="80"/>
    </row>
    <row r="550" spans="1:3" x14ac:dyDescent="0.3">
      <c r="A550" s="82" t="s">
        <v>1337</v>
      </c>
      <c r="B550" s="82" t="s">
        <v>1338</v>
      </c>
      <c r="C550" s="80"/>
    </row>
    <row r="551" spans="1:3" x14ac:dyDescent="0.3">
      <c r="A551" s="82" t="s">
        <v>1339</v>
      </c>
      <c r="B551" s="82" t="s">
        <v>1340</v>
      </c>
      <c r="C551" s="80"/>
    </row>
    <row r="552" spans="1:3" x14ac:dyDescent="0.3">
      <c r="A552" s="82" t="s">
        <v>1341</v>
      </c>
      <c r="B552" s="82" t="s">
        <v>1342</v>
      </c>
      <c r="C552" s="80"/>
    </row>
    <row r="553" spans="1:3" x14ac:dyDescent="0.3">
      <c r="A553" s="82" t="s">
        <v>1343</v>
      </c>
      <c r="B553" s="82" t="s">
        <v>1344</v>
      </c>
      <c r="C553" s="80"/>
    </row>
    <row r="554" spans="1:3" x14ac:dyDescent="0.3">
      <c r="A554" s="82" t="s">
        <v>1345</v>
      </c>
      <c r="B554" s="82" t="s">
        <v>1346</v>
      </c>
      <c r="C554" s="80"/>
    </row>
    <row r="555" spans="1:3" x14ac:dyDescent="0.3">
      <c r="A555" s="82" t="s">
        <v>1347</v>
      </c>
      <c r="B555" s="82" t="s">
        <v>1348</v>
      </c>
      <c r="C555" s="80"/>
    </row>
    <row r="556" spans="1:3" x14ac:dyDescent="0.3">
      <c r="A556" s="82" t="s">
        <v>1349</v>
      </c>
      <c r="B556" s="82" t="s">
        <v>1350</v>
      </c>
      <c r="C556" s="80"/>
    </row>
    <row r="557" spans="1:3" x14ac:dyDescent="0.3">
      <c r="A557" s="82" t="s">
        <v>1351</v>
      </c>
      <c r="B557" s="82" t="s">
        <v>1352</v>
      </c>
      <c r="C557" s="80"/>
    </row>
    <row r="558" spans="1:3" x14ac:dyDescent="0.3">
      <c r="A558" s="82" t="s">
        <v>1353</v>
      </c>
      <c r="B558" s="82" t="s">
        <v>1354</v>
      </c>
      <c r="C558" s="80"/>
    </row>
    <row r="559" spans="1:3" x14ac:dyDescent="0.3">
      <c r="A559" s="82" t="s">
        <v>1355</v>
      </c>
      <c r="B559" s="82" t="s">
        <v>1356</v>
      </c>
      <c r="C559" s="80"/>
    </row>
    <row r="560" spans="1:3" x14ac:dyDescent="0.3">
      <c r="A560" s="82" t="s">
        <v>1357</v>
      </c>
      <c r="B560" s="82" t="s">
        <v>1358</v>
      </c>
      <c r="C560" s="80"/>
    </row>
    <row r="561" spans="1:3" x14ac:dyDescent="0.3">
      <c r="A561" s="82" t="s">
        <v>1359</v>
      </c>
      <c r="B561" s="82" t="s">
        <v>1360</v>
      </c>
      <c r="C561" s="80"/>
    </row>
    <row r="562" spans="1:3" x14ac:dyDescent="0.3">
      <c r="A562" s="82" t="s">
        <v>1361</v>
      </c>
      <c r="B562" s="82" t="s">
        <v>1362</v>
      </c>
      <c r="C562" s="80"/>
    </row>
    <row r="563" spans="1:3" x14ac:dyDescent="0.3">
      <c r="A563" s="82" t="s">
        <v>1363</v>
      </c>
      <c r="B563" s="82" t="s">
        <v>1364</v>
      </c>
      <c r="C563" s="80"/>
    </row>
    <row r="564" spans="1:3" x14ac:dyDescent="0.3">
      <c r="A564" s="82" t="s">
        <v>1365</v>
      </c>
      <c r="B564" s="82" t="s">
        <v>1366</v>
      </c>
      <c r="C564" s="80"/>
    </row>
    <row r="565" spans="1:3" x14ac:dyDescent="0.3">
      <c r="A565" s="82" t="s">
        <v>1367</v>
      </c>
      <c r="B565" s="82" t="s">
        <v>1368</v>
      </c>
      <c r="C565" s="80"/>
    </row>
    <row r="566" spans="1:3" x14ac:dyDescent="0.3">
      <c r="A566" s="82" t="s">
        <v>1369</v>
      </c>
      <c r="B566" s="82" t="s">
        <v>1370</v>
      </c>
      <c r="C566" s="80"/>
    </row>
    <row r="567" spans="1:3" x14ac:dyDescent="0.3">
      <c r="A567" s="82" t="s">
        <v>1371</v>
      </c>
      <c r="B567" s="82" t="s">
        <v>1338</v>
      </c>
      <c r="C567" s="80"/>
    </row>
    <row r="568" spans="1:3" x14ac:dyDescent="0.3">
      <c r="A568" s="82" t="s">
        <v>1372</v>
      </c>
      <c r="B568" s="82" t="s">
        <v>1346</v>
      </c>
      <c r="C568" s="80"/>
    </row>
    <row r="569" spans="1:3" x14ac:dyDescent="0.3">
      <c r="A569" s="82" t="s">
        <v>1373</v>
      </c>
      <c r="B569" s="82" t="s">
        <v>1374</v>
      </c>
      <c r="C569" s="80"/>
    </row>
    <row r="570" spans="1:3" x14ac:dyDescent="0.3">
      <c r="A570" s="82" t="s">
        <v>1375</v>
      </c>
      <c r="B570" s="82" t="s">
        <v>1376</v>
      </c>
      <c r="C570" s="80"/>
    </row>
    <row r="571" spans="1:3" x14ac:dyDescent="0.3">
      <c r="A571" s="82" t="s">
        <v>1377</v>
      </c>
      <c r="B571" s="82" t="s">
        <v>1378</v>
      </c>
      <c r="C571" s="80"/>
    </row>
    <row r="572" spans="1:3" x14ac:dyDescent="0.3">
      <c r="A572" s="82" t="s">
        <v>1379</v>
      </c>
      <c r="B572" s="82" t="s">
        <v>1380</v>
      </c>
      <c r="C572" s="80"/>
    </row>
    <row r="573" spans="1:3" x14ac:dyDescent="0.3">
      <c r="A573" s="82" t="s">
        <v>1381</v>
      </c>
      <c r="B573" s="82" t="s">
        <v>1382</v>
      </c>
      <c r="C573" s="80"/>
    </row>
    <row r="574" spans="1:3" x14ac:dyDescent="0.3">
      <c r="A574" s="82" t="s">
        <v>1383</v>
      </c>
      <c r="B574" s="82" t="s">
        <v>1384</v>
      </c>
      <c r="C574" s="80"/>
    </row>
    <row r="575" spans="1:3" x14ac:dyDescent="0.3">
      <c r="A575" s="82" t="s">
        <v>1385</v>
      </c>
      <c r="B575" s="82" t="s">
        <v>1386</v>
      </c>
      <c r="C575" s="80"/>
    </row>
    <row r="576" spans="1:3" x14ac:dyDescent="0.3">
      <c r="A576" s="82" t="s">
        <v>1387</v>
      </c>
      <c r="B576" s="82" t="s">
        <v>1388</v>
      </c>
      <c r="C576" s="80"/>
    </row>
    <row r="577" spans="1:3" x14ac:dyDescent="0.3">
      <c r="A577" s="82" t="s">
        <v>1389</v>
      </c>
      <c r="B577" s="82" t="s">
        <v>1390</v>
      </c>
      <c r="C577" s="80"/>
    </row>
    <row r="578" spans="1:3" x14ac:dyDescent="0.3">
      <c r="A578" s="82" t="s">
        <v>1391</v>
      </c>
      <c r="B578" s="82" t="s">
        <v>1392</v>
      </c>
      <c r="C578" s="80"/>
    </row>
    <row r="579" spans="1:3" x14ac:dyDescent="0.3">
      <c r="A579" s="82" t="s">
        <v>1393</v>
      </c>
      <c r="B579" s="82" t="s">
        <v>1394</v>
      </c>
      <c r="C579" s="80"/>
    </row>
    <row r="580" spans="1:3" x14ac:dyDescent="0.3">
      <c r="A580" s="82" t="s">
        <v>1395</v>
      </c>
      <c r="B580" s="82" t="s">
        <v>1396</v>
      </c>
      <c r="C580" s="80"/>
    </row>
    <row r="581" spans="1:3" x14ac:dyDescent="0.3">
      <c r="A581" s="82" t="s">
        <v>1397</v>
      </c>
      <c r="B581" s="82" t="s">
        <v>1398</v>
      </c>
      <c r="C581" s="80"/>
    </row>
    <row r="582" spans="1:3" x14ac:dyDescent="0.3">
      <c r="A582" s="82" t="s">
        <v>1399</v>
      </c>
      <c r="B582" s="82" t="s">
        <v>1400</v>
      </c>
      <c r="C582" s="80"/>
    </row>
    <row r="583" spans="1:3" x14ac:dyDescent="0.3">
      <c r="A583" s="82" t="s">
        <v>1401</v>
      </c>
      <c r="B583" s="82" t="s">
        <v>1402</v>
      </c>
      <c r="C583" s="80"/>
    </row>
    <row r="584" spans="1:3" x14ac:dyDescent="0.3">
      <c r="A584" s="82" t="s">
        <v>1403</v>
      </c>
      <c r="B584" s="82" t="s">
        <v>1404</v>
      </c>
      <c r="C584" s="80"/>
    </row>
    <row r="585" spans="1:3" x14ac:dyDescent="0.3">
      <c r="A585" s="82" t="s">
        <v>1405</v>
      </c>
      <c r="B585" s="82" t="s">
        <v>1406</v>
      </c>
      <c r="C585" s="80"/>
    </row>
    <row r="586" spans="1:3" x14ac:dyDescent="0.3">
      <c r="A586" s="82" t="s">
        <v>1407</v>
      </c>
      <c r="B586" s="82" t="s">
        <v>1408</v>
      </c>
      <c r="C586" s="80"/>
    </row>
    <row r="587" spans="1:3" x14ac:dyDescent="0.3">
      <c r="A587" s="82" t="s">
        <v>1409</v>
      </c>
      <c r="B587" s="82" t="s">
        <v>1410</v>
      </c>
      <c r="C587" s="80"/>
    </row>
    <row r="588" spans="1:3" x14ac:dyDescent="0.3">
      <c r="A588" s="82" t="s">
        <v>1411</v>
      </c>
      <c r="B588" s="82" t="s">
        <v>1412</v>
      </c>
      <c r="C588" s="80"/>
    </row>
    <row r="589" spans="1:3" x14ac:dyDescent="0.3">
      <c r="A589" s="82" t="s">
        <v>1413</v>
      </c>
      <c r="B589" s="82" t="s">
        <v>1414</v>
      </c>
      <c r="C589" s="80"/>
    </row>
    <row r="590" spans="1:3" x14ac:dyDescent="0.3">
      <c r="A590" s="82" t="s">
        <v>1415</v>
      </c>
      <c r="B590" s="82" t="s">
        <v>1416</v>
      </c>
      <c r="C590" s="80"/>
    </row>
    <row r="591" spans="1:3" x14ac:dyDescent="0.3">
      <c r="A591" s="82" t="s">
        <v>1417</v>
      </c>
      <c r="B591" s="82" t="s">
        <v>1418</v>
      </c>
      <c r="C591" s="80"/>
    </row>
    <row r="592" spans="1:3" x14ac:dyDescent="0.3">
      <c r="A592" s="82" t="s">
        <v>1419</v>
      </c>
      <c r="B592" s="82" t="s">
        <v>1420</v>
      </c>
      <c r="C592" s="80"/>
    </row>
    <row r="593" spans="1:3" x14ac:dyDescent="0.3">
      <c r="A593" s="82" t="s">
        <v>1421</v>
      </c>
      <c r="B593" s="82" t="s">
        <v>1422</v>
      </c>
      <c r="C593" s="80"/>
    </row>
    <row r="594" spans="1:3" x14ac:dyDescent="0.3">
      <c r="A594" s="82" t="s">
        <v>1423</v>
      </c>
      <c r="B594" s="82" t="s">
        <v>1424</v>
      </c>
      <c r="C594" s="80"/>
    </row>
    <row r="595" spans="1:3" x14ac:dyDescent="0.3">
      <c r="A595" s="82" t="s">
        <v>1425</v>
      </c>
      <c r="B595" s="82" t="s">
        <v>1426</v>
      </c>
      <c r="C595" s="80"/>
    </row>
    <row r="596" spans="1:3" x14ac:dyDescent="0.3">
      <c r="A596" s="82" t="s">
        <v>1427</v>
      </c>
      <c r="B596" s="82" t="s">
        <v>1428</v>
      </c>
      <c r="C596" s="80"/>
    </row>
    <row r="597" spans="1:3" x14ac:dyDescent="0.3">
      <c r="A597" s="82" t="s">
        <v>1429</v>
      </c>
      <c r="B597" s="82" t="s">
        <v>1430</v>
      </c>
      <c r="C597" s="80"/>
    </row>
    <row r="598" spans="1:3" x14ac:dyDescent="0.3">
      <c r="A598" s="82" t="s">
        <v>1431</v>
      </c>
      <c r="B598" s="82" t="s">
        <v>1432</v>
      </c>
      <c r="C598" s="80"/>
    </row>
    <row r="599" spans="1:3" x14ac:dyDescent="0.3">
      <c r="A599" s="82" t="s">
        <v>1433</v>
      </c>
      <c r="B599" s="82" t="s">
        <v>1434</v>
      </c>
      <c r="C599" s="80"/>
    </row>
    <row r="600" spans="1:3" x14ac:dyDescent="0.3">
      <c r="A600" s="82" t="s">
        <v>1435</v>
      </c>
      <c r="B600" s="82" t="s">
        <v>1436</v>
      </c>
      <c r="C600" s="80"/>
    </row>
    <row r="601" spans="1:3" x14ac:dyDescent="0.3">
      <c r="A601" s="82" t="s">
        <v>1437</v>
      </c>
      <c r="B601" s="82" t="s">
        <v>1438</v>
      </c>
      <c r="C601" s="80"/>
    </row>
    <row r="602" spans="1:3" x14ac:dyDescent="0.3">
      <c r="A602" s="82" t="s">
        <v>1439</v>
      </c>
      <c r="B602" s="82" t="s">
        <v>1440</v>
      </c>
      <c r="C602" s="80"/>
    </row>
    <row r="603" spans="1:3" x14ac:dyDescent="0.3">
      <c r="A603" s="82" t="s">
        <v>1441</v>
      </c>
      <c r="B603" s="82" t="s">
        <v>1442</v>
      </c>
      <c r="C603" s="80"/>
    </row>
    <row r="604" spans="1:3" x14ac:dyDescent="0.3">
      <c r="A604" s="82" t="s">
        <v>1443</v>
      </c>
      <c r="B604" s="82" t="s">
        <v>1444</v>
      </c>
      <c r="C604" s="80"/>
    </row>
    <row r="605" spans="1:3" x14ac:dyDescent="0.3">
      <c r="A605" s="82" t="s">
        <v>1445</v>
      </c>
      <c r="B605" s="82" t="s">
        <v>1446</v>
      </c>
      <c r="C605" s="80"/>
    </row>
    <row r="606" spans="1:3" x14ac:dyDescent="0.3">
      <c r="A606" s="82" t="s">
        <v>1447</v>
      </c>
      <c r="B606" s="82" t="s">
        <v>1448</v>
      </c>
      <c r="C606" s="80"/>
    </row>
    <row r="607" spans="1:3" x14ac:dyDescent="0.3">
      <c r="A607" s="82" t="s">
        <v>1449</v>
      </c>
      <c r="B607" s="82" t="s">
        <v>1450</v>
      </c>
      <c r="C607" s="80"/>
    </row>
    <row r="608" spans="1:3" x14ac:dyDescent="0.3">
      <c r="A608" s="82" t="s">
        <v>1451</v>
      </c>
      <c r="B608" s="82" t="s">
        <v>1452</v>
      </c>
      <c r="C608" s="95"/>
    </row>
    <row r="609" spans="1:3" x14ac:dyDescent="0.3">
      <c r="A609" s="79" t="s">
        <v>1453</v>
      </c>
      <c r="B609" s="79" t="s">
        <v>1454</v>
      </c>
      <c r="C609" s="95"/>
    </row>
    <row r="610" spans="1:3" x14ac:dyDescent="0.3">
      <c r="A610" s="79" t="s">
        <v>1455</v>
      </c>
      <c r="B610" s="79" t="s">
        <v>1456</v>
      </c>
      <c r="C610" s="95"/>
    </row>
    <row r="611" spans="1:3" x14ac:dyDescent="0.3">
      <c r="A611" s="79" t="s">
        <v>1264</v>
      </c>
      <c r="B611" s="79" t="s">
        <v>1457</v>
      </c>
      <c r="C611" s="95"/>
    </row>
    <row r="612" spans="1:3" x14ac:dyDescent="0.3">
      <c r="A612" s="79" t="s">
        <v>1458</v>
      </c>
      <c r="B612" s="79" t="s">
        <v>1459</v>
      </c>
      <c r="C612" s="95"/>
    </row>
    <row r="613" spans="1:3" x14ac:dyDescent="0.3">
      <c r="A613" s="94" t="s">
        <v>1460</v>
      </c>
      <c r="B613" s="94" t="s">
        <v>1461</v>
      </c>
      <c r="C613" s="96"/>
    </row>
    <row r="614" spans="1:3" x14ac:dyDescent="0.3">
      <c r="A614" s="94" t="s">
        <v>1462</v>
      </c>
      <c r="B614" s="94" t="s">
        <v>1463</v>
      </c>
      <c r="C614" s="96"/>
    </row>
    <row r="615" spans="1:3" x14ac:dyDescent="0.3">
      <c r="A615" s="94" t="s">
        <v>1464</v>
      </c>
      <c r="B615" s="94" t="s">
        <v>1465</v>
      </c>
      <c r="C615" s="96"/>
    </row>
    <row r="616" spans="1:3" x14ac:dyDescent="0.3">
      <c r="A616" s="94" t="s">
        <v>1466</v>
      </c>
      <c r="B616" s="94" t="s">
        <v>1467</v>
      </c>
      <c r="C616" s="96"/>
    </row>
    <row r="617" spans="1:3" x14ac:dyDescent="0.3">
      <c r="A617" s="94" t="s">
        <v>1468</v>
      </c>
      <c r="B617" s="94" t="s">
        <v>1469</v>
      </c>
      <c r="C617" s="96"/>
    </row>
    <row r="618" spans="1:3" x14ac:dyDescent="0.3">
      <c r="A618" s="94" t="s">
        <v>1470</v>
      </c>
      <c r="B618" s="94" t="s">
        <v>1471</v>
      </c>
      <c r="C618" s="96"/>
    </row>
    <row r="619" spans="1:3" x14ac:dyDescent="0.3">
      <c r="A619" s="94" t="s">
        <v>1472</v>
      </c>
      <c r="B619" s="94" t="s">
        <v>1473</v>
      </c>
      <c r="C619" s="96"/>
    </row>
    <row r="620" spans="1:3" x14ac:dyDescent="0.3">
      <c r="A620" s="94" t="s">
        <v>1474</v>
      </c>
      <c r="B620" s="94" t="s">
        <v>1475</v>
      </c>
      <c r="C620" s="96"/>
    </row>
    <row r="621" spans="1:3" x14ac:dyDescent="0.3">
      <c r="A621" s="94" t="s">
        <v>1480</v>
      </c>
      <c r="B621" s="94" t="s">
        <v>1479</v>
      </c>
      <c r="C621" s="96"/>
    </row>
    <row r="622" spans="1:3" x14ac:dyDescent="0.3">
      <c r="A622" s="94" t="s">
        <v>1481</v>
      </c>
      <c r="B622" s="94" t="s">
        <v>1482</v>
      </c>
      <c r="C622" s="96"/>
    </row>
    <row r="623" spans="1:3" x14ac:dyDescent="0.3">
      <c r="A623" s="94" t="s">
        <v>1483</v>
      </c>
      <c r="B623" s="94" t="s">
        <v>1485</v>
      </c>
      <c r="C623" s="96"/>
    </row>
    <row r="624" spans="1:3" x14ac:dyDescent="0.3">
      <c r="A624" s="94" t="s">
        <v>1484</v>
      </c>
      <c r="B624" s="94" t="s">
        <v>1486</v>
      </c>
      <c r="C624" s="96"/>
    </row>
    <row r="625" spans="1:3" x14ac:dyDescent="0.3">
      <c r="A625" s="94" t="s">
        <v>1487</v>
      </c>
      <c r="B625" s="94" t="s">
        <v>1488</v>
      </c>
      <c r="C625" s="96"/>
    </row>
    <row r="626" spans="1:3" x14ac:dyDescent="0.3">
      <c r="A626" s="94" t="s">
        <v>1489</v>
      </c>
      <c r="B626" s="94" t="s">
        <v>1490</v>
      </c>
      <c r="C626" s="96"/>
    </row>
    <row r="627" spans="1:3" x14ac:dyDescent="0.3">
      <c r="A627" s="94" t="s">
        <v>154</v>
      </c>
      <c r="B627" s="94" t="s">
        <v>1494</v>
      </c>
      <c r="C627" s="96"/>
    </row>
    <row r="628" spans="1:3" x14ac:dyDescent="0.3">
      <c r="A628" s="94" t="s">
        <v>1492</v>
      </c>
      <c r="B628" s="94" t="s">
        <v>1495</v>
      </c>
      <c r="C628" s="96"/>
    </row>
    <row r="629" spans="1:3" x14ac:dyDescent="0.3">
      <c r="A629" s="94" t="s">
        <v>1498</v>
      </c>
      <c r="B629" s="94" t="s">
        <v>1499</v>
      </c>
      <c r="C629" s="96"/>
    </row>
    <row r="630" spans="1:3" x14ac:dyDescent="0.3">
      <c r="A630" s="94" t="s">
        <v>1502</v>
      </c>
      <c r="B630" s="94" t="s">
        <v>1503</v>
      </c>
      <c r="C630" s="96"/>
    </row>
    <row r="631" spans="1:3" x14ac:dyDescent="0.3">
      <c r="A631" s="94" t="s">
        <v>1504</v>
      </c>
      <c r="B631" s="94" t="s">
        <v>1505</v>
      </c>
      <c r="C631" s="96"/>
    </row>
    <row r="632" spans="1:3" x14ac:dyDescent="0.3">
      <c r="A632" s="94" t="s">
        <v>213</v>
      </c>
      <c r="B632" s="94" t="s">
        <v>1506</v>
      </c>
      <c r="C632" s="96"/>
    </row>
    <row r="633" spans="1:3" x14ac:dyDescent="0.3">
      <c r="A633" s="94" t="s">
        <v>211</v>
      </c>
      <c r="B633" s="94" t="s">
        <v>1507</v>
      </c>
      <c r="C633" s="96"/>
    </row>
    <row r="634" spans="1:3" x14ac:dyDescent="0.3">
      <c r="A634" s="94" t="s">
        <v>212</v>
      </c>
      <c r="B634" s="94" t="s">
        <v>1508</v>
      </c>
      <c r="C634" s="96"/>
    </row>
    <row r="635" spans="1:3" x14ac:dyDescent="0.3">
      <c r="A635" s="94" t="s">
        <v>1511</v>
      </c>
      <c r="B635" s="94" t="s">
        <v>1518</v>
      </c>
      <c r="C635" s="96"/>
    </row>
    <row r="636" spans="1:3" x14ac:dyDescent="0.3">
      <c r="A636" s="94" t="s">
        <v>1512</v>
      </c>
      <c r="B636" s="94" t="s">
        <v>1514</v>
      </c>
      <c r="C636" s="96"/>
    </row>
    <row r="637" spans="1:3" x14ac:dyDescent="0.3">
      <c r="A637" s="94" t="s">
        <v>1513</v>
      </c>
      <c r="B637" s="94" t="s">
        <v>1515</v>
      </c>
      <c r="C637" s="96"/>
    </row>
    <row r="638" spans="1:3" x14ac:dyDescent="0.3">
      <c r="A638" s="94" t="s">
        <v>1516</v>
      </c>
      <c r="B638" s="94" t="s">
        <v>1517</v>
      </c>
      <c r="C638" s="96"/>
    </row>
    <row r="639" spans="1:3" x14ac:dyDescent="0.3">
      <c r="A639" s="94" t="s">
        <v>1523</v>
      </c>
      <c r="B639" s="94" t="s">
        <v>1521</v>
      </c>
      <c r="C639" s="96"/>
    </row>
    <row r="640" spans="1:3" x14ac:dyDescent="0.3">
      <c r="A640" s="94" t="s">
        <v>1524</v>
      </c>
      <c r="B640" s="94" t="s">
        <v>1531</v>
      </c>
      <c r="C640" s="96"/>
    </row>
    <row r="641" spans="1:3" x14ac:dyDescent="0.3">
      <c r="A641" s="94" t="s">
        <v>1526</v>
      </c>
      <c r="B641" s="94" t="s">
        <v>1532</v>
      </c>
      <c r="C641" s="96"/>
    </row>
    <row r="642" spans="1:3" x14ac:dyDescent="0.3">
      <c r="A642" s="94" t="s">
        <v>1528</v>
      </c>
      <c r="B642" s="94" t="s">
        <v>1533</v>
      </c>
      <c r="C642" s="96"/>
    </row>
    <row r="643" spans="1:3" x14ac:dyDescent="0.3">
      <c r="A643" s="94" t="s">
        <v>1537</v>
      </c>
      <c r="B643" s="94" t="s">
        <v>1538</v>
      </c>
      <c r="C643" s="96"/>
    </row>
    <row r="644" spans="1:3" x14ac:dyDescent="0.3">
      <c r="A644" s="94" t="s">
        <v>1564</v>
      </c>
      <c r="B644" s="94" t="s">
        <v>1565</v>
      </c>
      <c r="C644" s="187" t="s">
        <v>1566</v>
      </c>
    </row>
    <row r="645" spans="1:3" x14ac:dyDescent="0.3">
      <c r="A645" s="94"/>
      <c r="B645" s="94"/>
      <c r="C645" s="96"/>
    </row>
  </sheetData>
  <autoFilter ref="A1:B250" xr:uid="{00000000-0009-0000-0000-000012000000}"/>
  <phoneticPr fontId="4"/>
  <hyperlinks>
    <hyperlink ref="E2" r:id="rId1" xr:uid="{00000000-0004-0000-1200-000000000000}"/>
  </hyperlinks>
  <pageMargins left="0.7" right="0.7" top="0.75" bottom="0.75" header="0.3" footer="0.3"/>
  <pageSetup paperSize="9" orientation="portrait" r:id="rId2"/>
  <headerFooter>
    <oddFooter>&amp;C - &amp;P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08FF3A34676D824697E700815E8AA6A8" ma:contentTypeVersion="11" ma:contentTypeDescription="新しいドキュメントを作成します。" ma:contentTypeScope="" ma:versionID="e5ae636e02addc504cfb984afc9afa79">
  <xsd:schema xmlns:xsd="http://www.w3.org/2001/XMLSchema" xmlns:xs="http://www.w3.org/2001/XMLSchema" xmlns:p="http://schemas.microsoft.com/office/2006/metadata/properties" xmlns:ns2="44fe4817-1a8c-4f6d-9a7a-15a2f9c2ceea" xmlns:ns3="2ad01a7e-b0cc-482e-be0b-d1161c9cb6dd" targetNamespace="http://schemas.microsoft.com/office/2006/metadata/properties" ma:root="true" ma:fieldsID="b4f014bae2b5c552562ade8b1ee15916" ns2:_="" ns3:_="">
    <xsd:import namespace="44fe4817-1a8c-4f6d-9a7a-15a2f9c2ceea"/>
    <xsd:import namespace="2ad01a7e-b0cc-482e-be0b-d1161c9cb6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fe4817-1a8c-4f6d-9a7a-15a2f9c2ce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画像タグ" ma:readOnly="false" ma:fieldId="{5cf76f15-5ced-4ddc-b409-7134ff3c332f}" ma:taxonomyMulti="true" ma:sspId="9af9b40b-1e02-41df-a02a-f7cdeb5c05d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d01a7e-b0cc-482e-be0b-d1161c9cb6d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cf23d7e2-ce68-4abd-b181-8ce7ce528754}" ma:internalName="TaxCatchAll" ma:showField="CatchAllData" ma:web="2ad01a7e-b0cc-482e-be0b-d1161c9cb6d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4fe4817-1a8c-4f6d-9a7a-15a2f9c2ceea">
      <Terms xmlns="http://schemas.microsoft.com/office/infopath/2007/PartnerControls"/>
    </lcf76f155ced4ddcb4097134ff3c332f>
    <TaxCatchAll xmlns="2ad01a7e-b0cc-482e-be0b-d1161c9cb6dd" xsi:nil="true"/>
  </documentManagement>
</p:properties>
</file>

<file path=customXml/itemProps1.xml><?xml version="1.0" encoding="utf-8"?>
<ds:datastoreItem xmlns:ds="http://schemas.openxmlformats.org/officeDocument/2006/customXml" ds:itemID="{55082818-F61F-41D9-B09B-2479FD8FA34E}"/>
</file>

<file path=customXml/itemProps2.xml><?xml version="1.0" encoding="utf-8"?>
<ds:datastoreItem xmlns:ds="http://schemas.openxmlformats.org/officeDocument/2006/customXml" ds:itemID="{79CB066B-97C7-49A2-9F13-436CF541B70E}"/>
</file>

<file path=customXml/itemProps3.xml><?xml version="1.0" encoding="utf-8"?>
<ds:datastoreItem xmlns:ds="http://schemas.openxmlformats.org/officeDocument/2006/customXml" ds:itemID="{40524445-B641-4A6D-AC5B-851C42ED3EF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19</vt:i4>
      </vt:variant>
      <vt:variant>
        <vt:lpstr>名前付き一覧</vt:lpstr>
      </vt:variant>
      <vt:variant>
        <vt:i4>17</vt:i4>
      </vt:variant>
    </vt:vector>
  </HeadingPairs>
  <TitlesOfParts>
    <vt:vector size="36" baseType="lpstr">
      <vt:lpstr>マクロ</vt:lpstr>
      <vt:lpstr>テーブル一覧</vt:lpstr>
      <vt:lpstr>出荷指示情報</vt:lpstr>
      <vt:lpstr>出荷指示明細情報（受注）</vt:lpstr>
      <vt:lpstr>出荷指示明細情報（在庫）</vt:lpstr>
      <vt:lpstr>出荷指示明細情報（荷札）</vt:lpstr>
      <vt:lpstr>ロット№読取情報</vt:lpstr>
      <vt:lpstr>出荷実績情報</vt:lpstr>
      <vt:lpstr>出荷実績明細情報（受注）</vt:lpstr>
      <vt:lpstr>出荷実績明細情報（在庫）</vt:lpstr>
      <vt:lpstr>出荷実績明細情報（ロット№）</vt:lpstr>
      <vt:lpstr>積込場所グループ情報</vt:lpstr>
      <vt:lpstr>積込場所情報</vt:lpstr>
      <vt:lpstr>外貨レート情報</vt:lpstr>
      <vt:lpstr>路線便帳票印刷情報</vt:lpstr>
      <vt:lpstr>路線便帳票印刷明細情報</vt:lpstr>
      <vt:lpstr>項目一覧</vt:lpstr>
      <vt:lpstr>項目一覧 (項目別)</vt:lpstr>
      <vt:lpstr>Sheet1</vt:lpstr>
      <vt:lpstr>テーブル一覧!Print_Titles</vt:lpstr>
      <vt:lpstr>ロット№読取情報!Print_Titles</vt:lpstr>
      <vt:lpstr>外貨レート情報!Print_Titles</vt:lpstr>
      <vt:lpstr>項目一覧!Print_Titles</vt:lpstr>
      <vt:lpstr>'項目一覧 (項目別)'!Print_Titles</vt:lpstr>
      <vt:lpstr>出荷指示情報!Print_Titles</vt:lpstr>
      <vt:lpstr>'出荷指示明細情報（荷札）'!Print_Titles</vt:lpstr>
      <vt:lpstr>'出荷指示明細情報（在庫）'!Print_Titles</vt:lpstr>
      <vt:lpstr>'出荷指示明細情報（受注）'!Print_Titles</vt:lpstr>
      <vt:lpstr>出荷実績情報!Print_Titles</vt:lpstr>
      <vt:lpstr>'出荷実績明細情報（ロット№）'!Print_Titles</vt:lpstr>
      <vt:lpstr>'出荷実績明細情報（在庫）'!Print_Titles</vt:lpstr>
      <vt:lpstr>'出荷実績明細情報（受注）'!Print_Titles</vt:lpstr>
      <vt:lpstr>積込場所グループ情報!Print_Titles</vt:lpstr>
      <vt:lpstr>積込場所情報!Print_Titles</vt:lpstr>
      <vt:lpstr>路線便帳票印刷情報!Print_Titles</vt:lpstr>
      <vt:lpstr>路線便帳票印刷明細情報!Print_Titles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末永 健治</dc:creator>
  <cp:lastModifiedBy>原田 伸二</cp:lastModifiedBy>
  <cp:lastPrinted>2023-07-31T02:52:31Z</cp:lastPrinted>
  <dcterms:created xsi:type="dcterms:W3CDTF">2020-07-03T02:02:56Z</dcterms:created>
  <dcterms:modified xsi:type="dcterms:W3CDTF">2023-09-03T06:33:49Z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0x01010008FF3A34676D824697E700815E8AA6A8</vt:lpwstr>
  </property>
  <property fmtid="{D5CDD505-2E9C-101B-9397-08002B2CF9AE}" pid="3" name="MediaServiceImageTags">
    <vt:lpwstr/>
  </property>
</Properties>
</file>