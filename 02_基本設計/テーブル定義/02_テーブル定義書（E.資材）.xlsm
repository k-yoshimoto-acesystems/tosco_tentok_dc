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6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comments8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xr:revisionPtr revIDLastSave="0" documentId="13_ncr:1_{7F91F068-2761-4E89-B7C9-F2134AA4D348}" xr6:coauthVersionLast="47" xr6:coauthVersionMax="47" xr10:uidLastSave="{00000000-0000-0000-0000-000000000000}"/>
  <bookViews>
    <workbookView xWindow="22932" yWindow="-108" windowWidth="23256" windowHeight="12576" tabRatio="923" firstSheet="5" activeTab="5" xr2:uid="{00000000-000D-0000-FFFF-FFFF00000000}"/>
  </bookViews>
  <sheets>
    <sheet name="マクロ" sheetId="57" state="hidden" r:id="rId1"/>
    <sheet name="テーブル一覧" sheetId="58" r:id="rId2"/>
    <sheet name="資材請求・納入紐付情報" sheetId="91" r:id="rId3"/>
    <sheet name="資材請求・品種紐付情報" sheetId="92" r:id="rId4"/>
    <sheet name="資材請求情報（ヘッダ）" sheetId="77" r:id="rId5"/>
    <sheet name="資材請求明細情報" sheetId="78" r:id="rId6"/>
    <sheet name="資材請求添付ファイル情報" sheetId="79" r:id="rId7"/>
    <sheet name="発注情報（ヘッダ）" sheetId="82" r:id="rId8"/>
    <sheet name="発注明細情報" sheetId="83" r:id="rId9"/>
    <sheet name="発注摘要.連絡情報" sheetId="88" r:id="rId10"/>
    <sheet name="仕入情報（ヘッダ）" sheetId="84" r:id="rId11"/>
    <sheet name="仕入明細情報" sheetId="85" r:id="rId12"/>
    <sheet name="仕入調整情報" sheetId="89" r:id="rId13"/>
    <sheet name="項目一覧" sheetId="60" r:id="rId14"/>
    <sheet name="項目一覧 (項目別)" sheetId="61" r:id="rId15"/>
    <sheet name="項目一覧2" sheetId="90" r:id="rId16"/>
  </sheets>
  <functionGroups builtInGroupCount="19"/>
  <definedNames>
    <definedName name="_xlnm._FilterDatabase" localSheetId="1" hidden="1">テーブル一覧!#REF!</definedName>
    <definedName name="_xlnm._FilterDatabase" localSheetId="13" hidden="1">項目一覧!$A$3:$I$240</definedName>
    <definedName name="_xlnm._FilterDatabase" localSheetId="14" hidden="1">'項目一覧 (項目別)'!$A$3:$I$239</definedName>
    <definedName name="_xlnm._FilterDatabase" localSheetId="10" hidden="1">'仕入情報（ヘッダ）'!$A$6:$BD$55</definedName>
    <definedName name="_xlnm._FilterDatabase" localSheetId="12" hidden="1">仕入調整情報!$A$6:$BD$50</definedName>
    <definedName name="_xlnm._FilterDatabase" localSheetId="11" hidden="1">仕入明細情報!$A$6:$BD$87</definedName>
    <definedName name="_xlnm._FilterDatabase" localSheetId="2" hidden="1">資材請求・納入紐付情報!$A$6:$BD$47</definedName>
    <definedName name="_xlnm._FilterDatabase" localSheetId="3" hidden="1">資材請求・品種紐付情報!$A$6:$BD$48</definedName>
    <definedName name="_xlnm._FilterDatabase" localSheetId="4" hidden="1">'資材請求情報（ヘッダ）'!$A$6:$BD$56</definedName>
    <definedName name="_xlnm._FilterDatabase" localSheetId="6" hidden="1">資材請求添付ファイル情報!$A$6:$BD$54</definedName>
    <definedName name="_xlnm._FilterDatabase" localSheetId="5" hidden="1">資材請求明細情報!$A$6:$BD$63</definedName>
    <definedName name="_xlnm._FilterDatabase" localSheetId="7" hidden="1">'発注情報（ヘッダ）'!$A$6:$BD$60</definedName>
    <definedName name="_xlnm._FilterDatabase" localSheetId="9" hidden="1">発注摘要.連絡情報!$A$6:$BD$36</definedName>
    <definedName name="_xlnm._FilterDatabase" localSheetId="8" hidden="1">発注明細情報!$A$6:$BD$87</definedName>
    <definedName name="_xlnm.Print_Titles" localSheetId="1">テーブル一覧!$1:$6</definedName>
    <definedName name="_xlnm.Print_Titles" localSheetId="13">項目一覧!$1:$3</definedName>
    <definedName name="_xlnm.Print_Titles" localSheetId="14">'項目一覧 (項目別)'!$1:$3</definedName>
    <definedName name="_xlnm.Print_Titles" localSheetId="10">'仕入情報（ヘッダ）'!$1:$7</definedName>
    <definedName name="_xlnm.Print_Titles" localSheetId="12">仕入調整情報!$1:$7</definedName>
    <definedName name="_xlnm.Print_Titles" localSheetId="11">仕入明細情報!$1:$7</definedName>
    <definedName name="_xlnm.Print_Titles" localSheetId="2">資材請求・納入紐付情報!$1:$7</definedName>
    <definedName name="_xlnm.Print_Titles" localSheetId="3">資材請求・品種紐付情報!$1:$7</definedName>
    <definedName name="_xlnm.Print_Titles" localSheetId="4">'資材請求情報（ヘッダ）'!$1:$7</definedName>
    <definedName name="_xlnm.Print_Titles" localSheetId="6">資材請求添付ファイル情報!$1:$7</definedName>
    <definedName name="_xlnm.Print_Titles" localSheetId="5">資材請求明細情報!$1:$7</definedName>
    <definedName name="_xlnm.Print_Titles" localSheetId="7">'発注情報（ヘッダ）'!$1:$7</definedName>
    <definedName name="_xlnm.Print_Titles" localSheetId="9">発注摘要.連絡情報!$1:$7</definedName>
    <definedName name="_xlnm.Print_Titles" localSheetId="8">発注明細情報!$1:$7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78" l="1"/>
  <c r="A43" i="78"/>
  <c r="I42" i="78"/>
  <c r="A28" i="78" l="1"/>
  <c r="I28" i="78"/>
  <c r="I12" i="79"/>
  <c r="A12" i="79"/>
  <c r="I9" i="89"/>
  <c r="A9" i="89"/>
  <c r="I34" i="78" l="1"/>
  <c r="A34" i="78"/>
  <c r="I22" i="83"/>
  <c r="A22" i="83"/>
  <c r="I44" i="83"/>
  <c r="A44" i="83"/>
  <c r="I14" i="77"/>
  <c r="A14" i="77"/>
  <c r="A15" i="77"/>
  <c r="A16" i="77"/>
  <c r="I21" i="83" l="1"/>
  <c r="A21" i="83"/>
  <c r="A9" i="92"/>
  <c r="A10" i="92"/>
  <c r="A11" i="92"/>
  <c r="A12" i="92"/>
  <c r="A13" i="92"/>
  <c r="A14" i="92"/>
  <c r="A15" i="92"/>
  <c r="A16" i="92"/>
  <c r="I8" i="92"/>
  <c r="A8" i="92"/>
  <c r="I8" i="91"/>
  <c r="A17" i="92"/>
  <c r="A18" i="92"/>
  <c r="A19" i="92"/>
  <c r="I10" i="92"/>
  <c r="A15" i="91"/>
  <c r="A14" i="91"/>
  <c r="A13" i="91"/>
  <c r="A12" i="91"/>
  <c r="A11" i="91"/>
  <c r="A10" i="91"/>
  <c r="A9" i="91"/>
  <c r="A8" i="91"/>
  <c r="I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I16" i="92"/>
  <c r="I15" i="92"/>
  <c r="I14" i="92"/>
  <c r="I13" i="92"/>
  <c r="I12" i="92"/>
  <c r="I11" i="92"/>
  <c r="Y4" i="92"/>
  <c r="Y2" i="92"/>
  <c r="R2" i="92"/>
  <c r="I9" i="91"/>
  <c r="A47" i="91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I15" i="91"/>
  <c r="I14" i="91"/>
  <c r="I13" i="91"/>
  <c r="I12" i="91"/>
  <c r="I11" i="91"/>
  <c r="I10" i="91"/>
  <c r="Y4" i="91"/>
  <c r="Y2" i="91"/>
  <c r="R2" i="91"/>
  <c r="A17" i="88"/>
  <c r="A18" i="88"/>
  <c r="A19" i="88"/>
  <c r="A18" i="58"/>
  <c r="A19" i="58"/>
  <c r="I60" i="83"/>
  <c r="I61" i="83"/>
  <c r="I52" i="83"/>
  <c r="I53" i="83"/>
  <c r="I54" i="83"/>
  <c r="I55" i="83"/>
  <c r="I56" i="83"/>
  <c r="I57" i="83"/>
  <c r="I58" i="83"/>
  <c r="I59" i="83"/>
  <c r="I40" i="83"/>
  <c r="I41" i="83"/>
  <c r="I42" i="83"/>
  <c r="I43" i="83"/>
  <c r="I45" i="83"/>
  <c r="I46" i="83"/>
  <c r="I47" i="83"/>
  <c r="I48" i="83"/>
  <c r="I49" i="83"/>
  <c r="I50" i="83"/>
  <c r="I51" i="83"/>
  <c r="I39" i="83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1" i="78"/>
  <c r="A40" i="78"/>
  <c r="A39" i="78"/>
  <c r="A38" i="78"/>
  <c r="A37" i="78"/>
  <c r="A36" i="78"/>
  <c r="A35" i="78"/>
  <c r="A33" i="78"/>
  <c r="A32" i="78"/>
  <c r="A31" i="78"/>
  <c r="A30" i="78"/>
  <c r="A29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1" i="78"/>
  <c r="A10" i="78"/>
  <c r="A9" i="78"/>
  <c r="A45" i="61"/>
  <c r="I35" i="78"/>
  <c r="A45" i="60"/>
  <c r="I10" i="77"/>
  <c r="I10" i="83"/>
  <c r="Y4" i="89" l="1"/>
  <c r="Y2" i="89"/>
  <c r="Y4" i="85"/>
  <c r="Y2" i="85"/>
  <c r="Y4" i="84"/>
  <c r="Y2" i="84"/>
  <c r="A10" i="88"/>
  <c r="I37" i="78"/>
  <c r="I39" i="78"/>
  <c r="I41" i="78"/>
  <c r="A10" i="77" l="1"/>
  <c r="A18" i="77"/>
  <c r="I18" i="77"/>
  <c r="A17" i="77"/>
  <c r="A13" i="77"/>
  <c r="A12" i="77"/>
  <c r="I24" i="85"/>
  <c r="A24" i="85"/>
  <c r="I23" i="78"/>
  <c r="I16" i="77" l="1"/>
  <c r="I10" i="89"/>
  <c r="I11" i="89"/>
  <c r="I12" i="89"/>
  <c r="I13" i="89"/>
  <c r="I14" i="89"/>
  <c r="I15" i="89"/>
  <c r="I16" i="89"/>
  <c r="I17" i="89"/>
  <c r="I18" i="89"/>
  <c r="I19" i="89"/>
  <c r="I20" i="89"/>
  <c r="I21" i="89"/>
  <c r="I8" i="89"/>
  <c r="I9" i="85"/>
  <c r="I10" i="85"/>
  <c r="I11" i="85"/>
  <c r="I12" i="85"/>
  <c r="I13" i="85"/>
  <c r="I14" i="85"/>
  <c r="I15" i="85"/>
  <c r="I16" i="85"/>
  <c r="I17" i="85"/>
  <c r="I18" i="85"/>
  <c r="I19" i="85"/>
  <c r="I20" i="85"/>
  <c r="I21" i="85"/>
  <c r="I22" i="85"/>
  <c r="I23" i="85"/>
  <c r="I25" i="85"/>
  <c r="I26" i="85"/>
  <c r="I27" i="85"/>
  <c r="I28" i="85"/>
  <c r="I29" i="85"/>
  <c r="I30" i="85"/>
  <c r="I31" i="85"/>
  <c r="I32" i="85"/>
  <c r="I33" i="85"/>
  <c r="I34" i="85"/>
  <c r="I35" i="85"/>
  <c r="I36" i="85"/>
  <c r="I37" i="85"/>
  <c r="I38" i="85"/>
  <c r="I39" i="85"/>
  <c r="I40" i="85"/>
  <c r="I41" i="85"/>
  <c r="I42" i="85"/>
  <c r="I43" i="85"/>
  <c r="I44" i="85"/>
  <c r="I45" i="85"/>
  <c r="I46" i="85"/>
  <c r="I47" i="85"/>
  <c r="I48" i="85"/>
  <c r="I49" i="85"/>
  <c r="I50" i="85"/>
  <c r="I51" i="85"/>
  <c r="I52" i="85"/>
  <c r="I53" i="85"/>
  <c r="I54" i="85"/>
  <c r="I55" i="85"/>
  <c r="I56" i="85"/>
  <c r="I57" i="85"/>
  <c r="I58" i="85"/>
  <c r="I8" i="85"/>
  <c r="I9" i="84"/>
  <c r="I10" i="84"/>
  <c r="I11" i="84"/>
  <c r="I12" i="84"/>
  <c r="I13" i="84"/>
  <c r="I14" i="84"/>
  <c r="I15" i="84"/>
  <c r="I16" i="84"/>
  <c r="I17" i="84"/>
  <c r="I18" i="84"/>
  <c r="I19" i="84"/>
  <c r="I20" i="84"/>
  <c r="I21" i="84"/>
  <c r="I22" i="84"/>
  <c r="I8" i="84"/>
  <c r="I9" i="88"/>
  <c r="I11" i="88"/>
  <c r="I12" i="88"/>
  <c r="I13" i="88"/>
  <c r="I14" i="88"/>
  <c r="I15" i="88"/>
  <c r="I16" i="88"/>
  <c r="I17" i="88"/>
  <c r="I18" i="88"/>
  <c r="I19" i="88"/>
  <c r="I8" i="88"/>
  <c r="I9" i="83"/>
  <c r="I11" i="83"/>
  <c r="I12" i="83"/>
  <c r="I13" i="83"/>
  <c r="I14" i="83"/>
  <c r="I15" i="83"/>
  <c r="I16" i="83"/>
  <c r="I17" i="83"/>
  <c r="I18" i="83"/>
  <c r="I19" i="83"/>
  <c r="I20" i="83"/>
  <c r="I23" i="83"/>
  <c r="I24" i="83"/>
  <c r="I25" i="83"/>
  <c r="I26" i="83"/>
  <c r="I27" i="83"/>
  <c r="I28" i="83"/>
  <c r="I29" i="83"/>
  <c r="I30" i="83"/>
  <c r="I31" i="83"/>
  <c r="I32" i="83"/>
  <c r="I33" i="83"/>
  <c r="I34" i="83"/>
  <c r="I35" i="83"/>
  <c r="I36" i="83"/>
  <c r="I37" i="83"/>
  <c r="I38" i="83"/>
  <c r="I8" i="83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8" i="82"/>
  <c r="I9" i="79"/>
  <c r="I10" i="79"/>
  <c r="I11" i="79"/>
  <c r="I13" i="79"/>
  <c r="I14" i="79"/>
  <c r="I15" i="79"/>
  <c r="I16" i="79"/>
  <c r="I17" i="79"/>
  <c r="I18" i="79"/>
  <c r="I19" i="79"/>
  <c r="I20" i="79"/>
  <c r="I21" i="79"/>
  <c r="I8" i="79"/>
  <c r="I24" i="78"/>
  <c r="I25" i="78"/>
  <c r="I26" i="78"/>
  <c r="I27" i="78"/>
  <c r="I29" i="78"/>
  <c r="I30" i="78"/>
  <c r="I31" i="78"/>
  <c r="I32" i="78"/>
  <c r="I33" i="78"/>
  <c r="I36" i="78"/>
  <c r="I38" i="78"/>
  <c r="I40" i="78"/>
  <c r="I43" i="78"/>
  <c r="I44" i="78"/>
  <c r="I45" i="78"/>
  <c r="I46" i="78"/>
  <c r="I47" i="78"/>
  <c r="I48" i="78"/>
  <c r="I22" i="78"/>
  <c r="I21" i="78"/>
  <c r="I20" i="78"/>
  <c r="I19" i="78"/>
  <c r="I18" i="78"/>
  <c r="I17" i="78"/>
  <c r="I16" i="78"/>
  <c r="I15" i="78"/>
  <c r="I14" i="78"/>
  <c r="I13" i="78"/>
  <c r="I12" i="78"/>
  <c r="I11" i="78"/>
  <c r="I10" i="78"/>
  <c r="I9" i="78"/>
  <c r="I8" i="78"/>
  <c r="I9" i="77"/>
  <c r="I11" i="77"/>
  <c r="I12" i="77"/>
  <c r="I13" i="77"/>
  <c r="I15" i="77"/>
  <c r="I17" i="77"/>
  <c r="I19" i="77"/>
  <c r="I20" i="77"/>
  <c r="I21" i="77"/>
  <c r="I22" i="77"/>
  <c r="I23" i="77"/>
  <c r="I24" i="77"/>
  <c r="I8" i="77"/>
  <c r="A48" i="83"/>
  <c r="A17" i="85" l="1"/>
  <c r="A18" i="83" l="1"/>
  <c r="A57" i="83"/>
  <c r="A56" i="83"/>
  <c r="A55" i="83"/>
  <c r="A68" i="83"/>
  <c r="A69" i="83"/>
  <c r="A70" i="83"/>
  <c r="A71" i="83"/>
  <c r="A62" i="83"/>
  <c r="A14" i="82"/>
  <c r="A10" i="82"/>
  <c r="A11" i="82"/>
  <c r="A12" i="82"/>
  <c r="A13" i="82"/>
  <c r="A18" i="82" l="1"/>
  <c r="A50" i="85"/>
  <c r="A49" i="85"/>
  <c r="A239" i="61"/>
  <c r="A238" i="61"/>
  <c r="A237" i="61"/>
  <c r="A236" i="61"/>
  <c r="A235" i="61"/>
  <c r="A234" i="61"/>
  <c r="A233" i="61"/>
  <c r="A232" i="61"/>
  <c r="A231" i="61"/>
  <c r="A230" i="61"/>
  <c r="A229" i="61"/>
  <c r="A228" i="61"/>
  <c r="A227" i="61"/>
  <c r="A226" i="61"/>
  <c r="A225" i="61"/>
  <c r="A224" i="61"/>
  <c r="A223" i="61"/>
  <c r="A222" i="61"/>
  <c r="A221" i="61"/>
  <c r="A220" i="61"/>
  <c r="A219" i="61"/>
  <c r="A218" i="61"/>
  <c r="A217" i="61"/>
  <c r="A216" i="61"/>
  <c r="A215" i="61"/>
  <c r="A214" i="61"/>
  <c r="A213" i="61"/>
  <c r="A212" i="61"/>
  <c r="A211" i="61"/>
  <c r="A210" i="61"/>
  <c r="A209" i="61"/>
  <c r="A208" i="61"/>
  <c r="A207" i="61"/>
  <c r="A206" i="61"/>
  <c r="A205" i="61"/>
  <c r="A204" i="61"/>
  <c r="A203" i="61"/>
  <c r="A202" i="61"/>
  <c r="A201" i="61"/>
  <c r="A200" i="61"/>
  <c r="A199" i="61"/>
  <c r="A198" i="61"/>
  <c r="A197" i="61"/>
  <c r="A196" i="61"/>
  <c r="A195" i="61"/>
  <c r="A194" i="61"/>
  <c r="A193" i="61"/>
  <c r="A192" i="61"/>
  <c r="A191" i="61"/>
  <c r="A190" i="61"/>
  <c r="A189" i="61"/>
  <c r="A188" i="61"/>
  <c r="A187" i="61"/>
  <c r="A186" i="61"/>
  <c r="A185" i="61"/>
  <c r="A184" i="61"/>
  <c r="A183" i="61"/>
  <c r="A182" i="61"/>
  <c r="A181" i="61"/>
  <c r="A180" i="61"/>
  <c r="A179" i="61"/>
  <c r="A178" i="61"/>
  <c r="A177" i="61"/>
  <c r="A176" i="61"/>
  <c r="A175" i="61"/>
  <c r="A174" i="61"/>
  <c r="A173" i="61"/>
  <c r="A172" i="61"/>
  <c r="A171" i="61"/>
  <c r="A170" i="61"/>
  <c r="A169" i="61"/>
  <c r="A168" i="61"/>
  <c r="A167" i="61"/>
  <c r="A166" i="61"/>
  <c r="A165" i="61"/>
  <c r="A164" i="61"/>
  <c r="A163" i="61"/>
  <c r="A162" i="61"/>
  <c r="A161" i="61"/>
  <c r="A160" i="61"/>
  <c r="A159" i="61"/>
  <c r="A158" i="61"/>
  <c r="A157" i="61"/>
  <c r="A156" i="61"/>
  <c r="A155" i="61"/>
  <c r="A154" i="61"/>
  <c r="A153" i="61"/>
  <c r="A152" i="61"/>
  <c r="A151" i="61"/>
  <c r="A150" i="61"/>
  <c r="A149" i="61"/>
  <c r="A148" i="61"/>
  <c r="A147" i="61"/>
  <c r="A146" i="61"/>
  <c r="A145" i="61"/>
  <c r="A144" i="61"/>
  <c r="A143" i="61"/>
  <c r="A142" i="61"/>
  <c r="A141" i="61"/>
  <c r="A140" i="61"/>
  <c r="A139" i="61"/>
  <c r="A138" i="61"/>
  <c r="A137" i="61"/>
  <c r="A136" i="61"/>
  <c r="A135" i="61"/>
  <c r="A134" i="61"/>
  <c r="A133" i="61"/>
  <c r="A132" i="61"/>
  <c r="A131" i="61"/>
  <c r="A130" i="61"/>
  <c r="A129" i="61"/>
  <c r="A128" i="61"/>
  <c r="A127" i="61"/>
  <c r="A126" i="61"/>
  <c r="A125" i="61"/>
  <c r="A124" i="61"/>
  <c r="A123" i="61"/>
  <c r="A122" i="61"/>
  <c r="A121" i="61"/>
  <c r="A120" i="61"/>
  <c r="A119" i="61"/>
  <c r="A118" i="61"/>
  <c r="A117" i="61"/>
  <c r="A116" i="61"/>
  <c r="A115" i="61"/>
  <c r="A114" i="61"/>
  <c r="A113" i="61"/>
  <c r="A112" i="61"/>
  <c r="A111" i="61"/>
  <c r="A110" i="61"/>
  <c r="A109" i="61"/>
  <c r="A108" i="61"/>
  <c r="A107" i="61"/>
  <c r="A106" i="61"/>
  <c r="A105" i="61"/>
  <c r="A104" i="61"/>
  <c r="A103" i="61"/>
  <c r="A102" i="61"/>
  <c r="A101" i="61"/>
  <c r="A100" i="61"/>
  <c r="A99" i="61"/>
  <c r="A98" i="61"/>
  <c r="A97" i="61"/>
  <c r="A96" i="61"/>
  <c r="A95" i="61"/>
  <c r="A94" i="61"/>
  <c r="A93" i="61"/>
  <c r="A92" i="61"/>
  <c r="A91" i="61"/>
  <c r="A90" i="61"/>
  <c r="A89" i="61"/>
  <c r="A88" i="61"/>
  <c r="A87" i="61"/>
  <c r="A86" i="61"/>
  <c r="A85" i="61"/>
  <c r="A84" i="61"/>
  <c r="A83" i="61"/>
  <c r="A82" i="61"/>
  <c r="A81" i="61"/>
  <c r="A80" i="61"/>
  <c r="A79" i="61"/>
  <c r="A78" i="61"/>
  <c r="A77" i="61"/>
  <c r="A76" i="61"/>
  <c r="A75" i="61"/>
  <c r="A74" i="61"/>
  <c r="A73" i="61"/>
  <c r="A72" i="61"/>
  <c r="A71" i="61"/>
  <c r="A70" i="61"/>
  <c r="A69" i="61"/>
  <c r="A68" i="61"/>
  <c r="A67" i="61"/>
  <c r="A66" i="61"/>
  <c r="A65" i="61"/>
  <c r="A64" i="61"/>
  <c r="A63" i="61"/>
  <c r="A62" i="61"/>
  <c r="A61" i="61"/>
  <c r="A60" i="61"/>
  <c r="A59" i="61"/>
  <c r="A58" i="61"/>
  <c r="A57" i="61"/>
  <c r="A56" i="61"/>
  <c r="A55" i="61"/>
  <c r="A54" i="61"/>
  <c r="A53" i="61"/>
  <c r="A52" i="61"/>
  <c r="A51" i="61"/>
  <c r="A50" i="61"/>
  <c r="A49" i="61"/>
  <c r="A48" i="61"/>
  <c r="A47" i="61"/>
  <c r="A46" i="61"/>
  <c r="A44" i="61"/>
  <c r="A43" i="61"/>
  <c r="A42" i="61"/>
  <c r="A41" i="61"/>
  <c r="A40" i="61"/>
  <c r="A39" i="61"/>
  <c r="A38" i="61"/>
  <c r="A37" i="61"/>
  <c r="A36" i="61"/>
  <c r="A35" i="61"/>
  <c r="A34" i="61"/>
  <c r="A33" i="61"/>
  <c r="A32" i="61"/>
  <c r="A31" i="61"/>
  <c r="A30" i="61"/>
  <c r="A29" i="61"/>
  <c r="A28" i="61"/>
  <c r="A27" i="61"/>
  <c r="A26" i="61"/>
  <c r="A25" i="61"/>
  <c r="A24" i="61"/>
  <c r="A23" i="61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14" i="85"/>
  <c r="A60" i="83"/>
  <c r="A61" i="83"/>
  <c r="A10" i="83" l="1"/>
  <c r="A11" i="83"/>
  <c r="A12" i="83"/>
  <c r="A13" i="83"/>
  <c r="A44" i="85" l="1"/>
  <c r="A43" i="85"/>
  <c r="A9" i="83" l="1"/>
  <c r="A17" i="58" l="1"/>
  <c r="A50" i="89"/>
  <c r="A49" i="89"/>
  <c r="A48" i="89"/>
  <c r="A47" i="89"/>
  <c r="A46" i="89"/>
  <c r="A45" i="89"/>
  <c r="A44" i="89"/>
  <c r="A43" i="89"/>
  <c r="A42" i="89"/>
  <c r="A41" i="89"/>
  <c r="A40" i="89"/>
  <c r="A39" i="89"/>
  <c r="A38" i="89"/>
  <c r="A37" i="89"/>
  <c r="A36" i="89"/>
  <c r="A35" i="89"/>
  <c r="A34" i="89"/>
  <c r="A33" i="89"/>
  <c r="A32" i="89"/>
  <c r="A31" i="89"/>
  <c r="A30" i="89"/>
  <c r="A29" i="89"/>
  <c r="A28" i="89"/>
  <c r="A27" i="89"/>
  <c r="A26" i="89"/>
  <c r="A25" i="89"/>
  <c r="A24" i="89"/>
  <c r="A23" i="89"/>
  <c r="A22" i="89"/>
  <c r="A8" i="89"/>
  <c r="A13" i="85"/>
  <c r="A38" i="85"/>
  <c r="A34" i="83"/>
  <c r="A32" i="83"/>
  <c r="A14" i="84"/>
  <c r="A13" i="84"/>
  <c r="A12" i="84"/>
  <c r="A23" i="83"/>
  <c r="A11" i="84"/>
  <c r="A15" i="84"/>
  <c r="A16" i="84"/>
  <c r="A17" i="84"/>
  <c r="A18" i="84"/>
  <c r="A19" i="84"/>
  <c r="A20" i="84"/>
  <c r="A14" i="58" l="1"/>
  <c r="A15" i="58"/>
  <c r="A16" i="5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16" i="88"/>
  <c r="A15" i="88"/>
  <c r="A14" i="88"/>
  <c r="A13" i="88"/>
  <c r="A12" i="88"/>
  <c r="A11" i="88"/>
  <c r="A9" i="88"/>
  <c r="A8" i="88"/>
  <c r="Y4" i="88"/>
  <c r="Y2" i="88"/>
  <c r="R2" i="88"/>
  <c r="A58" i="83"/>
  <c r="A33" i="83"/>
  <c r="A15" i="83"/>
  <c r="A13" i="79"/>
  <c r="A14" i="83"/>
  <c r="A20" i="83"/>
  <c r="A24" i="83"/>
  <c r="A15" i="82" l="1"/>
  <c r="A17" i="82"/>
  <c r="A87" i="85"/>
  <c r="A86" i="85"/>
  <c r="A85" i="85"/>
  <c r="A84" i="85"/>
  <c r="A83" i="85"/>
  <c r="A82" i="85"/>
  <c r="A81" i="85"/>
  <c r="A80" i="85"/>
  <c r="A79" i="85"/>
  <c r="A78" i="85"/>
  <c r="A77" i="85"/>
  <c r="A76" i="85"/>
  <c r="A75" i="85"/>
  <c r="A74" i="85"/>
  <c r="A73" i="85"/>
  <c r="A72" i="85"/>
  <c r="A71" i="85"/>
  <c r="A70" i="85"/>
  <c r="A69" i="85"/>
  <c r="A68" i="85"/>
  <c r="A67" i="85"/>
  <c r="A66" i="85"/>
  <c r="A65" i="85"/>
  <c r="A64" i="85"/>
  <c r="A63" i="85"/>
  <c r="A62" i="85"/>
  <c r="A61" i="85"/>
  <c r="A60" i="85"/>
  <c r="A59" i="85"/>
  <c r="A58" i="85"/>
  <c r="A57" i="85"/>
  <c r="A56" i="85"/>
  <c r="A55" i="85"/>
  <c r="A54" i="85"/>
  <c r="A53" i="85"/>
  <c r="A52" i="85"/>
  <c r="A51" i="85"/>
  <c r="A48" i="85"/>
  <c r="A47" i="85"/>
  <c r="A46" i="85"/>
  <c r="A45" i="85"/>
  <c r="A42" i="85"/>
  <c r="A41" i="85"/>
  <c r="A40" i="85"/>
  <c r="A39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3" i="85"/>
  <c r="A22" i="85"/>
  <c r="A21" i="85"/>
  <c r="A20" i="85"/>
  <c r="A19" i="85"/>
  <c r="A18" i="85"/>
  <c r="A16" i="85"/>
  <c r="A15" i="85"/>
  <c r="A12" i="85"/>
  <c r="A11" i="85"/>
  <c r="A10" i="85"/>
  <c r="A9" i="85"/>
  <c r="A8" i="85"/>
  <c r="A55" i="84"/>
  <c r="A54" i="84"/>
  <c r="A53" i="84"/>
  <c r="A52" i="84"/>
  <c r="A51" i="84"/>
  <c r="A50" i="84"/>
  <c r="A49" i="84"/>
  <c r="A48" i="84"/>
  <c r="A47" i="84"/>
  <c r="A46" i="84"/>
  <c r="A45" i="84"/>
  <c r="A44" i="84"/>
  <c r="A43" i="84"/>
  <c r="A42" i="84"/>
  <c r="A41" i="84"/>
  <c r="A40" i="84"/>
  <c r="A39" i="84"/>
  <c r="A38" i="84"/>
  <c r="A37" i="84"/>
  <c r="A36" i="84"/>
  <c r="A35" i="84"/>
  <c r="A34" i="84"/>
  <c r="A33" i="84"/>
  <c r="A32" i="84"/>
  <c r="A31" i="84"/>
  <c r="A30" i="84"/>
  <c r="A29" i="84"/>
  <c r="A28" i="84"/>
  <c r="A27" i="84"/>
  <c r="A26" i="84"/>
  <c r="A25" i="84"/>
  <c r="A24" i="84"/>
  <c r="A22" i="84"/>
  <c r="A21" i="84"/>
  <c r="A10" i="84"/>
  <c r="A9" i="84"/>
  <c r="A8" i="84"/>
  <c r="A8" i="78"/>
  <c r="A67" i="83"/>
  <c r="A66" i="83"/>
  <c r="A65" i="83"/>
  <c r="A64" i="83"/>
  <c r="A63" i="83"/>
  <c r="A59" i="83"/>
  <c r="A54" i="83"/>
  <c r="A53" i="83"/>
  <c r="A52" i="83"/>
  <c r="A51" i="83"/>
  <c r="A50" i="83"/>
  <c r="A49" i="83"/>
  <c r="A47" i="83"/>
  <c r="A46" i="83"/>
  <c r="A45" i="83"/>
  <c r="A43" i="83"/>
  <c r="A42" i="83"/>
  <c r="A41" i="83"/>
  <c r="A40" i="83"/>
  <c r="A39" i="83"/>
  <c r="A38" i="83"/>
  <c r="A37" i="83"/>
  <c r="A36" i="83"/>
  <c r="A35" i="83"/>
  <c r="A31" i="83"/>
  <c r="A30" i="83"/>
  <c r="A29" i="83"/>
  <c r="A28" i="83"/>
  <c r="A27" i="83"/>
  <c r="A26" i="83"/>
  <c r="A25" i="83"/>
  <c r="A19" i="83"/>
  <c r="A17" i="83"/>
  <c r="A16" i="83"/>
  <c r="A8" i="83"/>
  <c r="A20" i="82"/>
  <c r="A21" i="82"/>
  <c r="A22" i="82"/>
  <c r="A23" i="82"/>
  <c r="A24" i="82"/>
  <c r="A25" i="82"/>
  <c r="A26" i="82"/>
  <c r="A27" i="82"/>
  <c r="A28" i="82"/>
  <c r="Y2" i="83" l="1"/>
  <c r="R2" i="83"/>
  <c r="Y4" i="83"/>
  <c r="Y4" i="82"/>
  <c r="Y2" i="82"/>
  <c r="R2" i="82"/>
  <c r="A87" i="83"/>
  <c r="A86" i="83"/>
  <c r="A85" i="83"/>
  <c r="A84" i="83"/>
  <c r="A83" i="83"/>
  <c r="A82" i="83"/>
  <c r="A81" i="83"/>
  <c r="A80" i="83"/>
  <c r="A79" i="83"/>
  <c r="A78" i="83"/>
  <c r="A77" i="83"/>
  <c r="A76" i="83"/>
  <c r="A75" i="83"/>
  <c r="A74" i="83"/>
  <c r="A73" i="83"/>
  <c r="A72" i="83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19" i="82"/>
  <c r="A16" i="82"/>
  <c r="A9" i="82"/>
  <c r="A8" i="82"/>
  <c r="A35" i="58"/>
  <c r="A32" i="58"/>
  <c r="A29" i="58"/>
  <c r="A15" i="79" l="1"/>
  <c r="A14" i="79"/>
  <c r="A27" i="58" l="1"/>
  <c r="A25" i="58" l="1"/>
  <c r="A44" i="58" l="1"/>
  <c r="A23" i="58" l="1"/>
  <c r="A37" i="58" l="1"/>
  <c r="A36" i="58"/>
  <c r="A54" i="79" l="1"/>
  <c r="A53" i="79"/>
  <c r="A52" i="79"/>
  <c r="A51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1" i="79"/>
  <c r="A10" i="79"/>
  <c r="A9" i="79"/>
  <c r="A8" i="79"/>
  <c r="Y4" i="79"/>
  <c r="Y2" i="79"/>
  <c r="R2" i="79"/>
  <c r="Y4" i="78"/>
  <c r="Y2" i="78"/>
  <c r="R2" i="78"/>
  <c r="A56" i="77"/>
  <c r="A55" i="77"/>
  <c r="A54" i="77"/>
  <c r="A53" i="77"/>
  <c r="A52" i="77"/>
  <c r="A51" i="77"/>
  <c r="A50" i="77"/>
  <c r="A49" i="77"/>
  <c r="A48" i="77"/>
  <c r="A47" i="77"/>
  <c r="A46" i="77"/>
  <c r="A45" i="77"/>
  <c r="A44" i="77"/>
  <c r="A43" i="77"/>
  <c r="A42" i="77"/>
  <c r="A41" i="77"/>
  <c r="A40" i="77"/>
  <c r="A39" i="77"/>
  <c r="A38" i="77"/>
  <c r="A37" i="77"/>
  <c r="A36" i="77"/>
  <c r="A35" i="77"/>
  <c r="A34" i="77"/>
  <c r="A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1" i="77"/>
  <c r="A9" i="77"/>
  <c r="A8" i="77"/>
  <c r="Y4" i="77"/>
  <c r="Y2" i="77"/>
  <c r="R2" i="77"/>
  <c r="A38" i="58" l="1"/>
  <c r="A34" i="58" l="1"/>
  <c r="A33" i="58"/>
  <c r="A240" i="60" l="1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9" i="58"/>
  <c r="A31" i="58"/>
  <c r="A30" i="58"/>
  <c r="A28" i="58"/>
  <c r="A26" i="58"/>
  <c r="A24" i="58"/>
  <c r="A22" i="58"/>
  <c r="A21" i="58"/>
  <c r="A20" i="58"/>
  <c r="A13" i="58"/>
  <c r="A12" i="58"/>
  <c r="A11" i="58"/>
  <c r="A10" i="58"/>
  <c r="A9" i="58"/>
  <c r="A8" i="58"/>
  <c r="A1" i="61" l="1"/>
  <c r="A1" i="60"/>
  <c r="A12" i="78" l="1"/>
  <c r="A21" i="89"/>
  <c r="A14" i="89"/>
  <c r="A15" i="89"/>
  <c r="A16" i="89"/>
  <c r="A17" i="89"/>
  <c r="A18" i="89"/>
  <c r="A10" i="89"/>
  <c r="A19" i="89"/>
  <c r="A11" i="89"/>
  <c r="A13" i="89"/>
  <c r="A12" i="89"/>
  <c r="A20" i="8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EAD538B6-4905-4548-B12B-D1C412156775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239B0AE5-5BDB-4400-AE3E-C17D55A0295F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D9907C56-AF33-4015-B3B8-BAAD1CF629AF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1DA24E58-A7AB-4D88-9E1E-E3D7EBE91C31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E25DA646-28B7-46DF-9F29-218878CF14B5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C10A5763-2B99-4023-BAAF-194CB1D75B09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91235B21-865B-43FF-A5AE-708B5DA96657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1E72D8DD-9922-4AFC-9344-1AD04F012ADE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33C0D05C-6D67-4BF9-B583-A83BFFE45862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68B4C580-AF32-4BC7-931F-4CCAA99457B7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22302BC2-05B7-4164-AE53-B436B1221018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DA58CDE0-775C-4223-8C2F-66B9DB7B4F14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10587433-6A86-4CFE-9F7A-E73E37BF5D8A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14E79325-B9A3-4CCE-9AB5-056F6214BFB2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B427531B-2421-457D-8321-B892A92EDFBE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1B6991C1-F07A-4FAB-A746-F537B1CB0FBE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800BFC-00AD-476E-87D0-A58BC6B74D2F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C5BBE409-0AF2-47AC-A7FA-18CE09C1622D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<sst xmlns="http://schemas.openxmlformats.org/spreadsheetml/2006/main" count="5718" uniqueCount="2053">
  <si>
    <t>テーブル名／テーブルID</t>
    <rPh sb="4" eb="5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</si>
  <si>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</si>
  <si>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</si>
  <si>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</si>
  <si>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</si>
  <si>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</si>
  <si>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</si>
  <si>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</si>
  <si>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</si>
  <si>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</si>
  <si>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</si>
  <si>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</si>
  <si>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</si>
  <si>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</si>
  <si>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</si>
  <si>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1.0(初版)</t>
    <phoneticPr fontId="5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</si>
  <si>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</si>
  <si>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</si>
  <si>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</si>
  <si>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</si>
  <si>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</si>
  <si>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</si>
  <si>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</si>
  <si>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</si>
  <si>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</si>
  <si>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</si>
  <si>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</si>
  <si>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</si>
  <si>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</si>
  <si>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</si>
  <si>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</si>
  <si>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</si>
  <si>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</si>
  <si>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</si>
  <si>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</si>
  <si>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</si>
  <si>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</si>
  <si>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</si>
  <si>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</si>
  <si>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</si>
  <si>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</si>
  <si>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</si>
  <si>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</si>
  <si>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</si>
  <si>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</si>
  <si>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</si>
  <si>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</si>
  <si>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</si>
  <si>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</si>
  <si>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</si>
  <si>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</si>
  <si>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</si>
  <si>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</si>
  <si>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</si>
  <si>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</si>
  <si>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</si>
  <si>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5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</si>
  <si>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</si>
  <si>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</si>
  <si>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</si>
  <si>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</si>
  <si>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</si>
  <si>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</si>
  <si>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</si>
  <si>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</si>
  <si>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</si>
  <si>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</si>
  <si>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</si>
  <si>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</si>
  <si>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</si>
  <si>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</si>
  <si>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</si>
  <si>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</si>
  <si>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</si>
  <si>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</si>
  <si>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</si>
  <si>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</si>
  <si>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</si>
  <si>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</si>
  <si>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</si>
  <si>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</si>
  <si>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</si>
  <si>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</si>
  <si>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</si>
  <si>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</si>
  <si>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5"/>
  </si>
  <si>
    <t>MsgBox ("完了")</t>
  </si>
  <si>
    <t>日付</t>
  </si>
  <si>
    <t>№</t>
    <phoneticPr fontId="5"/>
  </si>
  <si>
    <t>テーブル</t>
    <phoneticPr fontId="5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</si>
  <si>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</si>
  <si>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</si>
  <si>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</si>
  <si>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</si>
  <si>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</si>
  <si>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</si>
  <si>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</si>
  <si>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新基幹システム</t>
    <phoneticPr fontId="5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</si>
  <si>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</si>
  <si>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</si>
  <si>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テーブル項目定義</t>
    <rPh sb="6" eb="8">
      <t>テイギ</t>
    </rPh>
    <phoneticPr fontId="6"/>
  </si>
  <si>
    <t>№</t>
    <phoneticPr fontId="6"/>
  </si>
  <si>
    <t>テーブル概要</t>
    <rPh sb="4" eb="6">
      <t>ガイヨウ</t>
    </rPh>
    <phoneticPr fontId="5"/>
  </si>
  <si>
    <t>テーブル分類名</t>
    <rPh sb="4" eb="6">
      <t>ブンルイ</t>
    </rPh>
    <rPh sb="6" eb="7">
      <t>メイ</t>
    </rPh>
    <phoneticPr fontId="6"/>
  </si>
  <si>
    <t>トランザクション</t>
    <phoneticPr fontId="5"/>
  </si>
  <si>
    <t>テーブル名</t>
    <rPh sb="4" eb="5">
      <t>メイ</t>
    </rPh>
    <phoneticPr fontId="6"/>
  </si>
  <si>
    <t>テーブルID</t>
    <phoneticPr fontId="6"/>
  </si>
  <si>
    <t>varchar</t>
  </si>
  <si>
    <t>数値</t>
  </si>
  <si>
    <t>datetime</t>
  </si>
  <si>
    <t>numeric</t>
  </si>
  <si>
    <t>備考</t>
    <rPh sb="0" eb="2">
      <t>ビコウ</t>
    </rPh>
    <phoneticPr fontId="5"/>
  </si>
  <si>
    <t>数量</t>
    <rPh sb="0" eb="2">
      <t>スウリョウ</t>
    </rPh>
    <phoneticPr fontId="5"/>
  </si>
  <si>
    <t>文字</t>
  </si>
  <si>
    <t>登録者コード</t>
  </si>
  <si>
    <t>登録日</t>
  </si>
  <si>
    <t>更新者コード</t>
  </si>
  <si>
    <t>更新日</t>
  </si>
  <si>
    <t>登録機能ID</t>
    <rPh sb="0" eb="2">
      <t>トウロク</t>
    </rPh>
    <rPh sb="2" eb="4">
      <t>キノウ</t>
    </rPh>
    <phoneticPr fontId="5"/>
  </si>
  <si>
    <t>更新機能ID</t>
    <rPh sb="0" eb="2">
      <t>コウシン</t>
    </rPh>
    <rPh sb="2" eb="4">
      <t>キノウ</t>
    </rPh>
    <phoneticPr fontId="5"/>
  </si>
  <si>
    <t>1</t>
    <phoneticPr fontId="5"/>
  </si>
  <si>
    <t>項目コメント</t>
    <rPh sb="0" eb="2">
      <t>コウモク</t>
    </rPh>
    <phoneticPr fontId="5"/>
  </si>
  <si>
    <t>業務分類</t>
    <rPh sb="0" eb="2">
      <t>ギョウム</t>
    </rPh>
    <rPh sb="2" eb="4">
      <t>ブンルイ</t>
    </rPh>
    <phoneticPr fontId="5"/>
  </si>
  <si>
    <t>*</t>
  </si>
  <si>
    <t>E.資材</t>
  </si>
  <si>
    <t>請求部署コード</t>
    <rPh sb="0" eb="4">
      <t>セイキュウブショ</t>
    </rPh>
    <phoneticPr fontId="5"/>
  </si>
  <si>
    <t>請求担当</t>
    <rPh sb="0" eb="4">
      <t>セイキュウタントウ</t>
    </rPh>
    <phoneticPr fontId="5"/>
  </si>
  <si>
    <t>請求日</t>
    <rPh sb="0" eb="3">
      <t>セイキュウビ</t>
    </rPh>
    <phoneticPr fontId="5"/>
  </si>
  <si>
    <t>承認者へのコメント</t>
    <phoneticPr fontId="5"/>
  </si>
  <si>
    <t>明細SEQ</t>
  </si>
  <si>
    <t>承認状況</t>
    <rPh sb="0" eb="2">
      <t>ショウニン</t>
    </rPh>
    <rPh sb="2" eb="4">
      <t>ジョウキョウ</t>
    </rPh>
    <phoneticPr fontId="18"/>
  </si>
  <si>
    <t>納入先コード</t>
    <rPh sb="0" eb="3">
      <t>ノウニュウサキ</t>
    </rPh>
    <phoneticPr fontId="5"/>
  </si>
  <si>
    <t>納入先名</t>
    <rPh sb="0" eb="3">
      <t>ノウニュウサキ</t>
    </rPh>
    <rPh sb="3" eb="4">
      <t>メイ</t>
    </rPh>
    <phoneticPr fontId="5"/>
  </si>
  <si>
    <t>希望納期</t>
    <rPh sb="0" eb="2">
      <t>キボウ</t>
    </rPh>
    <rPh sb="2" eb="4">
      <t>ノウキ</t>
    </rPh>
    <phoneticPr fontId="5"/>
  </si>
  <si>
    <t>分類</t>
    <rPh sb="0" eb="2">
      <t>ブンルイ</t>
    </rPh>
    <phoneticPr fontId="5"/>
  </si>
  <si>
    <t>寸法</t>
    <rPh sb="0" eb="2">
      <t>スンポウ</t>
    </rPh>
    <phoneticPr fontId="5"/>
  </si>
  <si>
    <t>仕様</t>
    <rPh sb="0" eb="2">
      <t>シヨウ</t>
    </rPh>
    <phoneticPr fontId="5"/>
  </si>
  <si>
    <t>連絡事項</t>
    <rPh sb="0" eb="4">
      <t>レンラクジコウ</t>
    </rPh>
    <phoneticPr fontId="5"/>
  </si>
  <si>
    <t>承認順</t>
    <rPh sb="0" eb="3">
      <t>ショウニンジュン</t>
    </rPh>
    <phoneticPr fontId="5"/>
  </si>
  <si>
    <t>SEQ</t>
    <phoneticPr fontId="5"/>
  </si>
  <si>
    <t>ファイル名</t>
    <rPh sb="4" eb="5">
      <t>メイ</t>
    </rPh>
    <phoneticPr fontId="5"/>
  </si>
  <si>
    <t>削除フラグ</t>
  </si>
  <si>
    <t>主幹部署コード</t>
    <phoneticPr fontId="5"/>
  </si>
  <si>
    <t>主幹工程コード</t>
    <rPh sb="0" eb="2">
      <t>シュカン</t>
    </rPh>
    <rPh sb="2" eb="4">
      <t>コウテイ</t>
    </rPh>
    <phoneticPr fontId="5"/>
  </si>
  <si>
    <t>主幹部署コード</t>
    <rPh sb="0" eb="2">
      <t>シュカン</t>
    </rPh>
    <rPh sb="2" eb="4">
      <t>ブショ</t>
    </rPh>
    <phoneticPr fontId="5"/>
  </si>
  <si>
    <t>資材請求№</t>
    <phoneticPr fontId="9"/>
  </si>
  <si>
    <t>資材請求明細№</t>
    <rPh sb="4" eb="6">
      <t>メイサイ</t>
    </rPh>
    <phoneticPr fontId="5"/>
  </si>
  <si>
    <t>申請理由</t>
    <rPh sb="0" eb="4">
      <t>シンセイリユウ</t>
    </rPh>
    <phoneticPr fontId="5"/>
  </si>
  <si>
    <t>資材請求№</t>
    <rPh sb="0" eb="4">
      <t>シザイセイキュウ</t>
    </rPh>
    <phoneticPr fontId="9"/>
  </si>
  <si>
    <t>資材請求情報（ヘッダ）</t>
    <phoneticPr fontId="5"/>
  </si>
  <si>
    <t>資材請求添付ファイル情報</t>
    <rPh sb="4" eb="6">
      <t>テンプ</t>
    </rPh>
    <rPh sb="10" eb="12">
      <t>ジョウホウ</t>
    </rPh>
    <phoneticPr fontId="5"/>
  </si>
  <si>
    <t>トスコ</t>
    <phoneticPr fontId="5"/>
  </si>
  <si>
    <t>トスコ</t>
    <phoneticPr fontId="5"/>
  </si>
  <si>
    <t>E.資材</t>
    <phoneticPr fontId="5"/>
  </si>
  <si>
    <t>資材在庫情報</t>
    <phoneticPr fontId="5"/>
  </si>
  <si>
    <t>資材在庫実績情報</t>
    <phoneticPr fontId="5"/>
  </si>
  <si>
    <t>品種コード</t>
  </si>
  <si>
    <t>発注情報（ヘッダ）</t>
    <phoneticPr fontId="5"/>
  </si>
  <si>
    <t>発注明細情報</t>
    <phoneticPr fontId="5"/>
  </si>
  <si>
    <t>発注№</t>
    <rPh sb="0" eb="2">
      <t>ハッチュウ</t>
    </rPh>
    <phoneticPr fontId="9"/>
  </si>
  <si>
    <t>業者/注文先コード</t>
    <rPh sb="0" eb="2">
      <t>ギョウシャ</t>
    </rPh>
    <rPh sb="3" eb="5">
      <t>チュウモン</t>
    </rPh>
    <rPh sb="5" eb="6">
      <t>サキ</t>
    </rPh>
    <phoneticPr fontId="5"/>
  </si>
  <si>
    <t>業者/注文先</t>
    <rPh sb="0" eb="2">
      <t>ギョウシャ</t>
    </rPh>
    <rPh sb="3" eb="5">
      <t>チュウモン</t>
    </rPh>
    <rPh sb="5" eb="6">
      <t>サキ</t>
    </rPh>
    <phoneticPr fontId="5"/>
  </si>
  <si>
    <t>発注日</t>
    <rPh sb="0" eb="2">
      <t>ハッチュウ</t>
    </rPh>
    <rPh sb="2" eb="3">
      <t>ビ</t>
    </rPh>
    <phoneticPr fontId="9"/>
  </si>
  <si>
    <t>発注状況</t>
    <rPh sb="0" eb="4">
      <t>ハッチュウジョウキョウ</t>
    </rPh>
    <phoneticPr fontId="5"/>
  </si>
  <si>
    <t>個数</t>
    <rPh sb="0" eb="2">
      <t>コスウ</t>
    </rPh>
    <phoneticPr fontId="5"/>
  </si>
  <si>
    <t>容器</t>
    <rPh sb="0" eb="2">
      <t>ヨウキ</t>
    </rPh>
    <phoneticPr fontId="5"/>
  </si>
  <si>
    <t>容量(kg)</t>
    <rPh sb="0" eb="2">
      <t>ヨウリョウ</t>
    </rPh>
    <phoneticPr fontId="5"/>
  </si>
  <si>
    <t>数量単位コード</t>
    <rPh sb="0" eb="2">
      <t>スウリョウ</t>
    </rPh>
    <rPh sb="2" eb="4">
      <t>タンイ</t>
    </rPh>
    <phoneticPr fontId="5"/>
  </si>
  <si>
    <t>単価</t>
    <rPh sb="0" eb="2">
      <t>タンカ</t>
    </rPh>
    <phoneticPr fontId="5"/>
  </si>
  <si>
    <t>丁取グループ</t>
    <rPh sb="0" eb="2">
      <t>チョウトリ</t>
    </rPh>
    <phoneticPr fontId="5"/>
  </si>
  <si>
    <t>坪量</t>
    <rPh sb="0" eb="1">
      <t>ツボ</t>
    </rPh>
    <rPh sb="1" eb="2">
      <t>リョウ</t>
    </rPh>
    <phoneticPr fontId="9"/>
  </si>
  <si>
    <t>幅</t>
    <rPh sb="0" eb="1">
      <t>ハバ</t>
    </rPh>
    <phoneticPr fontId="9"/>
  </si>
  <si>
    <t>長さ</t>
    <rPh sb="0" eb="1">
      <t>ナガ</t>
    </rPh>
    <phoneticPr fontId="9"/>
  </si>
  <si>
    <t>連量</t>
    <rPh sb="0" eb="2">
      <t>レンリョウ</t>
    </rPh>
    <phoneticPr fontId="9"/>
  </si>
  <si>
    <t>入数</t>
    <rPh sb="0" eb="2">
      <t>イリスウ</t>
    </rPh>
    <phoneticPr fontId="5"/>
  </si>
  <si>
    <t>注文変更フラグ</t>
    <rPh sb="0" eb="4">
      <t>チュウモンヘンコウ</t>
    </rPh>
    <phoneticPr fontId="5"/>
  </si>
  <si>
    <t>変更前希望納期</t>
    <rPh sb="0" eb="2">
      <t>ヘンコウ</t>
    </rPh>
    <rPh sb="2" eb="3">
      <t>マエ</t>
    </rPh>
    <rPh sb="3" eb="5">
      <t>キボウ</t>
    </rPh>
    <rPh sb="5" eb="7">
      <t>ノウキ</t>
    </rPh>
    <phoneticPr fontId="5"/>
  </si>
  <si>
    <t>注文書出力日</t>
    <rPh sb="0" eb="3">
      <t>チュウモンショ</t>
    </rPh>
    <rPh sb="3" eb="5">
      <t>シュツリョク</t>
    </rPh>
    <rPh sb="5" eb="6">
      <t>ビ</t>
    </rPh>
    <phoneticPr fontId="5"/>
  </si>
  <si>
    <t>請求工程コード</t>
    <rPh sb="0" eb="2">
      <t>セイキュウ</t>
    </rPh>
    <rPh sb="2" eb="4">
      <t>コウテイ</t>
    </rPh>
    <phoneticPr fontId="5"/>
  </si>
  <si>
    <t>資材請求明細SEQ</t>
    <phoneticPr fontId="5"/>
  </si>
  <si>
    <t>発注主幹部署コード</t>
    <rPh sb="0" eb="2">
      <t>ハッチュウ</t>
    </rPh>
    <phoneticPr fontId="5"/>
  </si>
  <si>
    <t>発注主幹工程コード</t>
    <rPh sb="0" eb="2">
      <t>ハッチュウ</t>
    </rPh>
    <rPh sb="2" eb="4">
      <t>シュカン</t>
    </rPh>
    <rPh sb="4" eb="6">
      <t>コウテイ</t>
    </rPh>
    <phoneticPr fontId="5"/>
  </si>
  <si>
    <t>仕入№</t>
    <rPh sb="0" eb="2">
      <t>シイレ</t>
    </rPh>
    <phoneticPr fontId="9"/>
  </si>
  <si>
    <t>業者コード</t>
    <rPh sb="0" eb="2">
      <t>ギョウシャ</t>
    </rPh>
    <phoneticPr fontId="5"/>
  </si>
  <si>
    <t>業者</t>
    <rPh sb="0" eb="2">
      <t>ギョウシャ</t>
    </rPh>
    <phoneticPr fontId="5"/>
  </si>
  <si>
    <t>発注明細SEQ</t>
    <rPh sb="0" eb="2">
      <t>ハッチュウ</t>
    </rPh>
    <phoneticPr fontId="5"/>
  </si>
  <si>
    <t>品名</t>
    <rPh sb="0" eb="2">
      <t>ヒンメイ</t>
    </rPh>
    <phoneticPr fontId="19"/>
  </si>
  <si>
    <t>保管先コード</t>
    <rPh sb="0" eb="2">
      <t>ホカン</t>
    </rPh>
    <phoneticPr fontId="19"/>
  </si>
  <si>
    <t>保管先</t>
  </si>
  <si>
    <t>納入状態コード</t>
    <rPh sb="0" eb="2">
      <t>ノウニュウ</t>
    </rPh>
    <rPh sb="2" eb="4">
      <t>ジョウタイ</t>
    </rPh>
    <phoneticPr fontId="19"/>
  </si>
  <si>
    <t>受入数量</t>
    <rPh sb="0" eb="2">
      <t>ウケイレ</t>
    </rPh>
    <rPh sb="2" eb="4">
      <t>スウリョウ</t>
    </rPh>
    <phoneticPr fontId="19"/>
  </si>
  <si>
    <t>数量単位コード</t>
    <rPh sb="0" eb="2">
      <t>スウリョウ</t>
    </rPh>
    <phoneticPr fontId="19"/>
  </si>
  <si>
    <t>単価</t>
    <rPh sb="0" eb="2">
      <t>タンカ</t>
    </rPh>
    <phoneticPr fontId="19"/>
  </si>
  <si>
    <t>金額</t>
    <rPh sb="0" eb="2">
      <t>キンガク</t>
    </rPh>
    <phoneticPr fontId="19"/>
  </si>
  <si>
    <t>坪量</t>
    <rPh sb="0" eb="2">
      <t>ツボリョウ</t>
    </rPh>
    <phoneticPr fontId="19"/>
  </si>
  <si>
    <t>幅</t>
    <rPh sb="0" eb="1">
      <t>ハバ</t>
    </rPh>
    <phoneticPr fontId="19"/>
  </si>
  <si>
    <t>長さ</t>
    <phoneticPr fontId="5"/>
  </si>
  <si>
    <t>連量</t>
    <phoneticPr fontId="5"/>
  </si>
  <si>
    <t>個数</t>
    <phoneticPr fontId="5"/>
  </si>
  <si>
    <t>個数単位コード</t>
    <rPh sb="0" eb="2">
      <t>コスウ</t>
    </rPh>
    <rPh sb="2" eb="4">
      <t>タンイ</t>
    </rPh>
    <phoneticPr fontId="19"/>
  </si>
  <si>
    <t>２</t>
    <phoneticPr fontId="5"/>
  </si>
  <si>
    <t>レート</t>
  </si>
  <si>
    <t>仕入先ロットNo.</t>
  </si>
  <si>
    <t>請求分類コード</t>
    <phoneticPr fontId="5"/>
  </si>
  <si>
    <t>分類明細コード</t>
    <phoneticPr fontId="5"/>
  </si>
  <si>
    <t>請求部署</t>
  </si>
  <si>
    <t>請求担当</t>
  </si>
  <si>
    <t>備考</t>
    <rPh sb="0" eb="2">
      <t>ビコウ</t>
    </rPh>
    <phoneticPr fontId="19"/>
  </si>
  <si>
    <t>赤・黒伝票</t>
    <rPh sb="0" eb="1">
      <t>アカ</t>
    </rPh>
    <rPh sb="2" eb="3">
      <t>クロ</t>
    </rPh>
    <rPh sb="3" eb="5">
      <t>デンピョウ</t>
    </rPh>
    <phoneticPr fontId="9"/>
  </si>
  <si>
    <t xml:space="preserve">通常:0 赤伝票:1  黒伝票:2 </t>
    <rPh sb="5" eb="6">
      <t>アカ</t>
    </rPh>
    <rPh sb="6" eb="8">
      <t>デンピョウ</t>
    </rPh>
    <rPh sb="12" eb="13">
      <t>クロ</t>
    </rPh>
    <rPh sb="13" eb="15">
      <t>デンピョウ</t>
    </rPh>
    <phoneticPr fontId="5"/>
  </si>
  <si>
    <t>明細SEQ</t>
    <rPh sb="0" eb="2">
      <t>メイサイ</t>
    </rPh>
    <phoneticPr fontId="5"/>
  </si>
  <si>
    <t>原反名</t>
  </si>
  <si>
    <t>原反ロット№</t>
    <rPh sb="0" eb="2">
      <t>ゲンタン</t>
    </rPh>
    <phoneticPr fontId="9"/>
  </si>
  <si>
    <t>仕入情報（ヘッダ）</t>
    <phoneticPr fontId="5"/>
  </si>
  <si>
    <t>仕入明細情報</t>
    <phoneticPr fontId="5"/>
  </si>
  <si>
    <t>資材請求明細情報</t>
    <phoneticPr fontId="5"/>
  </si>
  <si>
    <t>設備フラグ</t>
    <rPh sb="0" eb="2">
      <t>セツビ</t>
    </rPh>
    <phoneticPr fontId="5"/>
  </si>
  <si>
    <t>仕入明細SEQ</t>
    <phoneticPr fontId="5"/>
  </si>
  <si>
    <t>業者/注文先担当者</t>
    <rPh sb="0" eb="2">
      <t>ギョウシャ</t>
    </rPh>
    <rPh sb="3" eb="5">
      <t>チュウモン</t>
    </rPh>
    <rPh sb="5" eb="6">
      <t>サキ</t>
    </rPh>
    <rPh sb="6" eb="9">
      <t>タントウシャ</t>
    </rPh>
    <phoneticPr fontId="5"/>
  </si>
  <si>
    <t>最短納期フラグ</t>
    <rPh sb="0" eb="2">
      <t>サイタン</t>
    </rPh>
    <rPh sb="2" eb="4">
      <t>ノウキ</t>
    </rPh>
    <phoneticPr fontId="5"/>
  </si>
  <si>
    <t>0:対象外  1:対象</t>
    <rPh sb="2" eb="5">
      <t>タイショウガイ</t>
    </rPh>
    <rPh sb="9" eb="11">
      <t>タイショウ</t>
    </rPh>
    <phoneticPr fontId="5"/>
  </si>
  <si>
    <t>最短納期対象の場合は NULL</t>
    <rPh sb="0" eb="4">
      <t>サイタンノウキ</t>
    </rPh>
    <rPh sb="4" eb="6">
      <t>タイショウ</t>
    </rPh>
    <rPh sb="7" eb="9">
      <t>バアイ</t>
    </rPh>
    <phoneticPr fontId="5"/>
  </si>
  <si>
    <t>表示順</t>
    <rPh sb="0" eb="3">
      <t>ヒョウジジュン</t>
    </rPh>
    <phoneticPr fontId="5"/>
  </si>
  <si>
    <t>明細行の表示順</t>
    <rPh sb="0" eb="3">
      <t>メイサイギョウ</t>
    </rPh>
    <rPh sb="4" eb="6">
      <t>ヒョウジ</t>
    </rPh>
    <rPh sb="6" eb="7">
      <t>ジュン</t>
    </rPh>
    <phoneticPr fontId="5"/>
  </si>
  <si>
    <t>ファイル</t>
    <phoneticPr fontId="5"/>
  </si>
  <si>
    <t>最短納期フラグ</t>
    <rPh sb="0" eb="4">
      <t>サイタンノウキ</t>
    </rPh>
    <phoneticPr fontId="5"/>
  </si>
  <si>
    <t>発注全量フラグ</t>
    <rPh sb="0" eb="2">
      <t>ハッチュウ</t>
    </rPh>
    <rPh sb="2" eb="4">
      <t>ゼンリョウ</t>
    </rPh>
    <phoneticPr fontId="5"/>
  </si>
  <si>
    <t>シッピングマーク</t>
    <phoneticPr fontId="5"/>
  </si>
  <si>
    <t>購入原紙特記事項</t>
    <rPh sb="0" eb="4">
      <t>コウニュウゲンシ</t>
    </rPh>
    <rPh sb="4" eb="8">
      <t>トッキジコウ</t>
    </rPh>
    <phoneticPr fontId="5"/>
  </si>
  <si>
    <t>購入原紙用の特記事項</t>
    <rPh sb="0" eb="4">
      <t>コウニュウゲンシ</t>
    </rPh>
    <rPh sb="4" eb="5">
      <t>ヨウ</t>
    </rPh>
    <rPh sb="6" eb="10">
      <t>トッキジコウ</t>
    </rPh>
    <phoneticPr fontId="5"/>
  </si>
  <si>
    <t>支払日</t>
    <rPh sb="0" eb="2">
      <t>シハライ</t>
    </rPh>
    <rPh sb="2" eb="3">
      <t>ビ</t>
    </rPh>
    <phoneticPr fontId="5"/>
  </si>
  <si>
    <t>完了年月</t>
    <rPh sb="0" eb="2">
      <t>カンリョウ</t>
    </rPh>
    <rPh sb="2" eb="4">
      <t>ネンゲツ</t>
    </rPh>
    <phoneticPr fontId="5"/>
  </si>
  <si>
    <t>仕入連携完了対象年月</t>
    <rPh sb="0" eb="2">
      <t>シイレ</t>
    </rPh>
    <rPh sb="2" eb="4">
      <t>レンケイ</t>
    </rPh>
    <rPh sb="4" eb="6">
      <t>カンリョウ</t>
    </rPh>
    <rPh sb="6" eb="8">
      <t>タイショウ</t>
    </rPh>
    <rPh sb="8" eb="10">
      <t>ネンゲツ</t>
    </rPh>
    <phoneticPr fontId="5"/>
  </si>
  <si>
    <t>仕入締め年月</t>
    <rPh sb="0" eb="2">
      <t>シイレ</t>
    </rPh>
    <rPh sb="2" eb="3">
      <t>シ</t>
    </rPh>
    <rPh sb="4" eb="6">
      <t>ネンゲツ</t>
    </rPh>
    <phoneticPr fontId="5"/>
  </si>
  <si>
    <t>0:全量  1:一部</t>
    <rPh sb="2" eb="4">
      <t>ゼンリョウ</t>
    </rPh>
    <rPh sb="8" eb="10">
      <t>イチブ</t>
    </rPh>
    <phoneticPr fontId="5"/>
  </si>
  <si>
    <t>発注残</t>
    <rPh sb="0" eb="2">
      <t>ハッチュウ</t>
    </rPh>
    <rPh sb="2" eb="3">
      <t>ザン</t>
    </rPh>
    <phoneticPr fontId="5"/>
  </si>
  <si>
    <t>受入数ー発注数</t>
    <rPh sb="0" eb="2">
      <t>ウケイレ</t>
    </rPh>
    <rPh sb="2" eb="3">
      <t>スウ</t>
    </rPh>
    <rPh sb="4" eb="7">
      <t>ハッチュウスウ</t>
    </rPh>
    <phoneticPr fontId="5"/>
  </si>
  <si>
    <t>納入日</t>
    <rPh sb="0" eb="3">
      <t>ノウニュウビ</t>
    </rPh>
    <phoneticPr fontId="5"/>
  </si>
  <si>
    <t>調整伝票フラグ</t>
    <rPh sb="0" eb="2">
      <t>チョウセイ</t>
    </rPh>
    <rPh sb="2" eb="4">
      <t>デンピョウ</t>
    </rPh>
    <phoneticPr fontId="5"/>
  </si>
  <si>
    <t>０：通常 １：調整分伝票</t>
    <rPh sb="2" eb="4">
      <t>ツウジョウ</t>
    </rPh>
    <rPh sb="7" eb="9">
      <t>チョウセイ</t>
    </rPh>
    <rPh sb="9" eb="10">
      <t>ブン</t>
    </rPh>
    <rPh sb="10" eb="12">
      <t>デンピョウ</t>
    </rPh>
    <phoneticPr fontId="5"/>
  </si>
  <si>
    <t>購入原紙のみ</t>
    <rPh sb="0" eb="4">
      <t>コウニュウゲンシ</t>
    </rPh>
    <phoneticPr fontId="5"/>
  </si>
  <si>
    <t>単価(外）</t>
    <rPh sb="3" eb="4">
      <t>ソト</t>
    </rPh>
    <phoneticPr fontId="5"/>
  </si>
  <si>
    <t>金額(外)</t>
    <rPh sb="3" eb="4">
      <t>ソト</t>
    </rPh>
    <phoneticPr fontId="5"/>
  </si>
  <si>
    <t>個数アタリ数量</t>
  </si>
  <si>
    <t>個数アタリ重量</t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</si>
  <si>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</si>
  <si>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</si>
  <si>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</si>
  <si>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</si>
  <si>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</si>
  <si>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</si>
  <si>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</si>
  <si>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</si>
  <si>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</si>
  <si>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</si>
  <si>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コート液濃度 (%)</t>
    <phoneticPr fontId="5"/>
  </si>
  <si>
    <t>coating_nodo</t>
  </si>
  <si>
    <t>コート量 (g/㎡)</t>
    <phoneticPr fontId="5"/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</si>
  <si>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</si>
  <si>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</si>
  <si>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</si>
  <si>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</si>
  <si>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</si>
  <si>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</si>
  <si>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</si>
  <si>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</si>
  <si>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</si>
  <si>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</si>
  <si>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</si>
  <si>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</si>
  <si>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</si>
  <si>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</si>
  <si>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</si>
  <si>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</si>
  <si>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</si>
  <si>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</si>
  <si>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</si>
  <si>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</si>
  <si>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</si>
  <si>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</si>
  <si>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</si>
  <si>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</si>
  <si>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</si>
  <si>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</si>
  <si>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</si>
  <si>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</si>
  <si>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</si>
  <si>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</si>
  <si>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</si>
  <si>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</si>
  <si>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</si>
  <si>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</si>
  <si>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</si>
  <si>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</si>
  <si>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</si>
  <si>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</si>
  <si>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</si>
  <si>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</si>
  <si>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8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</si>
  <si>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</si>
  <si>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</si>
  <si>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</si>
  <si>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</si>
  <si>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</si>
  <si>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</si>
  <si>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</si>
  <si>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</si>
  <si>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</si>
  <si>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</si>
  <si>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</si>
  <si>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</si>
  <si>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</si>
  <si>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</si>
  <si>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</si>
  <si>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</si>
  <si>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</si>
  <si>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</si>
  <si>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</si>
  <si>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</si>
  <si>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業者コード</t>
    <phoneticPr fontId="5"/>
  </si>
  <si>
    <t>gyosha_cd</t>
  </si>
  <si>
    <t>業者メイ</t>
    <phoneticPr fontId="5"/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</si>
  <si>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</si>
  <si>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</si>
  <si>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</si>
  <si>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</si>
  <si>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</si>
  <si>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</si>
  <si>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</si>
  <si>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</si>
  <si>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</si>
  <si>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</si>
  <si>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</si>
  <si>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</si>
  <si>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</si>
  <si>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</si>
  <si>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</si>
  <si>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</si>
  <si>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</si>
  <si>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</si>
  <si>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</si>
  <si>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</si>
  <si>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</si>
  <si>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</si>
  <si>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</si>
  <si>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</si>
  <si>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</si>
  <si>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</si>
  <si>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工程コード</t>
    <phoneticPr fontId="5"/>
  </si>
  <si>
    <t>kotei_cd</t>
  </si>
  <si>
    <t>工程名</t>
    <phoneticPr fontId="5"/>
  </si>
  <si>
    <t>kotei_nm</t>
  </si>
  <si>
    <t>工程略称</t>
    <phoneticPr fontId="5"/>
  </si>
  <si>
    <t>kotei_ryaku_nm</t>
  </si>
  <si>
    <t>更新者コード</t>
    <phoneticPr fontId="5"/>
  </si>
  <si>
    <t>update_user_cd</t>
  </si>
  <si>
    <t>更新者名</t>
    <phoneticPr fontId="5"/>
  </si>
  <si>
    <t>update_user_nm</t>
  </si>
  <si>
    <t>更新日</t>
    <phoneticPr fontId="5"/>
  </si>
  <si>
    <t>update_datetime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</si>
  <si>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</si>
  <si>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</si>
  <si>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</si>
  <si>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</si>
  <si>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</si>
  <si>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</si>
  <si>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</si>
  <si>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最大幅</t>
    <phoneticPr fontId="5"/>
  </si>
  <si>
    <t>max_width</t>
  </si>
  <si>
    <t>在庫管理区分</t>
    <phoneticPr fontId="5"/>
  </si>
  <si>
    <t>zaiko_kanri_kbn</t>
  </si>
  <si>
    <t>削除フラグ</t>
    <phoneticPr fontId="5"/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</si>
  <si>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</si>
  <si>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</si>
  <si>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</si>
  <si>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</si>
  <si>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</si>
  <si>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</si>
  <si>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</si>
  <si>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</si>
  <si>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</si>
  <si>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</si>
  <si>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</si>
  <si>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</si>
  <si>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</si>
  <si>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</si>
  <si>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</si>
  <si>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主幹工程コード</t>
    <phoneticPr fontId="5"/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</si>
  <si>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</si>
  <si>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</si>
  <si>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</si>
  <si>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</si>
  <si>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</si>
  <si>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</si>
  <si>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重量</t>
    <phoneticPr fontId="5"/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</si>
  <si>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</si>
  <si>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</si>
  <si>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</si>
  <si>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</si>
  <si>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</si>
  <si>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</si>
  <si>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1"/>
        <color theme="1"/>
        <rFont val="Meiryo UI"/>
        <family val="3"/>
        <charset val="128"/>
      </rPr>
      <t>_kbn</t>
    </r>
    <phoneticPr fontId="28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</si>
  <si>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</si>
  <si>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</si>
  <si>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</si>
  <si>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8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</si>
  <si>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</si>
  <si>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</si>
  <si>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</si>
  <si>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</si>
  <si>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</si>
  <si>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</si>
  <si>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</si>
  <si>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</si>
  <si>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</si>
  <si>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</si>
  <si>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</si>
  <si>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</si>
  <si>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</si>
  <si>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</si>
  <si>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製品番号</t>
    <phoneticPr fontId="5"/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</si>
  <si>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</si>
  <si>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</si>
  <si>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</si>
  <si>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</si>
  <si>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</si>
  <si>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</si>
  <si>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</si>
  <si>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</si>
  <si>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</si>
  <si>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</si>
  <si>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</si>
  <si>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</si>
  <si>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</si>
  <si>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</si>
  <si>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</si>
  <si>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</si>
  <si>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</si>
  <si>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</si>
  <si>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</si>
  <si>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</si>
  <si>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</si>
  <si>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</si>
  <si>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</si>
  <si>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</si>
  <si>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</si>
  <si>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</si>
  <si>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</si>
  <si>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</si>
  <si>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</si>
  <si>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</si>
  <si>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</si>
  <si>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</si>
  <si>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</si>
  <si>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</si>
  <si>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</si>
  <si>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seikyu_bunrui_cd</t>
  </si>
  <si>
    <t>設備コード</t>
    <phoneticPr fontId="5"/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</si>
  <si>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</si>
  <si>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</si>
  <si>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</si>
  <si>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</si>
  <si>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</si>
  <si>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</si>
  <si>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</si>
  <si>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</si>
  <si>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</si>
  <si>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</si>
  <si>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8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</si>
  <si>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</si>
  <si>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</si>
  <si>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</si>
  <si>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</si>
  <si>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</si>
  <si>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</si>
  <si>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</si>
  <si>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</si>
  <si>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</si>
  <si>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</si>
  <si>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</si>
  <si>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</si>
  <si>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</si>
  <si>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</si>
  <si>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</si>
  <si>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</si>
  <si>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</si>
  <si>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</si>
  <si>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</si>
  <si>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</si>
  <si>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</si>
  <si>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8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</si>
  <si>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</si>
  <si>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</si>
  <si>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</si>
  <si>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</si>
  <si>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</si>
  <si>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</si>
  <si>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</si>
  <si>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坪量</t>
    <phoneticPr fontId="5"/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</si>
  <si>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</si>
  <si>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</si>
  <si>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</si>
  <si>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</si>
  <si>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</si>
  <si>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</si>
  <si>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</si>
  <si>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</si>
  <si>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</si>
  <si>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登録者コード</t>
    <phoneticPr fontId="5"/>
  </si>
  <si>
    <t>insert_user_cd</t>
  </si>
  <si>
    <t>登録者名</t>
    <phoneticPr fontId="5"/>
  </si>
  <si>
    <t>insert_user_nm</t>
  </si>
  <si>
    <t>登録日</t>
    <phoneticPr fontId="5"/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</si>
  <si>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</si>
  <si>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</si>
  <si>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</si>
  <si>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</si>
  <si>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</si>
  <si>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</si>
  <si>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</si>
  <si>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</si>
  <si>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</si>
  <si>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</si>
  <si>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</si>
  <si>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</si>
  <si>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</si>
  <si>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</si>
  <si>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比率</t>
    <phoneticPr fontId="5"/>
  </si>
  <si>
    <t>hiritsu</t>
  </si>
  <si>
    <t>表示順</t>
    <phoneticPr fontId="5"/>
  </si>
  <si>
    <t>disp_order</t>
  </si>
  <si>
    <t>品種コード</t>
    <phoneticPr fontId="5"/>
  </si>
  <si>
    <t>hinshu_cd</t>
  </si>
  <si>
    <t>品種大分類コード</t>
    <phoneticPr fontId="5"/>
  </si>
  <si>
    <t>hinshu_daibunrui_cd</t>
    <phoneticPr fontId="28"/>
  </si>
  <si>
    <t>品種中分類コード</t>
    <phoneticPr fontId="5"/>
  </si>
  <si>
    <t>hinshu_chubunrui_cd</t>
    <phoneticPr fontId="28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</si>
  <si>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</si>
  <si>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</si>
  <si>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</si>
  <si>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</si>
  <si>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</si>
  <si>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</si>
  <si>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</si>
  <si>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</si>
  <si>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</si>
  <si>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</si>
  <si>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幅</t>
    <phoneticPr fontId="5"/>
  </si>
  <si>
    <t>width</t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</si>
  <si>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</si>
  <si>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</si>
  <si>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</si>
  <si>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</si>
  <si>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basho_cd</t>
    </r>
    <phoneticPr fontId="28"/>
  </si>
  <si>
    <t>保管場所名</t>
    <phoneticPr fontId="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</si>
  <si>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basho_nm</t>
    </r>
    <phoneticPr fontId="28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</si>
  <si>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</si>
  <si>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</si>
  <si>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</si>
  <si>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</si>
  <si>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</si>
  <si>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</si>
  <si>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</si>
  <si>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</si>
  <si>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</si>
  <si>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</si>
  <si>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</si>
  <si>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</si>
  <si>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</si>
  <si>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</si>
  <si>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</si>
  <si>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</si>
  <si>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</si>
  <si>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</si>
  <si>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5"/>
  </si>
  <si>
    <t>user_nm</t>
  </si>
  <si>
    <t>利用者略称</t>
    <rPh sb="3" eb="5">
      <t>リャクショウ</t>
    </rPh>
    <phoneticPr fontId="5"/>
  </si>
  <si>
    <t>user_short_nm</t>
    <phoneticPr fontId="28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</si>
  <si>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</si>
  <si>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</si>
  <si>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</si>
  <si>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</si>
  <si>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</si>
  <si>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</si>
  <si>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</si>
  <si>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</si>
  <si>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</si>
  <si>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</si>
  <si>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</si>
  <si>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</si>
  <si>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</si>
  <si>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</si>
  <si>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</si>
  <si>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</si>
  <si>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</si>
  <si>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</si>
  <si>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</si>
  <si>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</si>
  <si>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</si>
  <si>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</si>
  <si>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</si>
  <si>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</si>
  <si>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</si>
  <si>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</si>
  <si>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</si>
  <si>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</si>
  <si>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</si>
  <si>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</si>
  <si>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</si>
  <si>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</si>
  <si>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</si>
  <si>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</si>
  <si>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</si>
  <si>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</si>
  <si>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</si>
  <si>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品名</t>
    <rPh sb="0" eb="2">
      <t>ヒンメイ</t>
    </rPh>
    <phoneticPr fontId="5"/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</si>
  <si>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</si>
  <si>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</si>
  <si>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</si>
  <si>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</si>
  <si>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</si>
  <si>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</si>
  <si>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</si>
  <si>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</si>
  <si>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</si>
  <si>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</si>
  <si>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</si>
  <si>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</si>
  <si>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</si>
  <si>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</si>
  <si>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</si>
  <si>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</si>
  <si>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</si>
  <si>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</si>
  <si>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</si>
  <si>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</si>
  <si>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</si>
  <si>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</si>
  <si>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</si>
  <si>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</si>
  <si>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</si>
  <si>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</si>
  <si>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</si>
  <si>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</si>
  <si>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</si>
  <si>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</si>
  <si>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</si>
  <si>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</si>
  <si>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</si>
  <si>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</si>
  <si>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</si>
  <si>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</si>
  <si>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</si>
  <si>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</si>
  <si>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</si>
  <si>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</si>
  <si>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</si>
  <si>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</si>
  <si>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</si>
  <si>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</si>
  <si>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</si>
  <si>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</si>
  <si>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</si>
  <si>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</si>
  <si>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</si>
  <si>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</si>
  <si>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</si>
  <si>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</si>
  <si>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</si>
  <si>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</si>
  <si>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</si>
  <si>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</si>
  <si>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</si>
  <si>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genryo_nodo</t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</si>
  <si>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</si>
  <si>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</si>
  <si>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損紙使用量</t>
  </si>
  <si>
    <t>sonsi_shiyoryo</t>
    <phoneticPr fontId="5"/>
  </si>
  <si>
    <t>離解時間</t>
    <rPh sb="0" eb="2">
      <t>リカイ</t>
    </rPh>
    <rPh sb="2" eb="4">
      <t>ジカン</t>
    </rPh>
    <phoneticPr fontId="31"/>
  </si>
  <si>
    <t>rikai_time</t>
    <phoneticPr fontId="28"/>
  </si>
  <si>
    <t>毛髪ネット</t>
    <rPh sb="0" eb="1">
      <t>ケ</t>
    </rPh>
    <rPh sb="1" eb="2">
      <t>カミ</t>
    </rPh>
    <phoneticPr fontId="31"/>
  </si>
  <si>
    <t>mouhatsu_net</t>
  </si>
  <si>
    <t>使用区分</t>
    <rPh sb="0" eb="2">
      <t>シヨウ</t>
    </rPh>
    <rPh sb="2" eb="4">
      <t>クブン</t>
    </rPh>
    <phoneticPr fontId="5"/>
  </si>
  <si>
    <t>shiyo_kbn</t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</si>
  <si>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</si>
  <si>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</si>
  <si>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固形分</t>
    <rPh sb="0" eb="3">
      <t>コケイブン</t>
    </rPh>
    <phoneticPr fontId="5"/>
  </si>
  <si>
    <t>kokeibun</t>
  </si>
  <si>
    <t>固形配合比</t>
    <rPh sb="0" eb="5">
      <t>コケイハイゴウヒ</t>
    </rPh>
    <phoneticPr fontId="5"/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</si>
  <si>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</si>
  <si>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</si>
  <si>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</si>
  <si>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</si>
  <si>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</si>
  <si>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</si>
  <si>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  <phoneticPr fontId="28"/>
  </si>
  <si>
    <t>パレット№</t>
    <phoneticPr fontId="5"/>
  </si>
  <si>
    <t>pallet_no</t>
    <phoneticPr fontId="28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</si>
  <si>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</si>
  <si>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</si>
  <si>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</si>
  <si>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8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</si>
  <si>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</si>
  <si>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</si>
  <si>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</si>
  <si>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</si>
  <si>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</si>
  <si>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</si>
  <si>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</si>
  <si>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</si>
  <si>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</si>
  <si>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</si>
  <si>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8"/>
  </si>
  <si>
    <t>mix_prod_disp_flg</t>
  </si>
  <si>
    <t>MIX品表示内容</t>
    <phoneticPr fontId="28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</si>
  <si>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</si>
  <si>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</si>
  <si>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</si>
  <si>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</si>
  <si>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</si>
  <si>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</si>
  <si>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</si>
  <si>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</si>
  <si>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</si>
  <si>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</si>
  <si>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</si>
  <si>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</si>
  <si>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</si>
  <si>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</si>
  <si>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</si>
  <si>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</si>
  <si>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</si>
  <si>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</si>
  <si>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</si>
  <si>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</si>
  <si>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</si>
  <si>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</si>
  <si>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</si>
  <si>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</si>
  <si>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</si>
  <si>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</si>
  <si>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</si>
  <si>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</si>
  <si>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5"/>
  </si>
  <si>
    <t>卸数</t>
  </si>
  <si>
    <t>oroshi_su</t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</si>
  <si>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</si>
  <si>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</si>
  <si>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</si>
  <si>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</si>
  <si>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</si>
  <si>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</si>
  <si>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</si>
  <si>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</si>
  <si>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</si>
  <si>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</si>
  <si>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</si>
  <si>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</si>
  <si>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28"/>
  </si>
  <si>
    <t>slitter</t>
    <phoneticPr fontId="28"/>
  </si>
  <si>
    <t>パッケージ数</t>
    <rPh sb="5" eb="6">
      <t>スウ</t>
    </rPh>
    <phoneticPr fontId="25"/>
  </si>
  <si>
    <t>package_su</t>
    <phoneticPr fontId="28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</si>
  <si>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</si>
  <si>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</si>
  <si>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</si>
  <si>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</si>
  <si>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</si>
  <si>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28"/>
  </si>
  <si>
    <t>作業者コード</t>
    <phoneticPr fontId="28"/>
  </si>
  <si>
    <t>sagyosha_cd</t>
    <phoneticPr fontId="28"/>
  </si>
  <si>
    <t>依頼日</t>
    <phoneticPr fontId="28"/>
  </si>
  <si>
    <t>irai_date</t>
    <phoneticPr fontId="28"/>
  </si>
  <si>
    <t>納期日</t>
    <rPh sb="0" eb="3">
      <t>ノウキビ</t>
    </rPh>
    <phoneticPr fontId="25"/>
  </si>
  <si>
    <t>nohin_date</t>
    <phoneticPr fontId="28"/>
  </si>
  <si>
    <t>生産予定日</t>
    <rPh sb="0" eb="5">
      <t>セイサンヨテイビ</t>
    </rPh>
    <phoneticPr fontId="25"/>
  </si>
  <si>
    <t>seisan_yotei_date</t>
    <phoneticPr fontId="28"/>
  </si>
  <si>
    <t>単位</t>
    <rPh sb="0" eb="2">
      <t>タンイ</t>
    </rPh>
    <phoneticPr fontId="25"/>
  </si>
  <si>
    <t>unit</t>
    <phoneticPr fontId="28"/>
  </si>
  <si>
    <t>１包装当たり</t>
    <rPh sb="1" eb="3">
      <t>ホウソウ</t>
    </rPh>
    <rPh sb="3" eb="4">
      <t>ア</t>
    </rPh>
    <phoneticPr fontId="25"/>
  </si>
  <si>
    <t>hoso_atari</t>
    <phoneticPr fontId="28"/>
  </si>
  <si>
    <t>本数</t>
    <rPh sb="0" eb="2">
      <t>ホンスウ</t>
    </rPh>
    <phoneticPr fontId="25"/>
  </si>
  <si>
    <t>honsu</t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</si>
  <si>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</si>
  <si>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</si>
  <si>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</si>
  <si>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</si>
  <si>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</si>
  <si>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</si>
  <si>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</si>
  <si>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</si>
  <si>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</si>
  <si>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</si>
  <si>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</si>
  <si>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</si>
  <si>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</si>
  <si>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28"/>
  </si>
  <si>
    <t>紙管</t>
    <rPh sb="0" eb="2">
      <t>シカン</t>
    </rPh>
    <phoneticPr fontId="25"/>
  </si>
  <si>
    <t>shikan</t>
    <phoneticPr fontId="28"/>
  </si>
  <si>
    <t>製品ロット№</t>
    <rPh sb="0" eb="2">
      <t>セイヒン</t>
    </rPh>
    <phoneticPr fontId="25"/>
  </si>
  <si>
    <t>seihin_lot_no</t>
    <phoneticPr fontId="28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</si>
  <si>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</si>
  <si>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</si>
  <si>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</si>
  <si>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</si>
  <si>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</si>
  <si>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2"/>
  </si>
  <si>
    <t>shiyo_date</t>
    <phoneticPr fontId="28"/>
  </si>
  <si>
    <t>作業者</t>
    <rPh sb="0" eb="3">
      <t>サギョウシャ</t>
    </rPh>
    <phoneticPr fontId="22"/>
  </si>
  <si>
    <t>sagyosha</t>
    <phoneticPr fontId="28"/>
  </si>
  <si>
    <t>申し送り事項</t>
    <rPh sb="0" eb="1">
      <t>モウ</t>
    </rPh>
    <rPh sb="2" eb="3">
      <t>オク</t>
    </rPh>
    <rPh sb="4" eb="6">
      <t>ジコウ</t>
    </rPh>
    <phoneticPr fontId="22"/>
  </si>
  <si>
    <t>moshiokuri_jiko</t>
    <phoneticPr fontId="28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</si>
  <si>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</si>
  <si>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</si>
  <si>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</si>
  <si>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</si>
  <si>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</si>
  <si>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</si>
  <si>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</si>
  <si>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</si>
  <si>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</si>
  <si>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</si>
  <si>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1"/>
  </si>
  <si>
    <t>kaisu</t>
  </si>
  <si>
    <t>調合顔料名</t>
    <rPh sb="0" eb="2">
      <t>チョウゴウ</t>
    </rPh>
    <rPh sb="2" eb="5">
      <t>ガンリョウメイ</t>
    </rPh>
    <phoneticPr fontId="28"/>
  </si>
  <si>
    <t>chogo_ganryo_nm</t>
  </si>
  <si>
    <t>顔料コード</t>
    <rPh sb="0" eb="2">
      <t>ガンリョウ</t>
    </rPh>
    <phoneticPr fontId="28"/>
  </si>
  <si>
    <t>ganryo_cd</t>
  </si>
  <si>
    <t>顔料名</t>
    <rPh sb="0" eb="3">
      <t>ガンリョウメイ</t>
    </rPh>
    <phoneticPr fontId="28"/>
  </si>
  <si>
    <t>ganryo_nm</t>
  </si>
  <si>
    <t>配合比</t>
    <rPh sb="0" eb="2">
      <t>ハイゴウ</t>
    </rPh>
    <rPh sb="2" eb="3">
      <t>ヒ</t>
    </rPh>
    <phoneticPr fontId="28"/>
  </si>
  <si>
    <t>haigo_hi</t>
  </si>
  <si>
    <t>投入量</t>
    <rPh sb="0" eb="3">
      <t>トウニュウリョウ</t>
    </rPh>
    <phoneticPr fontId="28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</si>
  <si>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</si>
  <si>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</si>
  <si>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</si>
  <si>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8"/>
  </si>
  <si>
    <t>kosu_seisu</t>
  </si>
  <si>
    <t>個数　分子</t>
    <rPh sb="0" eb="2">
      <t>コスウ</t>
    </rPh>
    <rPh sb="3" eb="5">
      <t>ブンシ</t>
    </rPh>
    <phoneticPr fontId="28"/>
  </si>
  <si>
    <t>kosu_bunshi</t>
  </si>
  <si>
    <t>個数　分母</t>
    <rPh sb="0" eb="2">
      <t>コスウ</t>
    </rPh>
    <rPh sb="3" eb="5">
      <t>ブンボ</t>
    </rPh>
    <phoneticPr fontId="28"/>
  </si>
  <si>
    <t>kosu_bunbo</t>
  </si>
  <si>
    <t>配合</t>
    <rPh sb="0" eb="2">
      <t>ハイゴウ</t>
    </rPh>
    <phoneticPr fontId="28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</si>
  <si>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</si>
  <si>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</si>
  <si>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</si>
  <si>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</si>
  <si>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</si>
  <si>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</si>
  <si>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</si>
  <si>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</si>
  <si>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</si>
  <si>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</si>
  <si>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</si>
  <si>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</si>
  <si>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</si>
  <si>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1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</si>
  <si>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</si>
  <si>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1"/>
  </si>
  <si>
    <t>end_datetime</t>
    <phoneticPr fontId="5"/>
  </si>
  <si>
    <t>抄紙区分</t>
    <rPh sb="0" eb="2">
      <t>ショウシ</t>
    </rPh>
    <rPh sb="2" eb="4">
      <t>クブン</t>
    </rPh>
    <phoneticPr fontId="21"/>
  </si>
  <si>
    <t>shoshi_kbn</t>
  </si>
  <si>
    <t>定坪量</t>
    <rPh sb="0" eb="1">
      <t>テイ</t>
    </rPh>
    <rPh sb="1" eb="2">
      <t>ツボ</t>
    </rPh>
    <rPh sb="2" eb="3">
      <t>リョウ</t>
    </rPh>
    <phoneticPr fontId="21"/>
  </si>
  <si>
    <t>tei_paper_weight</t>
  </si>
  <si>
    <t>実坪量</t>
    <rPh sb="0" eb="1">
      <t>ジツ</t>
    </rPh>
    <rPh sb="1" eb="2">
      <t>ツボ</t>
    </rPh>
    <rPh sb="2" eb="3">
      <t>リョウ</t>
    </rPh>
    <phoneticPr fontId="21"/>
  </si>
  <si>
    <t>jitsu_paper_weight</t>
  </si>
  <si>
    <t>抄幅</t>
  </si>
  <si>
    <t>paper_width</t>
  </si>
  <si>
    <t>抄造</t>
    <phoneticPr fontId="28"/>
  </si>
  <si>
    <t>paper_making</t>
  </si>
  <si>
    <t>原紙分類</t>
    <rPh sb="0" eb="2">
      <t>ゲンシ</t>
    </rPh>
    <rPh sb="2" eb="4">
      <t>ブンルイ</t>
    </rPh>
    <phoneticPr fontId="21"/>
  </si>
  <si>
    <t>原因詳細</t>
    <rPh sb="0" eb="4">
      <t>ゲンインショウサイ</t>
    </rPh>
    <phoneticPr fontId="21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</si>
  <si>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</si>
  <si>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</si>
  <si>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</si>
  <si>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</si>
  <si>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</si>
  <si>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</si>
  <si>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</si>
  <si>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</si>
  <si>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</si>
  <si>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</si>
  <si>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</si>
  <si>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</si>
  <si>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</si>
  <si>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</si>
  <si>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28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</si>
  <si>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</si>
  <si>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28"/>
  </si>
  <si>
    <t>加工実績日時</t>
    <rPh sb="0" eb="6">
      <t>カコウジッセキニチジ</t>
    </rPh>
    <phoneticPr fontId="23"/>
  </si>
  <si>
    <t>kako_jisseki_datetime</t>
    <phoneticPr fontId="28"/>
  </si>
  <si>
    <t>合否</t>
    <rPh sb="0" eb="2">
      <t>ゴウヒ</t>
    </rPh>
    <phoneticPr fontId="32"/>
  </si>
  <si>
    <t>gohi</t>
    <phoneticPr fontId="28"/>
  </si>
  <si>
    <t>加工区分</t>
    <rPh sb="0" eb="4">
      <t>カコウクブン</t>
    </rPh>
    <phoneticPr fontId="32"/>
  </si>
  <si>
    <t>kako_kbn</t>
    <phoneticPr fontId="28"/>
  </si>
  <si>
    <t>[原反1]№</t>
  </si>
  <si>
    <t>gentan1_no</t>
    <phoneticPr fontId="28"/>
  </si>
  <si>
    <t>[原反1]製品ロット№</t>
    <rPh sb="5" eb="7">
      <t>セイヒン</t>
    </rPh>
    <phoneticPr fontId="32"/>
  </si>
  <si>
    <t>gentan1_seihin_lot_no</t>
    <phoneticPr fontId="28"/>
  </si>
  <si>
    <t>[原反1]銘柄</t>
    <rPh sb="5" eb="7">
      <t>メイガラ</t>
    </rPh>
    <phoneticPr fontId="32"/>
  </si>
  <si>
    <t>gentan1_hinshu_cd</t>
    <phoneticPr fontId="28"/>
  </si>
  <si>
    <t>[原反1]坪量</t>
    <rPh sb="5" eb="7">
      <t>ツボリョウ</t>
    </rPh>
    <phoneticPr fontId="32"/>
  </si>
  <si>
    <t>gentan1_paper_weight</t>
    <phoneticPr fontId="28"/>
  </si>
  <si>
    <t>[原反1]幅</t>
    <rPh sb="5" eb="6">
      <t>ハバ</t>
    </rPh>
    <phoneticPr fontId="32"/>
  </si>
  <si>
    <t>gentan1_width</t>
    <phoneticPr fontId="28"/>
  </si>
  <si>
    <t>[原反1]長さ</t>
    <rPh sb="5" eb="6">
      <t>ナガ</t>
    </rPh>
    <phoneticPr fontId="32"/>
  </si>
  <si>
    <t>gentan1_length</t>
    <phoneticPr fontId="28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</si>
  <si>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</si>
  <si>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28"/>
  </si>
  <si>
    <t>[原反1]継続</t>
    <rPh sb="1" eb="3">
      <t>ゲンタン</t>
    </rPh>
    <rPh sb="5" eb="7">
      <t>ケイゾク</t>
    </rPh>
    <phoneticPr fontId="32"/>
  </si>
  <si>
    <t>gentan1_kezoku</t>
    <phoneticPr fontId="28"/>
  </si>
  <si>
    <t>[原反1]備考</t>
    <rPh sb="1" eb="3">
      <t>ゲンタン</t>
    </rPh>
    <rPh sb="5" eb="7">
      <t>ビコウ</t>
    </rPh>
    <phoneticPr fontId="32"/>
  </si>
  <si>
    <t>gentan1_biko</t>
    <phoneticPr fontId="28"/>
  </si>
  <si>
    <t>[原反2]№</t>
  </si>
  <si>
    <t>gentan2_no</t>
    <phoneticPr fontId="28"/>
  </si>
  <si>
    <t>[原反2]製品ロット№</t>
    <rPh sb="5" eb="7">
      <t>セイヒン</t>
    </rPh>
    <phoneticPr fontId="32"/>
  </si>
  <si>
    <t>gentan2_seihin_lot_no</t>
    <phoneticPr fontId="28"/>
  </si>
  <si>
    <t>[原反2]銘柄</t>
    <rPh sb="5" eb="7">
      <t>メイガラ</t>
    </rPh>
    <phoneticPr fontId="32"/>
  </si>
  <si>
    <t>gentan2_hinshu_cd</t>
    <phoneticPr fontId="28"/>
  </si>
  <si>
    <t>[原反2]坪量</t>
    <rPh sb="5" eb="7">
      <t>ツボリョウ</t>
    </rPh>
    <phoneticPr fontId="32"/>
  </si>
  <si>
    <t>gentan2_paper_weight</t>
    <phoneticPr fontId="28"/>
  </si>
  <si>
    <t>[原反2]幅</t>
    <rPh sb="5" eb="6">
      <t>ハバ</t>
    </rPh>
    <phoneticPr fontId="32"/>
  </si>
  <si>
    <t>gentan2_width</t>
    <phoneticPr fontId="28"/>
  </si>
  <si>
    <t>[原反2]長さ</t>
    <rPh sb="5" eb="6">
      <t>ナガ</t>
    </rPh>
    <phoneticPr fontId="32"/>
  </si>
  <si>
    <t>gentan2_length</t>
    <phoneticPr fontId="28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</si>
  <si>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</si>
  <si>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28"/>
  </si>
  <si>
    <t>[原反2]継続</t>
    <rPh sb="1" eb="3">
      <t>ゲンタン</t>
    </rPh>
    <rPh sb="5" eb="7">
      <t>ケイゾク</t>
    </rPh>
    <phoneticPr fontId="32"/>
  </si>
  <si>
    <t>gentan2_kezoku</t>
    <phoneticPr fontId="28"/>
  </si>
  <si>
    <t>[原反2]備考</t>
    <rPh sb="5" eb="7">
      <t>ビコウ</t>
    </rPh>
    <phoneticPr fontId="32"/>
  </si>
  <si>
    <t>gentan2_biko</t>
    <phoneticPr fontId="28"/>
  </si>
  <si>
    <t>[原反3]№</t>
  </si>
  <si>
    <t>gentan3_no</t>
  </si>
  <si>
    <t>[原反3]製品ロット№</t>
    <rPh sb="5" eb="7">
      <t>セイヒン</t>
    </rPh>
    <phoneticPr fontId="32"/>
  </si>
  <si>
    <t>gentan3_seihin_lot_no</t>
    <phoneticPr fontId="5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</si>
  <si>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</si>
  <si>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</si>
  <si>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</si>
  <si>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</si>
  <si>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</si>
  <si>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</si>
  <si>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</si>
  <si>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</si>
  <si>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</si>
  <si>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</si>
  <si>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</si>
  <si>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</si>
  <si>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</si>
  <si>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</si>
  <si>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</si>
  <si>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</si>
  <si>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</si>
  <si>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</si>
  <si>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</si>
  <si>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</si>
  <si>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</si>
  <si>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</si>
  <si>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</si>
  <si>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</si>
  <si>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</si>
  <si>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</si>
  <si>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</si>
  <si>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</si>
  <si>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</si>
  <si>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</si>
  <si>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</si>
  <si>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</si>
  <si>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32"/>
  </si>
  <si>
    <t>zan</t>
    <phoneticPr fontId="28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</si>
  <si>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</si>
  <si>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28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</si>
  <si>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</si>
  <si>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28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</si>
  <si>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</si>
  <si>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28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</si>
  <si>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</si>
  <si>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28"/>
  </si>
  <si>
    <t>作業開始日時</t>
    <rPh sb="0" eb="6">
      <t>サギョウカイシニチジ</t>
    </rPh>
    <phoneticPr fontId="32"/>
  </si>
  <si>
    <t>sagyo_start_datetime</t>
    <phoneticPr fontId="28"/>
  </si>
  <si>
    <t>休憩時間</t>
    <rPh sb="0" eb="4">
      <t>キュウケイジカン</t>
    </rPh>
    <phoneticPr fontId="32"/>
  </si>
  <si>
    <t>kyukei_time</t>
    <phoneticPr fontId="5"/>
  </si>
  <si>
    <t>内訳</t>
    <rPh sb="0" eb="2">
      <t>ウチワケ</t>
    </rPh>
    <phoneticPr fontId="32"/>
  </si>
  <si>
    <t>uchiwake</t>
    <phoneticPr fontId="28"/>
  </si>
  <si>
    <t>稼働情報</t>
    <rPh sb="0" eb="4">
      <t>カドウジョウホウ</t>
    </rPh>
    <phoneticPr fontId="32"/>
  </si>
  <si>
    <t>kado_joho</t>
    <phoneticPr fontId="28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</si>
  <si>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</si>
  <si>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</si>
  <si>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</si>
  <si>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28"/>
  </si>
  <si>
    <t>温度</t>
    <rPh sb="0" eb="2">
      <t>オンド</t>
    </rPh>
    <phoneticPr fontId="32"/>
  </si>
  <si>
    <t>ondo</t>
    <phoneticPr fontId="28"/>
  </si>
  <si>
    <t>湿度</t>
    <rPh sb="0" eb="2">
      <t>シツド</t>
    </rPh>
    <phoneticPr fontId="32"/>
  </si>
  <si>
    <t>shitsudo</t>
    <phoneticPr fontId="28"/>
  </si>
  <si>
    <t>shot</t>
  </si>
  <si>
    <t>shot</t>
    <phoneticPr fontId="28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</si>
  <si>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</si>
  <si>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</si>
  <si>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</si>
  <si>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</si>
  <si>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</si>
  <si>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</si>
  <si>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</si>
  <si>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</si>
  <si>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</si>
  <si>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</si>
  <si>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</si>
  <si>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</si>
  <si>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</si>
  <si>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</si>
  <si>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</si>
  <si>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</si>
  <si>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</si>
  <si>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</si>
  <si>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</si>
  <si>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</si>
  <si>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</si>
  <si>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</si>
  <si>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</si>
  <si>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</si>
  <si>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</si>
  <si>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</si>
  <si>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</si>
  <si>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</si>
  <si>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</si>
  <si>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</si>
  <si>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</si>
  <si>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</si>
  <si>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</si>
  <si>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</si>
  <si>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</si>
  <si>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</si>
  <si>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</si>
  <si>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</si>
  <si>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3"/>
  </si>
  <si>
    <t>hoso</t>
    <phoneticPr fontId="28"/>
  </si>
  <si>
    <t>ラベル数</t>
    <rPh sb="3" eb="4">
      <t>スウ</t>
    </rPh>
    <phoneticPr fontId="32"/>
  </si>
  <si>
    <t>label_su</t>
    <phoneticPr fontId="28"/>
  </si>
  <si>
    <t>移動指示№</t>
    <rPh sb="0" eb="4">
      <t>イドウシジ</t>
    </rPh>
    <phoneticPr fontId="32"/>
  </si>
  <si>
    <t>ido_shiji_no</t>
    <phoneticPr fontId="28"/>
  </si>
  <si>
    <t>生産分類</t>
    <rPh sb="0" eb="2">
      <t>セイサン</t>
    </rPh>
    <rPh sb="2" eb="4">
      <t>ブンルイ</t>
    </rPh>
    <phoneticPr fontId="32"/>
  </si>
  <si>
    <t>seisan_bunrui</t>
    <phoneticPr fontId="28"/>
  </si>
  <si>
    <t>移動分類</t>
    <rPh sb="0" eb="4">
      <t>イドウブンルイ</t>
    </rPh>
    <phoneticPr fontId="32"/>
  </si>
  <si>
    <t>ido_bunrui</t>
    <phoneticPr fontId="28"/>
  </si>
  <si>
    <t>コード分類</t>
    <rPh sb="3" eb="5">
      <t>ブンルイ</t>
    </rPh>
    <phoneticPr fontId="32"/>
  </si>
  <si>
    <t>code_bunrui</t>
    <phoneticPr fontId="28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</si>
  <si>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</si>
  <si>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</si>
  <si>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</si>
  <si>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</si>
  <si>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</si>
  <si>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28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</si>
  <si>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</si>
  <si>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28"/>
  </si>
  <si>
    <t>移動完了日付</t>
    <rPh sb="0" eb="4">
      <t>イドウカンリョウ</t>
    </rPh>
    <rPh sb="4" eb="6">
      <t>ヒヅケ</t>
    </rPh>
    <phoneticPr fontId="32"/>
  </si>
  <si>
    <t>ido_kanryo_date</t>
    <phoneticPr fontId="28"/>
  </si>
  <si>
    <t>依頼者コード</t>
    <rPh sb="0" eb="3">
      <t>イライシャ</t>
    </rPh>
    <phoneticPr fontId="32"/>
  </si>
  <si>
    <t>iraisha_cd</t>
    <phoneticPr fontId="28"/>
  </si>
  <si>
    <t>依頼者名</t>
    <rPh sb="0" eb="3">
      <t>イライシャ</t>
    </rPh>
    <rPh sb="3" eb="4">
      <t>メイ</t>
    </rPh>
    <phoneticPr fontId="32"/>
  </si>
  <si>
    <t>iraisha_nm</t>
    <phoneticPr fontId="28"/>
  </si>
  <si>
    <t>運搬業者コード</t>
    <rPh sb="0" eb="4">
      <t>ウンパンギョウシャ</t>
    </rPh>
    <phoneticPr fontId="32"/>
  </si>
  <si>
    <t>unpan_gyosha_cd</t>
    <phoneticPr fontId="28"/>
  </si>
  <si>
    <t>運搬業者名</t>
    <rPh sb="4" eb="5">
      <t>メイ</t>
    </rPh>
    <phoneticPr fontId="32"/>
  </si>
  <si>
    <t>unpan_gyosha_nm</t>
    <phoneticPr fontId="28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</si>
  <si>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</si>
  <si>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28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</si>
  <si>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</si>
  <si>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28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</si>
  <si>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</si>
  <si>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28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</si>
  <si>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</si>
  <si>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28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</si>
  <si>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</si>
  <si>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</si>
  <si>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</si>
  <si>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</si>
  <si>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</si>
  <si>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</si>
  <si>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</si>
  <si>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</si>
  <si>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</si>
  <si>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</si>
  <si>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</si>
  <si>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</si>
  <si>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</si>
  <si>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</si>
  <si>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</si>
  <si>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</si>
  <si>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</si>
  <si>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</si>
  <si>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</si>
  <si>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</si>
  <si>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</si>
  <si>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</si>
  <si>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</si>
  <si>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</si>
  <si>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</si>
  <si>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</si>
  <si>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</si>
  <si>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</si>
  <si>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</si>
  <si>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</si>
  <si>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</si>
  <si>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3"/>
  </si>
  <si>
    <t>rensu</t>
  </si>
  <si>
    <r>
      <rPr>
        <sz val="11"/>
        <color rgb="FFFF0000"/>
        <rFont val="Meiryo UI"/>
        <family val="3"/>
        <charset val="128"/>
      </rPr>
      <t>１</t>
    </r>
    <r>
      <rPr>
        <sz val="11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3"/>
  </si>
  <si>
    <r>
      <rPr>
        <sz val="11"/>
        <color rgb="FFFF0000"/>
        <rFont val="Meiryo UI"/>
        <family val="3"/>
        <charset val="128"/>
      </rPr>
      <t>hoso_</t>
    </r>
    <r>
      <rPr>
        <sz val="11"/>
        <color theme="1"/>
        <rFont val="Meiryo UI"/>
        <family val="3"/>
        <charset val="128"/>
      </rPr>
      <t>rensu</t>
    </r>
    <phoneticPr fontId="28"/>
  </si>
  <si>
    <t>納品数</t>
    <rPh sb="0" eb="3">
      <t>ノウヒンスウ</t>
    </rPh>
    <phoneticPr fontId="33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</si>
  <si>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</si>
  <si>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</si>
  <si>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</si>
  <si>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4"/>
  </si>
  <si>
    <t>seisan_keikaku_torokusha</t>
  </si>
  <si>
    <t>発行日</t>
    <rPh sb="0" eb="3">
      <t>ハッコウビヒ</t>
    </rPh>
    <phoneticPr fontId="35"/>
  </si>
  <si>
    <t>hakko_date</t>
  </si>
  <si>
    <t>引取先業者コード</t>
    <rPh sb="3" eb="5">
      <t>ギョウシャ</t>
    </rPh>
    <phoneticPr fontId="20"/>
  </si>
  <si>
    <t>引取先業者名</t>
    <rPh sb="3" eb="5">
      <t>ギョウシャ</t>
    </rPh>
    <rPh sb="5" eb="6">
      <t>メイ</t>
    </rPh>
    <phoneticPr fontId="20"/>
  </si>
  <si>
    <t>hikitorisaki_gyosha_nm</t>
  </si>
  <si>
    <t>引取先担当者名</t>
    <rPh sb="3" eb="6">
      <t>タントウシャ</t>
    </rPh>
    <rPh sb="6" eb="7">
      <t>メイ</t>
    </rPh>
    <phoneticPr fontId="20"/>
  </si>
  <si>
    <t>hikitorisaki_tantosha_nm</t>
  </si>
  <si>
    <t>引取先件名</t>
    <rPh sb="3" eb="5">
      <t>ケンメイ</t>
    </rPh>
    <phoneticPr fontId="20"/>
  </si>
  <si>
    <t>hikitorisaki_kenmei</t>
  </si>
  <si>
    <t>引取日</t>
    <rPh sb="0" eb="2">
      <t>ヒキトリ</t>
    </rPh>
    <rPh sb="2" eb="3">
      <t>ヒ</t>
    </rPh>
    <phoneticPr fontId="35"/>
  </si>
  <si>
    <t>hikitori_date</t>
  </si>
  <si>
    <t>入庫場所コード</t>
    <rPh sb="0" eb="2">
      <t>ニュウコ</t>
    </rPh>
    <rPh sb="2" eb="4">
      <t>バショ</t>
    </rPh>
    <phoneticPr fontId="35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</si>
  <si>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</si>
  <si>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5"/>
  </si>
  <si>
    <t>nyuko_basho_nm</t>
  </si>
  <si>
    <t>運搬業者件名</t>
    <rPh sb="2" eb="4">
      <t>ギョウシャ</t>
    </rPh>
    <rPh sb="4" eb="6">
      <t>ケンメイ</t>
    </rPh>
    <phoneticPr fontId="35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</si>
  <si>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</si>
  <si>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5"/>
  </si>
  <si>
    <t>nyuko_yotei_su</t>
  </si>
  <si>
    <t>包装フラグ</t>
    <phoneticPr fontId="24"/>
  </si>
  <si>
    <t>hoso_flg</t>
    <phoneticPr fontId="24"/>
  </si>
  <si>
    <t>包装数</t>
    <phoneticPr fontId="24"/>
  </si>
  <si>
    <t>hoso_su</t>
    <phoneticPr fontId="24"/>
  </si>
  <si>
    <t>引取実績№</t>
    <rPh sb="0" eb="2">
      <t>ヒキトリ</t>
    </rPh>
    <rPh sb="2" eb="4">
      <t>ジッセキ</t>
    </rPh>
    <phoneticPr fontId="32"/>
  </si>
  <si>
    <t>hikitori_jisseki_no</t>
    <phoneticPr fontId="24"/>
  </si>
  <si>
    <t>入庫合計数</t>
    <rPh sb="0" eb="2">
      <t>ニュウコ</t>
    </rPh>
    <rPh sb="2" eb="5">
      <t>ゴウケイスウ</t>
    </rPh>
    <phoneticPr fontId="32"/>
  </si>
  <si>
    <t>nyuko_gokei_su</t>
    <phoneticPr fontId="24"/>
  </si>
  <si>
    <t>登録フラグ</t>
    <rPh sb="0" eb="2">
      <t>トウロク</t>
    </rPh>
    <phoneticPr fontId="32"/>
  </si>
  <si>
    <t>toroku_flg</t>
    <phoneticPr fontId="24"/>
  </si>
  <si>
    <t>入庫日</t>
    <rPh sb="0" eb="2">
      <t>ニュウコ</t>
    </rPh>
    <rPh sb="2" eb="3">
      <t>ビ</t>
    </rPh>
    <phoneticPr fontId="32"/>
  </si>
  <si>
    <t>nyuko_date</t>
    <phoneticPr fontId="24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</si>
  <si>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</si>
  <si>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</si>
  <si>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</si>
  <si>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</si>
  <si>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</si>
  <si>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</si>
  <si>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8"/>
  </si>
  <si>
    <t>shiyo_zan</t>
  </si>
  <si>
    <t>製品品種コード</t>
    <rPh sb="0" eb="2">
      <t>セイヒン</t>
    </rPh>
    <rPh sb="2" eb="4">
      <t>ヒンシュ</t>
    </rPh>
    <phoneticPr fontId="28"/>
  </si>
  <si>
    <t>seihin_hinshu_cd</t>
    <phoneticPr fontId="28"/>
  </si>
  <si>
    <t>原反品種コード</t>
    <rPh sb="0" eb="2">
      <t>ゲンタン</t>
    </rPh>
    <rPh sb="2" eb="4">
      <t>ヒンシュ</t>
    </rPh>
    <phoneticPr fontId="28"/>
  </si>
  <si>
    <t>gentan_hinshu_cd</t>
    <phoneticPr fontId="28"/>
  </si>
  <si>
    <t>最終承認権限フラグ</t>
    <rPh sb="4" eb="6">
      <t>ケンゲン</t>
    </rPh>
    <phoneticPr fontId="5"/>
  </si>
  <si>
    <t>saishu_shonin_auth_flg</t>
    <phoneticPr fontId="28"/>
  </si>
  <si>
    <t>開始時刻</t>
    <rPh sb="0" eb="2">
      <t>カイシ</t>
    </rPh>
    <rPh sb="2" eb="4">
      <t>ジコク</t>
    </rPh>
    <phoneticPr fontId="5"/>
  </si>
  <si>
    <t>start_time</t>
    <phoneticPr fontId="28"/>
  </si>
  <si>
    <t>終了時刻</t>
    <rPh sb="0" eb="2">
      <t>シュウリョウ</t>
    </rPh>
    <rPh sb="2" eb="4">
      <t>ジコク</t>
    </rPh>
    <phoneticPr fontId="5"/>
  </si>
  <si>
    <t>end_time</t>
    <phoneticPr fontId="28"/>
  </si>
  <si>
    <t>勤務A</t>
    <rPh sb="0" eb="2">
      <t>キンム</t>
    </rPh>
    <phoneticPr fontId="5"/>
  </si>
  <si>
    <t>kinmu_a</t>
    <phoneticPr fontId="28"/>
  </si>
  <si>
    <t>勤務B</t>
    <rPh sb="0" eb="2">
      <t>キンム</t>
    </rPh>
    <phoneticPr fontId="5"/>
  </si>
  <si>
    <t>kinmu_b</t>
    <phoneticPr fontId="28"/>
  </si>
  <si>
    <t>勤務C</t>
    <rPh sb="0" eb="2">
      <t>キンム</t>
    </rPh>
    <phoneticPr fontId="5"/>
  </si>
  <si>
    <t>kinmu_c</t>
    <phoneticPr fontId="28"/>
  </si>
  <si>
    <t>土曜日フラグ</t>
    <rPh sb="0" eb="3">
      <t>ドヨウビ</t>
    </rPh>
    <phoneticPr fontId="5"/>
  </si>
  <si>
    <t>saturday_flg</t>
    <phoneticPr fontId="28"/>
  </si>
  <si>
    <t>日曜日フラグ</t>
    <rPh sb="0" eb="3">
      <t>ニチヨウビ</t>
    </rPh>
    <phoneticPr fontId="5"/>
  </si>
  <si>
    <t>sunday_flg</t>
    <phoneticPr fontId="28"/>
  </si>
  <si>
    <t>出荷指示№</t>
    <rPh sb="0" eb="2">
      <t>シュッカ</t>
    </rPh>
    <rPh sb="2" eb="4">
      <t>シジ</t>
    </rPh>
    <phoneticPr fontId="5"/>
  </si>
  <si>
    <t>shukka_shiji_no</t>
    <phoneticPr fontId="28"/>
  </si>
  <si>
    <t>出荷指示№枝番</t>
    <phoneticPr fontId="28"/>
  </si>
  <si>
    <t>shukka_shiji_edaban</t>
    <phoneticPr fontId="28"/>
  </si>
  <si>
    <t>受注明細SEQ</t>
    <phoneticPr fontId="28"/>
  </si>
  <si>
    <t>juchu_meisai_seq</t>
    <phoneticPr fontId="28"/>
  </si>
  <si>
    <t>受注日</t>
    <rPh sb="0" eb="3">
      <t>ジュチュウビ</t>
    </rPh>
    <phoneticPr fontId="28"/>
  </si>
  <si>
    <t>juhu_date</t>
    <phoneticPr fontId="28"/>
  </si>
  <si>
    <t>工程</t>
    <rPh sb="0" eb="2">
      <t>コウテイ</t>
    </rPh>
    <phoneticPr fontId="28"/>
  </si>
  <si>
    <t>kotei</t>
    <phoneticPr fontId="28"/>
  </si>
  <si>
    <t>受注数</t>
    <rPh sb="0" eb="3">
      <t>ジュチュウスウ</t>
    </rPh>
    <phoneticPr fontId="28"/>
  </si>
  <si>
    <t>juchu_su</t>
    <phoneticPr fontId="28"/>
  </si>
  <si>
    <t>指示数</t>
    <rPh sb="0" eb="2">
      <t>シジ</t>
    </rPh>
    <rPh sb="2" eb="3">
      <t>スウ</t>
    </rPh>
    <phoneticPr fontId="28"/>
  </si>
  <si>
    <t>shiji_su</t>
    <phoneticPr fontId="28"/>
  </si>
  <si>
    <t>個数単位</t>
  </si>
  <si>
    <t>kosu_unit</t>
    <phoneticPr fontId="28"/>
  </si>
  <si>
    <t>単価</t>
    <rPh sb="0" eb="2">
      <t>タンカ</t>
    </rPh>
    <phoneticPr fontId="28"/>
  </si>
  <si>
    <t>unit_price</t>
    <phoneticPr fontId="28"/>
  </si>
  <si>
    <t>単価単位</t>
    <rPh sb="0" eb="2">
      <t>タンカ</t>
    </rPh>
    <rPh sb="2" eb="4">
      <t>タンイ</t>
    </rPh>
    <phoneticPr fontId="28"/>
  </si>
  <si>
    <t>unit_price_unit</t>
    <phoneticPr fontId="28"/>
  </si>
  <si>
    <t>総量</t>
    <rPh sb="0" eb="2">
      <t>ソウリョウ</t>
    </rPh>
    <phoneticPr fontId="28"/>
  </si>
  <si>
    <t>soryo</t>
    <phoneticPr fontId="28"/>
  </si>
  <si>
    <t>注文書番号</t>
  </si>
  <si>
    <t>chumonsho_no</t>
    <phoneticPr fontId="28"/>
  </si>
  <si>
    <t>在庫明細SEQ</t>
    <phoneticPr fontId="28"/>
  </si>
  <si>
    <t>zaiko_meisai_seq</t>
    <phoneticPr fontId="28"/>
  </si>
  <si>
    <t>ロット№備考</t>
    <phoneticPr fontId="28"/>
  </si>
  <si>
    <t>lot_no_biko</t>
    <phoneticPr fontId="28"/>
  </si>
  <si>
    <t>在庫数</t>
    <rPh sb="0" eb="3">
      <t>ザイコスウ</t>
    </rPh>
    <phoneticPr fontId="28"/>
  </si>
  <si>
    <t>zaiko_su</t>
    <phoneticPr fontId="28"/>
  </si>
  <si>
    <t>インボイス</t>
    <phoneticPr fontId="28"/>
  </si>
  <si>
    <t>invoice</t>
    <phoneticPr fontId="28"/>
  </si>
  <si>
    <t>特記事項</t>
    <rPh sb="0" eb="4">
      <t>トッキジコウ</t>
    </rPh>
    <phoneticPr fontId="28"/>
  </si>
  <si>
    <t>notice</t>
    <phoneticPr fontId="28"/>
  </si>
  <si>
    <t>コンテナ種類</t>
    <rPh sb="4" eb="6">
      <t>シュルイ</t>
    </rPh>
    <phoneticPr fontId="28"/>
  </si>
  <si>
    <t>container_type</t>
    <phoneticPr fontId="28"/>
  </si>
  <si>
    <t>コンテナサイズ</t>
  </si>
  <si>
    <t>container_size</t>
    <phoneticPr fontId="28"/>
  </si>
  <si>
    <t>積込場所</t>
    <phoneticPr fontId="28"/>
  </si>
  <si>
    <t>tsumikomi_basho</t>
    <phoneticPr fontId="28"/>
  </si>
  <si>
    <t>担当者名</t>
    <rPh sb="0" eb="3">
      <t>タントウシャ</t>
    </rPh>
    <rPh sb="3" eb="4">
      <t>メイ</t>
    </rPh>
    <phoneticPr fontId="28"/>
  </si>
  <si>
    <t>tantosha_nm</t>
    <phoneticPr fontId="28"/>
  </si>
  <si>
    <t>出荷時刻</t>
    <rPh sb="0" eb="2">
      <t>シュッカ</t>
    </rPh>
    <rPh sb="2" eb="4">
      <t>ジコク</t>
    </rPh>
    <phoneticPr fontId="28"/>
  </si>
  <si>
    <t>shukka_datetime</t>
    <phoneticPr fontId="28"/>
  </si>
  <si>
    <t>納品勘定書伝票№</t>
    <phoneticPr fontId="28"/>
  </si>
  <si>
    <t>nohin_kanjosho_denpyo_no</t>
    <phoneticPr fontId="28"/>
  </si>
  <si>
    <t>ロック状態</t>
    <phoneticPr fontId="28"/>
  </si>
  <si>
    <t>rock_status</t>
    <phoneticPr fontId="28"/>
  </si>
  <si>
    <t>出荷実績登録区分</t>
    <phoneticPr fontId="28"/>
  </si>
  <si>
    <t>shukka_jisseki_regist_kbn</t>
    <phoneticPr fontId="28"/>
  </si>
  <si>
    <t>納品勘定書出力区分</t>
    <phoneticPr fontId="28"/>
  </si>
  <si>
    <t>nohinkanjosho_out_kbn</t>
    <phoneticPr fontId="28"/>
  </si>
  <si>
    <t>荷札出力区分</t>
    <phoneticPr fontId="28"/>
  </si>
  <si>
    <t>nifuda_print_kbn</t>
    <phoneticPr fontId="28"/>
  </si>
  <si>
    <t>送り状出力区分</t>
    <phoneticPr fontId="28"/>
  </si>
  <si>
    <t>okurijo_print_kbn</t>
    <phoneticPr fontId="28"/>
  </si>
  <si>
    <t>荷姿単位</t>
    <phoneticPr fontId="28"/>
  </si>
  <si>
    <t>nisugata_unit</t>
    <phoneticPr fontId="28"/>
  </si>
  <si>
    <t>荷姿数</t>
    <rPh sb="2" eb="3">
      <t>スウ</t>
    </rPh>
    <phoneticPr fontId="28"/>
  </si>
  <si>
    <t>nisugata_su</t>
    <phoneticPr fontId="28"/>
  </si>
  <si>
    <t>送り状摘要</t>
    <phoneticPr fontId="28"/>
  </si>
  <si>
    <t>okurijo_tekiyo</t>
    <phoneticPr fontId="28"/>
  </si>
  <si>
    <t>扱店名称</t>
    <phoneticPr fontId="28"/>
  </si>
  <si>
    <t>atsukaiten_nm</t>
    <phoneticPr fontId="28"/>
  </si>
  <si>
    <t>扱店コード</t>
    <phoneticPr fontId="28"/>
  </si>
  <si>
    <t>atsukaiten_cd</t>
    <phoneticPr fontId="28"/>
  </si>
  <si>
    <t>納入先コード</t>
    <phoneticPr fontId="28"/>
  </si>
  <si>
    <t>nonyusaki_cd</t>
    <phoneticPr fontId="28"/>
  </si>
  <si>
    <t>納入先名称</t>
    <phoneticPr fontId="28"/>
  </si>
  <si>
    <t>nonyusaki_nm</t>
    <phoneticPr fontId="28"/>
  </si>
  <si>
    <t>納入場所名称</t>
    <rPh sb="0" eb="4">
      <t>ノウニュウバショ</t>
    </rPh>
    <rPh sb="4" eb="6">
      <t>メイショウ</t>
    </rPh>
    <phoneticPr fontId="28"/>
  </si>
  <si>
    <t>nonyubasho_nm</t>
    <phoneticPr fontId="28"/>
  </si>
  <si>
    <t>得意先コード</t>
    <phoneticPr fontId="28"/>
  </si>
  <si>
    <t>tokuisaki_cd</t>
    <phoneticPr fontId="28"/>
  </si>
  <si>
    <t>得意先名称</t>
    <rPh sb="3" eb="5">
      <t>メイショウ</t>
    </rPh>
    <phoneticPr fontId="28"/>
  </si>
  <si>
    <t>tokuisaki_nm</t>
    <phoneticPr fontId="28"/>
  </si>
  <si>
    <t>納入日</t>
    <phoneticPr fontId="28"/>
  </si>
  <si>
    <t>nonyu_date</t>
    <phoneticPr fontId="28"/>
  </si>
  <si>
    <t>納入日備考</t>
    <phoneticPr fontId="28"/>
  </si>
  <si>
    <t>nonyubi_date_biko</t>
    <phoneticPr fontId="28"/>
  </si>
  <si>
    <t>出荷日</t>
    <rPh sb="0" eb="3">
      <t>シュッカビ</t>
    </rPh>
    <phoneticPr fontId="28"/>
  </si>
  <si>
    <t>shukka_date</t>
    <phoneticPr fontId="28"/>
  </si>
  <si>
    <t>出荷日備考</t>
    <rPh sb="0" eb="3">
      <t>シュッカビ</t>
    </rPh>
    <rPh sb="3" eb="5">
      <t>ビコウ</t>
    </rPh>
    <phoneticPr fontId="28"/>
  </si>
  <si>
    <t>shukka_date_biko</t>
    <phoneticPr fontId="28"/>
  </si>
  <si>
    <t>検索NO</t>
  </si>
  <si>
    <t>kensaku_no</t>
    <phoneticPr fontId="5"/>
  </si>
  <si>
    <t>伝票日付</t>
  </si>
  <si>
    <t>denpyo_date</t>
    <phoneticPr fontId="5"/>
  </si>
  <si>
    <t>入金分類</t>
    <rPh sb="0" eb="4">
      <t>ニュウキンブンルイ</t>
    </rPh>
    <phoneticPr fontId="5"/>
  </si>
  <si>
    <t>nyukin_bunrui</t>
    <phoneticPr fontId="5"/>
  </si>
  <si>
    <t>レコード区分(データ種別)</t>
  </si>
  <si>
    <t>record_kbn</t>
    <phoneticPr fontId="5"/>
  </si>
  <si>
    <t>入力画面NO</t>
  </si>
  <si>
    <t>input_gamen_no</t>
    <phoneticPr fontId="5"/>
  </si>
  <si>
    <t>起票者コード</t>
  </si>
  <si>
    <t>kihyosha_cd</t>
    <phoneticPr fontId="5"/>
  </si>
  <si>
    <t>仕訳入力形式</t>
    <phoneticPr fontId="5"/>
  </si>
  <si>
    <t>shiwake_input_keishiki</t>
    <phoneticPr fontId="5"/>
  </si>
  <si>
    <t>伝票内明細番号</t>
  </si>
  <si>
    <t>denpyo_meisai_no</t>
    <phoneticPr fontId="5"/>
  </si>
  <si>
    <t>借方科目別補助コード</t>
  </si>
  <si>
    <t>karikata_hojo_cd</t>
    <phoneticPr fontId="5"/>
  </si>
  <si>
    <t>借方取引先コード</t>
  </si>
  <si>
    <t>karikata_torihikisaki_cd</t>
    <phoneticPr fontId="5"/>
  </si>
  <si>
    <t>借方業種コード</t>
  </si>
  <si>
    <t>karikata_gyoshu_cd</t>
    <phoneticPr fontId="5"/>
  </si>
  <si>
    <t>貸方科目別補助コード</t>
  </si>
  <si>
    <t>kashikata_hojo_cd</t>
    <phoneticPr fontId="5"/>
  </si>
  <si>
    <t>貸方取引先コード</t>
  </si>
  <si>
    <t>kashikata_torihikisaki_cd</t>
    <phoneticPr fontId="5"/>
  </si>
  <si>
    <t>貸方部門コード</t>
  </si>
  <si>
    <t>kashikata_bumon_cd</t>
    <phoneticPr fontId="5"/>
  </si>
  <si>
    <t>貸方部門正式名</t>
  </si>
  <si>
    <t>kashikata_bumon_nm</t>
    <phoneticPr fontId="5"/>
  </si>
  <si>
    <t>貸方業種コード</t>
  </si>
  <si>
    <t>kashikata_gyoshu_cd</t>
    <phoneticPr fontId="5"/>
  </si>
  <si>
    <t>貸方消費税区分</t>
    <phoneticPr fontId="5"/>
  </si>
  <si>
    <t>kashikata_tax_rate_kbn</t>
    <phoneticPr fontId="5"/>
  </si>
  <si>
    <t>貸方税抜込区分</t>
  </si>
  <si>
    <t>kashikata_tax_ex_kbn</t>
    <phoneticPr fontId="5"/>
  </si>
  <si>
    <t>資金繰コード</t>
  </si>
  <si>
    <t>shikinguri_cd</t>
    <phoneticPr fontId="5"/>
  </si>
  <si>
    <t>消費税コード</t>
  </si>
  <si>
    <t>tax_cd</t>
    <phoneticPr fontId="5"/>
  </si>
  <si>
    <t>外税同時入力区分</t>
  </si>
  <si>
    <t>tax_ex_input_kbn</t>
    <phoneticPr fontId="5"/>
  </si>
  <si>
    <t>金額</t>
  </si>
  <si>
    <t>amount</t>
    <phoneticPr fontId="5"/>
  </si>
  <si>
    <t>消費税額</t>
    <phoneticPr fontId="5"/>
  </si>
  <si>
    <t>tax</t>
    <phoneticPr fontId="5"/>
  </si>
  <si>
    <t>外貨金額</t>
  </si>
  <si>
    <t>gaika_amount</t>
    <phoneticPr fontId="5"/>
  </si>
  <si>
    <t>外貨記号</t>
  </si>
  <si>
    <t>gaika_kigo</t>
    <phoneticPr fontId="5"/>
  </si>
  <si>
    <t>期日</t>
  </si>
  <si>
    <t>due_date</t>
    <phoneticPr fontId="5"/>
  </si>
  <si>
    <t>借方番号１</t>
  </si>
  <si>
    <t>karikata_no1</t>
    <phoneticPr fontId="5"/>
  </si>
  <si>
    <t>借方番号２</t>
  </si>
  <si>
    <t>karikata_no2</t>
    <phoneticPr fontId="5"/>
  </si>
  <si>
    <t>貸方番号１</t>
  </si>
  <si>
    <t>kashikata_no1</t>
    <phoneticPr fontId="5"/>
  </si>
  <si>
    <t>貸方番号２</t>
  </si>
  <si>
    <t>kashikata_no2</t>
    <phoneticPr fontId="5"/>
  </si>
  <si>
    <t>摘要</t>
  </si>
  <si>
    <t>tekiyo</t>
    <phoneticPr fontId="5"/>
  </si>
  <si>
    <t>取込年月</t>
  </si>
  <si>
    <t>torikomi_ym</t>
    <phoneticPr fontId="5"/>
  </si>
  <si>
    <t>売上計上日</t>
    <rPh sb="0" eb="2">
      <t>ウリアゲ</t>
    </rPh>
    <rPh sb="2" eb="5">
      <t>ケイジョウビ</t>
    </rPh>
    <phoneticPr fontId="36"/>
  </si>
  <si>
    <t>uriage_keijo_date</t>
    <phoneticPr fontId="5"/>
  </si>
  <si>
    <t>売上年月</t>
    <rPh sb="0" eb="2">
      <t>ウリアゲ</t>
    </rPh>
    <rPh sb="2" eb="3">
      <t>ネン</t>
    </rPh>
    <rPh sb="3" eb="4">
      <t>ツキ</t>
    </rPh>
    <phoneticPr fontId="36"/>
  </si>
  <si>
    <t>uriage_ym</t>
    <phoneticPr fontId="5"/>
  </si>
  <si>
    <t>国内海外ID</t>
    <rPh sb="0" eb="2">
      <t>コクナイ</t>
    </rPh>
    <rPh sb="2" eb="3">
      <t>ウミ</t>
    </rPh>
    <phoneticPr fontId="36"/>
  </si>
  <si>
    <t>kokunai_kaigai_id</t>
    <phoneticPr fontId="5"/>
  </si>
  <si>
    <t>当月本体金額</t>
    <rPh sb="0" eb="2">
      <t>トウゲツ</t>
    </rPh>
    <rPh sb="2" eb="4">
      <t>ホンタイ</t>
    </rPh>
    <rPh sb="4" eb="6">
      <t>キンガク</t>
    </rPh>
    <phoneticPr fontId="36"/>
  </si>
  <si>
    <t>togetsu_amount</t>
    <phoneticPr fontId="5"/>
  </si>
  <si>
    <t>当月売上税金</t>
    <rPh sb="0" eb="2">
      <t>トウゲツ</t>
    </rPh>
    <rPh sb="2" eb="4">
      <t>ウリアゲ</t>
    </rPh>
    <rPh sb="4" eb="6">
      <t>ゼイキン</t>
    </rPh>
    <phoneticPr fontId="36"/>
  </si>
  <si>
    <t>togetsu_uriage_tax</t>
    <phoneticPr fontId="5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</si>
  <si>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6"/>
  </si>
  <si>
    <t>togetsu_uriage_gokei</t>
    <phoneticPr fontId="5"/>
  </si>
  <si>
    <t>当月分回収予定日</t>
  </si>
  <si>
    <t>togetsu_kaishu_date</t>
    <phoneticPr fontId="5"/>
  </si>
  <si>
    <t>次月本体金額</t>
  </si>
  <si>
    <t>jigetsu_amount</t>
    <phoneticPr fontId="5"/>
  </si>
  <si>
    <t>次月売上税金</t>
  </si>
  <si>
    <t>jigetsu_uriage_tax</t>
    <phoneticPr fontId="5"/>
  </si>
  <si>
    <t>次月売上合計金額</t>
  </si>
  <si>
    <t>jigetsu_uriage_gokei</t>
    <phoneticPr fontId="5"/>
  </si>
  <si>
    <t>次月分回収予定日</t>
  </si>
  <si>
    <t>jigetsu_kaishu_date</t>
    <phoneticPr fontId="5"/>
  </si>
  <si>
    <t>外貨合計金額</t>
  </si>
  <si>
    <t>gaika_gokei</t>
    <phoneticPr fontId="5"/>
  </si>
  <si>
    <t>出力フラグ</t>
    <rPh sb="0" eb="2">
      <t>シュツリョク</t>
    </rPh>
    <phoneticPr fontId="36"/>
  </si>
  <si>
    <t>output_flg</t>
    <phoneticPr fontId="5"/>
  </si>
  <si>
    <t>当月売上金額</t>
    <rPh sb="2" eb="4">
      <t>ウリアゲ</t>
    </rPh>
    <phoneticPr fontId="5"/>
  </si>
  <si>
    <t>togetsu_uriage</t>
    <phoneticPr fontId="5"/>
  </si>
  <si>
    <t>次月売上金額</t>
    <rPh sb="2" eb="4">
      <t>ウリアゲ</t>
    </rPh>
    <phoneticPr fontId="5"/>
  </si>
  <si>
    <t>jigetsu_uriage</t>
    <phoneticPr fontId="5"/>
  </si>
  <si>
    <t>当月戻り金額</t>
    <phoneticPr fontId="5"/>
  </si>
  <si>
    <t>togetsu_modori</t>
    <phoneticPr fontId="5"/>
  </si>
  <si>
    <t>次月戻り金額</t>
    <phoneticPr fontId="5"/>
  </si>
  <si>
    <t>jigetsu_modori</t>
    <phoneticPr fontId="5"/>
  </si>
  <si>
    <t>当月値引き金額</t>
  </si>
  <si>
    <t>togetsu_nebiki</t>
    <phoneticPr fontId="5"/>
  </si>
  <si>
    <t>次月値引き金額</t>
  </si>
  <si>
    <t>jigetsu_nebiki</t>
    <phoneticPr fontId="5"/>
  </si>
  <si>
    <t>当月値追加金額</t>
  </si>
  <si>
    <t>togetsu_netsuika</t>
    <phoneticPr fontId="5"/>
  </si>
  <si>
    <t>次月値追加金額</t>
  </si>
  <si>
    <t>jigetsu_netsuika</t>
    <phoneticPr fontId="5"/>
  </si>
  <si>
    <t>当月税金</t>
  </si>
  <si>
    <t>次月税金</t>
  </si>
  <si>
    <t>外貨売上金額</t>
  </si>
  <si>
    <t>gaika_uriage</t>
    <phoneticPr fontId="5"/>
  </si>
  <si>
    <t>外貨戻り金額</t>
  </si>
  <si>
    <t>gaika_modori</t>
    <phoneticPr fontId="5"/>
  </si>
  <si>
    <t>外貨値引き金額</t>
  </si>
  <si>
    <t>gaika_nebiki</t>
    <phoneticPr fontId="5"/>
  </si>
  <si>
    <t>外貨値追加金額</t>
  </si>
  <si>
    <t>gaika_netsuika</t>
    <phoneticPr fontId="5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</si>
  <si>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</si>
  <si>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</si>
  <si>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</si>
  <si>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</si>
  <si>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</si>
  <si>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</si>
  <si>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</si>
  <si>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</si>
  <si>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</si>
  <si>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5"/>
  </si>
  <si>
    <t>rate</t>
    <phoneticPr fontId="5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</si>
  <si>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6"/>
  </si>
  <si>
    <t>itaku_sales_commission</t>
    <phoneticPr fontId="5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</si>
  <si>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6"/>
  </si>
  <si>
    <t>itaku_sales_commission_tax</t>
    <phoneticPr fontId="5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</si>
  <si>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6"/>
  </si>
  <si>
    <t>itaku_sales_commission_gokei</t>
    <phoneticPr fontId="5"/>
  </si>
  <si>
    <t>支払日（年月日）</t>
    <rPh sb="4" eb="7">
      <t>ネンガッピ</t>
    </rPh>
    <phoneticPr fontId="5"/>
  </si>
  <si>
    <t>shiharai_date</t>
    <phoneticPr fontId="5"/>
  </si>
  <si>
    <t>分類コード</t>
  </si>
  <si>
    <t>bunrui_cd</t>
    <phoneticPr fontId="5"/>
  </si>
  <si>
    <t>仕入年月</t>
    <phoneticPr fontId="5"/>
  </si>
  <si>
    <t>shiire_ym</t>
    <phoneticPr fontId="5"/>
  </si>
  <si>
    <t>分類名</t>
  </si>
  <si>
    <t>bunrui_nm</t>
    <phoneticPr fontId="5"/>
  </si>
  <si>
    <t>分類明細名</t>
  </si>
  <si>
    <t>bunrui_meisai_nm</t>
    <phoneticPr fontId="5"/>
  </si>
  <si>
    <t>支払予定本体</t>
  </si>
  <si>
    <t>shiharai_hontai</t>
    <phoneticPr fontId="5"/>
  </si>
  <si>
    <t>支払予定税金</t>
  </si>
  <si>
    <t>shiharai_tax</t>
    <phoneticPr fontId="5"/>
  </si>
  <si>
    <t>支払予定非課税</t>
  </si>
  <si>
    <t>shiharai_tax_ex</t>
    <phoneticPr fontId="5"/>
  </si>
  <si>
    <t>支払調整本体</t>
  </si>
  <si>
    <t>shiharai_chosei_hontai</t>
    <phoneticPr fontId="5"/>
  </si>
  <si>
    <t>支払調整税金</t>
    <rPh sb="0" eb="2">
      <t>シハラ</t>
    </rPh>
    <phoneticPr fontId="5"/>
  </si>
  <si>
    <t>shiharai_chosei_tax</t>
    <phoneticPr fontId="5"/>
  </si>
  <si>
    <t>支払相殺済</t>
  </si>
  <si>
    <t>shiharai_sosai</t>
    <phoneticPr fontId="5"/>
  </si>
  <si>
    <t>支払予定金額</t>
  </si>
  <si>
    <t>shiharai_amount</t>
    <phoneticPr fontId="5"/>
  </si>
  <si>
    <t>集計行フラグ</t>
    <rPh sb="0" eb="3">
      <t>シュウケイギョウ</t>
    </rPh>
    <phoneticPr fontId="36"/>
  </si>
  <si>
    <t>shukei_flg</t>
    <phoneticPr fontId="5"/>
  </si>
  <si>
    <t>shiire_shime_ym</t>
    <phoneticPr fontId="5"/>
  </si>
  <si>
    <t>その他売上№</t>
    <rPh sb="2" eb="3">
      <t>タ</t>
    </rPh>
    <rPh sb="3" eb="5">
      <t>ウリアゲ</t>
    </rPh>
    <phoneticPr fontId="5"/>
  </si>
  <si>
    <t>sonota_uriage_no</t>
    <phoneticPr fontId="5"/>
  </si>
  <si>
    <t>指図日</t>
  </si>
  <si>
    <t>sashizu_date</t>
    <phoneticPr fontId="5"/>
  </si>
  <si>
    <t>担当識別区分</t>
    <rPh sb="4" eb="6">
      <t>クブン</t>
    </rPh>
    <phoneticPr fontId="5"/>
  </si>
  <si>
    <t>tanto_shikibetsu_kbn</t>
    <phoneticPr fontId="5"/>
  </si>
  <si>
    <t>得意先締日区分</t>
    <rPh sb="5" eb="7">
      <t>クブン</t>
    </rPh>
    <phoneticPr fontId="5"/>
  </si>
  <si>
    <t>tokuisaki_shimebi_kbn</t>
    <phoneticPr fontId="5"/>
  </si>
  <si>
    <t>得意先国内海外区分</t>
  </si>
  <si>
    <t>tokuisaki_kokunai_kaigai_kbn</t>
    <phoneticPr fontId="5"/>
  </si>
  <si>
    <t>売上区分</t>
    <rPh sb="0" eb="2">
      <t>ウリアゲ</t>
    </rPh>
    <rPh sb="2" eb="4">
      <t>クブン</t>
    </rPh>
    <phoneticPr fontId="20"/>
  </si>
  <si>
    <t>uriage_kbn</t>
    <phoneticPr fontId="5"/>
  </si>
  <si>
    <t>売上区分内容</t>
    <rPh sb="0" eb="2">
      <t>ウリアゲ</t>
    </rPh>
    <rPh sb="2" eb="4">
      <t>クブン</t>
    </rPh>
    <rPh sb="4" eb="6">
      <t>ナイヨウ</t>
    </rPh>
    <phoneticPr fontId="20"/>
  </si>
  <si>
    <t>uriage_kbn_naiyo</t>
    <phoneticPr fontId="5"/>
  </si>
  <si>
    <t>円貨金額</t>
  </si>
  <si>
    <t>enka_amount</t>
    <phoneticPr fontId="5"/>
  </si>
  <si>
    <t>https://tomari.org/main/java/hebon.html</t>
    <phoneticPr fontId="28"/>
  </si>
  <si>
    <t>更新機能コード</t>
  </si>
  <si>
    <t>shizai_seikyu_no</t>
    <phoneticPr fontId="5"/>
  </si>
  <si>
    <t>seikyu_kotei _cd</t>
    <phoneticPr fontId="5"/>
  </si>
  <si>
    <t>seikyu_tantosya_nm</t>
    <phoneticPr fontId="5"/>
  </si>
  <si>
    <t>shonin_jokyo</t>
    <phoneticPr fontId="5"/>
  </si>
  <si>
    <t>shinsei_riyu</t>
    <phoneticPr fontId="5"/>
  </si>
  <si>
    <t>発注状況</t>
    <rPh sb="0" eb="2">
      <t>ハッチュウ</t>
    </rPh>
    <rPh sb="2" eb="4">
      <t>ジョウキョウ</t>
    </rPh>
    <phoneticPr fontId="38"/>
  </si>
  <si>
    <t>納入先名</t>
    <rPh sb="0" eb="3">
      <t>ノウニュウサキ</t>
    </rPh>
    <rPh sb="3" eb="4">
      <t>メイ</t>
    </rPh>
    <phoneticPr fontId="37"/>
  </si>
  <si>
    <t>希望納期</t>
    <rPh sb="0" eb="2">
      <t>キボウ</t>
    </rPh>
    <rPh sb="2" eb="4">
      <t>ノウキ</t>
    </rPh>
    <phoneticPr fontId="37"/>
  </si>
  <si>
    <t>最短納期フラグ</t>
    <rPh sb="0" eb="4">
      <t>サイタンノウキ</t>
    </rPh>
    <phoneticPr fontId="37"/>
  </si>
  <si>
    <t>分類</t>
    <rPh sb="0" eb="2">
      <t>ブンルイ</t>
    </rPh>
    <phoneticPr fontId="37"/>
  </si>
  <si>
    <t>寸法</t>
    <rPh sb="0" eb="2">
      <t>スンポウ</t>
    </rPh>
    <phoneticPr fontId="37"/>
  </si>
  <si>
    <t>数量単位コード</t>
    <rPh sb="0" eb="2">
      <t>スウリョウ</t>
    </rPh>
    <rPh sb="2" eb="4">
      <t>タンイ</t>
    </rPh>
    <phoneticPr fontId="37"/>
  </si>
  <si>
    <t>連絡事項</t>
    <rPh sb="0" eb="4">
      <t>レンラクジコウ</t>
    </rPh>
    <phoneticPr fontId="37"/>
  </si>
  <si>
    <t>変更項目</t>
    <rPh sb="0" eb="2">
      <t>ヘンコウ</t>
    </rPh>
    <rPh sb="2" eb="4">
      <t>コウモク</t>
    </rPh>
    <phoneticPr fontId="37"/>
  </si>
  <si>
    <t>変更内容</t>
    <rPh sb="0" eb="4">
      <t>ヘンコウナイヨウ</t>
    </rPh>
    <phoneticPr fontId="37"/>
  </si>
  <si>
    <t>仮登録フラグ</t>
    <rPh sb="0" eb="3">
      <t>カリトウロク</t>
    </rPh>
    <phoneticPr fontId="37"/>
  </si>
  <si>
    <t>発注主幹部署コード</t>
    <rPh sb="0" eb="2">
      <t>ハッチュウ</t>
    </rPh>
    <phoneticPr fontId="37"/>
  </si>
  <si>
    <t>発注主幹工程コード</t>
    <rPh sb="0" eb="2">
      <t>ハッチュウ</t>
    </rPh>
    <rPh sb="2" eb="4">
      <t>シュカン</t>
    </rPh>
    <rPh sb="4" eb="6">
      <t>コウテイ</t>
    </rPh>
    <phoneticPr fontId="37"/>
  </si>
  <si>
    <t>hatchu_jokyo</t>
    <phoneticPr fontId="5"/>
  </si>
  <si>
    <t>nounyusaki_flg</t>
    <phoneticPr fontId="5"/>
  </si>
  <si>
    <t>nounyusaki_nm</t>
    <phoneticPr fontId="5"/>
  </si>
  <si>
    <t>kibo_noki</t>
    <phoneticPr fontId="5"/>
  </si>
  <si>
    <t>saitan_noki_flg</t>
    <phoneticPr fontId="5"/>
  </si>
  <si>
    <t>bunrui</t>
    <phoneticPr fontId="5"/>
  </si>
  <si>
    <t>sumpo</t>
    <phoneticPr fontId="5"/>
  </si>
  <si>
    <t>before_qty</t>
    <phoneticPr fontId="5"/>
  </si>
  <si>
    <t>before_qty_unit</t>
    <phoneticPr fontId="5"/>
  </si>
  <si>
    <t>qty_unit</t>
    <phoneticPr fontId="5"/>
  </si>
  <si>
    <t>renraku_jiko</t>
    <phoneticPr fontId="5"/>
  </si>
  <si>
    <t>henko_komoku</t>
    <phoneticPr fontId="5"/>
  </si>
  <si>
    <t>henko_naiyo</t>
    <phoneticPr fontId="5"/>
  </si>
  <si>
    <t>henko_flg</t>
    <phoneticPr fontId="5"/>
  </si>
  <si>
    <t>変更フラグ</t>
    <rPh sb="0" eb="2">
      <t>ヘンコウ</t>
    </rPh>
    <phoneticPr fontId="37"/>
  </si>
  <si>
    <t>kari_insert_flg</t>
    <phoneticPr fontId="5"/>
  </si>
  <si>
    <t>hatchu_shukan_busho_cd</t>
    <phoneticPr fontId="5"/>
  </si>
  <si>
    <t>hatchu_shukan_kotei_cd</t>
    <phoneticPr fontId="5"/>
  </si>
  <si>
    <t>saishu_shonin_flg</t>
    <phoneticPr fontId="5"/>
  </si>
  <si>
    <t>chodori_kbn</t>
    <phoneticPr fontId="5"/>
  </si>
  <si>
    <t>バイナリ</t>
  </si>
  <si>
    <t>VARBINARY(MAX)</t>
  </si>
  <si>
    <t>添付ファイル</t>
    <rPh sb="0" eb="2">
      <t>テンプ</t>
    </rPh>
    <phoneticPr fontId="5"/>
  </si>
  <si>
    <t>添付ファイル名</t>
    <rPh sb="0" eb="2">
      <t>テンプ</t>
    </rPh>
    <rPh sb="6" eb="7">
      <t>メイ</t>
    </rPh>
    <phoneticPr fontId="5"/>
  </si>
  <si>
    <t>添付ファイルSEQ</t>
    <rPh sb="0" eb="2">
      <t>テンプ</t>
    </rPh>
    <phoneticPr fontId="5"/>
  </si>
  <si>
    <t>attach_file_seq</t>
    <phoneticPr fontId="5"/>
  </si>
  <si>
    <t>attach_file_name</t>
    <phoneticPr fontId="5"/>
  </si>
  <si>
    <t>attach_file</t>
    <phoneticPr fontId="5"/>
  </si>
  <si>
    <t>注文書ダウンロード日</t>
    <rPh sb="0" eb="3">
      <t>チュウモンショ</t>
    </rPh>
    <rPh sb="9" eb="10">
      <t>ビ</t>
    </rPh>
    <phoneticPr fontId="5"/>
  </si>
  <si>
    <t>資材請求明細SEQ</t>
    <rPh sb="0" eb="2">
      <t>シザイ</t>
    </rPh>
    <rPh sb="2" eb="4">
      <t>セイキュウ</t>
    </rPh>
    <phoneticPr fontId="5"/>
  </si>
  <si>
    <t>shizai_seikyu_meisai_seq</t>
    <phoneticPr fontId="5"/>
  </si>
  <si>
    <t>seikyu_date</t>
    <phoneticPr fontId="5"/>
  </si>
  <si>
    <t>hatchu_no</t>
    <phoneticPr fontId="5"/>
  </si>
  <si>
    <t>chumonsho_download_date</t>
    <phoneticPr fontId="5"/>
  </si>
  <si>
    <t>setsubi_flg</t>
    <phoneticPr fontId="5"/>
  </si>
  <si>
    <t>before_kibo_noki</t>
    <phoneticPr fontId="5"/>
  </si>
  <si>
    <t>発注明細SEQ</t>
    <rPh sb="0" eb="2">
      <t>ハッチュウ</t>
    </rPh>
    <rPh sb="2" eb="4">
      <t>メイサイ</t>
    </rPh>
    <phoneticPr fontId="5"/>
  </si>
  <si>
    <t>hatchu_meisai_no</t>
    <phoneticPr fontId="5"/>
  </si>
  <si>
    <t>gyousya_cd</t>
    <phoneticPr fontId="5"/>
  </si>
  <si>
    <t>gyousya_nm</t>
    <phoneticPr fontId="5"/>
  </si>
  <si>
    <t>gyosya_tantosya_nm</t>
    <phoneticPr fontId="5"/>
  </si>
  <si>
    <t>hikitorisaki_gyosha_cd</t>
    <phoneticPr fontId="5"/>
  </si>
  <si>
    <t>hatchu_date</t>
    <phoneticPr fontId="5"/>
  </si>
  <si>
    <t>shiire_no</t>
    <phoneticPr fontId="5"/>
  </si>
  <si>
    <t>shiire_meisai_seq</t>
    <phoneticPr fontId="5"/>
  </si>
  <si>
    <t>hatchu_zan</t>
    <phoneticPr fontId="5"/>
  </si>
  <si>
    <t>hatchu_zenryo_flg</t>
    <phoneticPr fontId="5"/>
  </si>
  <si>
    <t>t_shizai_seikyu</t>
    <phoneticPr fontId="5"/>
  </si>
  <si>
    <t>t_shizai_seikyu_meisai</t>
    <phoneticPr fontId="5"/>
  </si>
  <si>
    <t>t_shizai_seikyu_attach_file</t>
    <phoneticPr fontId="5"/>
  </si>
  <si>
    <t>t_hatchu</t>
    <phoneticPr fontId="5"/>
  </si>
  <si>
    <t>t_hatchu_meisai</t>
    <phoneticPr fontId="5"/>
  </si>
  <si>
    <t>t_hachu_renraku_jiko</t>
    <phoneticPr fontId="5"/>
  </si>
  <si>
    <t>t_shiire</t>
    <phoneticPr fontId="5"/>
  </si>
  <si>
    <t>t_shiire_meisai</t>
    <phoneticPr fontId="5"/>
  </si>
  <si>
    <t>kosu</t>
    <phoneticPr fontId="5"/>
  </si>
  <si>
    <t>yoki</t>
    <phoneticPr fontId="5"/>
  </si>
  <si>
    <t>yoryo_kg</t>
    <phoneticPr fontId="5"/>
  </si>
  <si>
    <t>chodori_group</t>
    <phoneticPr fontId="5"/>
  </si>
  <si>
    <t>irisu_unit</t>
    <phoneticPr fontId="5"/>
  </si>
  <si>
    <t>摘要１</t>
    <phoneticPr fontId="5"/>
  </si>
  <si>
    <t>摘要２</t>
  </si>
  <si>
    <t>摘要３</t>
  </si>
  <si>
    <t>摘要４</t>
  </si>
  <si>
    <t>摘要５</t>
  </si>
  <si>
    <t>摘要６</t>
  </si>
  <si>
    <t>摘要７</t>
  </si>
  <si>
    <t>摘要８</t>
  </si>
  <si>
    <t>摘要９</t>
  </si>
  <si>
    <t>shipping_mark</t>
    <phoneticPr fontId="5"/>
  </si>
  <si>
    <t>tekiyo1</t>
    <phoneticPr fontId="5"/>
  </si>
  <si>
    <t>tekiyo2</t>
  </si>
  <si>
    <t>tekiyo3</t>
  </si>
  <si>
    <t>tekiyo4</t>
  </si>
  <si>
    <t>tekiyo5</t>
  </si>
  <si>
    <t>tekiyo6</t>
  </si>
  <si>
    <t>tekiyo7</t>
  </si>
  <si>
    <t>tekiyo8</t>
  </si>
  <si>
    <t>tekiyo9</t>
  </si>
  <si>
    <t>仕入明細SEQ</t>
    <rPh sb="0" eb="2">
      <t>シイレ</t>
    </rPh>
    <rPh sb="2" eb="4">
      <t>メイサイ</t>
    </rPh>
    <phoneticPr fontId="5"/>
  </si>
  <si>
    <t>hokan_saki_cd</t>
    <phoneticPr fontId="5"/>
  </si>
  <si>
    <t>hokan_saki_nm</t>
    <phoneticPr fontId="5"/>
  </si>
  <si>
    <t>納入状態</t>
    <rPh sb="0" eb="2">
      <t>ノウニュウ</t>
    </rPh>
    <rPh sb="2" eb="4">
      <t>ジョウタイ</t>
    </rPh>
    <phoneticPr fontId="19"/>
  </si>
  <si>
    <t>seikyu_busho_cd</t>
    <phoneticPr fontId="5"/>
  </si>
  <si>
    <t>消費税額</t>
  </si>
  <si>
    <t>nonyu_jotai</t>
    <phoneticPr fontId="5"/>
  </si>
  <si>
    <t>ukeire_suryo</t>
    <phoneticPr fontId="5"/>
  </si>
  <si>
    <t>kosu_atari_suryo</t>
    <phoneticPr fontId="5"/>
  </si>
  <si>
    <t>kosu_atari_juryo</t>
    <phoneticPr fontId="5"/>
  </si>
  <si>
    <t>tanka_gai</t>
    <phoneticPr fontId="5"/>
  </si>
  <si>
    <t>amount_gai</t>
    <phoneticPr fontId="5"/>
  </si>
  <si>
    <t>shiirei_lot_no</t>
    <phoneticPr fontId="5"/>
  </si>
  <si>
    <t>伝票区分</t>
    <rPh sb="0" eb="2">
      <t>デンピョウ</t>
    </rPh>
    <rPh sb="2" eb="4">
      <t>クブン</t>
    </rPh>
    <phoneticPr fontId="9"/>
  </si>
  <si>
    <t>denpyo_kbn</t>
    <phoneticPr fontId="5"/>
  </si>
  <si>
    <t>gentan_nm</t>
    <phoneticPr fontId="5"/>
  </si>
  <si>
    <t>支払分類コード</t>
    <rPh sb="0" eb="2">
      <t>シハラ</t>
    </rPh>
    <phoneticPr fontId="5"/>
  </si>
  <si>
    <t>支払分類明細コード</t>
    <rPh sb="0" eb="2">
      <t>シハライ</t>
    </rPh>
    <phoneticPr fontId="5"/>
  </si>
  <si>
    <t>shiharai_bunrui_cd</t>
    <phoneticPr fontId="5"/>
  </si>
  <si>
    <t>shiharai_bunrui_meisai_cd</t>
    <phoneticPr fontId="5"/>
  </si>
  <si>
    <t>teisei_seq</t>
    <phoneticPr fontId="5"/>
  </si>
  <si>
    <t>teisei_moto_shiire_no</t>
    <phoneticPr fontId="5"/>
  </si>
  <si>
    <t>teisei_moto_shiire_meisai_seq</t>
    <phoneticPr fontId="5"/>
  </si>
  <si>
    <t>購入原紙のみ 製品:1, その他:0</t>
    <rPh sb="0" eb="4">
      <t>コウニュウゲンシ</t>
    </rPh>
    <rPh sb="7" eb="9">
      <t>セイヒン</t>
    </rPh>
    <rPh sb="15" eb="16">
      <t>タ</t>
    </rPh>
    <phoneticPr fontId="5"/>
  </si>
  <si>
    <t>seihin_flg</t>
    <phoneticPr fontId="5"/>
  </si>
  <si>
    <t>業務№</t>
    <rPh sb="0" eb="2">
      <t>ギョウム</t>
    </rPh>
    <phoneticPr fontId="9"/>
  </si>
  <si>
    <t>業明細SEQ</t>
    <rPh sb="0" eb="1">
      <t>ギョウ</t>
    </rPh>
    <rPh sb="1" eb="3">
      <t>メイサイ</t>
    </rPh>
    <phoneticPr fontId="5"/>
  </si>
  <si>
    <t>発注№、受注№</t>
    <rPh sb="0" eb="2">
      <t>ハッチュウ</t>
    </rPh>
    <rPh sb="4" eb="6">
      <t>ジュチュウ</t>
    </rPh>
    <phoneticPr fontId="5"/>
  </si>
  <si>
    <t>gyomu_no</t>
    <phoneticPr fontId="5"/>
  </si>
  <si>
    <t>gyomu_meisai_no</t>
    <phoneticPr fontId="5"/>
  </si>
  <si>
    <t>訂正_flg</t>
    <rPh sb="0" eb="2">
      <t>テイセイ</t>
    </rPh>
    <phoneticPr fontId="5"/>
  </si>
  <si>
    <t>製品番号</t>
  </si>
  <si>
    <t>品名</t>
  </si>
  <si>
    <t>調整フラグ</t>
    <phoneticPr fontId="5"/>
  </si>
  <si>
    <t>調整_SEQ</t>
    <phoneticPr fontId="5"/>
  </si>
  <si>
    <t>調整元伝仕入№</t>
    <phoneticPr fontId="9"/>
  </si>
  <si>
    <t>調整元仕入明細Seq</t>
    <phoneticPr fontId="9"/>
  </si>
  <si>
    <t>ここから</t>
    <phoneticPr fontId="5"/>
  </si>
  <si>
    <t>通貨コード</t>
    <rPh sb="0" eb="2">
      <t>ツウカ</t>
    </rPh>
    <phoneticPr fontId="5"/>
  </si>
  <si>
    <t>金額</t>
    <rPh sb="0" eb="2">
      <t>キンガク</t>
    </rPh>
    <phoneticPr fontId="5"/>
  </si>
  <si>
    <t>区分マスタ.資材分類</t>
    <phoneticPr fontId="5"/>
  </si>
  <si>
    <t>区分マスタ.発注状況</t>
    <phoneticPr fontId="5"/>
  </si>
  <si>
    <t>区分マスタ.承認状況</t>
    <phoneticPr fontId="5"/>
  </si>
  <si>
    <t>時間指定事項</t>
    <rPh sb="0" eb="2">
      <t>ジカン</t>
    </rPh>
    <rPh sb="2" eb="4">
      <t>シテイ</t>
    </rPh>
    <rPh sb="4" eb="6">
      <t>ジコウ</t>
    </rPh>
    <phoneticPr fontId="5"/>
  </si>
  <si>
    <t>仕様特記事項</t>
    <rPh sb="0" eb="2">
      <t>シヨウ</t>
    </rPh>
    <rPh sb="2" eb="4">
      <t>トッキ</t>
    </rPh>
    <rPh sb="4" eb="6">
      <t>ジコウ</t>
    </rPh>
    <phoneticPr fontId="5"/>
  </si>
  <si>
    <t>資材のみ使用</t>
    <rPh sb="0" eb="2">
      <t>シザイ</t>
    </rPh>
    <rPh sb="4" eb="6">
      <t>シヨウ</t>
    </rPh>
    <phoneticPr fontId="5"/>
  </si>
  <si>
    <t>time_tokijiko</t>
    <phoneticPr fontId="5"/>
  </si>
  <si>
    <t>spec_tokijiko</t>
    <phoneticPr fontId="5"/>
  </si>
  <si>
    <t>tokijiko</t>
    <phoneticPr fontId="5"/>
  </si>
  <si>
    <t>資材請求情報（ヘッダ）</t>
  </si>
  <si>
    <t>資材請求№</t>
  </si>
  <si>
    <t>shizai_seikyu_no</t>
  </si>
  <si>
    <t>請求部署コード</t>
  </si>
  <si>
    <t>seikyu_busho_cd</t>
  </si>
  <si>
    <t>請求工程コード</t>
  </si>
  <si>
    <t>seikyu_kotei _cd</t>
  </si>
  <si>
    <t>seikyu_tantosya_nm</t>
  </si>
  <si>
    <t>請求日</t>
  </si>
  <si>
    <t>seikyu_date</t>
  </si>
  <si>
    <t>承認状況</t>
  </si>
  <si>
    <t>shonin_jokyo</t>
  </si>
  <si>
    <t>申請理由</t>
  </si>
  <si>
    <t>shinsei_riyu</t>
  </si>
  <si>
    <t>主幹部署コード</t>
  </si>
  <si>
    <t>主幹工程コード</t>
  </si>
  <si>
    <t>登録機能コード</t>
  </si>
  <si>
    <t>資材請求明細情報</t>
  </si>
  <si>
    <t>資材請求明細SEQ</t>
  </si>
  <si>
    <t>shizai_seikyu_meisai_seq</t>
  </si>
  <si>
    <t>発注状況</t>
  </si>
  <si>
    <t>hatchu_jokyo</t>
  </si>
  <si>
    <t>納入先コード</t>
  </si>
  <si>
    <t>nonyusaki_cd</t>
  </si>
  <si>
    <t>納入先名</t>
  </si>
  <si>
    <t>nounyusaki_nm</t>
  </si>
  <si>
    <t>変更前希望納期</t>
  </si>
  <si>
    <t>before_kibo_noki</t>
  </si>
  <si>
    <t>希望納期</t>
  </si>
  <si>
    <t>kibo_noki</t>
  </si>
  <si>
    <t>最短納期フラグ</t>
  </si>
  <si>
    <t>saitan_noki_flg</t>
  </si>
  <si>
    <t>分類</t>
  </si>
  <si>
    <t>bunrui</t>
  </si>
  <si>
    <t>寸法</t>
  </si>
  <si>
    <t>sumpo</t>
  </si>
  <si>
    <t>丁取グループ</t>
  </si>
  <si>
    <t>chodori_group</t>
  </si>
  <si>
    <t>変更前数量</t>
  </si>
  <si>
    <t>before_qty</t>
  </si>
  <si>
    <t>変更前数量単位</t>
  </si>
  <si>
    <t>before_qty_unit</t>
  </si>
  <si>
    <t>数量</t>
  </si>
  <si>
    <t>数量単位</t>
  </si>
  <si>
    <t>備考</t>
  </si>
  <si>
    <t>連絡事項</t>
  </si>
  <si>
    <t>renraku_jiko</t>
  </si>
  <si>
    <t>承認順</t>
  </si>
  <si>
    <t>変更項目</t>
  </si>
  <si>
    <t>henko_komoku</t>
  </si>
  <si>
    <t>変更内容</t>
  </si>
  <si>
    <t>henko_naiyo</t>
  </si>
  <si>
    <t>変更フラグ</t>
  </si>
  <si>
    <t>henko_flg</t>
  </si>
  <si>
    <t>発注主幹部署コード</t>
  </si>
  <si>
    <t>hatchu_shukan_busho_cd</t>
  </si>
  <si>
    <t>発注主幹工程コード</t>
  </si>
  <si>
    <t>hatchu_shukan_kotei_cd</t>
  </si>
  <si>
    <t>資材請求添付ファイル情報</t>
  </si>
  <si>
    <t>添付ファイルSEQ</t>
  </si>
  <si>
    <t>attach_file_seq</t>
  </si>
  <si>
    <t>添付ファイル名</t>
  </si>
  <si>
    <t>attach_file_name</t>
  </si>
  <si>
    <t>添付ファイル</t>
  </si>
  <si>
    <t>attach_file</t>
  </si>
  <si>
    <t>発注情報（ヘッダ）</t>
  </si>
  <si>
    <t>発注№</t>
  </si>
  <si>
    <t>hatchu_no</t>
  </si>
  <si>
    <t>業者/注文先コード</t>
  </si>
  <si>
    <t>gyousya_cd</t>
  </si>
  <si>
    <t>業者/注文先</t>
  </si>
  <si>
    <t>gyousya_nm</t>
  </si>
  <si>
    <t>業者/注文先担当者</t>
  </si>
  <si>
    <t>gyosya_tantosya_nm</t>
  </si>
  <si>
    <t>発注日</t>
  </si>
  <si>
    <t>hatchu_date</t>
  </si>
  <si>
    <t>注文書ダウンロード日</t>
  </si>
  <si>
    <t>chumonsho_download_date</t>
  </si>
  <si>
    <t>発注明細情報</t>
  </si>
  <si>
    <t>発注明細SEQ</t>
  </si>
  <si>
    <t>hatchu_meisai_no</t>
  </si>
  <si>
    <t>設備フラグ</t>
  </si>
  <si>
    <t>仕入№</t>
  </si>
  <si>
    <t>shiire_no</t>
  </si>
  <si>
    <t>仕入明細SEQ</t>
  </si>
  <si>
    <t>shiire_meisai_seq</t>
  </si>
  <si>
    <t>表示順</t>
  </si>
  <si>
    <t>発注全量フラグ</t>
  </si>
  <si>
    <t>hatchu_zenryo_flg</t>
  </si>
  <si>
    <t>発注残</t>
  </si>
  <si>
    <t>hatchu_zan</t>
  </si>
  <si>
    <t>個数</t>
  </si>
  <si>
    <t>kosu</t>
  </si>
  <si>
    <t>容器</t>
  </si>
  <si>
    <t>yoki</t>
  </si>
  <si>
    <t>容量(kg)</t>
  </si>
  <si>
    <t>yoryo_kg</t>
  </si>
  <si>
    <t>数量単位コード</t>
  </si>
  <si>
    <t>単価</t>
  </si>
  <si>
    <t>unit_price</t>
  </si>
  <si>
    <t>単価単位</t>
  </si>
  <si>
    <t>unit_price_unit</t>
  </si>
  <si>
    <t>通貨コード</t>
  </si>
  <si>
    <t>坪量</t>
  </si>
  <si>
    <t>幅</t>
  </si>
  <si>
    <t>長さ</t>
  </si>
  <si>
    <t>連量</t>
  </si>
  <si>
    <t>入数</t>
  </si>
  <si>
    <t>入数単位</t>
  </si>
  <si>
    <t>irisu_unit</t>
  </si>
  <si>
    <t>本数</t>
  </si>
  <si>
    <t>amount</t>
  </si>
  <si>
    <t>シッピングマーク</t>
  </si>
  <si>
    <t>shipping_mark</t>
  </si>
  <si>
    <t>購入原紙特記事項</t>
  </si>
  <si>
    <t>tokijiko</t>
  </si>
  <si>
    <t>時間指定事項</t>
  </si>
  <si>
    <t>time_tokijiko</t>
  </si>
  <si>
    <t>仕様特記事項</t>
  </si>
  <si>
    <t>spec_tokijiko</t>
  </si>
  <si>
    <t>発注摘要.連絡情報</t>
  </si>
  <si>
    <t>摘要１</t>
  </si>
  <si>
    <t>tekiyo1</t>
  </si>
  <si>
    <t>仕入情報（ヘッダ）</t>
  </si>
  <si>
    <t>業者コード</t>
  </si>
  <si>
    <t>業者名</t>
  </si>
  <si>
    <t>支払日</t>
  </si>
  <si>
    <t>納入日</t>
  </si>
  <si>
    <t>nonyu_date</t>
  </si>
  <si>
    <t>調整フラグ</t>
  </si>
  <si>
    <t>訂正_flg</t>
  </si>
  <si>
    <t>仕入締め年月</t>
  </si>
  <si>
    <t>shiire_shime_ym</t>
  </si>
  <si>
    <t>仕入明細情報</t>
  </si>
  <si>
    <t>業務№</t>
  </si>
  <si>
    <t>gyomu_no</t>
  </si>
  <si>
    <t>業明細SEQ</t>
  </si>
  <si>
    <t>gyomu_meisai_no</t>
  </si>
  <si>
    <t>製品フラグ</t>
  </si>
  <si>
    <t>保管先コード</t>
  </si>
  <si>
    <t>hokan_saki_cd</t>
  </si>
  <si>
    <t>hokan_saki_nm</t>
  </si>
  <si>
    <t>納入状態</t>
  </si>
  <si>
    <t>受入数量</t>
  </si>
  <si>
    <t>ukeire_suryo</t>
  </si>
  <si>
    <t>tax</t>
  </si>
  <si>
    <t>kosu_unit</t>
  </si>
  <si>
    <t>kosu_atari_suryo</t>
  </si>
  <si>
    <t>kosu_atari_juryo</t>
  </si>
  <si>
    <t>単価(外）</t>
  </si>
  <si>
    <t>tanka_gai</t>
  </si>
  <si>
    <t>２</t>
  </si>
  <si>
    <t>金額(外)</t>
  </si>
  <si>
    <t>amount_gai</t>
  </si>
  <si>
    <t>rate</t>
  </si>
  <si>
    <t>shiirei_lot_no</t>
  </si>
  <si>
    <t>支払分類コード</t>
  </si>
  <si>
    <t>shiharai_bunrui_cd</t>
  </si>
  <si>
    <t>支払分類明細コード</t>
  </si>
  <si>
    <t>shiharai_bunrui_meisai_cd</t>
  </si>
  <si>
    <t>gentan_nm</t>
  </si>
  <si>
    <t>原反ロット№</t>
  </si>
  <si>
    <t>伝票区分</t>
  </si>
  <si>
    <t>denpyo_kbn</t>
  </si>
  <si>
    <t>仕入調整情報</t>
  </si>
  <si>
    <t>調整_SEQ</t>
  </si>
  <si>
    <t>teisei_seq</t>
  </si>
  <si>
    <t>調整元伝仕入№</t>
  </si>
  <si>
    <t>teisei_moto_shiire_no</t>
  </si>
  <si>
    <t>調整元仕入明細Seq</t>
  </si>
  <si>
    <t>teisei_moto_shiire_meisai_seq</t>
  </si>
  <si>
    <t>業務№</t>
    <phoneticPr fontId="5"/>
  </si>
  <si>
    <t>承認状況</t>
    <phoneticPr fontId="5"/>
  </si>
  <si>
    <t>資材請求№</t>
    <phoneticPr fontId="5"/>
  </si>
  <si>
    <t>varchar</t>
    <phoneticPr fontId="5"/>
  </si>
  <si>
    <t>請求部署コード</t>
    <phoneticPr fontId="5"/>
  </si>
  <si>
    <t>請求工程コード</t>
    <phoneticPr fontId="5"/>
  </si>
  <si>
    <t>請求担当</t>
    <phoneticPr fontId="5"/>
  </si>
  <si>
    <t>請求日</t>
    <phoneticPr fontId="5"/>
  </si>
  <si>
    <t>日付</t>
    <phoneticPr fontId="5"/>
  </si>
  <si>
    <t>datetime</t>
    <phoneticPr fontId="5"/>
  </si>
  <si>
    <t>申請理由</t>
    <phoneticPr fontId="5"/>
  </si>
  <si>
    <t>shukan_busho_cd</t>
    <phoneticPr fontId="5"/>
  </si>
  <si>
    <t>shukan_kotei_cd</t>
    <phoneticPr fontId="5"/>
  </si>
  <si>
    <t>登録機能コード</t>
    <phoneticPr fontId="5"/>
  </si>
  <si>
    <t>insert_func_cd</t>
    <phoneticPr fontId="5"/>
  </si>
  <si>
    <t>insert_user_cd</t>
    <phoneticPr fontId="5"/>
  </si>
  <si>
    <t>insert_datetime</t>
    <phoneticPr fontId="5"/>
  </si>
  <si>
    <t>更新機能コード</t>
    <phoneticPr fontId="5"/>
  </si>
  <si>
    <t>update_func_cd</t>
    <phoneticPr fontId="5"/>
  </si>
  <si>
    <t>update_user_cd</t>
    <phoneticPr fontId="5"/>
  </si>
  <si>
    <t>update_datetime</t>
    <phoneticPr fontId="5"/>
  </si>
  <si>
    <t>数値</t>
    <phoneticPr fontId="5"/>
  </si>
  <si>
    <t>numeric</t>
    <phoneticPr fontId="5"/>
  </si>
  <si>
    <t>納入先コード</t>
    <phoneticPr fontId="5"/>
  </si>
  <si>
    <t>nonyusaki_cd</t>
    <phoneticPr fontId="5"/>
  </si>
  <si>
    <t>納入先名</t>
    <phoneticPr fontId="5"/>
  </si>
  <si>
    <t>変更前希望納期</t>
    <phoneticPr fontId="5"/>
  </si>
  <si>
    <t>希望納期</t>
    <phoneticPr fontId="5"/>
  </si>
  <si>
    <t>最短納期フラグ</t>
    <phoneticPr fontId="5"/>
  </si>
  <si>
    <t>分類</t>
    <phoneticPr fontId="5"/>
  </si>
  <si>
    <t>seihin_no</t>
    <phoneticPr fontId="5"/>
  </si>
  <si>
    <t>hinshu_cd</t>
    <phoneticPr fontId="5"/>
  </si>
  <si>
    <t>品名</t>
    <phoneticPr fontId="5"/>
  </si>
  <si>
    <t>hinmei</t>
    <phoneticPr fontId="5"/>
  </si>
  <si>
    <t>寸法</t>
    <phoneticPr fontId="5"/>
  </si>
  <si>
    <t>丁取グループ</t>
    <phoneticPr fontId="5"/>
  </si>
  <si>
    <t>仕様</t>
    <phoneticPr fontId="5"/>
  </si>
  <si>
    <t xml:space="preserve">spec </t>
    <phoneticPr fontId="5"/>
  </si>
  <si>
    <t>変更前数量</t>
    <phoneticPr fontId="5"/>
  </si>
  <si>
    <t>変更前数量単位</t>
    <phoneticPr fontId="5"/>
  </si>
  <si>
    <t>数量</t>
    <phoneticPr fontId="5"/>
  </si>
  <si>
    <t>suryo</t>
    <phoneticPr fontId="5"/>
  </si>
  <si>
    <t>備考</t>
    <phoneticPr fontId="5"/>
  </si>
  <si>
    <t>biko</t>
    <phoneticPr fontId="5"/>
  </si>
  <si>
    <t>連絡事項</t>
    <phoneticPr fontId="5"/>
  </si>
  <si>
    <t>shonin_order</t>
    <phoneticPr fontId="5"/>
  </si>
  <si>
    <t>delete_flg</t>
    <phoneticPr fontId="5"/>
  </si>
  <si>
    <t>変更項目</t>
    <phoneticPr fontId="5"/>
  </si>
  <si>
    <t>変更内容</t>
    <phoneticPr fontId="5"/>
  </si>
  <si>
    <t>変更フラグ</t>
    <phoneticPr fontId="5"/>
  </si>
  <si>
    <t>仮登録フラグ</t>
    <phoneticPr fontId="5"/>
  </si>
  <si>
    <t>発注主幹部署コード</t>
    <phoneticPr fontId="5"/>
  </si>
  <si>
    <t>発注主幹工程コード</t>
    <phoneticPr fontId="5"/>
  </si>
  <si>
    <t>資材請求添付ファイル情報</t>
    <phoneticPr fontId="5"/>
  </si>
  <si>
    <t>明細SEQ</t>
    <phoneticPr fontId="5"/>
  </si>
  <si>
    <t>meisai_seq</t>
    <phoneticPr fontId="5"/>
  </si>
  <si>
    <t>添付ファイルSEQ</t>
    <phoneticPr fontId="5"/>
  </si>
  <si>
    <t>添付ファイル名</t>
    <phoneticPr fontId="5"/>
  </si>
  <si>
    <t>添付ファイル</t>
    <phoneticPr fontId="5"/>
  </si>
  <si>
    <t>バイナリ</t>
    <phoneticPr fontId="5"/>
  </si>
  <si>
    <t>VARBINARY(MAX)</t>
    <phoneticPr fontId="5"/>
  </si>
  <si>
    <t>発注№</t>
    <phoneticPr fontId="5"/>
  </si>
  <si>
    <t>業者/注文先コード</t>
    <phoneticPr fontId="5"/>
  </si>
  <si>
    <t>業者/注文先</t>
    <phoneticPr fontId="5"/>
  </si>
  <si>
    <t>業者/注文先担当者</t>
    <phoneticPr fontId="5"/>
  </si>
  <si>
    <t>発注日</t>
    <phoneticPr fontId="5"/>
  </si>
  <si>
    <t>発注状況</t>
    <phoneticPr fontId="5"/>
  </si>
  <si>
    <t>注文書ダウンロード日</t>
    <phoneticPr fontId="5"/>
  </si>
  <si>
    <t>発注明細SEQ</t>
    <phoneticPr fontId="5"/>
  </si>
  <si>
    <t>設備フラグ</t>
    <phoneticPr fontId="5"/>
  </si>
  <si>
    <t>仕入№</t>
    <phoneticPr fontId="5"/>
  </si>
  <si>
    <t>disp_order</t>
    <phoneticPr fontId="5"/>
  </si>
  <si>
    <t>発注全量フラグ</t>
    <phoneticPr fontId="5"/>
  </si>
  <si>
    <t>発注残</t>
    <phoneticPr fontId="5"/>
  </si>
  <si>
    <t>容器</t>
    <phoneticPr fontId="5"/>
  </si>
  <si>
    <t>容量(kg)</t>
    <phoneticPr fontId="5"/>
  </si>
  <si>
    <t>数量単位コード</t>
    <phoneticPr fontId="5"/>
  </si>
  <si>
    <t>単価</t>
    <phoneticPr fontId="5"/>
  </si>
  <si>
    <t>unit_price</t>
    <phoneticPr fontId="5"/>
  </si>
  <si>
    <t>単価単位</t>
    <phoneticPr fontId="5"/>
  </si>
  <si>
    <t>unit_price_unit</t>
    <phoneticPr fontId="5"/>
  </si>
  <si>
    <t>currency_cd</t>
    <phoneticPr fontId="5"/>
  </si>
  <si>
    <t>paper_weight</t>
    <phoneticPr fontId="5"/>
  </si>
  <si>
    <t>width</t>
    <phoneticPr fontId="5"/>
  </si>
  <si>
    <t>length</t>
    <phoneticPr fontId="5"/>
  </si>
  <si>
    <t>renryo</t>
    <phoneticPr fontId="5"/>
  </si>
  <si>
    <t>入数</t>
    <phoneticPr fontId="5"/>
  </si>
  <si>
    <t>irisu</t>
    <phoneticPr fontId="5"/>
  </si>
  <si>
    <t>入数単位</t>
    <phoneticPr fontId="5"/>
  </si>
  <si>
    <t>本数</t>
    <phoneticPr fontId="5"/>
  </si>
  <si>
    <t>honsu</t>
    <phoneticPr fontId="5"/>
  </si>
  <si>
    <t>金額</t>
    <phoneticPr fontId="5"/>
  </si>
  <si>
    <t>購入原紙特記事項</t>
    <phoneticPr fontId="5"/>
  </si>
  <si>
    <t>時間指定事項</t>
    <phoneticPr fontId="5"/>
  </si>
  <si>
    <t>仕様特記事項</t>
    <phoneticPr fontId="5"/>
  </si>
  <si>
    <t>発注摘要.連絡情報</t>
    <phoneticPr fontId="5"/>
  </si>
  <si>
    <t>摘要２</t>
    <phoneticPr fontId="5"/>
  </si>
  <si>
    <t>tekiyo2</t>
    <phoneticPr fontId="5"/>
  </si>
  <si>
    <t>摘要３</t>
    <phoneticPr fontId="5"/>
  </si>
  <si>
    <t>tekiyo3</t>
    <phoneticPr fontId="5"/>
  </si>
  <si>
    <t>摘要４</t>
    <phoneticPr fontId="5"/>
  </si>
  <si>
    <t>tekiyo4</t>
    <phoneticPr fontId="5"/>
  </si>
  <si>
    <t>摘要５</t>
    <phoneticPr fontId="5"/>
  </si>
  <si>
    <t>tekiyo5</t>
    <phoneticPr fontId="5"/>
  </si>
  <si>
    <t>摘要６</t>
    <phoneticPr fontId="5"/>
  </si>
  <si>
    <t>tekiyo6</t>
    <phoneticPr fontId="5"/>
  </si>
  <si>
    <t>摘要７</t>
    <phoneticPr fontId="5"/>
  </si>
  <si>
    <t>tekiyo7</t>
    <phoneticPr fontId="5"/>
  </si>
  <si>
    <t>摘要８</t>
    <phoneticPr fontId="5"/>
  </si>
  <si>
    <t>tekiyo8</t>
    <phoneticPr fontId="5"/>
  </si>
  <si>
    <t>摘要９</t>
    <phoneticPr fontId="5"/>
  </si>
  <si>
    <t>tekiyo9</t>
    <phoneticPr fontId="5"/>
  </si>
  <si>
    <t>gyosha_cd</t>
    <phoneticPr fontId="5"/>
  </si>
  <si>
    <t>gyosha_nm</t>
    <phoneticPr fontId="5"/>
  </si>
  <si>
    <t>shiharaibi</t>
    <phoneticPr fontId="5"/>
  </si>
  <si>
    <t>納入日</t>
    <phoneticPr fontId="5"/>
  </si>
  <si>
    <t>nonyu_date</t>
    <phoneticPr fontId="5"/>
  </si>
  <si>
    <t>訂正_flg</t>
    <phoneticPr fontId="5"/>
  </si>
  <si>
    <t>仕入締め年月</t>
    <phoneticPr fontId="5"/>
  </si>
  <si>
    <t>業明細SEQ</t>
    <phoneticPr fontId="5"/>
  </si>
  <si>
    <t>製品フラグ</t>
    <phoneticPr fontId="5"/>
  </si>
  <si>
    <t>保管先コード</t>
    <phoneticPr fontId="5"/>
  </si>
  <si>
    <t>保管先</t>
    <phoneticPr fontId="5"/>
  </si>
  <si>
    <t>納入状態</t>
    <phoneticPr fontId="5"/>
  </si>
  <si>
    <t>受入数量</t>
    <phoneticPr fontId="5"/>
  </si>
  <si>
    <t>個数単位</t>
    <phoneticPr fontId="5"/>
  </si>
  <si>
    <t>kosu_unit</t>
    <phoneticPr fontId="5"/>
  </si>
  <si>
    <t>個数アタリ数量</t>
    <phoneticPr fontId="5"/>
  </si>
  <si>
    <t>個数アタリ重量</t>
    <phoneticPr fontId="5"/>
  </si>
  <si>
    <t>単価(外）</t>
    <phoneticPr fontId="5"/>
  </si>
  <si>
    <t>金額(外)</t>
    <phoneticPr fontId="5"/>
  </si>
  <si>
    <t>レート</t>
    <phoneticPr fontId="5"/>
  </si>
  <si>
    <t>仕入先ロットNo.</t>
    <phoneticPr fontId="5"/>
  </si>
  <si>
    <t>支払分類コード</t>
    <phoneticPr fontId="5"/>
  </si>
  <si>
    <t>支払分類明細コード</t>
    <phoneticPr fontId="5"/>
  </si>
  <si>
    <t>原反名</t>
    <phoneticPr fontId="5"/>
  </si>
  <si>
    <t>原反ロット№</t>
    <phoneticPr fontId="5"/>
  </si>
  <si>
    <t>gentan_lot_no</t>
    <phoneticPr fontId="5"/>
  </si>
  <si>
    <t>伝票区分</t>
    <phoneticPr fontId="5"/>
  </si>
  <si>
    <t>仕入調整情報</t>
    <phoneticPr fontId="5"/>
  </si>
  <si>
    <t>調整元伝仕入№</t>
    <phoneticPr fontId="5"/>
  </si>
  <si>
    <t>調整元仕入明細Seq</t>
    <phoneticPr fontId="5"/>
  </si>
  <si>
    <t>文字</t>
    <phoneticPr fontId="5"/>
  </si>
  <si>
    <t>varchar</t>
    <phoneticPr fontId="5"/>
  </si>
  <si>
    <t/>
  </si>
  <si>
    <t>日付</t>
    <phoneticPr fontId="5"/>
  </si>
  <si>
    <t>datetime</t>
    <phoneticPr fontId="5"/>
  </si>
  <si>
    <t>登録者コード</t>
    <phoneticPr fontId="5"/>
  </si>
  <si>
    <t>登録日</t>
    <phoneticPr fontId="5"/>
  </si>
  <si>
    <t>更新機能コード</t>
    <phoneticPr fontId="5"/>
  </si>
  <si>
    <t>更新者コード</t>
    <phoneticPr fontId="5"/>
  </si>
  <si>
    <t>更新日</t>
    <phoneticPr fontId="5"/>
  </si>
  <si>
    <t>数値</t>
    <phoneticPr fontId="5"/>
  </si>
  <si>
    <t>numeric</t>
    <phoneticPr fontId="5"/>
  </si>
  <si>
    <t>製品番号</t>
    <phoneticPr fontId="5"/>
  </si>
  <si>
    <t>品種コード</t>
    <phoneticPr fontId="5"/>
  </si>
  <si>
    <t>品名</t>
    <phoneticPr fontId="5"/>
  </si>
  <si>
    <t>変更フラグ</t>
    <phoneticPr fontId="37"/>
  </si>
  <si>
    <t>バイナリ</t>
    <phoneticPr fontId="5"/>
  </si>
  <si>
    <t>VARBINARY(MAX)</t>
    <phoneticPr fontId="5"/>
  </si>
  <si>
    <t>発注№</t>
    <phoneticPr fontId="9"/>
  </si>
  <si>
    <t>発注日</t>
    <phoneticPr fontId="9"/>
  </si>
  <si>
    <t>仕入№</t>
    <phoneticPr fontId="9"/>
  </si>
  <si>
    <t>坪量</t>
    <phoneticPr fontId="9"/>
  </si>
  <si>
    <t>幅</t>
    <phoneticPr fontId="9"/>
  </si>
  <si>
    <t>長さ</t>
    <phoneticPr fontId="9"/>
  </si>
  <si>
    <t>連量</t>
    <phoneticPr fontId="9"/>
  </si>
  <si>
    <t>品名</t>
    <phoneticPr fontId="19"/>
  </si>
  <si>
    <t>保管先コード</t>
    <phoneticPr fontId="19"/>
  </si>
  <si>
    <t>保管先</t>
    <phoneticPr fontId="5"/>
  </si>
  <si>
    <t>受入数量</t>
    <phoneticPr fontId="19"/>
  </si>
  <si>
    <t>数量単位コード</t>
    <phoneticPr fontId="19"/>
  </si>
  <si>
    <t>単価</t>
    <phoneticPr fontId="19"/>
  </si>
  <si>
    <t>金額</t>
    <phoneticPr fontId="19"/>
  </si>
  <si>
    <t>消費税額</t>
    <phoneticPr fontId="5"/>
  </si>
  <si>
    <t>坪量</t>
    <phoneticPr fontId="19"/>
  </si>
  <si>
    <t>幅</t>
    <phoneticPr fontId="19"/>
  </si>
  <si>
    <t>個数アタリ数量</t>
    <phoneticPr fontId="5"/>
  </si>
  <si>
    <t>個数アタリ重量</t>
    <phoneticPr fontId="5"/>
  </si>
  <si>
    <t>レート</t>
    <phoneticPr fontId="5"/>
  </si>
  <si>
    <t>仕入先ロットNo.</t>
    <phoneticPr fontId="5"/>
  </si>
  <si>
    <t>原反名</t>
    <phoneticPr fontId="5"/>
  </si>
  <si>
    <t>gyomu_meisai_seq</t>
    <phoneticPr fontId="5"/>
  </si>
  <si>
    <t>gaika_tanka</t>
    <phoneticPr fontId="5"/>
  </si>
  <si>
    <t>仕入調整情報</t>
    <rPh sb="2" eb="4">
      <t>チョウセイ</t>
    </rPh>
    <rPh sb="4" eb="6">
      <t>ジョウホウ</t>
    </rPh>
    <phoneticPr fontId="5"/>
  </si>
  <si>
    <t>t_shiire_chosei_info</t>
    <phoneticPr fontId="5"/>
  </si>
  <si>
    <t>支払日</t>
    <rPh sb="0" eb="3">
      <t>シハライビ</t>
    </rPh>
    <phoneticPr fontId="19"/>
  </si>
  <si>
    <t>仕入締日</t>
    <rPh sb="0" eb="4">
      <t>シイレシメビ</t>
    </rPh>
    <phoneticPr fontId="19"/>
  </si>
  <si>
    <t>資材在庫払い出しフラグ</t>
    <rPh sb="0" eb="4">
      <t>シザイザイコ</t>
    </rPh>
    <rPh sb="4" eb="5">
      <t>ハラ</t>
    </rPh>
    <rPh sb="6" eb="7">
      <t>ダ</t>
    </rPh>
    <phoneticPr fontId="5"/>
  </si>
  <si>
    <t>shizai_zaiko_haraidashi_flg</t>
    <phoneticPr fontId="5"/>
  </si>
  <si>
    <t>生産計画№</t>
  </si>
  <si>
    <t>変更後希望納期</t>
    <rPh sb="2" eb="3">
      <t>ゴ</t>
    </rPh>
    <phoneticPr fontId="5"/>
  </si>
  <si>
    <t>変更後数量</t>
    <rPh sb="2" eb="3">
      <t>ゴ</t>
    </rPh>
    <phoneticPr fontId="5"/>
  </si>
  <si>
    <t>変更後数量単位</t>
    <rPh sb="2" eb="3">
      <t>ゴ</t>
    </rPh>
    <phoneticPr fontId="5"/>
  </si>
  <si>
    <t>after_kibo_noki</t>
    <phoneticPr fontId="5"/>
  </si>
  <si>
    <t>after_qty</t>
    <phoneticPr fontId="5"/>
  </si>
  <si>
    <t>after_qty_unit</t>
    <phoneticPr fontId="5"/>
  </si>
  <si>
    <t>変更後数量</t>
    <rPh sb="0" eb="2">
      <t>ヘンコウ</t>
    </rPh>
    <rPh sb="2" eb="3">
      <t>アト</t>
    </rPh>
    <rPh sb="3" eb="5">
      <t>スウリョウ</t>
    </rPh>
    <phoneticPr fontId="37"/>
  </si>
  <si>
    <t>変更後数量単位</t>
    <rPh sb="0" eb="2">
      <t>ヘンコウ</t>
    </rPh>
    <rPh sb="2" eb="3">
      <t>アト</t>
    </rPh>
    <rPh sb="3" eb="5">
      <t>スウリョウ</t>
    </rPh>
    <rPh sb="5" eb="7">
      <t>タンイ</t>
    </rPh>
    <phoneticPr fontId="37"/>
  </si>
  <si>
    <t>変更後希望納期</t>
    <rPh sb="0" eb="2">
      <t>ヘンコウ</t>
    </rPh>
    <rPh sb="2" eb="3">
      <t>アト</t>
    </rPh>
    <rPh sb="3" eb="5">
      <t>キボウ</t>
    </rPh>
    <rPh sb="5" eb="7">
      <t>ノウキ</t>
    </rPh>
    <phoneticPr fontId="37"/>
  </si>
  <si>
    <t>発注担当者</t>
    <rPh sb="0" eb="5">
      <t>ハッチュウタントウシャ</t>
    </rPh>
    <phoneticPr fontId="5"/>
  </si>
  <si>
    <t>業者部署名</t>
    <rPh sb="2" eb="5">
      <t>ブショメイ</t>
    </rPh>
    <phoneticPr fontId="5"/>
  </si>
  <si>
    <t>hatchu_meisai_seq</t>
    <phoneticPr fontId="5"/>
  </si>
  <si>
    <t>shizai_meisai_seq</t>
    <phoneticPr fontId="5"/>
  </si>
  <si>
    <t>承認フラグ</t>
    <rPh sb="0" eb="2">
      <t>ショウニン</t>
    </rPh>
    <phoneticPr fontId="5"/>
  </si>
  <si>
    <t>shonin_flg</t>
    <phoneticPr fontId="5"/>
  </si>
  <si>
    <t>1:承認 ０：なし</t>
    <rPh sb="2" eb="4">
      <t>ショウニン</t>
    </rPh>
    <phoneticPr fontId="5"/>
  </si>
  <si>
    <t>仕入先品名</t>
    <rPh sb="0" eb="2">
      <t>シイレ</t>
    </rPh>
    <rPh sb="2" eb="3">
      <t>サキ</t>
    </rPh>
    <rPh sb="3" eb="5">
      <t>ヒンメイ</t>
    </rPh>
    <phoneticPr fontId="5"/>
  </si>
  <si>
    <t>shiire_hinmei</t>
    <phoneticPr fontId="5"/>
  </si>
  <si>
    <t>購入原紙のみ</t>
    <rPh sb="0" eb="4">
      <t>コウニュウゲンシ</t>
    </rPh>
    <phoneticPr fontId="5"/>
  </si>
  <si>
    <t>購入原紙時に重量を入力</t>
    <rPh sb="0" eb="4">
      <t>コウニュウゲンシ</t>
    </rPh>
    <rPh sb="4" eb="5">
      <t>トキ</t>
    </rPh>
    <rPh sb="6" eb="8">
      <t>ジュウリョウ</t>
    </rPh>
    <rPh sb="9" eb="11">
      <t>ニュウリョク</t>
    </rPh>
    <phoneticPr fontId="5"/>
  </si>
  <si>
    <t>お知らせコード</t>
  </si>
  <si>
    <t>shirase_cd</t>
    <phoneticPr fontId="5"/>
  </si>
  <si>
    <t>コメント</t>
    <phoneticPr fontId="5"/>
  </si>
  <si>
    <t>comment</t>
    <phoneticPr fontId="5"/>
  </si>
  <si>
    <t>承認日</t>
    <rPh sb="0" eb="2">
      <t>ショウニン</t>
    </rPh>
    <rPh sb="2" eb="3">
      <t>ヒ</t>
    </rPh>
    <phoneticPr fontId="5"/>
  </si>
  <si>
    <t>shonin_date</t>
    <phoneticPr fontId="5"/>
  </si>
  <si>
    <t>寸法/仕様</t>
    <rPh sb="0" eb="2">
      <t>スンポウ</t>
    </rPh>
    <rPh sb="3" eb="5">
      <t>シヨウ</t>
    </rPh>
    <phoneticPr fontId="5"/>
  </si>
  <si>
    <t>sumpo_spec</t>
    <phoneticPr fontId="5"/>
  </si>
  <si>
    <t>支払条件</t>
    <rPh sb="0" eb="2">
      <t>シハラ</t>
    </rPh>
    <rPh sb="2" eb="4">
      <t>ジョウケン</t>
    </rPh>
    <phoneticPr fontId="5"/>
  </si>
  <si>
    <t>支払条件</t>
    <rPh sb="0" eb="2">
      <t>シハラ</t>
    </rPh>
    <rPh sb="2" eb="4">
      <t>ジョウケン</t>
    </rPh>
    <phoneticPr fontId="5"/>
  </si>
  <si>
    <t>shiharai_jyoken</t>
    <phoneticPr fontId="5"/>
  </si>
  <si>
    <t>注文書出力日</t>
    <rPh sb="3" eb="5">
      <t>シュツリョク</t>
    </rPh>
    <phoneticPr fontId="5"/>
  </si>
  <si>
    <t>chumonsho_output_date</t>
    <phoneticPr fontId="5"/>
  </si>
  <si>
    <t>0:対象外  １:対象外 ※分類＝その他時使用</t>
    <rPh sb="2" eb="4">
      <t>タイショウ</t>
    </rPh>
    <rPh sb="4" eb="5">
      <t>ガイ</t>
    </rPh>
    <rPh sb="9" eb="12">
      <t>タイショウガイ</t>
    </rPh>
    <rPh sb="14" eb="16">
      <t>ブンルイ</t>
    </rPh>
    <rPh sb="19" eb="20">
      <t>タ</t>
    </rPh>
    <rPh sb="20" eb="21">
      <t>トキ</t>
    </rPh>
    <rPh sb="21" eb="23">
      <t>シヨウ</t>
    </rPh>
    <phoneticPr fontId="5"/>
  </si>
  <si>
    <t>データ区分</t>
    <rPh sb="3" eb="5">
      <t>クブン</t>
    </rPh>
    <phoneticPr fontId="5"/>
  </si>
  <si>
    <t>データ区分</t>
    <rPh sb="3" eb="5">
      <t>クブン</t>
    </rPh>
    <phoneticPr fontId="5"/>
  </si>
  <si>
    <t>data_kbn</t>
    <phoneticPr fontId="5"/>
  </si>
  <si>
    <t>発注残数</t>
  </si>
  <si>
    <t>発注残数</t>
    <rPh sb="0" eb="2">
      <t>ハッチュウ</t>
    </rPh>
    <rPh sb="2" eb="4">
      <t>ザンスウ</t>
    </rPh>
    <phoneticPr fontId="5"/>
  </si>
  <si>
    <t>重量</t>
    <rPh sb="0" eb="2">
      <t>ジュウリョウ</t>
    </rPh>
    <phoneticPr fontId="5"/>
  </si>
  <si>
    <t>kg</t>
    <phoneticPr fontId="5"/>
  </si>
  <si>
    <t>薬品、原材料の場合 重量</t>
    <rPh sb="0" eb="2">
      <t>ヤクヒン</t>
    </rPh>
    <rPh sb="3" eb="6">
      <t>ゲンザイリョウ</t>
    </rPh>
    <rPh sb="7" eb="9">
      <t>バアイ</t>
    </rPh>
    <rPh sb="10" eb="12">
      <t>ジュウリョウ</t>
    </rPh>
    <phoneticPr fontId="5"/>
  </si>
  <si>
    <t>gentan_paper_weight</t>
    <phoneticPr fontId="5"/>
  </si>
  <si>
    <t>区分名称マスタ.承認状況</t>
    <rPh sb="2" eb="4">
      <t>メイショウ</t>
    </rPh>
    <phoneticPr fontId="5"/>
  </si>
  <si>
    <t>SEQ</t>
  </si>
  <si>
    <t>seq</t>
    <phoneticPr fontId="5"/>
  </si>
  <si>
    <t>摘要</t>
    <phoneticPr fontId="5"/>
  </si>
  <si>
    <t>摘要/業者への連絡事項</t>
    <phoneticPr fontId="5"/>
  </si>
  <si>
    <t>発注担当者コード</t>
  </si>
  <si>
    <t>発注担当者コード</t>
    <rPh sb="0" eb="5">
      <t>ハッチュウタントウシャ</t>
    </rPh>
    <phoneticPr fontId="5"/>
  </si>
  <si>
    <t>hatchu_tantosya_cd</t>
    <phoneticPr fontId="5"/>
  </si>
  <si>
    <t>区分マスタ・支払分類</t>
    <rPh sb="0" eb="2">
      <t>クブン</t>
    </rPh>
    <phoneticPr fontId="5"/>
  </si>
  <si>
    <t>区分マスタ・納入状況</t>
    <phoneticPr fontId="5"/>
  </si>
  <si>
    <t>区分マスタ・分類明細</t>
    <rPh sb="0" eb="2">
      <t>クブン</t>
    </rPh>
    <phoneticPr fontId="5"/>
  </si>
  <si>
    <t>gyosha_kana_nm</t>
    <phoneticPr fontId="5"/>
  </si>
  <si>
    <t>gyosha_busho_nm</t>
    <phoneticPr fontId="5"/>
  </si>
  <si>
    <t>seikyu_kotei_cd</t>
    <phoneticPr fontId="5"/>
  </si>
  <si>
    <t>分類コード</t>
    <phoneticPr fontId="5"/>
  </si>
  <si>
    <t>部長承認フラグ</t>
    <rPh sb="0" eb="4">
      <t>ブチョウショウニン</t>
    </rPh>
    <phoneticPr fontId="5"/>
  </si>
  <si>
    <t>１：依頼、０：---</t>
    <rPh sb="2" eb="4">
      <t>イライ</t>
    </rPh>
    <phoneticPr fontId="5"/>
  </si>
  <si>
    <t>部長承認フラグ</t>
    <rPh sb="0" eb="2">
      <t>ブチョウ</t>
    </rPh>
    <rPh sb="2" eb="4">
      <t>ショウニン</t>
    </rPh>
    <phoneticPr fontId="5"/>
  </si>
  <si>
    <t>bucho_shonin_flg</t>
    <phoneticPr fontId="5"/>
  </si>
  <si>
    <t>部長承認フラグ</t>
    <rPh sb="0" eb="2">
      <t>ブチョウ</t>
    </rPh>
    <rPh sb="2" eb="4">
      <t>ショウニン</t>
    </rPh>
    <phoneticPr fontId="37"/>
  </si>
  <si>
    <t>bucho_shonin_flg</t>
    <phoneticPr fontId="5"/>
  </si>
  <si>
    <t>特記事項</t>
    <rPh sb="0" eb="4">
      <t>トッキジコウ</t>
    </rPh>
    <phoneticPr fontId="5"/>
  </si>
  <si>
    <t>特記事項2</t>
    <rPh sb="0" eb="4">
      <t>トッキジコウ</t>
    </rPh>
    <phoneticPr fontId="5"/>
  </si>
  <si>
    <t>特記事項2</t>
    <rPh sb="0" eb="4">
      <t>トッキジコウ</t>
    </rPh>
    <phoneticPr fontId="28"/>
  </si>
  <si>
    <t>notice2</t>
    <phoneticPr fontId="28"/>
  </si>
  <si>
    <t>genshi_bunrui</t>
    <phoneticPr fontId="5"/>
  </si>
  <si>
    <t>genshi_notice</t>
    <phoneticPr fontId="5"/>
  </si>
  <si>
    <t>chosei_flg</t>
    <phoneticPr fontId="5"/>
  </si>
  <si>
    <t>chosei_seq</t>
    <phoneticPr fontId="5"/>
  </si>
  <si>
    <t>chosei_moto_shiire_no</t>
    <phoneticPr fontId="5"/>
  </si>
  <si>
    <t>chosei_moto_shiire_meisai_seq</t>
    <phoneticPr fontId="5"/>
  </si>
  <si>
    <t>資材請求・納入紐付情報</t>
    <phoneticPr fontId="5"/>
  </si>
  <si>
    <t>資材請求・品種紐付情報</t>
    <phoneticPr fontId="5"/>
  </si>
  <si>
    <t>t_shizai_seikyu_nonyusaki_himoduke</t>
    <phoneticPr fontId="5"/>
  </si>
  <si>
    <t>t_shizai_seikyu_hinshu_himoduke</t>
    <phoneticPr fontId="5"/>
  </si>
  <si>
    <t xml:space="preserve">資材請求・品種紐付情報  </t>
    <rPh sb="0" eb="2">
      <t>シザイ</t>
    </rPh>
    <rPh sb="2" eb="4">
      <t>セイキュウ</t>
    </rPh>
    <rPh sb="5" eb="7">
      <t>ヒンシュ</t>
    </rPh>
    <rPh sb="7" eb="8">
      <t>ヒモ</t>
    </rPh>
    <rPh sb="8" eb="9">
      <t>ツケ</t>
    </rPh>
    <rPh sb="9" eb="11">
      <t>ジョウホウ</t>
    </rPh>
    <phoneticPr fontId="5"/>
  </si>
  <si>
    <t>0:本登録、1:仮登録  ２：仮本登録</t>
    <rPh sb="2" eb="5">
      <t>ホントウロク</t>
    </rPh>
    <rPh sb="8" eb="11">
      <t>カリトウロク</t>
    </rPh>
    <rPh sb="15" eb="16">
      <t>カリ</t>
    </rPh>
    <rPh sb="16" eb="19">
      <t>ホントウロク</t>
    </rPh>
    <phoneticPr fontId="5"/>
  </si>
  <si>
    <t>納入予定日</t>
    <rPh sb="0" eb="2">
      <t>ノウニュウ</t>
    </rPh>
    <rPh sb="2" eb="5">
      <t>ヨテイビ</t>
    </rPh>
    <phoneticPr fontId="5"/>
  </si>
  <si>
    <t>薬品・原材料・購入原紙</t>
    <rPh sb="0" eb="2">
      <t>ヤクヒン</t>
    </rPh>
    <rPh sb="3" eb="6">
      <t>ゲンザイリョウ</t>
    </rPh>
    <rPh sb="7" eb="11">
      <t>コウニュウゲンシ</t>
    </rPh>
    <phoneticPr fontId="5"/>
  </si>
  <si>
    <t>nonyu_jotai</t>
    <phoneticPr fontId="5"/>
  </si>
  <si>
    <t>ファイルSEQ</t>
    <phoneticPr fontId="5"/>
  </si>
  <si>
    <t>file_seq</t>
    <phoneticPr fontId="5"/>
  </si>
  <si>
    <t>変更項目コード</t>
    <phoneticPr fontId="5"/>
  </si>
  <si>
    <t>コード</t>
  </si>
  <si>
    <t>変更項目コード</t>
    <phoneticPr fontId="37"/>
  </si>
  <si>
    <t>henko_komoku_cd</t>
    <phoneticPr fontId="5"/>
  </si>
  <si>
    <t>区分マスタ.資材請求項目変更区分</t>
    <rPh sb="8" eb="10">
      <t>セイキュウ</t>
    </rPh>
    <phoneticPr fontId="5"/>
  </si>
  <si>
    <t>デフォルト ：０</t>
    <phoneticPr fontId="5"/>
  </si>
  <si>
    <t>納入予定日</t>
    <rPh sb="2" eb="5">
      <t>ヨテイビ</t>
    </rPh>
    <phoneticPr fontId="19"/>
  </si>
  <si>
    <t>個数単位コード</t>
  </si>
  <si>
    <t>個数単位コード</t>
    <phoneticPr fontId="19"/>
  </si>
  <si>
    <t>単価単位コード</t>
  </si>
  <si>
    <t>単価単位コード</t>
    <phoneticPr fontId="5"/>
  </si>
  <si>
    <t>単価単位コード</t>
    <rPh sb="0" eb="4">
      <t>タンカタンイ</t>
    </rPh>
    <phoneticPr fontId="5"/>
  </si>
  <si>
    <t>納入状態コード</t>
    <phoneticPr fontId="19"/>
  </si>
  <si>
    <t>個数単位コード</t>
    <rPh sb="0" eb="4">
      <t>コスウタンイ</t>
    </rPh>
    <phoneticPr fontId="5"/>
  </si>
  <si>
    <t>qty_unit_cd</t>
    <phoneticPr fontId="5"/>
  </si>
  <si>
    <t>nonyu_jotai_cd</t>
    <phoneticPr fontId="5"/>
  </si>
  <si>
    <t>kosu_unit_cd</t>
    <phoneticPr fontId="5"/>
  </si>
  <si>
    <t>unit_price_unit_cd</t>
    <phoneticPr fontId="28"/>
  </si>
  <si>
    <t>承認状況コード</t>
    <phoneticPr fontId="18"/>
  </si>
  <si>
    <t>承認状況コード</t>
    <rPh sb="0" eb="2">
      <t>ショウニン</t>
    </rPh>
    <rPh sb="2" eb="4">
      <t>ジョウキョウ</t>
    </rPh>
    <phoneticPr fontId="18"/>
  </si>
  <si>
    <t>shonin_jokyo_cd</t>
    <phoneticPr fontId="5"/>
  </si>
  <si>
    <t>最短納期 ＝ １の場合NULL</t>
    <rPh sb="0" eb="2">
      <t>サイタン</t>
    </rPh>
    <rPh sb="2" eb="4">
      <t>ノウキ</t>
    </rPh>
    <rPh sb="9" eb="11">
      <t>バアイ</t>
    </rPh>
    <phoneticPr fontId="5"/>
  </si>
  <si>
    <t>nonyuyotei_date</t>
    <phoneticPr fontId="5"/>
  </si>
  <si>
    <t>半角英数字</t>
    <rPh sb="0" eb="2">
      <t>ハンカク</t>
    </rPh>
    <rPh sb="2" eb="5">
      <t>エイスウジ</t>
    </rPh>
    <phoneticPr fontId="5"/>
  </si>
  <si>
    <t>添付ファイルサイズ</t>
    <phoneticPr fontId="5"/>
  </si>
  <si>
    <t>ファイルサイズ</t>
    <phoneticPr fontId="5"/>
  </si>
  <si>
    <t>attach_file_size</t>
    <phoneticPr fontId="5"/>
  </si>
  <si>
    <t>削除フラグ</t>
    <rPh sb="0" eb="2">
      <t>サクジョ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</si>
</sst>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1"/>
      <color theme="3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u/>
      <sz val="10"/>
      <color theme="10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5"/>
      <color theme="3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color rgb="FFFF0000"/>
      <name val="Meiryo UI"/>
      <family val="3"/>
      <charset val="128"/>
    </font>
    <font>
      <sz val="10"/>
      <color theme="10"/>
      <name val="Meiryo UI"/>
      <family val="3"/>
      <charset val="128"/>
    </font>
    <font>
      <strike/>
      <sz val="10"/>
      <color theme="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87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3" xfId="4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3" xfId="6" applyFont="1" applyBorder="1" applyAlignment="1">
      <alignment vertical="top" shrinkToFit="1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2" xfId="2" quotePrefix="1" applyFont="1" applyBorder="1" applyAlignment="1">
      <alignment horizontal="center" vertical="top"/>
    </xf>
    <xf numFmtId="0" fontId="13" fillId="0" borderId="4" xfId="6" applyFont="1" applyBorder="1" applyAlignment="1">
      <alignment vertical="top" shrinkToFit="1"/>
    </xf>
    <xf numFmtId="49" fontId="13" fillId="0" borderId="3" xfId="2" applyNumberFormat="1" applyFont="1" applyBorder="1" applyAlignment="1">
      <alignment vertical="top"/>
    </xf>
    <xf numFmtId="0" fontId="13" fillId="0" borderId="3" xfId="2" applyFont="1" applyBorder="1" applyAlignment="1">
      <alignment vertical="top"/>
    </xf>
    <xf numFmtId="0" fontId="13" fillId="0" borderId="0" xfId="1" quotePrefix="1" applyFont="1" applyAlignment="1">
      <alignment vertical="center"/>
    </xf>
    <xf numFmtId="0" fontId="13" fillId="0" borderId="4" xfId="2" applyFont="1" applyBorder="1" applyAlignment="1">
      <alignment horizontal="right" vertical="top" shrinkToFit="1"/>
    </xf>
    <xf numFmtId="0" fontId="27" fillId="4" borderId="2" xfId="8" applyFont="1" applyFill="1" applyBorder="1">
      <alignment vertical="center"/>
    </xf>
    <xf numFmtId="0" fontId="27" fillId="0" borderId="2" xfId="8" applyFont="1" applyBorder="1">
      <alignment vertical="center"/>
    </xf>
    <xf numFmtId="0" fontId="27" fillId="5" borderId="2" xfId="8" applyFont="1" applyFill="1" applyBorder="1">
      <alignment vertical="center"/>
    </xf>
    <xf numFmtId="49" fontId="29" fillId="0" borderId="2" xfId="3" applyNumberFormat="1" applyFont="1" applyBorder="1" applyAlignment="1">
      <alignment vertical="top"/>
    </xf>
    <xf numFmtId="49" fontId="29" fillId="0" borderId="2" xfId="4" applyNumberFormat="1" applyFont="1" applyBorder="1" applyAlignment="1">
      <alignment vertical="top"/>
    </xf>
    <xf numFmtId="0" fontId="29" fillId="5" borderId="2" xfId="8" applyFont="1" applyFill="1" applyBorder="1">
      <alignment vertical="center"/>
    </xf>
    <xf numFmtId="49" fontId="27" fillId="0" borderId="2" xfId="3" applyNumberFormat="1" applyFont="1" applyBorder="1" applyAlignment="1">
      <alignment vertical="top"/>
    </xf>
    <xf numFmtId="0" fontId="27" fillId="6" borderId="2" xfId="8" applyFont="1" applyFill="1" applyBorder="1">
      <alignment vertical="center"/>
    </xf>
    <xf numFmtId="0" fontId="27" fillId="0" borderId="2" xfId="0" applyFont="1" applyBorder="1">
      <alignment vertical="center"/>
    </xf>
    <xf numFmtId="0" fontId="27" fillId="6" borderId="2" xfId="0" applyFont="1" applyFill="1" applyBorder="1">
      <alignment vertical="center"/>
    </xf>
    <xf numFmtId="0" fontId="30" fillId="5" borderId="2" xfId="8" applyFont="1" applyFill="1" applyBorder="1">
      <alignment vertical="center"/>
    </xf>
    <xf numFmtId="0" fontId="13" fillId="0" borderId="2" xfId="8" applyFont="1" applyBorder="1">
      <alignment vertical="center"/>
    </xf>
    <xf numFmtId="0" fontId="27" fillId="0" borderId="0" xfId="8" applyFont="1">
      <alignment vertical="center"/>
    </xf>
    <xf numFmtId="0" fontId="13" fillId="0" borderId="4" xfId="3" applyFont="1" applyBorder="1" applyAlignment="1">
      <alignment vertical="top"/>
    </xf>
    <xf numFmtId="0" fontId="13" fillId="0" borderId="15" xfId="8" applyFont="1" applyBorder="1">
      <alignment vertical="center"/>
    </xf>
    <xf numFmtId="0" fontId="26" fillId="0" borderId="0" xfId="7">
      <alignment vertical="center"/>
    </xf>
    <xf numFmtId="0" fontId="13" fillId="7" borderId="3" xfId="6" applyFont="1" applyFill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0" fontId="13" fillId="8" borderId="1" xfId="2" applyFont="1" applyFill="1" applyBorder="1" applyAlignment="1">
      <alignment vertical="top"/>
    </xf>
    <xf numFmtId="0" fontId="13" fillId="8" borderId="4" xfId="2" applyFont="1" applyFill="1" applyBorder="1" applyAlignment="1">
      <alignment vertical="top"/>
    </xf>
    <xf numFmtId="0" fontId="13" fillId="8" borderId="3" xfId="6" applyFont="1" applyFill="1" applyBorder="1" applyAlignment="1">
      <alignment vertical="top"/>
    </xf>
    <xf numFmtId="0" fontId="13" fillId="8" borderId="3" xfId="2" applyFont="1" applyFill="1" applyBorder="1" applyAlignment="1">
      <alignment vertical="top"/>
    </xf>
    <xf numFmtId="0" fontId="0" fillId="8" borderId="0" xfId="0" applyFill="1">
      <alignment vertical="center"/>
    </xf>
    <xf numFmtId="49" fontId="13" fillId="8" borderId="3" xfId="3" applyNumberFormat="1" applyFont="1" applyFill="1" applyBorder="1" applyAlignment="1">
      <alignment vertical="top"/>
    </xf>
    <xf numFmtId="0" fontId="13" fillId="8" borderId="3" xfId="2" quotePrefix="1" applyFont="1" applyFill="1" applyBorder="1" applyAlignment="1">
      <alignment horizontal="center" vertical="top"/>
    </xf>
    <xf numFmtId="0" fontId="13" fillId="0" borderId="3" xfId="4" applyFont="1" applyBorder="1" applyAlignment="1">
      <alignment vertical="top"/>
    </xf>
    <xf numFmtId="0" fontId="13" fillId="8" borderId="4" xfId="4" applyFont="1" applyFill="1" applyBorder="1" applyAlignment="1">
      <alignment vertical="top"/>
    </xf>
    <xf numFmtId="0" fontId="13" fillId="8" borderId="1" xfId="4" applyFont="1" applyFill="1" applyBorder="1" applyAlignment="1">
      <alignment vertical="top"/>
    </xf>
    <xf numFmtId="49" fontId="13" fillId="0" borderId="2" xfId="2" applyNumberFormat="1" applyFont="1" applyBorder="1" applyAlignment="1">
      <alignment vertical="top"/>
    </xf>
    <xf numFmtId="49" fontId="13" fillId="0" borderId="2" xfId="5" applyNumberFormat="1" applyFont="1" applyBorder="1" applyAlignment="1">
      <alignment vertical="top"/>
    </xf>
    <xf numFmtId="0" fontId="0" fillId="0" borderId="3" xfId="0" applyBorder="1">
      <alignment vertical="center"/>
    </xf>
    <xf numFmtId="0" fontId="0" fillId="4" borderId="3" xfId="0" applyFill="1" applyBorder="1">
      <alignment vertical="center"/>
    </xf>
    <xf numFmtId="0" fontId="0" fillId="4" borderId="2" xfId="0" applyFill="1" applyBorder="1">
      <alignment vertical="center"/>
    </xf>
    <xf numFmtId="49" fontId="13" fillId="4" borderId="1" xfId="2" applyNumberFormat="1" applyFont="1" applyFill="1" applyBorder="1" applyAlignment="1">
      <alignment vertical="top"/>
    </xf>
    <xf numFmtId="0" fontId="13" fillId="8" borderId="1" xfId="2" applyFont="1" applyFill="1" applyBorder="1" applyAlignment="1">
      <alignment horizontal="right" vertical="top" shrinkToFit="1"/>
    </xf>
    <xf numFmtId="0" fontId="13" fillId="9" borderId="1" xfId="2" applyFont="1" applyFill="1" applyBorder="1" applyAlignment="1">
      <alignment horizontal="right" vertical="top" shrinkToFit="1"/>
    </xf>
    <xf numFmtId="49" fontId="13" fillId="0" borderId="5" xfId="5" applyNumberFormat="1" applyFont="1" applyBorder="1" applyAlignment="1">
      <alignment vertical="top"/>
    </xf>
    <xf numFmtId="0" fontId="13" fillId="0" borderId="5" xfId="2" applyFont="1" applyBorder="1" applyAlignment="1">
      <alignment vertical="top"/>
    </xf>
    <xf numFmtId="0" fontId="39" fillId="0" borderId="4" xfId="6" applyFont="1" applyBorder="1" applyAlignment="1">
      <alignment vertical="top" shrinkToFit="1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39" fillId="0" borderId="4" xfId="2" applyFont="1" applyBorder="1" applyAlignment="1">
      <alignment horizontal="right" vertical="top" shrinkToFit="1"/>
    </xf>
    <xf numFmtId="0" fontId="13" fillId="6" borderId="2" xfId="2" applyFont="1" applyFill="1" applyBorder="1" applyAlignment="1">
      <alignment horizontal="center" vertical="top" shrinkToFit="1"/>
    </xf>
    <xf numFmtId="0" fontId="7" fillId="0" borderId="3" xfId="2" quotePrefix="1" applyFont="1" applyBorder="1" applyAlignment="1">
      <alignment horizontal="center" vertical="top"/>
    </xf>
    <xf numFmtId="49" fontId="7" fillId="0" borderId="4" xfId="2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0" borderId="3" xfId="2" applyFont="1" applyBorder="1" applyAlignment="1">
      <alignment vertical="top"/>
    </xf>
    <xf numFmtId="0" fontId="7" fillId="0" borderId="4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49" fontId="7" fillId="0" borderId="2" xfId="2" applyNumberFormat="1" applyFont="1" applyBorder="1" applyAlignment="1">
      <alignment horizontal="center" vertical="top" shrinkToFit="1"/>
    </xf>
    <xf numFmtId="0" fontId="7" fillId="0" borderId="2" xfId="2" applyFont="1" applyBorder="1" applyAlignment="1">
      <alignment horizontal="center" vertical="top" shrinkToFit="1"/>
    </xf>
    <xf numFmtId="0" fontId="7" fillId="0" borderId="3" xfId="3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4" xfId="5" applyFont="1" applyBorder="1" applyAlignment="1">
      <alignment vertical="top"/>
    </xf>
    <xf numFmtId="0" fontId="7" fillId="0" borderId="3" xfId="6" applyFont="1" applyBorder="1" applyAlignment="1">
      <alignment vertical="top"/>
    </xf>
    <xf numFmtId="0" fontId="7" fillId="0" borderId="4" xfId="2" applyFont="1" applyBorder="1" applyAlignment="1">
      <alignment vertical="top"/>
    </xf>
    <xf numFmtId="0" fontId="7" fillId="0" borderId="1" xfId="2" applyFont="1" applyBorder="1" applyAlignment="1">
      <alignment vertical="top"/>
    </xf>
    <xf numFmtId="0" fontId="7" fillId="0" borderId="1" xfId="4" applyFont="1" applyBorder="1" applyAlignment="1">
      <alignment vertical="top"/>
    </xf>
    <xf numFmtId="0" fontId="7" fillId="0" borderId="4" xfId="6" applyFont="1" applyBorder="1" applyAlignment="1">
      <alignment vertical="top" shrinkToFit="1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4" xfId="3" applyFont="1" applyBorder="1" applyAlignment="1">
      <alignment vertical="top"/>
    </xf>
    <xf numFmtId="0" fontId="7" fillId="0" borderId="2" xfId="2" quotePrefix="1" applyFont="1" applyBorder="1" applyAlignment="1">
      <alignment horizontal="center" vertical="top"/>
    </xf>
    <xf numFmtId="0" fontId="39" fillId="0" borderId="3" xfId="6" applyFont="1" applyBorder="1" applyAlignment="1">
      <alignment vertical="top"/>
    </xf>
    <xf numFmtId="0" fontId="39" fillId="0" borderId="4" xfId="6" applyFont="1" applyBorder="1" applyAlignment="1">
      <alignment vertical="top"/>
    </xf>
    <xf numFmtId="0" fontId="39" fillId="0" borderId="1" xfId="6" applyFont="1" applyBorder="1" applyAlignment="1">
      <alignment vertical="top"/>
    </xf>
    <xf numFmtId="0" fontId="39" fillId="0" borderId="0" xfId="1" applyFont="1" applyAlignment="1">
      <alignment vertical="center"/>
    </xf>
    <xf numFmtId="0" fontId="31" fillId="0" borderId="2" xfId="0" applyFont="1" applyBorder="1">
      <alignment vertical="center"/>
    </xf>
    <xf numFmtId="0" fontId="39" fillId="0" borderId="2" xfId="0" applyFont="1" applyBorder="1" applyAlignment="1">
      <alignment horizontal="center" vertical="center"/>
    </xf>
    <xf numFmtId="0" fontId="39" fillId="0" borderId="0" xfId="0" applyFont="1">
      <alignment vertical="center"/>
    </xf>
    <xf numFmtId="0" fontId="39" fillId="0" borderId="15" xfId="8" applyFont="1" applyBorder="1">
      <alignment vertical="center"/>
    </xf>
    <xf numFmtId="0" fontId="39" fillId="0" borderId="2" xfId="8" applyFont="1" applyBorder="1">
      <alignment vertical="center"/>
    </xf>
    <xf numFmtId="49" fontId="7" fillId="0" borderId="2" xfId="2" applyNumberFormat="1" applyFont="1" applyBorder="1" applyAlignment="1">
      <alignment horizontal="center" vertical="top"/>
    </xf>
    <xf numFmtId="0" fontId="40" fillId="0" borderId="3" xfId="7" applyFont="1" applyBorder="1" applyAlignment="1">
      <alignment vertical="center"/>
    </xf>
    <xf numFmtId="0" fontId="40" fillId="0" borderId="4" xfId="7" applyFont="1" applyBorder="1" applyAlignment="1">
      <alignment vertical="center"/>
    </xf>
    <xf numFmtId="0" fontId="40" fillId="0" borderId="1" xfId="7" applyFont="1" applyBorder="1" applyAlignment="1">
      <alignment vertical="center"/>
    </xf>
    <xf numFmtId="49" fontId="40" fillId="0" borderId="3" xfId="7" applyNumberFormat="1" applyFont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 shrinkToFit="1"/>
    </xf>
    <xf numFmtId="0" fontId="13" fillId="9" borderId="3" xfId="6" applyFont="1" applyFill="1" applyBorder="1" applyAlignment="1">
      <alignment vertical="top"/>
    </xf>
    <xf numFmtId="0" fontId="13" fillId="9" borderId="4" xfId="2" applyFont="1" applyFill="1" applyBorder="1" applyAlignment="1">
      <alignment vertical="top"/>
    </xf>
    <xf numFmtId="0" fontId="13" fillId="9" borderId="4" xfId="4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13" fillId="9" borderId="3" xfId="2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0" fontId="13" fillId="9" borderId="3" xfId="2" quotePrefix="1" applyFont="1" applyFill="1" applyBorder="1" applyAlignment="1">
      <alignment horizontal="center" vertical="top"/>
    </xf>
    <xf numFmtId="0" fontId="41" fillId="9" borderId="3" xfId="2" quotePrefix="1" applyFont="1" applyFill="1" applyBorder="1" applyAlignment="1">
      <alignment horizontal="center" vertical="top"/>
    </xf>
    <xf numFmtId="0" fontId="41" fillId="9" borderId="3" xfId="6" applyFont="1" applyFill="1" applyBorder="1" applyAlignment="1">
      <alignment vertical="top"/>
    </xf>
    <xf numFmtId="0" fontId="41" fillId="9" borderId="4" xfId="2" applyFont="1" applyFill="1" applyBorder="1" applyAlignment="1">
      <alignment vertical="top"/>
    </xf>
    <xf numFmtId="0" fontId="41" fillId="9" borderId="1" xfId="2" applyFont="1" applyFill="1" applyBorder="1" applyAlignment="1">
      <alignment vertical="top"/>
    </xf>
    <xf numFmtId="0" fontId="41" fillId="9" borderId="3" xfId="2" applyFont="1" applyFill="1" applyBorder="1" applyAlignment="1">
      <alignment vertical="top"/>
    </xf>
    <xf numFmtId="0" fontId="41" fillId="9" borderId="4" xfId="4" applyFont="1" applyFill="1" applyBorder="1" applyAlignment="1">
      <alignment vertical="top"/>
    </xf>
    <xf numFmtId="0" fontId="41" fillId="9" borderId="1" xfId="4" applyFont="1" applyFill="1" applyBorder="1" applyAlignment="1">
      <alignment vertical="top"/>
    </xf>
    <xf numFmtId="0" fontId="41" fillId="9" borderId="1" xfId="2" applyFont="1" applyFill="1" applyBorder="1" applyAlignment="1">
      <alignment horizontal="right" vertical="top" shrinkToFit="1"/>
    </xf>
    <xf numFmtId="49" fontId="41" fillId="9" borderId="2" xfId="2" applyNumberFormat="1" applyFont="1" applyFill="1" applyBorder="1" applyAlignment="1">
      <alignment horizontal="center" vertical="top"/>
    </xf>
    <xf numFmtId="49" fontId="13" fillId="9" borderId="3" xfId="4" applyNumberFormat="1" applyFont="1" applyFill="1" applyBorder="1" applyAlignment="1">
      <alignment vertical="top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49" fontId="7" fillId="0" borderId="1" xfId="3" applyNumberFormat="1" applyFont="1" applyBorder="1" applyAlignment="1">
      <alignment vertical="top"/>
    </xf>
    <xf numFmtId="49" fontId="41" fillId="9" borderId="3" xfId="3" applyNumberFormat="1" applyFont="1" applyFill="1" applyBorder="1" applyAlignment="1">
      <alignment vertical="top"/>
    </xf>
    <xf numFmtId="49" fontId="41" fillId="9" borderId="1" xfId="3" applyNumberFormat="1" applyFont="1" applyFill="1" applyBorder="1" applyAlignment="1">
      <alignment vertical="top"/>
    </xf>
    <xf numFmtId="49" fontId="41" fillId="9" borderId="3" xfId="5" applyNumberFormat="1" applyFont="1" applyFill="1" applyBorder="1" applyAlignment="1">
      <alignment vertical="top"/>
    </xf>
    <xf numFmtId="49" fontId="41" fillId="9" borderId="4" xfId="5" applyNumberFormat="1" applyFont="1" applyFill="1" applyBorder="1" applyAlignment="1">
      <alignment vertical="top"/>
    </xf>
    <xf numFmtId="49" fontId="41" fillId="9" borderId="1" xfId="5" applyNumberFormat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49" fontId="13" fillId="8" borderId="3" xfId="3" applyNumberFormat="1" applyFont="1" applyFill="1" applyBorder="1" applyAlignment="1">
      <alignment vertical="top"/>
    </xf>
    <xf numFmtId="49" fontId="13" fillId="8" borderId="4" xfId="3" applyNumberFormat="1" applyFont="1" applyFill="1" applyBorder="1" applyAlignment="1">
      <alignment vertical="top"/>
    </xf>
    <xf numFmtId="49" fontId="13" fillId="8" borderId="3" xfId="5" applyNumberFormat="1" applyFont="1" applyFill="1" applyBorder="1" applyAlignment="1">
      <alignment vertical="top"/>
    </xf>
    <xf numFmtId="49" fontId="13" fillId="8" borderId="4" xfId="5" applyNumberFormat="1" applyFont="1" applyFill="1" applyBorder="1" applyAlignment="1">
      <alignment vertical="top"/>
    </xf>
    <xf numFmtId="49" fontId="13" fillId="8" borderId="1" xfId="5" applyNumberFormat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</cellXfs>
  <cellStyles count="13">
    <cellStyle name="ハイパーリンク" xfId="7" builtinId="8"/>
    <cellStyle name="標準" xfId="0" builtinId="0"/>
    <cellStyle name="標準 2" xfId="1" xr:uid="{00000000-0005-0000-0000-000001000000}"/>
    <cellStyle name="標準 3" xfId="6" xr:uid="{00000000-0005-0000-0000-000002000000}"/>
    <cellStyle name="標準 4" xfId="9" xr:uid="{37D481E6-4B93-4A35-A199-35CFB2C083B8}"/>
    <cellStyle name="標準 4 2" xfId="8" xr:uid="{D70C8664-F43C-4A61-A356-6B0B1A8D3B20}"/>
    <cellStyle name="標準 4 2 2" xfId="10" xr:uid="{9446900F-5853-4FEF-91D9-71B031CEDD41}"/>
    <cellStyle name="標準 4 2 3" xfId="12" xr:uid="{C50C7EDF-527E-4B11-A1DB-F6BDD0016010}"/>
    <cellStyle name="標準 4 3" xfId="11" xr:uid="{35E80AE1-17E1-446D-A045-9DE5088A6A2D}"/>
    <cellStyle name="標準_01_ｼｽﾃﾑﾏｽﾀ(MSSYS)" xfId="4" xr:uid="{00000000-0005-0000-0000-000003000000}"/>
    <cellStyle name="標準_Sheet1" xfId="2" xr:uid="{00000000-0005-0000-0000-000004000000}"/>
    <cellStyle name="標準_コピー ～ テーブル項目説明書" xfId="3" xr:uid="{00000000-0005-0000-0000-000005000000}"/>
    <cellStyle name="標準_テーブルレイアウトひな型" xfId="5" xr:uid="{00000000-0005-0000-0000-000006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57</v>
      </c>
    </row>
    <row r="16" spans="2:2" x14ac:dyDescent="0.3">
      <c r="B16" t="s">
        <v>27</v>
      </c>
    </row>
    <row r="17" spans="2:2" x14ac:dyDescent="0.3">
      <c r="B17" t="s">
        <v>58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59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60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61</v>
      </c>
    </row>
    <row r="50" spans="2:2" x14ac:dyDescent="0.3">
      <c r="B50" t="s">
        <v>62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86</v>
      </c>
    </row>
    <row r="67" spans="2:2" x14ac:dyDescent="0.3">
      <c r="B67" t="s">
        <v>53</v>
      </c>
    </row>
    <row r="69" spans="2:2" x14ac:dyDescent="0.3">
      <c r="B69" t="s">
        <v>63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64</v>
      </c>
    </row>
    <row r="79" spans="2:2" x14ac:dyDescent="0.3">
      <c r="B79" t="s">
        <v>65</v>
      </c>
    </row>
    <row r="81" spans="2:2" x14ac:dyDescent="0.3">
      <c r="B81" t="s">
        <v>66</v>
      </c>
    </row>
    <row r="82" spans="2:2" x14ac:dyDescent="0.3">
      <c r="B82" t="s">
        <v>67</v>
      </c>
    </row>
    <row r="84" spans="2:2" x14ac:dyDescent="0.3">
      <c r="B84" t="s">
        <v>68</v>
      </c>
    </row>
    <row r="85" spans="2:2" x14ac:dyDescent="0.3">
      <c r="B85" t="s">
        <v>69</v>
      </c>
    </row>
    <row r="86" spans="2:2" x14ac:dyDescent="0.3">
      <c r="B86" t="s">
        <v>70</v>
      </c>
    </row>
    <row r="87" spans="2:2" x14ac:dyDescent="0.3">
      <c r="B87" t="s">
        <v>71</v>
      </c>
    </row>
    <row r="88" spans="2:2" x14ac:dyDescent="0.3">
      <c r="B88" t="s">
        <v>32</v>
      </c>
    </row>
    <row r="89" spans="2:2" x14ac:dyDescent="0.3">
      <c r="B89" t="s">
        <v>72</v>
      </c>
    </row>
    <row r="90" spans="2:2" x14ac:dyDescent="0.3">
      <c r="B90" t="s">
        <v>73</v>
      </c>
    </row>
    <row r="91" spans="2:2" x14ac:dyDescent="0.3">
      <c r="B91" t="s">
        <v>74</v>
      </c>
    </row>
    <row r="92" spans="2:2" x14ac:dyDescent="0.3">
      <c r="B92" t="s">
        <v>75</v>
      </c>
    </row>
    <row r="93" spans="2:2" x14ac:dyDescent="0.3">
      <c r="B93" t="s">
        <v>76</v>
      </c>
    </row>
    <row r="94" spans="2:2" x14ac:dyDescent="0.3">
      <c r="B94" t="s">
        <v>77</v>
      </c>
    </row>
    <row r="95" spans="2:2" x14ac:dyDescent="0.3">
      <c r="B95" t="s">
        <v>78</v>
      </c>
    </row>
    <row r="96" spans="2:2" x14ac:dyDescent="0.3">
      <c r="B96" t="s">
        <v>79</v>
      </c>
    </row>
    <row r="97" spans="2:2" x14ac:dyDescent="0.3">
      <c r="B97" t="s">
        <v>80</v>
      </c>
    </row>
    <row r="98" spans="2:2" x14ac:dyDescent="0.3">
      <c r="B98" t="s">
        <v>81</v>
      </c>
    </row>
    <row r="99" spans="2:2" x14ac:dyDescent="0.3">
      <c r="B99" t="s">
        <v>45</v>
      </c>
    </row>
    <row r="100" spans="2:2" x14ac:dyDescent="0.3">
      <c r="B100" t="s">
        <v>82</v>
      </c>
    </row>
    <row r="101" spans="2:2" x14ac:dyDescent="0.3">
      <c r="B101" t="s">
        <v>83</v>
      </c>
    </row>
    <row r="102" spans="2:2" x14ac:dyDescent="0.3">
      <c r="B102" t="s">
        <v>84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86</v>
      </c>
    </row>
    <row r="109" spans="2:2" x14ac:dyDescent="0.3">
      <c r="B109" t="s">
        <v>53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sqref="A1:H4"/>
      <selection pane="bottomLeft" activeCell="Q25" sqref="Q25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6" customFormat="1" ht="15" customHeight="1" x14ac:dyDescent="0.3">
      <c r="A1" s="191" t="s">
        <v>100</v>
      </c>
      <c r="B1" s="192"/>
      <c r="C1" s="192"/>
      <c r="D1" s="192"/>
      <c r="E1" s="192"/>
      <c r="F1" s="192"/>
      <c r="G1" s="192"/>
      <c r="H1" s="192"/>
      <c r="I1" s="192"/>
      <c r="J1" s="192"/>
      <c r="K1" s="193"/>
      <c r="L1" s="176" t="s">
        <v>98</v>
      </c>
      <c r="M1" s="177"/>
      <c r="N1" s="177"/>
      <c r="O1" s="177"/>
      <c r="P1" s="177"/>
      <c r="Q1" s="177"/>
      <c r="R1" s="177"/>
      <c r="S1" s="177"/>
      <c r="T1" s="177"/>
      <c r="U1" s="177"/>
      <c r="V1" s="178"/>
      <c r="W1" s="176" t="s">
        <v>99</v>
      </c>
      <c r="X1" s="177"/>
      <c r="Y1" s="177"/>
      <c r="Z1" s="177"/>
      <c r="AA1" s="177"/>
      <c r="AB1" s="177"/>
      <c r="AC1" s="178"/>
      <c r="AD1" s="176" t="s">
        <v>103</v>
      </c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8"/>
      <c r="AR1" s="47" t="s">
        <v>1</v>
      </c>
      <c r="AS1" s="48"/>
      <c r="AT1" s="48"/>
      <c r="AU1" s="48"/>
      <c r="AV1" s="49"/>
      <c r="AW1" s="47" t="s">
        <v>2</v>
      </c>
      <c r="AX1" s="48"/>
      <c r="AY1" s="48"/>
      <c r="AZ1" s="48"/>
      <c r="BA1" s="48"/>
      <c r="BB1" s="49"/>
      <c r="BC1" s="47" t="s">
        <v>3</v>
      </c>
      <c r="BD1" s="48"/>
      <c r="BE1" s="48"/>
      <c r="BF1" s="49"/>
    </row>
    <row r="2" spans="1:58" s="16" customFormat="1" ht="15" customHeight="1" x14ac:dyDescent="0.3">
      <c r="A2" s="194"/>
      <c r="B2" s="195"/>
      <c r="C2" s="195"/>
      <c r="D2" s="195"/>
      <c r="E2" s="195"/>
      <c r="F2" s="195"/>
      <c r="G2" s="195"/>
      <c r="H2" s="195"/>
      <c r="I2" s="195"/>
      <c r="J2" s="195"/>
      <c r="K2" s="196"/>
      <c r="L2" s="200" t="s">
        <v>97</v>
      </c>
      <c r="M2" s="201"/>
      <c r="N2" s="201"/>
      <c r="O2" s="201"/>
      <c r="P2" s="201"/>
      <c r="Q2" s="201"/>
      <c r="R2" s="201"/>
      <c r="S2" s="201"/>
      <c r="T2" s="201"/>
      <c r="U2" s="201"/>
      <c r="V2" s="202"/>
      <c r="W2" s="200" t="s">
        <v>153</v>
      </c>
      <c r="X2" s="201"/>
      <c r="Y2" s="201"/>
      <c r="Z2" s="201"/>
      <c r="AA2" s="201"/>
      <c r="AB2" s="201"/>
      <c r="AC2" s="202"/>
      <c r="AD2" s="179" t="s">
        <v>104</v>
      </c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1"/>
      <c r="AR2" s="170"/>
      <c r="AS2" s="171"/>
      <c r="AT2" s="171"/>
      <c r="AU2" s="171"/>
      <c r="AV2" s="172"/>
      <c r="AW2" s="50" t="s">
        <v>152</v>
      </c>
      <c r="AX2" s="51"/>
      <c r="AY2" s="51"/>
      <c r="AZ2" s="51"/>
      <c r="BA2" s="51"/>
      <c r="BB2" s="52"/>
      <c r="BC2" s="53" t="s">
        <v>15</v>
      </c>
      <c r="BD2" s="54"/>
      <c r="BE2" s="54"/>
      <c r="BF2" s="55"/>
    </row>
    <row r="3" spans="1:58" s="16" customFormat="1" ht="15" customHeight="1" x14ac:dyDescent="0.3">
      <c r="A3" s="194"/>
      <c r="B3" s="195"/>
      <c r="C3" s="195"/>
      <c r="D3" s="195"/>
      <c r="E3" s="195"/>
      <c r="F3" s="195"/>
      <c r="G3" s="195"/>
      <c r="H3" s="195"/>
      <c r="I3" s="195"/>
      <c r="J3" s="195"/>
      <c r="K3" s="196"/>
      <c r="L3" s="203"/>
      <c r="M3" s="204"/>
      <c r="N3" s="204"/>
      <c r="O3" s="204"/>
      <c r="P3" s="204"/>
      <c r="Q3" s="204"/>
      <c r="R3" s="204"/>
      <c r="S3" s="204"/>
      <c r="T3" s="204"/>
      <c r="U3" s="204"/>
      <c r="V3" s="205"/>
      <c r="W3" s="203"/>
      <c r="X3" s="204"/>
      <c r="Y3" s="204"/>
      <c r="Z3" s="204"/>
      <c r="AA3" s="204"/>
      <c r="AB3" s="204"/>
      <c r="AC3" s="205"/>
      <c r="AD3" s="182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4"/>
      <c r="AR3" s="173"/>
      <c r="AS3" s="174"/>
      <c r="AT3" s="174"/>
      <c r="AU3" s="174"/>
      <c r="AV3" s="175"/>
      <c r="AW3" s="50"/>
      <c r="AX3" s="51"/>
      <c r="AY3" s="51"/>
      <c r="AZ3" s="51"/>
      <c r="BA3" s="51"/>
      <c r="BB3" s="52"/>
      <c r="BC3" s="53"/>
      <c r="BD3" s="54"/>
      <c r="BE3" s="54"/>
      <c r="BF3" s="55"/>
    </row>
    <row r="4" spans="1:58" s="16" customFormat="1" ht="15" customHeight="1" x14ac:dyDescent="0.3">
      <c r="A4" s="197"/>
      <c r="B4" s="198"/>
      <c r="C4" s="198"/>
      <c r="D4" s="198"/>
      <c r="E4" s="198"/>
      <c r="F4" s="198"/>
      <c r="G4" s="198"/>
      <c r="H4" s="198"/>
      <c r="I4" s="198"/>
      <c r="J4" s="198"/>
      <c r="K4" s="199"/>
      <c r="L4" s="206"/>
      <c r="M4" s="207"/>
      <c r="N4" s="207"/>
      <c r="O4" s="207"/>
      <c r="P4" s="207"/>
      <c r="Q4" s="207"/>
      <c r="R4" s="207"/>
      <c r="S4" s="207"/>
      <c r="T4" s="207"/>
      <c r="U4" s="207"/>
      <c r="V4" s="208"/>
      <c r="W4" s="206"/>
      <c r="X4" s="207"/>
      <c r="Y4" s="207"/>
      <c r="Z4" s="207"/>
      <c r="AA4" s="207"/>
      <c r="AB4" s="207"/>
      <c r="AC4" s="208"/>
      <c r="AD4" s="185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7"/>
      <c r="AR4" s="173"/>
      <c r="AS4" s="174"/>
      <c r="AT4" s="174"/>
      <c r="AU4" s="174"/>
      <c r="AV4" s="175"/>
      <c r="AW4" s="50"/>
      <c r="AX4" s="51"/>
      <c r="AY4" s="51"/>
      <c r="AZ4" s="51"/>
      <c r="BA4" s="51"/>
      <c r="BB4" s="52"/>
      <c r="BC4" s="53"/>
      <c r="BD4" s="54"/>
      <c r="BE4" s="54"/>
      <c r="BF4" s="55"/>
    </row>
    <row r="5" spans="1:58" ht="15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3">
      <c r="A6" s="57" t="s">
        <v>101</v>
      </c>
      <c r="B6" s="188" t="s">
        <v>105</v>
      </c>
      <c r="C6" s="189"/>
      <c r="D6" s="189"/>
      <c r="E6" s="189"/>
      <c r="F6" s="189"/>
      <c r="G6" s="189"/>
      <c r="H6" s="189"/>
      <c r="I6" s="189"/>
      <c r="J6" s="189"/>
      <c r="K6" s="190"/>
      <c r="L6" s="188" t="s">
        <v>106</v>
      </c>
      <c r="M6" s="189"/>
      <c r="N6" s="189"/>
      <c r="O6" s="189"/>
      <c r="P6" s="189"/>
      <c r="Q6" s="189"/>
      <c r="R6" s="189"/>
      <c r="S6" s="189"/>
      <c r="T6" s="189"/>
      <c r="U6" s="189"/>
      <c r="V6" s="190"/>
      <c r="W6" s="176" t="s">
        <v>122</v>
      </c>
      <c r="X6" s="177"/>
      <c r="Y6" s="177"/>
      <c r="Z6" s="177"/>
      <c r="AA6" s="177"/>
      <c r="AB6" s="177"/>
      <c r="AC6" s="178"/>
      <c r="AD6" s="176" t="s">
        <v>102</v>
      </c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  <c r="BB6" s="177"/>
      <c r="BC6" s="177"/>
      <c r="BD6" s="177"/>
      <c r="BE6" s="177"/>
      <c r="BF6" s="178"/>
    </row>
    <row r="7" spans="1:58" ht="15" customHeight="1" x14ac:dyDescent="0.3">
      <c r="A7" s="3">
        <f>IF(B7="","",COUNTA($B$7:B7))</f>
        <v>1</v>
      </c>
      <c r="B7" s="145" t="s">
        <v>149</v>
      </c>
      <c r="C7" s="146"/>
      <c r="D7" s="146"/>
      <c r="E7" s="146"/>
      <c r="F7" s="146"/>
      <c r="G7" s="146"/>
      <c r="H7" s="146"/>
      <c r="I7" s="146"/>
      <c r="J7" s="146"/>
      <c r="K7" s="147"/>
      <c r="L7" s="3" t="s">
        <v>1497</v>
      </c>
      <c r="M7" s="4"/>
      <c r="N7" s="4"/>
      <c r="O7" s="4"/>
      <c r="P7" s="4"/>
      <c r="Q7" s="4"/>
      <c r="R7" s="4"/>
      <c r="S7" s="4"/>
      <c r="T7" s="4"/>
      <c r="U7" s="4"/>
      <c r="V7" s="4"/>
      <c r="W7" s="209" t="s">
        <v>124</v>
      </c>
      <c r="X7" s="210"/>
      <c r="Y7" s="210"/>
      <c r="Z7" s="210"/>
      <c r="AA7" s="210"/>
      <c r="AB7" s="210"/>
      <c r="AC7" s="211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3">
      <c r="A8" s="3">
        <f>IF(B8="","",COUNTA($B$7:B8))</f>
        <v>2</v>
      </c>
      <c r="B8" s="145" t="s">
        <v>215</v>
      </c>
      <c r="C8" s="146"/>
      <c r="D8" s="146"/>
      <c r="E8" s="146"/>
      <c r="F8" s="146"/>
      <c r="G8" s="146"/>
      <c r="H8" s="146"/>
      <c r="I8" s="146"/>
      <c r="J8" s="146"/>
      <c r="K8" s="147"/>
      <c r="L8" s="3" t="s">
        <v>1498</v>
      </c>
      <c r="M8" s="4"/>
      <c r="N8" s="4"/>
      <c r="O8" s="4"/>
      <c r="P8" s="4"/>
      <c r="Q8" s="4"/>
      <c r="R8" s="4"/>
      <c r="S8" s="4"/>
      <c r="T8" s="4"/>
      <c r="U8" s="4"/>
      <c r="V8" s="4"/>
      <c r="W8" s="209" t="s">
        <v>124</v>
      </c>
      <c r="X8" s="210"/>
      <c r="Y8" s="210"/>
      <c r="Z8" s="210"/>
      <c r="AA8" s="210"/>
      <c r="AB8" s="210"/>
      <c r="AC8" s="211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3">
      <c r="A9" s="3">
        <f>IF(B9="","",COUNTA($B$7:B9))</f>
        <v>3</v>
      </c>
      <c r="B9" s="145" t="s">
        <v>150</v>
      </c>
      <c r="C9" s="146"/>
      <c r="D9" s="146"/>
      <c r="E9" s="146"/>
      <c r="F9" s="146"/>
      <c r="G9" s="146"/>
      <c r="H9" s="146"/>
      <c r="I9" s="146"/>
      <c r="J9" s="146"/>
      <c r="K9" s="147"/>
      <c r="L9" s="3" t="s">
        <v>1499</v>
      </c>
      <c r="M9" s="4"/>
      <c r="N9" s="4"/>
      <c r="O9" s="4"/>
      <c r="P9" s="4"/>
      <c r="Q9" s="4"/>
      <c r="R9" s="4"/>
      <c r="S9" s="4"/>
      <c r="T9" s="4"/>
      <c r="U9" s="4"/>
      <c r="V9" s="4"/>
      <c r="W9" s="209" t="s">
        <v>124</v>
      </c>
      <c r="X9" s="210"/>
      <c r="Y9" s="210"/>
      <c r="Z9" s="210"/>
      <c r="AA9" s="210"/>
      <c r="AB9" s="210"/>
      <c r="AC9" s="211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3">
      <c r="A10" s="3">
        <f>IF(B10="","",COUNTA($B$7:B10))</f>
        <v>4</v>
      </c>
      <c r="B10" s="56" t="s">
        <v>154</v>
      </c>
      <c r="C10" s="4"/>
      <c r="D10" s="4"/>
      <c r="E10" s="4"/>
      <c r="F10" s="4"/>
      <c r="G10" s="4"/>
      <c r="H10" s="4"/>
      <c r="I10" s="4"/>
      <c r="J10" s="4"/>
      <c r="K10" s="5"/>
      <c r="L10" s="3"/>
      <c r="M10" s="4"/>
      <c r="N10" s="4"/>
      <c r="O10" s="4"/>
      <c r="P10" s="4"/>
      <c r="Q10" s="4"/>
      <c r="R10" s="4"/>
      <c r="S10" s="4"/>
      <c r="T10" s="4"/>
      <c r="U10" s="4"/>
      <c r="V10" s="4"/>
      <c r="W10" s="209" t="s">
        <v>124</v>
      </c>
      <c r="X10" s="210"/>
      <c r="Y10" s="210"/>
      <c r="Z10" s="210"/>
      <c r="AA10" s="210"/>
      <c r="AB10" s="210"/>
      <c r="AC10" s="211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3">
      <c r="A11" s="3">
        <f>IF(B11="","",COUNTA($B$7:B11))</f>
        <v>5</v>
      </c>
      <c r="B11" s="56" t="s">
        <v>155</v>
      </c>
      <c r="C11" s="4"/>
      <c r="D11" s="4"/>
      <c r="E11" s="4"/>
      <c r="F11" s="4"/>
      <c r="G11" s="4"/>
      <c r="H11" s="4"/>
      <c r="I11" s="4"/>
      <c r="J11" s="4"/>
      <c r="K11" s="5"/>
      <c r="L11" s="3"/>
      <c r="M11" s="4"/>
      <c r="N11" s="4"/>
      <c r="O11" s="4"/>
      <c r="P11" s="4"/>
      <c r="Q11" s="4"/>
      <c r="R11" s="4"/>
      <c r="S11" s="4"/>
      <c r="T11" s="4"/>
      <c r="U11" s="4"/>
      <c r="V11" s="4"/>
      <c r="W11" s="209" t="s">
        <v>124</v>
      </c>
      <c r="X11" s="210"/>
      <c r="Y11" s="210"/>
      <c r="Z11" s="210"/>
      <c r="AA11" s="210"/>
      <c r="AB11" s="210"/>
      <c r="AC11" s="2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3">
      <c r="A12" s="3">
        <f>IF(B12="","",COUNTA($B$7:B12))</f>
        <v>6</v>
      </c>
      <c r="B12" s="148" t="s">
        <v>157</v>
      </c>
      <c r="C12" s="146"/>
      <c r="D12" s="146"/>
      <c r="E12" s="146"/>
      <c r="F12" s="146"/>
      <c r="G12" s="146"/>
      <c r="H12" s="146"/>
      <c r="I12" s="146"/>
      <c r="J12" s="146"/>
      <c r="K12" s="147"/>
      <c r="L12" s="3" t="s">
        <v>1500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209" t="s">
        <v>124</v>
      </c>
      <c r="X12" s="210"/>
      <c r="Y12" s="210"/>
      <c r="Z12" s="210"/>
      <c r="AA12" s="210"/>
      <c r="AB12" s="210"/>
      <c r="AC12" s="211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3">
      <c r="A13" s="3">
        <f>IF(B13="","",COUNTA($B$7:B13))</f>
        <v>7</v>
      </c>
      <c r="B13" s="148" t="s">
        <v>158</v>
      </c>
      <c r="C13" s="146"/>
      <c r="D13" s="146"/>
      <c r="E13" s="146"/>
      <c r="F13" s="146"/>
      <c r="G13" s="146"/>
      <c r="H13" s="146"/>
      <c r="I13" s="146"/>
      <c r="J13" s="146"/>
      <c r="K13" s="147"/>
      <c r="L13" s="3" t="s">
        <v>1501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209" t="s">
        <v>124</v>
      </c>
      <c r="X13" s="210"/>
      <c r="Y13" s="210"/>
      <c r="Z13" s="210"/>
      <c r="AA13" s="210"/>
      <c r="AB13" s="210"/>
      <c r="AC13" s="211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5"/>
    </row>
    <row r="14" spans="1:58" ht="15" customHeight="1" x14ac:dyDescent="0.3">
      <c r="A14" s="3">
        <f>IF(B14="","",COUNTA($B$7:B14))</f>
        <v>8</v>
      </c>
      <c r="B14" s="148" t="s">
        <v>1698</v>
      </c>
      <c r="C14" s="146"/>
      <c r="D14" s="146"/>
      <c r="E14" s="146"/>
      <c r="F14" s="146"/>
      <c r="G14" s="146"/>
      <c r="H14" s="146"/>
      <c r="I14" s="146"/>
      <c r="J14" s="146"/>
      <c r="K14" s="147"/>
      <c r="L14" s="3" t="s">
        <v>1502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209" t="s">
        <v>124</v>
      </c>
      <c r="X14" s="210"/>
      <c r="Y14" s="210"/>
      <c r="Z14" s="210"/>
      <c r="AA14" s="210"/>
      <c r="AB14" s="210"/>
      <c r="AC14" s="211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5"/>
    </row>
    <row r="15" spans="1:58" ht="15" customHeight="1" x14ac:dyDescent="0.3">
      <c r="A15" s="3">
        <f>IF(B15="","",COUNTA($B$7:B15))</f>
        <v>9</v>
      </c>
      <c r="B15" s="148" t="s">
        <v>1701</v>
      </c>
      <c r="C15" s="146"/>
      <c r="D15" s="146"/>
      <c r="E15" s="146"/>
      <c r="F15" s="146"/>
      <c r="G15" s="146"/>
      <c r="H15" s="146"/>
      <c r="I15" s="146"/>
      <c r="J15" s="146"/>
      <c r="K15" s="147"/>
      <c r="L15" s="3" t="s">
        <v>1503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209" t="s">
        <v>124</v>
      </c>
      <c r="X15" s="210"/>
      <c r="Y15" s="210"/>
      <c r="Z15" s="210"/>
      <c r="AA15" s="210"/>
      <c r="AB15" s="210"/>
      <c r="AC15" s="211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3">
      <c r="A16" s="3">
        <f>IF(B16="","",COUNTA($B$7:B16))</f>
        <v>10</v>
      </c>
      <c r="B16" s="145" t="s">
        <v>214</v>
      </c>
      <c r="C16" s="146"/>
      <c r="D16" s="146"/>
      <c r="E16" s="146"/>
      <c r="F16" s="146"/>
      <c r="G16" s="146"/>
      <c r="H16" s="146"/>
      <c r="I16" s="146"/>
      <c r="J16" s="146"/>
      <c r="K16" s="147"/>
      <c r="L16" s="3" t="s">
        <v>1504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209" t="s">
        <v>124</v>
      </c>
      <c r="X16" s="210"/>
      <c r="Y16" s="210"/>
      <c r="Z16" s="210"/>
      <c r="AA16" s="210"/>
      <c r="AB16" s="210"/>
      <c r="AC16" s="211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3">
      <c r="A17" s="3">
        <f>IF(B17="","",COUNTA($B$7:B17))</f>
        <v>11</v>
      </c>
      <c r="B17" s="145" t="s">
        <v>1933</v>
      </c>
      <c r="C17" s="146"/>
      <c r="D17" s="146"/>
      <c r="E17" s="146"/>
      <c r="F17" s="146"/>
      <c r="G17" s="146"/>
      <c r="H17" s="146"/>
      <c r="I17" s="146"/>
      <c r="J17" s="146"/>
      <c r="K17" s="147"/>
      <c r="L17" s="3" t="s">
        <v>1934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209" t="s">
        <v>124</v>
      </c>
      <c r="X17" s="210"/>
      <c r="Y17" s="210"/>
      <c r="Z17" s="210"/>
      <c r="AA17" s="210"/>
      <c r="AB17" s="210"/>
      <c r="AC17" s="211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3">
      <c r="A18" s="3">
        <f>IF(B18="","",COUNTA($B$7:B18))</f>
        <v>12</v>
      </c>
      <c r="B18" s="56" t="s">
        <v>2014</v>
      </c>
      <c r="C18" s="4"/>
      <c r="D18" s="4"/>
      <c r="E18" s="4"/>
      <c r="F18" s="4"/>
      <c r="G18" s="4"/>
      <c r="H18" s="4"/>
      <c r="I18" s="4"/>
      <c r="J18" s="4"/>
      <c r="K18" s="5"/>
      <c r="L18" s="3" t="s">
        <v>2016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209" t="s">
        <v>124</v>
      </c>
      <c r="X18" s="210"/>
      <c r="Y18" s="210"/>
      <c r="Z18" s="210"/>
      <c r="AA18" s="210"/>
      <c r="AB18" s="210"/>
      <c r="AC18" s="211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3">
      <c r="A19" s="3">
        <f>IF(B19="","",COUNTA($B$7:B19))</f>
        <v>13</v>
      </c>
      <c r="B19" s="3" t="s">
        <v>2015</v>
      </c>
      <c r="C19" s="4"/>
      <c r="D19" s="4"/>
      <c r="E19" s="4"/>
      <c r="F19" s="4"/>
      <c r="G19" s="4"/>
      <c r="H19" s="4"/>
      <c r="I19" s="4"/>
      <c r="J19" s="4"/>
      <c r="K19" s="5"/>
      <c r="L19" s="3" t="s">
        <v>2017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209" t="s">
        <v>124</v>
      </c>
      <c r="X19" s="210"/>
      <c r="Y19" s="210"/>
      <c r="Z19" s="210"/>
      <c r="AA19" s="210"/>
      <c r="AB19" s="210"/>
      <c r="AC19" s="211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3">
      <c r="A20" s="3" t="str">
        <f>IF(B20="","",COUNTA($B$7:B20))</f>
        <v/>
      </c>
      <c r="B20" s="56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4"/>
      <c r="W20" s="209"/>
      <c r="X20" s="210"/>
      <c r="Y20" s="210"/>
      <c r="Z20" s="210"/>
      <c r="AA20" s="210"/>
      <c r="AB20" s="210"/>
      <c r="AC20" s="211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3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4"/>
      <c r="W21" s="209"/>
      <c r="X21" s="210"/>
      <c r="Y21" s="210"/>
      <c r="Z21" s="210"/>
      <c r="AA21" s="210"/>
      <c r="AB21" s="210"/>
      <c r="AC21" s="21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3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209"/>
      <c r="X22" s="210"/>
      <c r="Y22" s="210"/>
      <c r="Z22" s="210"/>
      <c r="AA22" s="210"/>
      <c r="AB22" s="210"/>
      <c r="AC22" s="211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3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209"/>
      <c r="X23" s="210"/>
      <c r="Y23" s="210"/>
      <c r="Z23" s="210"/>
      <c r="AA23" s="210"/>
      <c r="AB23" s="210"/>
      <c r="AC23" s="211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3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209"/>
      <c r="X24" s="210"/>
      <c r="Y24" s="210"/>
      <c r="Z24" s="210"/>
      <c r="AA24" s="210"/>
      <c r="AB24" s="210"/>
      <c r="AC24" s="211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3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209"/>
      <c r="X25" s="210"/>
      <c r="Y25" s="210"/>
      <c r="Z25" s="210"/>
      <c r="AA25" s="210"/>
      <c r="AB25" s="210"/>
      <c r="AC25" s="211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3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209"/>
      <c r="X26" s="210"/>
      <c r="Y26" s="210"/>
      <c r="Z26" s="210"/>
      <c r="AA26" s="210"/>
      <c r="AB26" s="210"/>
      <c r="AC26" s="211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3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209"/>
      <c r="X27" s="210"/>
      <c r="Y27" s="210"/>
      <c r="Z27" s="210"/>
      <c r="AA27" s="210"/>
      <c r="AB27" s="210"/>
      <c r="AC27" s="211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3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209"/>
      <c r="X28" s="210"/>
      <c r="Y28" s="210"/>
      <c r="Z28" s="210"/>
      <c r="AA28" s="210"/>
      <c r="AB28" s="210"/>
      <c r="AC28" s="211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3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209"/>
      <c r="X29" s="210"/>
      <c r="Y29" s="210"/>
      <c r="Z29" s="210"/>
      <c r="AA29" s="210"/>
      <c r="AB29" s="210"/>
      <c r="AC29" s="211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3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209"/>
      <c r="X30" s="210"/>
      <c r="Y30" s="210"/>
      <c r="Z30" s="210"/>
      <c r="AA30" s="210"/>
      <c r="AB30" s="210"/>
      <c r="AC30" s="211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3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209"/>
      <c r="X31" s="210"/>
      <c r="Y31" s="210"/>
      <c r="Z31" s="210"/>
      <c r="AA31" s="210"/>
      <c r="AB31" s="210"/>
      <c r="AC31" s="21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3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209"/>
      <c r="X32" s="210"/>
      <c r="Y32" s="210"/>
      <c r="Z32" s="210"/>
      <c r="AA32" s="210"/>
      <c r="AB32" s="210"/>
      <c r="AC32" s="211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3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209"/>
      <c r="X33" s="210"/>
      <c r="Y33" s="210"/>
      <c r="Z33" s="210"/>
      <c r="AA33" s="210"/>
      <c r="AB33" s="210"/>
      <c r="AC33" s="211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3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209"/>
      <c r="X34" s="210"/>
      <c r="Y34" s="210"/>
      <c r="Z34" s="210"/>
      <c r="AA34" s="210"/>
      <c r="AB34" s="210"/>
      <c r="AC34" s="211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3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209"/>
      <c r="X35" s="210"/>
      <c r="Y35" s="210"/>
      <c r="Z35" s="210"/>
      <c r="AA35" s="210"/>
      <c r="AB35" s="210"/>
      <c r="AC35" s="211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3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209"/>
      <c r="X36" s="210"/>
      <c r="Y36" s="210"/>
      <c r="Z36" s="210"/>
      <c r="AA36" s="210"/>
      <c r="AB36" s="210"/>
      <c r="AC36" s="211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3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209"/>
      <c r="X37" s="210"/>
      <c r="Y37" s="210"/>
      <c r="Z37" s="210"/>
      <c r="AA37" s="210"/>
      <c r="AB37" s="210"/>
      <c r="AC37" s="211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3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209"/>
      <c r="X38" s="210"/>
      <c r="Y38" s="210"/>
      <c r="Z38" s="210"/>
      <c r="AA38" s="210"/>
      <c r="AB38" s="210"/>
      <c r="AC38" s="211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3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209"/>
      <c r="X39" s="210"/>
      <c r="Y39" s="210"/>
      <c r="Z39" s="210"/>
      <c r="AA39" s="210"/>
      <c r="AB39" s="210"/>
      <c r="AC39" s="211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3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209"/>
      <c r="X40" s="210"/>
      <c r="Y40" s="210"/>
      <c r="Z40" s="210"/>
      <c r="AA40" s="210"/>
      <c r="AB40" s="210"/>
      <c r="AC40" s="211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3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209"/>
      <c r="X41" s="210"/>
      <c r="Y41" s="210"/>
      <c r="Z41" s="210"/>
      <c r="AA41" s="210"/>
      <c r="AB41" s="210"/>
      <c r="AC41" s="21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3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209"/>
      <c r="X42" s="210"/>
      <c r="Y42" s="210"/>
      <c r="Z42" s="210"/>
      <c r="AA42" s="210"/>
      <c r="AB42" s="210"/>
      <c r="AC42" s="211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3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209"/>
      <c r="X43" s="210"/>
      <c r="Y43" s="210"/>
      <c r="Z43" s="210"/>
      <c r="AA43" s="210"/>
      <c r="AB43" s="210"/>
      <c r="AC43" s="211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3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209"/>
      <c r="X44" s="210"/>
      <c r="Y44" s="210"/>
      <c r="Z44" s="210"/>
      <c r="AA44" s="210"/>
      <c r="AB44" s="210"/>
      <c r="AC44" s="211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  <row r="45" spans="1:58" ht="15" customHeight="1" x14ac:dyDescent="0.3">
      <c r="A45" s="3" t="str">
        <f>IF(B45="","",COUNTA($B$7:B45))</f>
        <v/>
      </c>
      <c r="B45" s="3"/>
      <c r="C45" s="4"/>
      <c r="D45" s="4"/>
      <c r="E45" s="4"/>
      <c r="F45" s="4"/>
      <c r="G45" s="4"/>
      <c r="H45" s="4"/>
      <c r="I45" s="4"/>
      <c r="J45" s="4"/>
      <c r="K45" s="5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209"/>
      <c r="X45" s="210"/>
      <c r="Y45" s="210"/>
      <c r="Z45" s="210"/>
      <c r="AA45" s="210"/>
      <c r="AB45" s="210"/>
      <c r="AC45" s="211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5"/>
    </row>
    <row r="46" spans="1:58" ht="15" customHeight="1" x14ac:dyDescent="0.3">
      <c r="A46" s="3" t="str">
        <f>IF(B46="","",COUNTA($B$7:B46))</f>
        <v/>
      </c>
      <c r="B46" s="3"/>
      <c r="C46" s="4"/>
      <c r="D46" s="4"/>
      <c r="E46" s="4"/>
      <c r="F46" s="4"/>
      <c r="G46" s="4"/>
      <c r="H46" s="4"/>
      <c r="I46" s="4"/>
      <c r="J46" s="4"/>
      <c r="K46" s="5"/>
      <c r="L46" s="3"/>
      <c r="M46" s="4"/>
      <c r="N46" s="4"/>
      <c r="O46" s="4"/>
      <c r="P46" s="4"/>
      <c r="Q46" s="4"/>
      <c r="R46" s="4"/>
      <c r="S46" s="4"/>
      <c r="T46" s="4"/>
      <c r="U46" s="4"/>
      <c r="V46" s="4"/>
      <c r="W46" s="209"/>
      <c r="X46" s="210"/>
      <c r="Y46" s="210"/>
      <c r="Z46" s="210"/>
      <c r="AA46" s="210"/>
      <c r="AB46" s="210"/>
      <c r="AC46" s="211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5"/>
    </row>
  </sheetData>
  <mergeCells count="54">
    <mergeCell ref="AD6:BF6"/>
    <mergeCell ref="W44:AC44"/>
    <mergeCell ref="W45:AC45"/>
    <mergeCell ref="W34:AC34"/>
    <mergeCell ref="W35:AC35"/>
    <mergeCell ref="W36:AC36"/>
    <mergeCell ref="W37:AC37"/>
    <mergeCell ref="W38:AC38"/>
    <mergeCell ref="W29:AC29"/>
    <mergeCell ref="W30:AC30"/>
    <mergeCell ref="W31:AC31"/>
    <mergeCell ref="W32:AC32"/>
    <mergeCell ref="W33:AC33"/>
    <mergeCell ref="W24:AC24"/>
    <mergeCell ref="W25:AC25"/>
    <mergeCell ref="W26:AC26"/>
    <mergeCell ref="W46:AC46"/>
    <mergeCell ref="W39:AC39"/>
    <mergeCell ref="W40:AC40"/>
    <mergeCell ref="W41:AC41"/>
    <mergeCell ref="W42:AC42"/>
    <mergeCell ref="W43:AC43"/>
    <mergeCell ref="W27:AC27"/>
    <mergeCell ref="W28:AC28"/>
    <mergeCell ref="W19:AC19"/>
    <mergeCell ref="W20:AC20"/>
    <mergeCell ref="W21:AC21"/>
    <mergeCell ref="W22:AC22"/>
    <mergeCell ref="W23:AC23"/>
    <mergeCell ref="W12:AC12"/>
    <mergeCell ref="W13:AC13"/>
    <mergeCell ref="W15:AC15"/>
    <mergeCell ref="W16:AC16"/>
    <mergeCell ref="W18:AC18"/>
    <mergeCell ref="W14:AC14"/>
    <mergeCell ref="W17:AC17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L6:V6"/>
    <mergeCell ref="W6:AC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100-000000000000}"/>
    <dataValidation type="list" allowBlank="1" showInputMessage="1" showErrorMessage="1" sqref="W7:AC46" xr:uid="{00000000-0002-0000-0100-000001000000}">
      <formula1>"A.受注,B.生産計画,C.生産実績,D.出荷,E.資材,F.請求・入金,G.売上,H.支払,I.原価,J.製品棚卸,K.在庫,L.共通"</formula1>
    </dataValidation>
  </dataValidations>
  <hyperlinks>
    <hyperlink ref="B7:K7" location="'資材請求情報（ヘッダ）'!A1" display="資材請求情報（ヘッダ）" xr:uid="{18F63AD9-BD39-4B14-AAA6-DEC8E2ED9D46}"/>
    <hyperlink ref="B8:K8" location="資材請求明細情報!A1" display="資材請求明細情報" xr:uid="{6165FA93-171E-4FA3-849C-FC85389852AD}"/>
    <hyperlink ref="B9:K9" location="資材請求添付ファイル情報!A1" display="資材請求添付ファイル情報" xr:uid="{7AFA4ED2-BBA5-4B07-97FE-A7DEA2F2FE08}"/>
    <hyperlink ref="B12:K12" location="'発注情報（ヘッダ）'!A1" display="発注情報（ヘッダ）" xr:uid="{2C16464A-2735-4898-BF05-939CB01C17BA}"/>
    <hyperlink ref="B13:K13" location="発注明細情報!A1" display="発注明細情報" xr:uid="{8C98B187-DEC5-40F5-AEBF-7F5D7F201604}"/>
    <hyperlink ref="B14:K14" location="発注摘要.連絡情報!A1" display="発注摘要.連絡情報" xr:uid="{D658C5DB-6A89-4F56-9660-EA44D05DF54A}"/>
    <hyperlink ref="B15:K15" location="'仕入情報（ヘッダ）'!A1" display="仕入情報（ヘッダ）" xr:uid="{3C487C9D-D4A7-45A8-B582-87E5339C098D}"/>
    <hyperlink ref="B16:K16" location="仕入明細情報!A1" display="仕入明細情報" xr:uid="{CE01D9D0-7FC7-4C51-BE44-E2697E88ACEC}"/>
    <hyperlink ref="B17:K17" location="仕入調整情報!A1" display="仕入調整情報" xr:uid="{C0420F33-B927-4941-99FC-FF60D4EBED9C}"/>
  </hyperlink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&amp;CE.資材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6043-CE0A-460A-800D-1CEB94D1B017}">
  <sheetPr codeName="Sheet45"/>
  <dimension ref="A1:BD47"/>
  <sheetViews>
    <sheetView showGridLines="0" zoomScaleNormal="100" zoomScaleSheetLayoutView="100" workbookViewId="0">
      <selection activeCell="L29" sqref="L29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5.54296875" style="17" bestFit="1" customWidth="1"/>
    <col min="10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資材請求・納入紐付情報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50" t="s">
        <v>151</v>
      </c>
      <c r="AV2" s="51"/>
      <c r="AW2" s="51"/>
      <c r="AX2" s="51"/>
      <c r="AY2" s="52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t_shizai_seikyu_nonyusaki_himoduke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41" t="s">
        <v>1753</v>
      </c>
      <c r="C8" s="39"/>
      <c r="D8" s="39"/>
      <c r="E8" s="39"/>
      <c r="F8" s="39"/>
      <c r="G8" s="39"/>
      <c r="H8" s="40"/>
      <c r="I8" s="64" t="str">
        <f>VLOOKUP(B8,項目一覧2!A:B,2,FALSE)</f>
        <v>seikyu_busho_cd</v>
      </c>
      <c r="J8" s="30"/>
      <c r="K8" s="30"/>
      <c r="L8" s="30"/>
      <c r="M8" s="30"/>
      <c r="N8" s="30"/>
      <c r="O8" s="30"/>
      <c r="P8" s="30"/>
      <c r="Q8" s="31"/>
      <c r="R8" s="41" t="s">
        <v>125</v>
      </c>
      <c r="S8" s="30"/>
      <c r="T8" s="30"/>
      <c r="U8" s="30"/>
      <c r="V8" s="30"/>
      <c r="W8" s="30"/>
      <c r="X8" s="30"/>
      <c r="Y8" s="212" t="s">
        <v>56</v>
      </c>
      <c r="Z8" s="217"/>
      <c r="AA8" s="214" t="s">
        <v>1752</v>
      </c>
      <c r="AB8" s="215"/>
      <c r="AC8" s="216"/>
      <c r="AD8" s="62">
        <v>4</v>
      </c>
      <c r="AE8" s="27"/>
      <c r="AF8" s="27">
        <v>1</v>
      </c>
      <c r="AG8" s="26" t="s">
        <v>123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41" t="s">
        <v>1569</v>
      </c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23" t="s">
        <v>1772</v>
      </c>
      <c r="C9" s="39"/>
      <c r="D9" s="39"/>
      <c r="E9" s="39"/>
      <c r="F9" s="39"/>
      <c r="G9" s="39"/>
      <c r="H9" s="40"/>
      <c r="I9" s="64" t="str">
        <f>VLOOKUP(B9,項目一覧2!A:B,2,FALSE)</f>
        <v>nonyusaki_cd</v>
      </c>
      <c r="J9" s="30"/>
      <c r="K9" s="30"/>
      <c r="L9" s="30"/>
      <c r="M9" s="30"/>
      <c r="N9" s="30"/>
      <c r="O9" s="30"/>
      <c r="P9" s="30"/>
      <c r="Q9" s="31"/>
      <c r="R9" s="23" t="s">
        <v>131</v>
      </c>
      <c r="S9" s="30"/>
      <c r="T9" s="30"/>
      <c r="U9" s="30"/>
      <c r="V9" s="30"/>
      <c r="W9" s="30"/>
      <c r="X9" s="30"/>
      <c r="Y9" s="212" t="s">
        <v>56</v>
      </c>
      <c r="Z9" s="217"/>
      <c r="AA9" s="214" t="s">
        <v>1752</v>
      </c>
      <c r="AB9" s="215"/>
      <c r="AC9" s="216"/>
      <c r="AD9" s="62">
        <v>3</v>
      </c>
      <c r="AE9" s="26" t="s">
        <v>1893</v>
      </c>
      <c r="AF9" s="26" t="s">
        <v>200</v>
      </c>
      <c r="AG9" s="26" t="s">
        <v>123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s="1" customFormat="1" ht="15" customHeight="1" x14ac:dyDescent="0.3">
      <c r="A10" s="44">
        <f>IF(B10="","",COUNTA($B$8:B10))</f>
        <v>3</v>
      </c>
      <c r="B10" s="7" t="s">
        <v>1762</v>
      </c>
      <c r="C10" s="112"/>
      <c r="D10" s="112"/>
      <c r="E10" s="112"/>
      <c r="F10" s="112"/>
      <c r="G10" s="112"/>
      <c r="H10" s="113"/>
      <c r="I10" s="114" t="str">
        <f>VLOOKUP(B10,項目一覧2!A:B,2,FALSE)</f>
        <v>insert_func_cd</v>
      </c>
      <c r="J10" s="133"/>
      <c r="K10" s="116"/>
      <c r="L10" s="116"/>
      <c r="M10" s="116"/>
      <c r="N10" s="116"/>
      <c r="O10" s="116"/>
      <c r="P10" s="116"/>
      <c r="Q10" s="117"/>
      <c r="R10" s="7" t="s">
        <v>118</v>
      </c>
      <c r="S10" s="116"/>
      <c r="T10" s="118"/>
      <c r="U10" s="116"/>
      <c r="V10" s="116"/>
      <c r="W10" s="116"/>
      <c r="X10" s="113"/>
      <c r="Y10" s="218" t="s">
        <v>56</v>
      </c>
      <c r="Z10" s="219"/>
      <c r="AA10" s="220" t="s">
        <v>1752</v>
      </c>
      <c r="AB10" s="221"/>
      <c r="AC10" s="222"/>
      <c r="AD10" s="119">
        <v>10</v>
      </c>
      <c r="AE10" s="121"/>
      <c r="AF10" s="121"/>
      <c r="AG10" s="120" t="s">
        <v>123</v>
      </c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6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4"/>
    </row>
    <row r="11" spans="1:56" ht="15" customHeight="1" x14ac:dyDescent="0.3">
      <c r="A11" s="44">
        <f>IF(B11="","",COUNTA($B$8:B11))</f>
        <v>4</v>
      </c>
      <c r="B11" s="18" t="s">
        <v>508</v>
      </c>
      <c r="C11" s="19"/>
      <c r="D11" s="19"/>
      <c r="E11" s="19"/>
      <c r="F11" s="19"/>
      <c r="G11" s="19"/>
      <c r="H11" s="22"/>
      <c r="I11" s="64" t="str">
        <f>VLOOKUP(B11,項目一覧2!A:B,2,FALSE)</f>
        <v>insert_user_cd</v>
      </c>
      <c r="J11" s="80"/>
      <c r="K11" s="21"/>
      <c r="L11" s="21"/>
      <c r="M11" s="21"/>
      <c r="N11" s="21"/>
      <c r="O11" s="21"/>
      <c r="P11" s="21"/>
      <c r="Q11" s="32"/>
      <c r="R11" s="18" t="s">
        <v>114</v>
      </c>
      <c r="S11" s="21"/>
      <c r="T11" s="33"/>
      <c r="U11" s="21"/>
      <c r="V11" s="21"/>
      <c r="W11" s="21"/>
      <c r="X11" s="22"/>
      <c r="Y11" s="212" t="s">
        <v>56</v>
      </c>
      <c r="Z11" s="217"/>
      <c r="AA11" s="214" t="s">
        <v>1752</v>
      </c>
      <c r="AB11" s="215"/>
      <c r="AC11" s="216"/>
      <c r="AD11" s="25">
        <v>10</v>
      </c>
      <c r="AE11" s="27"/>
      <c r="AF11" s="27"/>
      <c r="AG11" s="26" t="s">
        <v>123</v>
      </c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1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512</v>
      </c>
      <c r="C12" s="19"/>
      <c r="D12" s="19"/>
      <c r="E12" s="19"/>
      <c r="F12" s="19"/>
      <c r="G12" s="19"/>
      <c r="H12" s="22"/>
      <c r="I12" s="64" t="str">
        <f>VLOOKUP(B12,項目一覧2!A:B,2,FALSE)</f>
        <v>insert_datetime</v>
      </c>
      <c r="J12" s="80"/>
      <c r="K12" s="21"/>
      <c r="L12" s="21"/>
      <c r="M12" s="21"/>
      <c r="N12" s="21"/>
      <c r="O12" s="21"/>
      <c r="P12" s="21"/>
      <c r="Q12" s="32"/>
      <c r="R12" s="18" t="s">
        <v>115</v>
      </c>
      <c r="S12" s="21"/>
      <c r="T12" s="33"/>
      <c r="U12" s="21"/>
      <c r="V12" s="21"/>
      <c r="W12" s="21"/>
      <c r="X12" s="22"/>
      <c r="Y12" s="212" t="s">
        <v>1757</v>
      </c>
      <c r="Z12" s="217"/>
      <c r="AA12" s="214" t="s">
        <v>1758</v>
      </c>
      <c r="AB12" s="215"/>
      <c r="AC12" s="216"/>
      <c r="AD12" s="45"/>
      <c r="AE12" s="27"/>
      <c r="AF12" s="27"/>
      <c r="AG12" s="26" t="s">
        <v>123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97" t="s">
        <v>1766</v>
      </c>
      <c r="C13" s="19"/>
      <c r="D13" s="19"/>
      <c r="E13" s="19"/>
      <c r="F13" s="19"/>
      <c r="G13" s="19"/>
      <c r="H13" s="22"/>
      <c r="I13" s="64" t="str">
        <f>VLOOKUP(B13,項目一覧2!A:B,2,FALSE)</f>
        <v>update_func_cd</v>
      </c>
      <c r="J13" s="80"/>
      <c r="K13" s="21"/>
      <c r="L13" s="21"/>
      <c r="M13" s="21"/>
      <c r="N13" s="21"/>
      <c r="O13" s="21"/>
      <c r="P13" s="21"/>
      <c r="Q13" s="32"/>
      <c r="R13" s="18" t="s">
        <v>119</v>
      </c>
      <c r="S13" s="21"/>
      <c r="T13" s="33"/>
      <c r="U13" s="21"/>
      <c r="V13" s="21"/>
      <c r="W13" s="21"/>
      <c r="X13" s="22"/>
      <c r="Y13" s="212" t="s">
        <v>56</v>
      </c>
      <c r="Z13" s="217"/>
      <c r="AA13" s="214" t="s">
        <v>1752</v>
      </c>
      <c r="AB13" s="215"/>
      <c r="AC13" s="216"/>
      <c r="AD13" s="25">
        <v>10</v>
      </c>
      <c r="AE13" s="27"/>
      <c r="AF13" s="27"/>
      <c r="AG13" s="26" t="s">
        <v>123</v>
      </c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354</v>
      </c>
      <c r="C14" s="19"/>
      <c r="D14" s="19"/>
      <c r="E14" s="19"/>
      <c r="F14" s="19"/>
      <c r="G14" s="19"/>
      <c r="H14" s="22"/>
      <c r="I14" s="64" t="str">
        <f>VLOOKUP(B14,項目一覧2!A:B,2,FALSE)</f>
        <v>update_user_cd</v>
      </c>
      <c r="J14" s="80"/>
      <c r="K14" s="21"/>
      <c r="L14" s="21"/>
      <c r="M14" s="21"/>
      <c r="N14" s="21"/>
      <c r="O14" s="21"/>
      <c r="P14" s="21"/>
      <c r="Q14" s="32"/>
      <c r="R14" s="18" t="s">
        <v>116</v>
      </c>
      <c r="S14" s="21"/>
      <c r="T14" s="33"/>
      <c r="U14" s="21"/>
      <c r="V14" s="21"/>
      <c r="W14" s="21"/>
      <c r="X14" s="22"/>
      <c r="Y14" s="212" t="s">
        <v>56</v>
      </c>
      <c r="Z14" s="217"/>
      <c r="AA14" s="214" t="s">
        <v>1752</v>
      </c>
      <c r="AB14" s="215"/>
      <c r="AC14" s="216"/>
      <c r="AD14" s="45">
        <v>10</v>
      </c>
      <c r="AE14" s="27"/>
      <c r="AF14" s="27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358</v>
      </c>
      <c r="C15" s="19"/>
      <c r="D15" s="19"/>
      <c r="E15" s="19"/>
      <c r="F15" s="19"/>
      <c r="G15" s="19"/>
      <c r="H15" s="22"/>
      <c r="I15" s="64" t="str">
        <f>VLOOKUP(B15,項目一覧2!A:B,2,FALSE)</f>
        <v>update_datetime</v>
      </c>
      <c r="J15" s="80"/>
      <c r="K15" s="21"/>
      <c r="L15" s="21"/>
      <c r="M15" s="21"/>
      <c r="N15" s="21"/>
      <c r="O15" s="21"/>
      <c r="P15" s="21"/>
      <c r="Q15" s="32"/>
      <c r="R15" s="18" t="s">
        <v>117</v>
      </c>
      <c r="S15" s="21"/>
      <c r="T15" s="33"/>
      <c r="U15" s="21"/>
      <c r="V15" s="21"/>
      <c r="W15" s="21"/>
      <c r="X15" s="22"/>
      <c r="Y15" s="212" t="s">
        <v>1757</v>
      </c>
      <c r="Z15" s="217"/>
      <c r="AA15" s="214" t="s">
        <v>1758</v>
      </c>
      <c r="AB15" s="215"/>
      <c r="AC15" s="216"/>
      <c r="AD15" s="45"/>
      <c r="AE15" s="27"/>
      <c r="AF15" s="27"/>
      <c r="AG15" s="26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 t="str">
        <f>IF(B16="","",COUNTA($B$9:B16))</f>
        <v/>
      </c>
      <c r="B16" s="41"/>
      <c r="C16" s="39"/>
      <c r="D16" s="39"/>
      <c r="E16" s="39"/>
      <c r="F16" s="39"/>
      <c r="G16" s="39"/>
      <c r="H16" s="40"/>
      <c r="I16" s="64"/>
      <c r="J16" s="30"/>
      <c r="K16" s="30"/>
      <c r="L16" s="30"/>
      <c r="M16" s="30"/>
      <c r="N16" s="30"/>
      <c r="O16" s="30"/>
      <c r="P16" s="30"/>
      <c r="Q16" s="31"/>
      <c r="R16" s="30"/>
      <c r="S16" s="30"/>
      <c r="T16" s="30"/>
      <c r="U16" s="30"/>
      <c r="V16" s="30"/>
      <c r="W16" s="30"/>
      <c r="X16" s="30"/>
      <c r="Y16" s="212"/>
      <c r="Z16" s="213"/>
      <c r="AA16" s="214"/>
      <c r="AB16" s="215"/>
      <c r="AC16" s="216"/>
      <c r="AD16" s="43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 t="str">
        <f>IF(B17="","",COUNTA($B$9:B17))</f>
        <v/>
      </c>
      <c r="B17" s="41"/>
      <c r="C17" s="39"/>
      <c r="D17" s="39"/>
      <c r="E17" s="39"/>
      <c r="F17" s="39"/>
      <c r="G17" s="39"/>
      <c r="H17" s="40"/>
      <c r="I17" s="64"/>
      <c r="J17" s="30"/>
      <c r="K17" s="30"/>
      <c r="L17" s="30"/>
      <c r="M17" s="30"/>
      <c r="N17" s="30"/>
      <c r="O17" s="30"/>
      <c r="P17" s="30"/>
      <c r="Q17" s="31"/>
      <c r="R17" s="30"/>
      <c r="S17" s="30"/>
      <c r="T17" s="30"/>
      <c r="U17" s="30"/>
      <c r="V17" s="30"/>
      <c r="W17" s="30"/>
      <c r="X17" s="30"/>
      <c r="Y17" s="212"/>
      <c r="Z17" s="213"/>
      <c r="AA17" s="214"/>
      <c r="AB17" s="215"/>
      <c r="AC17" s="216"/>
      <c r="AD17" s="43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 t="str">
        <f>IF(B18="","",COUNTA($B$9:B18))</f>
        <v/>
      </c>
      <c r="B18" s="41"/>
      <c r="C18" s="39"/>
      <c r="D18" s="39"/>
      <c r="E18" s="39"/>
      <c r="F18" s="39"/>
      <c r="G18" s="39"/>
      <c r="H18" s="40"/>
      <c r="I18" s="64"/>
      <c r="J18" s="30"/>
      <c r="K18" s="30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0"/>
      <c r="W18" s="30"/>
      <c r="X18" s="30"/>
      <c r="Y18" s="212"/>
      <c r="Z18" s="213"/>
      <c r="AA18" s="214"/>
      <c r="AB18" s="215"/>
      <c r="AC18" s="216"/>
      <c r="AD18" s="43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 t="str">
        <f>IF(B19="","",COUNTA($B$9:B19))</f>
        <v/>
      </c>
      <c r="B19" s="41"/>
      <c r="C19" s="39"/>
      <c r="D19" s="39"/>
      <c r="E19" s="39"/>
      <c r="F19" s="39"/>
      <c r="G19" s="39"/>
      <c r="H19" s="40"/>
      <c r="I19" s="64"/>
      <c r="J19" s="30"/>
      <c r="K19" s="30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0"/>
      <c r="W19" s="30"/>
      <c r="X19" s="30"/>
      <c r="Y19" s="212"/>
      <c r="Z19" s="213"/>
      <c r="AA19" s="214"/>
      <c r="AB19" s="215"/>
      <c r="AC19" s="216"/>
      <c r="AD19" s="43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 t="str">
        <f>IF(B20="","",COUNTA($B$9:B20))</f>
        <v/>
      </c>
      <c r="B20" s="41"/>
      <c r="C20" s="39"/>
      <c r="D20" s="39"/>
      <c r="E20" s="39"/>
      <c r="F20" s="39"/>
      <c r="G20" s="39"/>
      <c r="H20" s="40"/>
      <c r="I20" s="64"/>
      <c r="J20" s="30"/>
      <c r="K20" s="30"/>
      <c r="L20" s="30"/>
      <c r="M20" s="30"/>
      <c r="N20" s="30"/>
      <c r="O20" s="30"/>
      <c r="P20" s="30"/>
      <c r="Q20" s="31"/>
      <c r="R20" s="30"/>
      <c r="S20" s="30"/>
      <c r="T20" s="30"/>
      <c r="U20" s="30"/>
      <c r="V20" s="30"/>
      <c r="W20" s="30"/>
      <c r="X20" s="30"/>
      <c r="Y20" s="212"/>
      <c r="Z20" s="213"/>
      <c r="AA20" s="214"/>
      <c r="AB20" s="215"/>
      <c r="AC20" s="216"/>
      <c r="AD20" s="43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 t="str">
        <f>IF(B21="","",COUNTA($B$9:B21))</f>
        <v/>
      </c>
      <c r="B21" s="20"/>
      <c r="C21" s="19"/>
      <c r="D21" s="19"/>
      <c r="E21" s="19"/>
      <c r="F21" s="19"/>
      <c r="G21" s="19"/>
      <c r="H21" s="22"/>
      <c r="I21" s="63"/>
      <c r="J21" s="33"/>
      <c r="K21" s="21"/>
      <c r="L21" s="21"/>
      <c r="M21" s="21"/>
      <c r="N21" s="21"/>
      <c r="O21" s="21"/>
      <c r="P21" s="21"/>
      <c r="Q21" s="32"/>
      <c r="R21" s="21"/>
      <c r="S21" s="21"/>
      <c r="T21" s="33"/>
      <c r="U21" s="21"/>
      <c r="V21" s="21"/>
      <c r="W21" s="21"/>
      <c r="X21" s="22"/>
      <c r="Y21" s="212"/>
      <c r="Z21" s="213"/>
      <c r="AA21" s="214"/>
      <c r="AB21" s="215"/>
      <c r="AC21" s="216"/>
      <c r="AD21" s="25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 t="str">
        <f>IF(B22="","",COUNTA($B$9:B22))</f>
        <v/>
      </c>
      <c r="B22" s="20"/>
      <c r="C22" s="19"/>
      <c r="D22" s="19"/>
      <c r="E22" s="19"/>
      <c r="F22" s="19"/>
      <c r="G22" s="19"/>
      <c r="H22" s="22"/>
      <c r="I22" s="63"/>
      <c r="J22" s="33"/>
      <c r="K22" s="21"/>
      <c r="L22" s="21"/>
      <c r="M22" s="21"/>
      <c r="N22" s="21"/>
      <c r="O22" s="21"/>
      <c r="P22" s="21"/>
      <c r="Q22" s="32"/>
      <c r="R22" s="21"/>
      <c r="S22" s="21"/>
      <c r="T22" s="33"/>
      <c r="U22" s="21"/>
      <c r="V22" s="21"/>
      <c r="W22" s="21"/>
      <c r="X22" s="22"/>
      <c r="Y22" s="212"/>
      <c r="Z22" s="213"/>
      <c r="AA22" s="214"/>
      <c r="AB22" s="215"/>
      <c r="AC22" s="216"/>
      <c r="AD22" s="25"/>
      <c r="AE22" s="36"/>
      <c r="AF22" s="36"/>
      <c r="AG22" s="36"/>
      <c r="AH22" s="36"/>
      <c r="AI22" s="3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 t="str">
        <f>IF(B23="","",COUNTA($B$9:B23))</f>
        <v/>
      </c>
      <c r="B23" s="20"/>
      <c r="C23" s="19"/>
      <c r="D23" s="19"/>
      <c r="E23" s="19"/>
      <c r="F23" s="19"/>
      <c r="G23" s="19"/>
      <c r="H23" s="22"/>
      <c r="I23" s="63"/>
      <c r="J23" s="33"/>
      <c r="K23" s="21"/>
      <c r="L23" s="21"/>
      <c r="M23" s="21"/>
      <c r="N23" s="21"/>
      <c r="O23" s="21"/>
      <c r="P23" s="21"/>
      <c r="Q23" s="32"/>
      <c r="R23" s="21"/>
      <c r="S23" s="21"/>
      <c r="T23" s="33"/>
      <c r="U23" s="21"/>
      <c r="V23" s="21"/>
      <c r="W23" s="21"/>
      <c r="X23" s="22"/>
      <c r="Y23" s="212"/>
      <c r="Z23" s="213"/>
      <c r="AA23" s="214"/>
      <c r="AB23" s="215"/>
      <c r="AC23" s="216"/>
      <c r="AD23" s="28"/>
      <c r="AE23" s="26"/>
      <c r="AF23" s="26"/>
      <c r="AG23" s="26"/>
      <c r="AH23" s="26"/>
      <c r="AI23" s="26"/>
      <c r="AJ23" s="26"/>
      <c r="AK23" s="26"/>
      <c r="AL23" s="36"/>
      <c r="AM23" s="36"/>
      <c r="AN23" s="36"/>
      <c r="AO23" s="37"/>
      <c r="AP23" s="37"/>
      <c r="AQ23" s="37"/>
      <c r="AR23" s="37"/>
      <c r="AS23" s="38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 t="str">
        <f>IF(B24="","",COUNTA($B$9:B24))</f>
        <v/>
      </c>
      <c r="B24" s="20"/>
      <c r="C24" s="19"/>
      <c r="D24" s="19"/>
      <c r="E24" s="19"/>
      <c r="F24" s="19"/>
      <c r="G24" s="19"/>
      <c r="H24" s="22"/>
      <c r="I24" s="63"/>
      <c r="J24" s="33"/>
      <c r="K24" s="21"/>
      <c r="L24" s="21"/>
      <c r="M24" s="21"/>
      <c r="N24" s="21"/>
      <c r="O24" s="21"/>
      <c r="P24" s="21"/>
      <c r="Q24" s="32"/>
      <c r="R24" s="21"/>
      <c r="S24" s="21"/>
      <c r="T24" s="33"/>
      <c r="U24" s="21"/>
      <c r="V24" s="21"/>
      <c r="W24" s="21"/>
      <c r="X24" s="22"/>
      <c r="Y24" s="212"/>
      <c r="Z24" s="213"/>
      <c r="AA24" s="214"/>
      <c r="AB24" s="215"/>
      <c r="AC24" s="216"/>
      <c r="AD24" s="25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7"/>
      <c r="AP24" s="37"/>
      <c r="AQ24" s="37"/>
      <c r="AR24" s="37"/>
      <c r="AS24" s="38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IF(B25="","",COUNTA($B$9:B25))</f>
        <v/>
      </c>
      <c r="B25" s="20"/>
      <c r="C25" s="19"/>
      <c r="D25" s="19"/>
      <c r="E25" s="19"/>
      <c r="F25" s="19"/>
      <c r="G25" s="19"/>
      <c r="H25" s="22"/>
      <c r="I25" s="63"/>
      <c r="J25" s="33"/>
      <c r="K25" s="21"/>
      <c r="L25" s="21"/>
      <c r="M25" s="21"/>
      <c r="N25" s="21"/>
      <c r="O25" s="21"/>
      <c r="P25" s="21"/>
      <c r="Q25" s="32"/>
      <c r="R25" s="21"/>
      <c r="S25" s="21"/>
      <c r="T25" s="33"/>
      <c r="U25" s="21"/>
      <c r="V25" s="21"/>
      <c r="W25" s="21"/>
      <c r="X25" s="22"/>
      <c r="Y25" s="212"/>
      <c r="Z25" s="213"/>
      <c r="AA25" s="214"/>
      <c r="AB25" s="215"/>
      <c r="AC25" s="216"/>
      <c r="AD25" s="28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8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IF(B26="","",COUNTA($B$9:B26))</f>
        <v/>
      </c>
      <c r="B26" s="20"/>
      <c r="C26" s="19"/>
      <c r="D26" s="19"/>
      <c r="E26" s="19"/>
      <c r="F26" s="19"/>
      <c r="G26" s="19"/>
      <c r="H26" s="22"/>
      <c r="I26" s="63"/>
      <c r="J26" s="33"/>
      <c r="K26" s="21"/>
      <c r="L26" s="21"/>
      <c r="M26" s="21"/>
      <c r="N26" s="21"/>
      <c r="O26" s="21"/>
      <c r="P26" s="21"/>
      <c r="Q26" s="32"/>
      <c r="R26" s="21"/>
      <c r="S26" s="21"/>
      <c r="T26" s="33"/>
      <c r="U26" s="21"/>
      <c r="V26" s="21"/>
      <c r="W26" s="21"/>
      <c r="X26" s="22"/>
      <c r="Y26" s="212"/>
      <c r="Z26" s="213"/>
      <c r="AA26" s="214"/>
      <c r="AB26" s="215"/>
      <c r="AC26" s="216"/>
      <c r="AD26" s="28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IF(B27="","",COUNTA($B$9:B27))</f>
        <v/>
      </c>
      <c r="B27" s="41"/>
      <c r="C27" s="39"/>
      <c r="D27" s="39"/>
      <c r="E27" s="39"/>
      <c r="F27" s="39"/>
      <c r="G27" s="39"/>
      <c r="H27" s="40"/>
      <c r="I27" s="64"/>
      <c r="J27" s="30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212"/>
      <c r="Z27" s="213"/>
      <c r="AA27" s="214"/>
      <c r="AB27" s="215"/>
      <c r="AC27" s="216"/>
      <c r="AD27" s="43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IF(B28="","",COUNTA($B$9:B28))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IF(B29="","",COUNTA($B$9:B29))</f>
        <v/>
      </c>
      <c r="B29" s="41"/>
      <c r="C29" s="39"/>
      <c r="D29" s="39"/>
      <c r="E29" s="39"/>
      <c r="F29" s="39"/>
      <c r="G29" s="39"/>
      <c r="H29" s="40"/>
      <c r="I29" s="64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43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IF(B30="","",COUNTA($B$9:B30))</f>
        <v/>
      </c>
      <c r="B30" s="41"/>
      <c r="C30" s="39"/>
      <c r="D30" s="39"/>
      <c r="E30" s="39"/>
      <c r="F30" s="39"/>
      <c r="G30" s="39"/>
      <c r="H30" s="40"/>
      <c r="I30" s="64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2"/>
      <c r="Z30" s="213"/>
      <c r="AA30" s="214"/>
      <c r="AB30" s="215"/>
      <c r="AC30" s="216"/>
      <c r="AD30" s="43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IF(B31="","",COUNTA($B$9:B31))</f>
        <v/>
      </c>
      <c r="B31" s="41"/>
      <c r="C31" s="39"/>
      <c r="D31" s="39"/>
      <c r="E31" s="39"/>
      <c r="F31" s="39"/>
      <c r="G31" s="39"/>
      <c r="H31" s="40"/>
      <c r="I31" s="64"/>
      <c r="J31" s="30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2"/>
      <c r="Z31" s="213"/>
      <c r="AA31" s="214"/>
      <c r="AB31" s="215"/>
      <c r="AC31" s="216"/>
      <c r="AD31" s="43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IF(B32="","",COUNTA($B$9:B32))</f>
        <v/>
      </c>
      <c r="B32" s="41"/>
      <c r="C32" s="39"/>
      <c r="D32" s="39"/>
      <c r="E32" s="39"/>
      <c r="F32" s="39"/>
      <c r="G32" s="39"/>
      <c r="H32" s="40"/>
      <c r="I32" s="64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2"/>
      <c r="Z32" s="213"/>
      <c r="AA32" s="214"/>
      <c r="AB32" s="215"/>
      <c r="AC32" s="216"/>
      <c r="AD32" s="43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IF(B33="","",COUNTA($B$9:B33))</f>
        <v/>
      </c>
      <c r="B33" s="41"/>
      <c r="C33" s="39"/>
      <c r="D33" s="39"/>
      <c r="E33" s="39"/>
      <c r="F33" s="39"/>
      <c r="G33" s="39"/>
      <c r="H33" s="40"/>
      <c r="I33" s="64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2"/>
      <c r="Z33" s="213"/>
      <c r="AA33" s="214"/>
      <c r="AB33" s="215"/>
      <c r="AC33" s="216"/>
      <c r="AD33" s="43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IF(B34="","",COUNTA($B$9:B34))</f>
        <v/>
      </c>
      <c r="B34" s="41"/>
      <c r="C34" s="39"/>
      <c r="D34" s="39"/>
      <c r="E34" s="39"/>
      <c r="F34" s="39"/>
      <c r="G34" s="39"/>
      <c r="H34" s="40"/>
      <c r="I34" s="64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212"/>
      <c r="Z34" s="213"/>
      <c r="AA34" s="214"/>
      <c r="AB34" s="215"/>
      <c r="AC34" s="216"/>
      <c r="AD34" s="43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IF(B35="","",COUNTA($B$9:B35))</f>
        <v/>
      </c>
      <c r="B35" s="29"/>
      <c r="C35" s="39"/>
      <c r="D35" s="39"/>
      <c r="E35" s="39"/>
      <c r="F35" s="39"/>
      <c r="G35" s="39"/>
      <c r="H35" s="40"/>
      <c r="I35" s="64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212"/>
      <c r="Z35" s="213"/>
      <c r="AA35" s="214"/>
      <c r="AB35" s="215"/>
      <c r="AC35" s="216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9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IF(B36="","",COUNTA($B$9:B36))</f>
        <v/>
      </c>
      <c r="B36" s="41"/>
      <c r="C36" s="39"/>
      <c r="D36" s="39"/>
      <c r="E36" s="39"/>
      <c r="F36" s="39"/>
      <c r="G36" s="39"/>
      <c r="H36" s="40"/>
      <c r="I36" s="64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212"/>
      <c r="Z36" s="213"/>
      <c r="AA36" s="214"/>
      <c r="AB36" s="215"/>
      <c r="AC36" s="216"/>
      <c r="AD36" s="43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IF(B37="","",COUNTA($B$9:B37))</f>
        <v/>
      </c>
      <c r="B37" s="41"/>
      <c r="C37" s="39"/>
      <c r="D37" s="39"/>
      <c r="E37" s="39"/>
      <c r="F37" s="39"/>
      <c r="G37" s="39"/>
      <c r="H37" s="40"/>
      <c r="I37" s="64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2"/>
      <c r="Z37" s="213"/>
      <c r="AA37" s="214"/>
      <c r="AB37" s="215"/>
      <c r="AC37" s="216"/>
      <c r="AD37" s="43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IF(B38="","",COUNTA($B$9:B38))</f>
        <v/>
      </c>
      <c r="B38" s="41"/>
      <c r="C38" s="39"/>
      <c r="D38" s="39"/>
      <c r="E38" s="39"/>
      <c r="F38" s="39"/>
      <c r="G38" s="39"/>
      <c r="H38" s="40"/>
      <c r="I38" s="64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2"/>
      <c r="Z38" s="213"/>
      <c r="AA38" s="214"/>
      <c r="AB38" s="215"/>
      <c r="AC38" s="216"/>
      <c r="AD38" s="43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IF(B39="","",COUNTA($B$9:B39))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IF(B40="","",COUNTA($B$9:B40))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IF(B41="","",COUNTA($B$9:B41))</f>
        <v/>
      </c>
      <c r="B41" s="29"/>
      <c r="C41" s="39"/>
      <c r="D41" s="39"/>
      <c r="E41" s="39"/>
      <c r="F41" s="39"/>
      <c r="G41" s="39"/>
      <c r="H41" s="40"/>
      <c r="I41" s="64"/>
      <c r="J41" s="21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28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9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IF(B42="","",COUNTA($B$9:B42))</f>
        <v/>
      </c>
      <c r="B42" s="29"/>
      <c r="C42" s="39"/>
      <c r="D42" s="39"/>
      <c r="E42" s="39"/>
      <c r="F42" s="39"/>
      <c r="G42" s="39"/>
      <c r="H42" s="40"/>
      <c r="I42" s="64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60"/>
    </row>
    <row r="43" spans="1:56" ht="15" customHeight="1" x14ac:dyDescent="0.3">
      <c r="A43" s="44" t="str">
        <f>IF(B43="","",COUNTA($B$9:B43))</f>
        <v/>
      </c>
      <c r="B43" s="29"/>
      <c r="C43" s="39"/>
      <c r="D43" s="39"/>
      <c r="E43" s="39"/>
      <c r="F43" s="39"/>
      <c r="G43" s="39"/>
      <c r="H43" s="40"/>
      <c r="I43" s="64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60"/>
    </row>
    <row r="44" spans="1:56" ht="15" customHeight="1" x14ac:dyDescent="0.3">
      <c r="A44" s="44" t="str">
        <f>IF(B44="","",COUNTA($B$9:B44))</f>
        <v/>
      </c>
      <c r="B44" s="20"/>
      <c r="C44" s="19"/>
      <c r="D44" s="19"/>
      <c r="E44" s="19"/>
      <c r="F44" s="19"/>
      <c r="G44" s="19"/>
      <c r="H44" s="22"/>
      <c r="I44" s="63"/>
      <c r="J44" s="33"/>
      <c r="K44" s="21"/>
      <c r="L44" s="21"/>
      <c r="M44" s="21"/>
      <c r="N44" s="21"/>
      <c r="O44" s="21"/>
      <c r="P44" s="21"/>
      <c r="Q44" s="32"/>
      <c r="R44" s="21"/>
      <c r="S44" s="21"/>
      <c r="T44" s="33"/>
      <c r="U44" s="21"/>
      <c r="V44" s="21"/>
      <c r="W44" s="21"/>
      <c r="X44" s="22"/>
      <c r="Y44" s="212"/>
      <c r="Z44" s="213"/>
      <c r="AA44" s="214"/>
      <c r="AB44" s="215"/>
      <c r="AC44" s="216"/>
      <c r="AD44" s="25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IF(B45="","",COUNTA($B$9:B45))</f>
        <v/>
      </c>
      <c r="B45" s="20"/>
      <c r="C45" s="19"/>
      <c r="D45" s="19"/>
      <c r="E45" s="19"/>
      <c r="F45" s="19"/>
      <c r="G45" s="19"/>
      <c r="H45" s="22"/>
      <c r="I45" s="63"/>
      <c r="J45" s="33"/>
      <c r="K45" s="21"/>
      <c r="L45" s="21"/>
      <c r="M45" s="21"/>
      <c r="N45" s="21"/>
      <c r="O45" s="21"/>
      <c r="P45" s="21"/>
      <c r="Q45" s="32"/>
      <c r="R45" s="21"/>
      <c r="S45" s="21"/>
      <c r="T45" s="33"/>
      <c r="U45" s="21"/>
      <c r="V45" s="21"/>
      <c r="W45" s="21"/>
      <c r="X45" s="22"/>
      <c r="Y45" s="212"/>
      <c r="Z45" s="213"/>
      <c r="AA45" s="214"/>
      <c r="AB45" s="215"/>
      <c r="AC45" s="216"/>
      <c r="AD45" s="25"/>
      <c r="AE45" s="36"/>
      <c r="AF45" s="36"/>
      <c r="AG45" s="36"/>
      <c r="AH45" s="36"/>
      <c r="AI45" s="36"/>
      <c r="AJ45" s="26"/>
      <c r="AK45" s="26"/>
      <c r="AL45" s="26"/>
      <c r="AM45" s="26"/>
      <c r="AN45" s="26"/>
      <c r="AO45" s="27"/>
      <c r="AP45" s="27"/>
      <c r="AQ45" s="27"/>
      <c r="AR45" s="27"/>
      <c r="AS45" s="29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IF(B46="","",COUNTA($B$9:B46))</f>
        <v/>
      </c>
      <c r="B46" s="20"/>
      <c r="C46" s="19"/>
      <c r="D46" s="19"/>
      <c r="E46" s="19"/>
      <c r="F46" s="19"/>
      <c r="G46" s="19"/>
      <c r="H46" s="22"/>
      <c r="I46" s="63"/>
      <c r="J46" s="33"/>
      <c r="K46" s="21"/>
      <c r="L46" s="21"/>
      <c r="M46" s="21"/>
      <c r="N46" s="21"/>
      <c r="O46" s="21"/>
      <c r="P46" s="21"/>
      <c r="Q46" s="32"/>
      <c r="R46" s="21"/>
      <c r="S46" s="21"/>
      <c r="T46" s="33"/>
      <c r="U46" s="21"/>
      <c r="V46" s="21"/>
      <c r="W46" s="21"/>
      <c r="X46" s="22"/>
      <c r="Y46" s="212"/>
      <c r="Z46" s="213"/>
      <c r="AA46" s="214"/>
      <c r="AB46" s="215"/>
      <c r="AC46" s="216"/>
      <c r="AD46" s="28"/>
      <c r="AE46" s="26"/>
      <c r="AF46" s="26"/>
      <c r="AG46" s="26"/>
      <c r="AH46" s="26"/>
      <c r="AI46" s="26"/>
      <c r="AJ46" s="26"/>
      <c r="AK46" s="26"/>
      <c r="AL46" s="36"/>
      <c r="AM46" s="36"/>
      <c r="AN46" s="36"/>
      <c r="AO46" s="37"/>
      <c r="AP46" s="37"/>
      <c r="AQ46" s="37"/>
      <c r="AR46" s="37"/>
      <c r="AS46" s="38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IF(B47="","",COUNTA($B$9:B47))</f>
        <v/>
      </c>
      <c r="B47" s="20"/>
      <c r="C47" s="19"/>
      <c r="D47" s="19"/>
      <c r="E47" s="19"/>
      <c r="F47" s="19"/>
      <c r="G47" s="19"/>
      <c r="H47" s="22"/>
      <c r="I47" s="63"/>
      <c r="J47" s="33"/>
      <c r="K47" s="21"/>
      <c r="L47" s="21"/>
      <c r="M47" s="21"/>
      <c r="N47" s="21"/>
      <c r="O47" s="21"/>
      <c r="P47" s="21"/>
      <c r="Q47" s="32"/>
      <c r="R47" s="21"/>
      <c r="S47" s="21"/>
      <c r="T47" s="33"/>
      <c r="U47" s="21"/>
      <c r="V47" s="21"/>
      <c r="W47" s="21"/>
      <c r="X47" s="22"/>
      <c r="Y47" s="212"/>
      <c r="Z47" s="213"/>
      <c r="AA47" s="214"/>
      <c r="AB47" s="215"/>
      <c r="AC47" s="216"/>
      <c r="AD47" s="25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7"/>
      <c r="AP47" s="37"/>
      <c r="AQ47" s="37"/>
      <c r="AR47" s="37"/>
      <c r="AS47" s="38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</sheetData>
  <mergeCells count="112"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H6:AH7"/>
    <mergeCell ref="AI6:AR6"/>
    <mergeCell ref="AS6:BD7"/>
    <mergeCell ref="Y9:Z9"/>
    <mergeCell ref="AA9:AC9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Y10:Z10"/>
    <mergeCell ref="AA10:AC10"/>
    <mergeCell ref="Y11:Z11"/>
    <mergeCell ref="AA11:AC11"/>
    <mergeCell ref="Y12:Z12"/>
    <mergeCell ref="AA12:AC12"/>
    <mergeCell ref="AG6:AG7"/>
    <mergeCell ref="Y16:Z16"/>
    <mergeCell ref="AA16:AC16"/>
    <mergeCell ref="Y17:Z17"/>
    <mergeCell ref="AA17:AC17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6:Z46"/>
    <mergeCell ref="AA46:AC46"/>
    <mergeCell ref="Y47:Z47"/>
    <mergeCell ref="AA47:AC47"/>
    <mergeCell ref="Y8:Z8"/>
    <mergeCell ref="AA8:AC8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</mergeCells>
  <phoneticPr fontId="5"/>
  <dataValidations count="3">
    <dataValidation imeMode="hiragana" allowBlank="1" showInputMessage="1" showErrorMessage="1" sqref="JK65518:JV65520 TG65518:TR65520 ADC65518:ADN65520 AMY65518:ANJ65520 AWU65518:AXF65520 BGQ65518:BHB65520 BQM65518:BQX65520 CAI65518:CAT65520 CKE65518:CKP65520 CUA65518:CUL65520 DDW65518:DEH65520 DNS65518:DOD65520 DXO65518:DXZ65520 EHK65518:EHV65520 ERG65518:ERR65520 FBC65518:FBN65520 FKY65518:FLJ65520 FUU65518:FVF65520 GEQ65518:GFB65520 GOM65518:GOX65520 GYI65518:GYT65520 HIE65518:HIP65520 HSA65518:HSL65520 IBW65518:ICH65520 ILS65518:IMD65520 IVO65518:IVZ65520 JFK65518:JFV65520 JPG65518:JPR65520 JZC65518:JZN65520 KIY65518:KJJ65520 KSU65518:KTF65520 LCQ65518:LDB65520 LMM65518:LMX65520 LWI65518:LWT65520 MGE65518:MGP65520 MQA65518:MQL65520 MZW65518:NAH65520 NJS65518:NKD65520 NTO65518:NTZ65520 ODK65518:ODV65520 ONG65518:ONR65520 OXC65518:OXN65520 PGY65518:PHJ65520 PQU65518:PRF65520 QAQ65518:QBB65520 QKM65518:QKX65520 QUI65518:QUT65520 REE65518:REP65520 ROA65518:ROL65520 RXW65518:RYH65520 SHS65518:SID65520 SRO65518:SRZ65520 TBK65518:TBV65520 TLG65518:TLR65520 TVC65518:TVN65520 UEY65518:UFJ65520 UOU65518:UPF65520 UYQ65518:UZB65520 VIM65518:VIX65520 VSI65518:VST65520 WCE65518:WCP65520 WMA65518:WML65520 WVW65518:WWH65520 JK131054:JV131056 TG131054:TR131056 ADC131054:ADN131056 AMY131054:ANJ131056 AWU131054:AXF131056 BGQ131054:BHB131056 BQM131054:BQX131056 CAI131054:CAT131056 CKE131054:CKP131056 CUA131054:CUL131056 DDW131054:DEH131056 DNS131054:DOD131056 DXO131054:DXZ131056 EHK131054:EHV131056 ERG131054:ERR131056 FBC131054:FBN131056 FKY131054:FLJ131056 FUU131054:FVF131056 GEQ131054:GFB131056 GOM131054:GOX131056 GYI131054:GYT131056 HIE131054:HIP131056 HSA131054:HSL131056 IBW131054:ICH131056 ILS131054:IMD131056 IVO131054:IVZ131056 JFK131054:JFV131056 JPG131054:JPR131056 JZC131054:JZN131056 KIY131054:KJJ131056 KSU131054:KTF131056 LCQ131054:LDB131056 LMM131054:LMX131056 LWI131054:LWT131056 MGE131054:MGP131056 MQA131054:MQL131056 MZW131054:NAH131056 NJS131054:NKD131056 NTO131054:NTZ131056 ODK131054:ODV131056 ONG131054:ONR131056 OXC131054:OXN131056 PGY131054:PHJ131056 PQU131054:PRF131056 QAQ131054:QBB131056 QKM131054:QKX131056 QUI131054:QUT131056 REE131054:REP131056 ROA131054:ROL131056 RXW131054:RYH131056 SHS131054:SID131056 SRO131054:SRZ131056 TBK131054:TBV131056 TLG131054:TLR131056 TVC131054:TVN131056 UEY131054:UFJ131056 UOU131054:UPF131056 UYQ131054:UZB131056 VIM131054:VIX131056 VSI131054:VST131056 WCE131054:WCP131056 WMA131054:WML131056 WVW131054:WWH131056 JK196590:JV196592 TG196590:TR196592 ADC196590:ADN196592 AMY196590:ANJ196592 AWU196590:AXF196592 BGQ196590:BHB196592 BQM196590:BQX196592 CAI196590:CAT196592 CKE196590:CKP196592 CUA196590:CUL196592 DDW196590:DEH196592 DNS196590:DOD196592 DXO196590:DXZ196592 EHK196590:EHV196592 ERG196590:ERR196592 FBC196590:FBN196592 FKY196590:FLJ196592 FUU196590:FVF196592 GEQ196590:GFB196592 GOM196590:GOX196592 GYI196590:GYT196592 HIE196590:HIP196592 HSA196590:HSL196592 IBW196590:ICH196592 ILS196590:IMD196592 IVO196590:IVZ196592 JFK196590:JFV196592 JPG196590:JPR196592 JZC196590:JZN196592 KIY196590:KJJ196592 KSU196590:KTF196592 LCQ196590:LDB196592 LMM196590:LMX196592 LWI196590:LWT196592 MGE196590:MGP196592 MQA196590:MQL196592 MZW196590:NAH196592 NJS196590:NKD196592 NTO196590:NTZ196592 ODK196590:ODV196592 ONG196590:ONR196592 OXC196590:OXN196592 PGY196590:PHJ196592 PQU196590:PRF196592 QAQ196590:QBB196592 QKM196590:QKX196592 QUI196590:QUT196592 REE196590:REP196592 ROA196590:ROL196592 RXW196590:RYH196592 SHS196590:SID196592 SRO196590:SRZ196592 TBK196590:TBV196592 TLG196590:TLR196592 TVC196590:TVN196592 UEY196590:UFJ196592 UOU196590:UPF196592 UYQ196590:UZB196592 VIM196590:VIX196592 VSI196590:VST196592 WCE196590:WCP196592 WMA196590:WML196592 WVW196590:WWH196592 JK262126:JV262128 TG262126:TR262128 ADC262126:ADN262128 AMY262126:ANJ262128 AWU262126:AXF262128 BGQ262126:BHB262128 BQM262126:BQX262128 CAI262126:CAT262128 CKE262126:CKP262128 CUA262126:CUL262128 DDW262126:DEH262128 DNS262126:DOD262128 DXO262126:DXZ262128 EHK262126:EHV262128 ERG262126:ERR262128 FBC262126:FBN262128 FKY262126:FLJ262128 FUU262126:FVF262128 GEQ262126:GFB262128 GOM262126:GOX262128 GYI262126:GYT262128 HIE262126:HIP262128 HSA262126:HSL262128 IBW262126:ICH262128 ILS262126:IMD262128 IVO262126:IVZ262128 JFK262126:JFV262128 JPG262126:JPR262128 JZC262126:JZN262128 KIY262126:KJJ262128 KSU262126:KTF262128 LCQ262126:LDB262128 LMM262126:LMX262128 LWI262126:LWT262128 MGE262126:MGP262128 MQA262126:MQL262128 MZW262126:NAH262128 NJS262126:NKD262128 NTO262126:NTZ262128 ODK262126:ODV262128 ONG262126:ONR262128 OXC262126:OXN262128 PGY262126:PHJ262128 PQU262126:PRF262128 QAQ262126:QBB262128 QKM262126:QKX262128 QUI262126:QUT262128 REE262126:REP262128 ROA262126:ROL262128 RXW262126:RYH262128 SHS262126:SID262128 SRO262126:SRZ262128 TBK262126:TBV262128 TLG262126:TLR262128 TVC262126:TVN262128 UEY262126:UFJ262128 UOU262126:UPF262128 UYQ262126:UZB262128 VIM262126:VIX262128 VSI262126:VST262128 WCE262126:WCP262128 WMA262126:WML262128 WVW262126:WWH262128 JK327662:JV327664 TG327662:TR327664 ADC327662:ADN327664 AMY327662:ANJ327664 AWU327662:AXF327664 BGQ327662:BHB327664 BQM327662:BQX327664 CAI327662:CAT327664 CKE327662:CKP327664 CUA327662:CUL327664 DDW327662:DEH327664 DNS327662:DOD327664 DXO327662:DXZ327664 EHK327662:EHV327664 ERG327662:ERR327664 FBC327662:FBN327664 FKY327662:FLJ327664 FUU327662:FVF327664 GEQ327662:GFB327664 GOM327662:GOX327664 GYI327662:GYT327664 HIE327662:HIP327664 HSA327662:HSL327664 IBW327662:ICH327664 ILS327662:IMD327664 IVO327662:IVZ327664 JFK327662:JFV327664 JPG327662:JPR327664 JZC327662:JZN327664 KIY327662:KJJ327664 KSU327662:KTF327664 LCQ327662:LDB327664 LMM327662:LMX327664 LWI327662:LWT327664 MGE327662:MGP327664 MQA327662:MQL327664 MZW327662:NAH327664 NJS327662:NKD327664 NTO327662:NTZ327664 ODK327662:ODV327664 ONG327662:ONR327664 OXC327662:OXN327664 PGY327662:PHJ327664 PQU327662:PRF327664 QAQ327662:QBB327664 QKM327662:QKX327664 QUI327662:QUT327664 REE327662:REP327664 ROA327662:ROL327664 RXW327662:RYH327664 SHS327662:SID327664 SRO327662:SRZ327664 TBK327662:TBV327664 TLG327662:TLR327664 TVC327662:TVN327664 UEY327662:UFJ327664 UOU327662:UPF327664 UYQ327662:UZB327664 VIM327662:VIX327664 VSI327662:VST327664 WCE327662:WCP327664 WMA327662:WML327664 WVW327662:WWH327664 JK393198:JV393200 TG393198:TR393200 ADC393198:ADN393200 AMY393198:ANJ393200 AWU393198:AXF393200 BGQ393198:BHB393200 BQM393198:BQX393200 CAI393198:CAT393200 CKE393198:CKP393200 CUA393198:CUL393200 DDW393198:DEH393200 DNS393198:DOD393200 DXO393198:DXZ393200 EHK393198:EHV393200 ERG393198:ERR393200 FBC393198:FBN393200 FKY393198:FLJ393200 FUU393198:FVF393200 GEQ393198:GFB393200 GOM393198:GOX393200 GYI393198:GYT393200 HIE393198:HIP393200 HSA393198:HSL393200 IBW393198:ICH393200 ILS393198:IMD393200 IVO393198:IVZ393200 JFK393198:JFV393200 JPG393198:JPR393200 JZC393198:JZN393200 KIY393198:KJJ393200 KSU393198:KTF393200 LCQ393198:LDB393200 LMM393198:LMX393200 LWI393198:LWT393200 MGE393198:MGP393200 MQA393198:MQL393200 MZW393198:NAH393200 NJS393198:NKD393200 NTO393198:NTZ393200 ODK393198:ODV393200 ONG393198:ONR393200 OXC393198:OXN393200 PGY393198:PHJ393200 PQU393198:PRF393200 QAQ393198:QBB393200 QKM393198:QKX393200 QUI393198:QUT393200 REE393198:REP393200 ROA393198:ROL393200 RXW393198:RYH393200 SHS393198:SID393200 SRO393198:SRZ393200 TBK393198:TBV393200 TLG393198:TLR393200 TVC393198:TVN393200 UEY393198:UFJ393200 UOU393198:UPF393200 UYQ393198:UZB393200 VIM393198:VIX393200 VSI393198:VST393200 WCE393198:WCP393200 WMA393198:WML393200 WVW393198:WWH393200 JK458734:JV458736 TG458734:TR458736 ADC458734:ADN458736 AMY458734:ANJ458736 AWU458734:AXF458736 BGQ458734:BHB458736 BQM458734:BQX458736 CAI458734:CAT458736 CKE458734:CKP458736 CUA458734:CUL458736 DDW458734:DEH458736 DNS458734:DOD458736 DXO458734:DXZ458736 EHK458734:EHV458736 ERG458734:ERR458736 FBC458734:FBN458736 FKY458734:FLJ458736 FUU458734:FVF458736 GEQ458734:GFB458736 GOM458734:GOX458736 GYI458734:GYT458736 HIE458734:HIP458736 HSA458734:HSL458736 IBW458734:ICH458736 ILS458734:IMD458736 IVO458734:IVZ458736 JFK458734:JFV458736 JPG458734:JPR458736 JZC458734:JZN458736 KIY458734:KJJ458736 KSU458734:KTF458736 LCQ458734:LDB458736 LMM458734:LMX458736 LWI458734:LWT458736 MGE458734:MGP458736 MQA458734:MQL458736 MZW458734:NAH458736 NJS458734:NKD458736 NTO458734:NTZ458736 ODK458734:ODV458736 ONG458734:ONR458736 OXC458734:OXN458736 PGY458734:PHJ458736 PQU458734:PRF458736 QAQ458734:QBB458736 QKM458734:QKX458736 QUI458734:QUT458736 REE458734:REP458736 ROA458734:ROL458736 RXW458734:RYH458736 SHS458734:SID458736 SRO458734:SRZ458736 TBK458734:TBV458736 TLG458734:TLR458736 TVC458734:TVN458736 UEY458734:UFJ458736 UOU458734:UPF458736 UYQ458734:UZB458736 VIM458734:VIX458736 VSI458734:VST458736 WCE458734:WCP458736 WMA458734:WML458736 WVW458734:WWH458736 JK524270:JV524272 TG524270:TR524272 ADC524270:ADN524272 AMY524270:ANJ524272 AWU524270:AXF524272 BGQ524270:BHB524272 BQM524270:BQX524272 CAI524270:CAT524272 CKE524270:CKP524272 CUA524270:CUL524272 DDW524270:DEH524272 DNS524270:DOD524272 DXO524270:DXZ524272 EHK524270:EHV524272 ERG524270:ERR524272 FBC524270:FBN524272 FKY524270:FLJ524272 FUU524270:FVF524272 GEQ524270:GFB524272 GOM524270:GOX524272 GYI524270:GYT524272 HIE524270:HIP524272 HSA524270:HSL524272 IBW524270:ICH524272 ILS524270:IMD524272 IVO524270:IVZ524272 JFK524270:JFV524272 JPG524270:JPR524272 JZC524270:JZN524272 KIY524270:KJJ524272 KSU524270:KTF524272 LCQ524270:LDB524272 LMM524270:LMX524272 LWI524270:LWT524272 MGE524270:MGP524272 MQA524270:MQL524272 MZW524270:NAH524272 NJS524270:NKD524272 NTO524270:NTZ524272 ODK524270:ODV524272 ONG524270:ONR524272 OXC524270:OXN524272 PGY524270:PHJ524272 PQU524270:PRF524272 QAQ524270:QBB524272 QKM524270:QKX524272 QUI524270:QUT524272 REE524270:REP524272 ROA524270:ROL524272 RXW524270:RYH524272 SHS524270:SID524272 SRO524270:SRZ524272 TBK524270:TBV524272 TLG524270:TLR524272 TVC524270:TVN524272 UEY524270:UFJ524272 UOU524270:UPF524272 UYQ524270:UZB524272 VIM524270:VIX524272 VSI524270:VST524272 WCE524270:WCP524272 WMA524270:WML524272 WVW524270:WWH524272 JK589806:JV589808 TG589806:TR589808 ADC589806:ADN589808 AMY589806:ANJ589808 AWU589806:AXF589808 BGQ589806:BHB589808 BQM589806:BQX589808 CAI589806:CAT589808 CKE589806:CKP589808 CUA589806:CUL589808 DDW589806:DEH589808 DNS589806:DOD589808 DXO589806:DXZ589808 EHK589806:EHV589808 ERG589806:ERR589808 FBC589806:FBN589808 FKY589806:FLJ589808 FUU589806:FVF589808 GEQ589806:GFB589808 GOM589806:GOX589808 GYI589806:GYT589808 HIE589806:HIP589808 HSA589806:HSL589808 IBW589806:ICH589808 ILS589806:IMD589808 IVO589806:IVZ589808 JFK589806:JFV589808 JPG589806:JPR589808 JZC589806:JZN589808 KIY589806:KJJ589808 KSU589806:KTF589808 LCQ589806:LDB589808 LMM589806:LMX589808 LWI589806:LWT589808 MGE589806:MGP589808 MQA589806:MQL589808 MZW589806:NAH589808 NJS589806:NKD589808 NTO589806:NTZ589808 ODK589806:ODV589808 ONG589806:ONR589808 OXC589806:OXN589808 PGY589806:PHJ589808 PQU589806:PRF589808 QAQ589806:QBB589808 QKM589806:QKX589808 QUI589806:QUT589808 REE589806:REP589808 ROA589806:ROL589808 RXW589806:RYH589808 SHS589806:SID589808 SRO589806:SRZ589808 TBK589806:TBV589808 TLG589806:TLR589808 TVC589806:TVN589808 UEY589806:UFJ589808 UOU589806:UPF589808 UYQ589806:UZB589808 VIM589806:VIX589808 VSI589806:VST589808 WCE589806:WCP589808 WMA589806:WML589808 WVW589806:WWH589808 JK655342:JV655344 TG655342:TR655344 ADC655342:ADN655344 AMY655342:ANJ655344 AWU655342:AXF655344 BGQ655342:BHB655344 BQM655342:BQX655344 CAI655342:CAT655344 CKE655342:CKP655344 CUA655342:CUL655344 DDW655342:DEH655344 DNS655342:DOD655344 DXO655342:DXZ655344 EHK655342:EHV655344 ERG655342:ERR655344 FBC655342:FBN655344 FKY655342:FLJ655344 FUU655342:FVF655344 GEQ655342:GFB655344 GOM655342:GOX655344 GYI655342:GYT655344 HIE655342:HIP655344 HSA655342:HSL655344 IBW655342:ICH655344 ILS655342:IMD655344 IVO655342:IVZ655344 JFK655342:JFV655344 JPG655342:JPR655344 JZC655342:JZN655344 KIY655342:KJJ655344 KSU655342:KTF655344 LCQ655342:LDB655344 LMM655342:LMX655344 LWI655342:LWT655344 MGE655342:MGP655344 MQA655342:MQL655344 MZW655342:NAH655344 NJS655342:NKD655344 NTO655342:NTZ655344 ODK655342:ODV655344 ONG655342:ONR655344 OXC655342:OXN655344 PGY655342:PHJ655344 PQU655342:PRF655344 QAQ655342:QBB655344 QKM655342:QKX655344 QUI655342:QUT655344 REE655342:REP655344 ROA655342:ROL655344 RXW655342:RYH655344 SHS655342:SID655344 SRO655342:SRZ655344 TBK655342:TBV655344 TLG655342:TLR655344 TVC655342:TVN655344 UEY655342:UFJ655344 UOU655342:UPF655344 UYQ655342:UZB655344 VIM655342:VIX655344 VSI655342:VST655344 WCE655342:WCP655344 WMA655342:WML655344 WVW655342:WWH655344 JK720878:JV720880 TG720878:TR720880 ADC720878:ADN720880 AMY720878:ANJ720880 AWU720878:AXF720880 BGQ720878:BHB720880 BQM720878:BQX720880 CAI720878:CAT720880 CKE720878:CKP720880 CUA720878:CUL720880 DDW720878:DEH720880 DNS720878:DOD720880 DXO720878:DXZ720880 EHK720878:EHV720880 ERG720878:ERR720880 FBC720878:FBN720880 FKY720878:FLJ720880 FUU720878:FVF720880 GEQ720878:GFB720880 GOM720878:GOX720880 GYI720878:GYT720880 HIE720878:HIP720880 HSA720878:HSL720880 IBW720878:ICH720880 ILS720878:IMD720880 IVO720878:IVZ720880 JFK720878:JFV720880 JPG720878:JPR720880 JZC720878:JZN720880 KIY720878:KJJ720880 KSU720878:KTF720880 LCQ720878:LDB720880 LMM720878:LMX720880 LWI720878:LWT720880 MGE720878:MGP720880 MQA720878:MQL720880 MZW720878:NAH720880 NJS720878:NKD720880 NTO720878:NTZ720880 ODK720878:ODV720880 ONG720878:ONR720880 OXC720878:OXN720880 PGY720878:PHJ720880 PQU720878:PRF720880 QAQ720878:QBB720880 QKM720878:QKX720880 QUI720878:QUT720880 REE720878:REP720880 ROA720878:ROL720880 RXW720878:RYH720880 SHS720878:SID720880 SRO720878:SRZ720880 TBK720878:TBV720880 TLG720878:TLR720880 TVC720878:TVN720880 UEY720878:UFJ720880 UOU720878:UPF720880 UYQ720878:UZB720880 VIM720878:VIX720880 VSI720878:VST720880 WCE720878:WCP720880 WMA720878:WML720880 WVW720878:WWH720880 JK786414:JV786416 TG786414:TR786416 ADC786414:ADN786416 AMY786414:ANJ786416 AWU786414:AXF786416 BGQ786414:BHB786416 BQM786414:BQX786416 CAI786414:CAT786416 CKE786414:CKP786416 CUA786414:CUL786416 DDW786414:DEH786416 DNS786414:DOD786416 DXO786414:DXZ786416 EHK786414:EHV786416 ERG786414:ERR786416 FBC786414:FBN786416 FKY786414:FLJ786416 FUU786414:FVF786416 GEQ786414:GFB786416 GOM786414:GOX786416 GYI786414:GYT786416 HIE786414:HIP786416 HSA786414:HSL786416 IBW786414:ICH786416 ILS786414:IMD786416 IVO786414:IVZ786416 JFK786414:JFV786416 JPG786414:JPR786416 JZC786414:JZN786416 KIY786414:KJJ786416 KSU786414:KTF786416 LCQ786414:LDB786416 LMM786414:LMX786416 LWI786414:LWT786416 MGE786414:MGP786416 MQA786414:MQL786416 MZW786414:NAH786416 NJS786414:NKD786416 NTO786414:NTZ786416 ODK786414:ODV786416 ONG786414:ONR786416 OXC786414:OXN786416 PGY786414:PHJ786416 PQU786414:PRF786416 QAQ786414:QBB786416 QKM786414:QKX786416 QUI786414:QUT786416 REE786414:REP786416 ROA786414:ROL786416 RXW786414:RYH786416 SHS786414:SID786416 SRO786414:SRZ786416 TBK786414:TBV786416 TLG786414:TLR786416 TVC786414:TVN786416 UEY786414:UFJ786416 UOU786414:UPF786416 UYQ786414:UZB786416 VIM786414:VIX786416 VSI786414:VST786416 WCE786414:WCP786416 WMA786414:WML786416 WVW786414:WWH786416 JK851950:JV851952 TG851950:TR851952 ADC851950:ADN851952 AMY851950:ANJ851952 AWU851950:AXF851952 BGQ851950:BHB851952 BQM851950:BQX851952 CAI851950:CAT851952 CKE851950:CKP851952 CUA851950:CUL851952 DDW851950:DEH851952 DNS851950:DOD851952 DXO851950:DXZ851952 EHK851950:EHV851952 ERG851950:ERR851952 FBC851950:FBN851952 FKY851950:FLJ851952 FUU851950:FVF851952 GEQ851950:GFB851952 GOM851950:GOX851952 GYI851950:GYT851952 HIE851950:HIP851952 HSA851950:HSL851952 IBW851950:ICH851952 ILS851950:IMD851952 IVO851950:IVZ851952 JFK851950:JFV851952 JPG851950:JPR851952 JZC851950:JZN851952 KIY851950:KJJ851952 KSU851950:KTF851952 LCQ851950:LDB851952 LMM851950:LMX851952 LWI851950:LWT851952 MGE851950:MGP851952 MQA851950:MQL851952 MZW851950:NAH851952 NJS851950:NKD851952 NTO851950:NTZ851952 ODK851950:ODV851952 ONG851950:ONR851952 OXC851950:OXN851952 PGY851950:PHJ851952 PQU851950:PRF851952 QAQ851950:QBB851952 QKM851950:QKX851952 QUI851950:QUT851952 REE851950:REP851952 ROA851950:ROL851952 RXW851950:RYH851952 SHS851950:SID851952 SRO851950:SRZ851952 TBK851950:TBV851952 TLG851950:TLR851952 TVC851950:TVN851952 UEY851950:UFJ851952 UOU851950:UPF851952 UYQ851950:UZB851952 VIM851950:VIX851952 VSI851950:VST851952 WCE851950:WCP851952 WMA851950:WML851952 WVW851950:WWH851952 JK917486:JV917488 TG917486:TR917488 ADC917486:ADN917488 AMY917486:ANJ917488 AWU917486:AXF917488 BGQ917486:BHB917488 BQM917486:BQX917488 CAI917486:CAT917488 CKE917486:CKP917488 CUA917486:CUL917488 DDW917486:DEH917488 DNS917486:DOD917488 DXO917486:DXZ917488 EHK917486:EHV917488 ERG917486:ERR917488 FBC917486:FBN917488 FKY917486:FLJ917488 FUU917486:FVF917488 GEQ917486:GFB917488 GOM917486:GOX917488 GYI917486:GYT917488 HIE917486:HIP917488 HSA917486:HSL917488 IBW917486:ICH917488 ILS917486:IMD917488 IVO917486:IVZ917488 JFK917486:JFV917488 JPG917486:JPR917488 JZC917486:JZN917488 KIY917486:KJJ917488 KSU917486:KTF917488 LCQ917486:LDB917488 LMM917486:LMX917488 LWI917486:LWT917488 MGE917486:MGP917488 MQA917486:MQL917488 MZW917486:NAH917488 NJS917486:NKD917488 NTO917486:NTZ917488 ODK917486:ODV917488 ONG917486:ONR917488 OXC917486:OXN917488 PGY917486:PHJ917488 PQU917486:PRF917488 QAQ917486:QBB917488 QKM917486:QKX917488 QUI917486:QUT917488 REE917486:REP917488 ROA917486:ROL917488 RXW917486:RYH917488 SHS917486:SID917488 SRO917486:SRZ917488 TBK917486:TBV917488 TLG917486:TLR917488 TVC917486:TVN917488 UEY917486:UFJ917488 UOU917486:UPF917488 UYQ917486:UZB917488 VIM917486:VIX917488 VSI917486:VST917488 WCE917486:WCP917488 WMA917486:WML917488 WVW917486:WWH917488 JK983022:JV983024 TG983022:TR983024 ADC983022:ADN983024 AMY983022:ANJ983024 AWU983022:AXF983024 BGQ983022:BHB983024 BQM983022:BQX983024 CAI983022:CAT983024 CKE983022:CKP983024 CUA983022:CUL983024 DDW983022:DEH983024 DNS983022:DOD983024 DXO983022:DXZ983024 EHK983022:EHV983024 ERG983022:ERR983024 FBC983022:FBN983024 FKY983022:FLJ983024 FUU983022:FVF983024 GEQ983022:GFB983024 GOM983022:GOX983024 GYI983022:GYT983024 HIE983022:HIP983024 HSA983022:HSL983024 IBW983022:ICH983024 ILS983022:IMD983024 IVO983022:IVZ983024 JFK983022:JFV983024 JPG983022:JPR983024 JZC983022:JZN983024 KIY983022:KJJ983024 KSU983022:KTF983024 LCQ983022:LDB983024 LMM983022:LMX983024 LWI983022:LWT983024 MGE983022:MGP983024 MQA983022:MQL983024 MZW983022:NAH983024 NJS983022:NKD983024 NTO983022:NTZ983024 ODK983022:ODV983024 ONG983022:ONR983024 OXC983022:OXN983024 PGY983022:PHJ983024 PQU983022:PRF983024 QAQ983022:QBB983024 QKM983022:QKX983024 QUI983022:QUT983024 REE983022:REP983024 ROA983022:ROL983024 RXW983022:RYH983024 SHS983022:SID983024 SRO983022:SRZ983024 TBK983022:TBV983024 TLG983022:TLR983024 TVC983022:TVN983024 UEY983022:UFJ983024 UOU983022:UPF983024 UYQ983022:UZB983024 VIM983022:VIX983024 VSI983022:VST983024 WCE983022:WCP983024 WMA983022:WML983024 WVW983022:WWH983024 WVW983027:WWH983029 JK65523:JV65525 TG65523:TR65525 ADC65523:ADN65525 AMY65523:ANJ65525 AWU65523:AXF65525 BGQ65523:BHB65525 BQM65523:BQX65525 CAI65523:CAT65525 CKE65523:CKP65525 CUA65523:CUL65525 DDW65523:DEH65525 DNS65523:DOD65525 DXO65523:DXZ65525 EHK65523:EHV65525 ERG65523:ERR65525 FBC65523:FBN65525 FKY65523:FLJ65525 FUU65523:FVF65525 GEQ65523:GFB65525 GOM65523:GOX65525 GYI65523:GYT65525 HIE65523:HIP65525 HSA65523:HSL65525 IBW65523:ICH65525 ILS65523:IMD65525 IVO65523:IVZ65525 JFK65523:JFV65525 JPG65523:JPR65525 JZC65523:JZN65525 KIY65523:KJJ65525 KSU65523:KTF65525 LCQ65523:LDB65525 LMM65523:LMX65525 LWI65523:LWT65525 MGE65523:MGP65525 MQA65523:MQL65525 MZW65523:NAH65525 NJS65523:NKD65525 NTO65523:NTZ65525 ODK65523:ODV65525 ONG65523:ONR65525 OXC65523:OXN65525 PGY65523:PHJ65525 PQU65523:PRF65525 QAQ65523:QBB65525 QKM65523:QKX65525 QUI65523:QUT65525 REE65523:REP65525 ROA65523:ROL65525 RXW65523:RYH65525 SHS65523:SID65525 SRO65523:SRZ65525 TBK65523:TBV65525 TLG65523:TLR65525 TVC65523:TVN65525 UEY65523:UFJ65525 UOU65523:UPF65525 UYQ65523:UZB65525 VIM65523:VIX65525 VSI65523:VST65525 WCE65523:WCP65525 WMA65523:WML65525 WVW65523:WWH65525 JK131059:JV131061 TG131059:TR131061 ADC131059:ADN131061 AMY131059:ANJ131061 AWU131059:AXF131061 BGQ131059:BHB131061 BQM131059:BQX131061 CAI131059:CAT131061 CKE131059:CKP131061 CUA131059:CUL131061 DDW131059:DEH131061 DNS131059:DOD131061 DXO131059:DXZ131061 EHK131059:EHV131061 ERG131059:ERR131061 FBC131059:FBN131061 FKY131059:FLJ131061 FUU131059:FVF131061 GEQ131059:GFB131061 GOM131059:GOX131061 GYI131059:GYT131061 HIE131059:HIP131061 HSA131059:HSL131061 IBW131059:ICH131061 ILS131059:IMD131061 IVO131059:IVZ131061 JFK131059:JFV131061 JPG131059:JPR131061 JZC131059:JZN131061 KIY131059:KJJ131061 KSU131059:KTF131061 LCQ131059:LDB131061 LMM131059:LMX131061 LWI131059:LWT131061 MGE131059:MGP131061 MQA131059:MQL131061 MZW131059:NAH131061 NJS131059:NKD131061 NTO131059:NTZ131061 ODK131059:ODV131061 ONG131059:ONR131061 OXC131059:OXN131061 PGY131059:PHJ131061 PQU131059:PRF131061 QAQ131059:QBB131061 QKM131059:QKX131061 QUI131059:QUT131061 REE131059:REP131061 ROA131059:ROL131061 RXW131059:RYH131061 SHS131059:SID131061 SRO131059:SRZ131061 TBK131059:TBV131061 TLG131059:TLR131061 TVC131059:TVN131061 UEY131059:UFJ131061 UOU131059:UPF131061 UYQ131059:UZB131061 VIM131059:VIX131061 VSI131059:VST131061 WCE131059:WCP131061 WMA131059:WML131061 WVW131059:WWH131061 JK196595:JV196597 TG196595:TR196597 ADC196595:ADN196597 AMY196595:ANJ196597 AWU196595:AXF196597 BGQ196595:BHB196597 BQM196595:BQX196597 CAI196595:CAT196597 CKE196595:CKP196597 CUA196595:CUL196597 DDW196595:DEH196597 DNS196595:DOD196597 DXO196595:DXZ196597 EHK196595:EHV196597 ERG196595:ERR196597 FBC196595:FBN196597 FKY196595:FLJ196597 FUU196595:FVF196597 GEQ196595:GFB196597 GOM196595:GOX196597 GYI196595:GYT196597 HIE196595:HIP196597 HSA196595:HSL196597 IBW196595:ICH196597 ILS196595:IMD196597 IVO196595:IVZ196597 JFK196595:JFV196597 JPG196595:JPR196597 JZC196595:JZN196597 KIY196595:KJJ196597 KSU196595:KTF196597 LCQ196595:LDB196597 LMM196595:LMX196597 LWI196595:LWT196597 MGE196595:MGP196597 MQA196595:MQL196597 MZW196595:NAH196597 NJS196595:NKD196597 NTO196595:NTZ196597 ODK196595:ODV196597 ONG196595:ONR196597 OXC196595:OXN196597 PGY196595:PHJ196597 PQU196595:PRF196597 QAQ196595:QBB196597 QKM196595:QKX196597 QUI196595:QUT196597 REE196595:REP196597 ROA196595:ROL196597 RXW196595:RYH196597 SHS196595:SID196597 SRO196595:SRZ196597 TBK196595:TBV196597 TLG196595:TLR196597 TVC196595:TVN196597 UEY196595:UFJ196597 UOU196595:UPF196597 UYQ196595:UZB196597 VIM196595:VIX196597 VSI196595:VST196597 WCE196595:WCP196597 WMA196595:WML196597 WVW196595:WWH196597 JK262131:JV262133 TG262131:TR262133 ADC262131:ADN262133 AMY262131:ANJ262133 AWU262131:AXF262133 BGQ262131:BHB262133 BQM262131:BQX262133 CAI262131:CAT262133 CKE262131:CKP262133 CUA262131:CUL262133 DDW262131:DEH262133 DNS262131:DOD262133 DXO262131:DXZ262133 EHK262131:EHV262133 ERG262131:ERR262133 FBC262131:FBN262133 FKY262131:FLJ262133 FUU262131:FVF262133 GEQ262131:GFB262133 GOM262131:GOX262133 GYI262131:GYT262133 HIE262131:HIP262133 HSA262131:HSL262133 IBW262131:ICH262133 ILS262131:IMD262133 IVO262131:IVZ262133 JFK262131:JFV262133 JPG262131:JPR262133 JZC262131:JZN262133 KIY262131:KJJ262133 KSU262131:KTF262133 LCQ262131:LDB262133 LMM262131:LMX262133 LWI262131:LWT262133 MGE262131:MGP262133 MQA262131:MQL262133 MZW262131:NAH262133 NJS262131:NKD262133 NTO262131:NTZ262133 ODK262131:ODV262133 ONG262131:ONR262133 OXC262131:OXN262133 PGY262131:PHJ262133 PQU262131:PRF262133 QAQ262131:QBB262133 QKM262131:QKX262133 QUI262131:QUT262133 REE262131:REP262133 ROA262131:ROL262133 RXW262131:RYH262133 SHS262131:SID262133 SRO262131:SRZ262133 TBK262131:TBV262133 TLG262131:TLR262133 TVC262131:TVN262133 UEY262131:UFJ262133 UOU262131:UPF262133 UYQ262131:UZB262133 VIM262131:VIX262133 VSI262131:VST262133 WCE262131:WCP262133 WMA262131:WML262133 WVW262131:WWH262133 JK327667:JV327669 TG327667:TR327669 ADC327667:ADN327669 AMY327667:ANJ327669 AWU327667:AXF327669 BGQ327667:BHB327669 BQM327667:BQX327669 CAI327667:CAT327669 CKE327667:CKP327669 CUA327667:CUL327669 DDW327667:DEH327669 DNS327667:DOD327669 DXO327667:DXZ327669 EHK327667:EHV327669 ERG327667:ERR327669 FBC327667:FBN327669 FKY327667:FLJ327669 FUU327667:FVF327669 GEQ327667:GFB327669 GOM327667:GOX327669 GYI327667:GYT327669 HIE327667:HIP327669 HSA327667:HSL327669 IBW327667:ICH327669 ILS327667:IMD327669 IVO327667:IVZ327669 JFK327667:JFV327669 JPG327667:JPR327669 JZC327667:JZN327669 KIY327667:KJJ327669 KSU327667:KTF327669 LCQ327667:LDB327669 LMM327667:LMX327669 LWI327667:LWT327669 MGE327667:MGP327669 MQA327667:MQL327669 MZW327667:NAH327669 NJS327667:NKD327669 NTO327667:NTZ327669 ODK327667:ODV327669 ONG327667:ONR327669 OXC327667:OXN327669 PGY327667:PHJ327669 PQU327667:PRF327669 QAQ327667:QBB327669 QKM327667:QKX327669 QUI327667:QUT327669 REE327667:REP327669 ROA327667:ROL327669 RXW327667:RYH327669 SHS327667:SID327669 SRO327667:SRZ327669 TBK327667:TBV327669 TLG327667:TLR327669 TVC327667:TVN327669 UEY327667:UFJ327669 UOU327667:UPF327669 UYQ327667:UZB327669 VIM327667:VIX327669 VSI327667:VST327669 WCE327667:WCP327669 WMA327667:WML327669 WVW327667:WWH327669 JK393203:JV393205 TG393203:TR393205 ADC393203:ADN393205 AMY393203:ANJ393205 AWU393203:AXF393205 BGQ393203:BHB393205 BQM393203:BQX393205 CAI393203:CAT393205 CKE393203:CKP393205 CUA393203:CUL393205 DDW393203:DEH393205 DNS393203:DOD393205 DXO393203:DXZ393205 EHK393203:EHV393205 ERG393203:ERR393205 FBC393203:FBN393205 FKY393203:FLJ393205 FUU393203:FVF393205 GEQ393203:GFB393205 GOM393203:GOX393205 GYI393203:GYT393205 HIE393203:HIP393205 HSA393203:HSL393205 IBW393203:ICH393205 ILS393203:IMD393205 IVO393203:IVZ393205 JFK393203:JFV393205 JPG393203:JPR393205 JZC393203:JZN393205 KIY393203:KJJ393205 KSU393203:KTF393205 LCQ393203:LDB393205 LMM393203:LMX393205 LWI393203:LWT393205 MGE393203:MGP393205 MQA393203:MQL393205 MZW393203:NAH393205 NJS393203:NKD393205 NTO393203:NTZ393205 ODK393203:ODV393205 ONG393203:ONR393205 OXC393203:OXN393205 PGY393203:PHJ393205 PQU393203:PRF393205 QAQ393203:QBB393205 QKM393203:QKX393205 QUI393203:QUT393205 REE393203:REP393205 ROA393203:ROL393205 RXW393203:RYH393205 SHS393203:SID393205 SRO393203:SRZ393205 TBK393203:TBV393205 TLG393203:TLR393205 TVC393203:TVN393205 UEY393203:UFJ393205 UOU393203:UPF393205 UYQ393203:UZB393205 VIM393203:VIX393205 VSI393203:VST393205 WCE393203:WCP393205 WMA393203:WML393205 WVW393203:WWH393205 JK458739:JV458741 TG458739:TR458741 ADC458739:ADN458741 AMY458739:ANJ458741 AWU458739:AXF458741 BGQ458739:BHB458741 BQM458739:BQX458741 CAI458739:CAT458741 CKE458739:CKP458741 CUA458739:CUL458741 DDW458739:DEH458741 DNS458739:DOD458741 DXO458739:DXZ458741 EHK458739:EHV458741 ERG458739:ERR458741 FBC458739:FBN458741 FKY458739:FLJ458741 FUU458739:FVF458741 GEQ458739:GFB458741 GOM458739:GOX458741 GYI458739:GYT458741 HIE458739:HIP458741 HSA458739:HSL458741 IBW458739:ICH458741 ILS458739:IMD458741 IVO458739:IVZ458741 JFK458739:JFV458741 JPG458739:JPR458741 JZC458739:JZN458741 KIY458739:KJJ458741 KSU458739:KTF458741 LCQ458739:LDB458741 LMM458739:LMX458741 LWI458739:LWT458741 MGE458739:MGP458741 MQA458739:MQL458741 MZW458739:NAH458741 NJS458739:NKD458741 NTO458739:NTZ458741 ODK458739:ODV458741 ONG458739:ONR458741 OXC458739:OXN458741 PGY458739:PHJ458741 PQU458739:PRF458741 QAQ458739:QBB458741 QKM458739:QKX458741 QUI458739:QUT458741 REE458739:REP458741 ROA458739:ROL458741 RXW458739:RYH458741 SHS458739:SID458741 SRO458739:SRZ458741 TBK458739:TBV458741 TLG458739:TLR458741 TVC458739:TVN458741 UEY458739:UFJ458741 UOU458739:UPF458741 UYQ458739:UZB458741 VIM458739:VIX458741 VSI458739:VST458741 WCE458739:WCP458741 WMA458739:WML458741 WVW458739:WWH458741 JK524275:JV524277 TG524275:TR524277 ADC524275:ADN524277 AMY524275:ANJ524277 AWU524275:AXF524277 BGQ524275:BHB524277 BQM524275:BQX524277 CAI524275:CAT524277 CKE524275:CKP524277 CUA524275:CUL524277 DDW524275:DEH524277 DNS524275:DOD524277 DXO524275:DXZ524277 EHK524275:EHV524277 ERG524275:ERR524277 FBC524275:FBN524277 FKY524275:FLJ524277 FUU524275:FVF524277 GEQ524275:GFB524277 GOM524275:GOX524277 GYI524275:GYT524277 HIE524275:HIP524277 HSA524275:HSL524277 IBW524275:ICH524277 ILS524275:IMD524277 IVO524275:IVZ524277 JFK524275:JFV524277 JPG524275:JPR524277 JZC524275:JZN524277 KIY524275:KJJ524277 KSU524275:KTF524277 LCQ524275:LDB524277 LMM524275:LMX524277 LWI524275:LWT524277 MGE524275:MGP524277 MQA524275:MQL524277 MZW524275:NAH524277 NJS524275:NKD524277 NTO524275:NTZ524277 ODK524275:ODV524277 ONG524275:ONR524277 OXC524275:OXN524277 PGY524275:PHJ524277 PQU524275:PRF524277 QAQ524275:QBB524277 QKM524275:QKX524277 QUI524275:QUT524277 REE524275:REP524277 ROA524275:ROL524277 RXW524275:RYH524277 SHS524275:SID524277 SRO524275:SRZ524277 TBK524275:TBV524277 TLG524275:TLR524277 TVC524275:TVN524277 UEY524275:UFJ524277 UOU524275:UPF524277 UYQ524275:UZB524277 VIM524275:VIX524277 VSI524275:VST524277 WCE524275:WCP524277 WMA524275:WML524277 WVW524275:WWH524277 JK589811:JV589813 TG589811:TR589813 ADC589811:ADN589813 AMY589811:ANJ589813 AWU589811:AXF589813 BGQ589811:BHB589813 BQM589811:BQX589813 CAI589811:CAT589813 CKE589811:CKP589813 CUA589811:CUL589813 DDW589811:DEH589813 DNS589811:DOD589813 DXO589811:DXZ589813 EHK589811:EHV589813 ERG589811:ERR589813 FBC589811:FBN589813 FKY589811:FLJ589813 FUU589811:FVF589813 GEQ589811:GFB589813 GOM589811:GOX589813 GYI589811:GYT589813 HIE589811:HIP589813 HSA589811:HSL589813 IBW589811:ICH589813 ILS589811:IMD589813 IVO589811:IVZ589813 JFK589811:JFV589813 JPG589811:JPR589813 JZC589811:JZN589813 KIY589811:KJJ589813 KSU589811:KTF589813 LCQ589811:LDB589813 LMM589811:LMX589813 LWI589811:LWT589813 MGE589811:MGP589813 MQA589811:MQL589813 MZW589811:NAH589813 NJS589811:NKD589813 NTO589811:NTZ589813 ODK589811:ODV589813 ONG589811:ONR589813 OXC589811:OXN589813 PGY589811:PHJ589813 PQU589811:PRF589813 QAQ589811:QBB589813 QKM589811:QKX589813 QUI589811:QUT589813 REE589811:REP589813 ROA589811:ROL589813 RXW589811:RYH589813 SHS589811:SID589813 SRO589811:SRZ589813 TBK589811:TBV589813 TLG589811:TLR589813 TVC589811:TVN589813 UEY589811:UFJ589813 UOU589811:UPF589813 UYQ589811:UZB589813 VIM589811:VIX589813 VSI589811:VST589813 WCE589811:WCP589813 WMA589811:WML589813 WVW589811:WWH589813 JK655347:JV655349 TG655347:TR655349 ADC655347:ADN655349 AMY655347:ANJ655349 AWU655347:AXF655349 BGQ655347:BHB655349 BQM655347:BQX655349 CAI655347:CAT655349 CKE655347:CKP655349 CUA655347:CUL655349 DDW655347:DEH655349 DNS655347:DOD655349 DXO655347:DXZ655349 EHK655347:EHV655349 ERG655347:ERR655349 FBC655347:FBN655349 FKY655347:FLJ655349 FUU655347:FVF655349 GEQ655347:GFB655349 GOM655347:GOX655349 GYI655347:GYT655349 HIE655347:HIP655349 HSA655347:HSL655349 IBW655347:ICH655349 ILS655347:IMD655349 IVO655347:IVZ655349 JFK655347:JFV655349 JPG655347:JPR655349 JZC655347:JZN655349 KIY655347:KJJ655349 KSU655347:KTF655349 LCQ655347:LDB655349 LMM655347:LMX655349 LWI655347:LWT655349 MGE655347:MGP655349 MQA655347:MQL655349 MZW655347:NAH655349 NJS655347:NKD655349 NTO655347:NTZ655349 ODK655347:ODV655349 ONG655347:ONR655349 OXC655347:OXN655349 PGY655347:PHJ655349 PQU655347:PRF655349 QAQ655347:QBB655349 QKM655347:QKX655349 QUI655347:QUT655349 REE655347:REP655349 ROA655347:ROL655349 RXW655347:RYH655349 SHS655347:SID655349 SRO655347:SRZ655349 TBK655347:TBV655349 TLG655347:TLR655349 TVC655347:TVN655349 UEY655347:UFJ655349 UOU655347:UPF655349 UYQ655347:UZB655349 VIM655347:VIX655349 VSI655347:VST655349 WCE655347:WCP655349 WMA655347:WML655349 WVW655347:WWH655349 JK720883:JV720885 TG720883:TR720885 ADC720883:ADN720885 AMY720883:ANJ720885 AWU720883:AXF720885 BGQ720883:BHB720885 BQM720883:BQX720885 CAI720883:CAT720885 CKE720883:CKP720885 CUA720883:CUL720885 DDW720883:DEH720885 DNS720883:DOD720885 DXO720883:DXZ720885 EHK720883:EHV720885 ERG720883:ERR720885 FBC720883:FBN720885 FKY720883:FLJ720885 FUU720883:FVF720885 GEQ720883:GFB720885 GOM720883:GOX720885 GYI720883:GYT720885 HIE720883:HIP720885 HSA720883:HSL720885 IBW720883:ICH720885 ILS720883:IMD720885 IVO720883:IVZ720885 JFK720883:JFV720885 JPG720883:JPR720885 JZC720883:JZN720885 KIY720883:KJJ720885 KSU720883:KTF720885 LCQ720883:LDB720885 LMM720883:LMX720885 LWI720883:LWT720885 MGE720883:MGP720885 MQA720883:MQL720885 MZW720883:NAH720885 NJS720883:NKD720885 NTO720883:NTZ720885 ODK720883:ODV720885 ONG720883:ONR720885 OXC720883:OXN720885 PGY720883:PHJ720885 PQU720883:PRF720885 QAQ720883:QBB720885 QKM720883:QKX720885 QUI720883:QUT720885 REE720883:REP720885 ROA720883:ROL720885 RXW720883:RYH720885 SHS720883:SID720885 SRO720883:SRZ720885 TBK720883:TBV720885 TLG720883:TLR720885 TVC720883:TVN720885 UEY720883:UFJ720885 UOU720883:UPF720885 UYQ720883:UZB720885 VIM720883:VIX720885 VSI720883:VST720885 WCE720883:WCP720885 WMA720883:WML720885 WVW720883:WWH720885 JK786419:JV786421 TG786419:TR786421 ADC786419:ADN786421 AMY786419:ANJ786421 AWU786419:AXF786421 BGQ786419:BHB786421 BQM786419:BQX786421 CAI786419:CAT786421 CKE786419:CKP786421 CUA786419:CUL786421 DDW786419:DEH786421 DNS786419:DOD786421 DXO786419:DXZ786421 EHK786419:EHV786421 ERG786419:ERR786421 FBC786419:FBN786421 FKY786419:FLJ786421 FUU786419:FVF786421 GEQ786419:GFB786421 GOM786419:GOX786421 GYI786419:GYT786421 HIE786419:HIP786421 HSA786419:HSL786421 IBW786419:ICH786421 ILS786419:IMD786421 IVO786419:IVZ786421 JFK786419:JFV786421 JPG786419:JPR786421 JZC786419:JZN786421 KIY786419:KJJ786421 KSU786419:KTF786421 LCQ786419:LDB786421 LMM786419:LMX786421 LWI786419:LWT786421 MGE786419:MGP786421 MQA786419:MQL786421 MZW786419:NAH786421 NJS786419:NKD786421 NTO786419:NTZ786421 ODK786419:ODV786421 ONG786419:ONR786421 OXC786419:OXN786421 PGY786419:PHJ786421 PQU786419:PRF786421 QAQ786419:QBB786421 QKM786419:QKX786421 QUI786419:QUT786421 REE786419:REP786421 ROA786419:ROL786421 RXW786419:RYH786421 SHS786419:SID786421 SRO786419:SRZ786421 TBK786419:TBV786421 TLG786419:TLR786421 TVC786419:TVN786421 UEY786419:UFJ786421 UOU786419:UPF786421 UYQ786419:UZB786421 VIM786419:VIX786421 VSI786419:VST786421 WCE786419:WCP786421 WMA786419:WML786421 WVW786419:WWH786421 JK851955:JV851957 TG851955:TR851957 ADC851955:ADN851957 AMY851955:ANJ851957 AWU851955:AXF851957 BGQ851955:BHB851957 BQM851955:BQX851957 CAI851955:CAT851957 CKE851955:CKP851957 CUA851955:CUL851957 DDW851955:DEH851957 DNS851955:DOD851957 DXO851955:DXZ851957 EHK851955:EHV851957 ERG851955:ERR851957 FBC851955:FBN851957 FKY851955:FLJ851957 FUU851955:FVF851957 GEQ851955:GFB851957 GOM851955:GOX851957 GYI851955:GYT851957 HIE851955:HIP851957 HSA851955:HSL851957 IBW851955:ICH851957 ILS851955:IMD851957 IVO851955:IVZ851957 JFK851955:JFV851957 JPG851955:JPR851957 JZC851955:JZN851957 KIY851955:KJJ851957 KSU851955:KTF851957 LCQ851955:LDB851957 LMM851955:LMX851957 LWI851955:LWT851957 MGE851955:MGP851957 MQA851955:MQL851957 MZW851955:NAH851957 NJS851955:NKD851957 NTO851955:NTZ851957 ODK851955:ODV851957 ONG851955:ONR851957 OXC851955:OXN851957 PGY851955:PHJ851957 PQU851955:PRF851957 QAQ851955:QBB851957 QKM851955:QKX851957 QUI851955:QUT851957 REE851955:REP851957 ROA851955:ROL851957 RXW851955:RYH851957 SHS851955:SID851957 SRO851955:SRZ851957 TBK851955:TBV851957 TLG851955:TLR851957 TVC851955:TVN851957 UEY851955:UFJ851957 UOU851955:UPF851957 UYQ851955:UZB851957 VIM851955:VIX851957 VSI851955:VST851957 WCE851955:WCP851957 WMA851955:WML851957 WVW851955:WWH851957 JK917491:JV917493 TG917491:TR917493 ADC917491:ADN917493 AMY917491:ANJ917493 AWU917491:AXF917493 BGQ917491:BHB917493 BQM917491:BQX917493 CAI917491:CAT917493 CKE917491:CKP917493 CUA917491:CUL917493 DDW917491:DEH917493 DNS917491:DOD917493 DXO917491:DXZ917493 EHK917491:EHV917493 ERG917491:ERR917493 FBC917491:FBN917493 FKY917491:FLJ917493 FUU917491:FVF917493 GEQ917491:GFB917493 GOM917491:GOX917493 GYI917491:GYT917493 HIE917491:HIP917493 HSA917491:HSL917493 IBW917491:ICH917493 ILS917491:IMD917493 IVO917491:IVZ917493 JFK917491:JFV917493 JPG917491:JPR917493 JZC917491:JZN917493 KIY917491:KJJ917493 KSU917491:KTF917493 LCQ917491:LDB917493 LMM917491:LMX917493 LWI917491:LWT917493 MGE917491:MGP917493 MQA917491:MQL917493 MZW917491:NAH917493 NJS917491:NKD917493 NTO917491:NTZ917493 ODK917491:ODV917493 ONG917491:ONR917493 OXC917491:OXN917493 PGY917491:PHJ917493 PQU917491:PRF917493 QAQ917491:QBB917493 QKM917491:QKX917493 QUI917491:QUT917493 REE917491:REP917493 ROA917491:ROL917493 RXW917491:RYH917493 SHS917491:SID917493 SRO917491:SRZ917493 TBK917491:TBV917493 TLG917491:TLR917493 TVC917491:TVN917493 UEY917491:UFJ917493 UOU917491:UPF917493 UYQ917491:UZB917493 VIM917491:VIX917493 VSI917491:VST917493 WCE917491:WCP917493 WMA917491:WML917493 WVW917491:WWH917493 JK983027:JV983029 TG983027:TR983029 ADC983027:ADN983029 AMY983027:ANJ983029 AWU983027:AXF983029 BGQ983027:BHB983029 BQM983027:BQX983029 CAI983027:CAT983029 CKE983027:CKP983029 CUA983027:CUL983029 DDW983027:DEH983029 DNS983027:DOD983029 DXO983027:DXZ983029 EHK983027:EHV983029 ERG983027:ERR983029 FBC983027:FBN983029 FKY983027:FLJ983029 FUU983027:FVF983029 GEQ983027:GFB983029 GOM983027:GOX983029 GYI983027:GYT983029 HIE983027:HIP983029 HSA983027:HSL983029 IBW983027:ICH983029 ILS983027:IMD983029 IVO983027:IVZ983029 JFK983027:JFV983029 JPG983027:JPR983029 JZC983027:JZN983029 KIY983027:KJJ983029 KSU983027:KTF983029 LCQ983027:LDB983029 LMM983027:LMX983029 LWI983027:LWT983029 MGE983027:MGP983029 MQA983027:MQL983029 MZW983027:NAH983029 NJS983027:NKD983029 NTO983027:NTZ983029 ODK983027:ODV983029 ONG983027:ONR983029 OXC983027:OXN983029 PGY983027:PHJ983029 PQU983027:PRF983029 QAQ983027:QBB983029 QKM983027:QKX983029 QUI983027:QUT983029 REE983027:REP983029 ROA983027:ROL983029 RXW983027:RYH983029 SHS983027:SID983029 SRO983027:SRZ983029 TBK983027:TBV983029 TLG983027:TLR983029 TVC983027:TVN983029 UEY983027:UFJ983029 UOU983027:UPF983029 UYQ983027:UZB983029 VIM983027:VIX983029 VSI983027:VST983029 WCE983027:WCP983029 WMA983027:WML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EAD69480-597D-478D-BB21-41A4A3FCDDEF}"/>
    <dataValidation type="list" allowBlank="1" showInputMessage="1" showErrorMessage="1" sqref="AA8:AA47" xr:uid="{8047C9E1-9545-4812-B34A-CC25F99E4B8B}">
      <formula1>"datetime,int,numeric,varchar,nvarchar"</formula1>
    </dataValidation>
    <dataValidation type="list" allowBlank="1" showInputMessage="1" showErrorMessage="1" sqref="Y8:Z47" xr:uid="{9999FFC0-0992-49AB-97C0-F0CFD21334A2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2A171-A6C3-4FCC-AA31-DB0AA814B78A}">
  <sheetPr codeName="Sheet46"/>
  <dimension ref="A1:BD48"/>
  <sheetViews>
    <sheetView showGridLines="0" zoomScaleNormal="100" zoomScaleSheetLayoutView="100" workbookViewId="0">
      <selection activeCell="I10" sqref="I10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5.54296875" style="17" bestFit="1" customWidth="1"/>
    <col min="10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資材請求・品種紐付情報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50" t="s">
        <v>151</v>
      </c>
      <c r="AV2" s="51"/>
      <c r="AW2" s="51"/>
      <c r="AX2" s="51"/>
      <c r="AY2" s="52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t_shizai_seikyu_hinshu_himoduke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41" t="s">
        <v>1753</v>
      </c>
      <c r="C8" s="39"/>
      <c r="D8" s="39"/>
      <c r="E8" s="39"/>
      <c r="F8" s="39"/>
      <c r="G8" s="39"/>
      <c r="H8" s="40"/>
      <c r="I8" s="64" t="str">
        <f>VLOOKUP(B8,項目一覧2!A:B,2,FALSE)</f>
        <v>seikyu_busho_cd</v>
      </c>
      <c r="J8" s="30"/>
      <c r="K8" s="30"/>
      <c r="L8" s="30"/>
      <c r="M8" s="30"/>
      <c r="N8" s="30"/>
      <c r="O8" s="30"/>
      <c r="P8" s="30"/>
      <c r="Q8" s="31"/>
      <c r="R8" s="41" t="s">
        <v>2018</v>
      </c>
      <c r="S8" s="30"/>
      <c r="T8" s="30"/>
      <c r="U8" s="30"/>
      <c r="V8" s="30"/>
      <c r="W8" s="30"/>
      <c r="X8" s="30"/>
      <c r="Y8" s="212" t="s">
        <v>56</v>
      </c>
      <c r="Z8" s="217"/>
      <c r="AA8" s="214" t="s">
        <v>1752</v>
      </c>
      <c r="AB8" s="215"/>
      <c r="AC8" s="216"/>
      <c r="AD8" s="62">
        <v>4</v>
      </c>
      <c r="AE8" s="27"/>
      <c r="AF8" s="27">
        <v>1</v>
      </c>
      <c r="AG8" s="26" t="s">
        <v>123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41" t="s">
        <v>1569</v>
      </c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1997</v>
      </c>
      <c r="C9" s="19"/>
      <c r="D9" s="19"/>
      <c r="E9" s="19"/>
      <c r="F9" s="19"/>
      <c r="G9" s="19"/>
      <c r="H9" s="22"/>
      <c r="I9" s="64" t="str">
        <f>VLOOKUP(B9,項目一覧2!A:B,2,FALSE)</f>
        <v>bunrui_cd</v>
      </c>
      <c r="J9" s="33"/>
      <c r="K9" s="21"/>
      <c r="L9" s="21"/>
      <c r="M9" s="21"/>
      <c r="N9" s="21"/>
      <c r="O9" s="21"/>
      <c r="P9" s="21"/>
      <c r="Q9" s="32"/>
      <c r="R9" s="41" t="s">
        <v>1997</v>
      </c>
      <c r="S9" s="21"/>
      <c r="T9" s="33"/>
      <c r="U9" s="21"/>
      <c r="V9" s="21"/>
      <c r="W9" s="21"/>
      <c r="X9" s="22"/>
      <c r="Y9" s="212" t="s">
        <v>56</v>
      </c>
      <c r="Z9" s="213"/>
      <c r="AA9" s="214" t="s">
        <v>1752</v>
      </c>
      <c r="AB9" s="215"/>
      <c r="AC9" s="216"/>
      <c r="AD9" s="25">
        <v>30</v>
      </c>
      <c r="AE9" s="27"/>
      <c r="AF9" s="27">
        <v>2</v>
      </c>
      <c r="AG9" s="26" t="s">
        <v>123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18" t="s">
        <v>531</v>
      </c>
      <c r="C10" s="19"/>
      <c r="D10" s="19"/>
      <c r="E10" s="19"/>
      <c r="F10" s="19"/>
      <c r="G10" s="19"/>
      <c r="H10" s="22"/>
      <c r="I10" s="64" t="str">
        <f>VLOOKUP(B10,項目一覧2!A:B,2,FALSE)</f>
        <v>hinshu_cd</v>
      </c>
      <c r="J10" s="21"/>
      <c r="K10" s="21"/>
      <c r="L10" s="21"/>
      <c r="M10" s="21"/>
      <c r="N10" s="21"/>
      <c r="O10" s="21"/>
      <c r="P10" s="21"/>
      <c r="Q10" s="32"/>
      <c r="R10" s="18" t="s">
        <v>156</v>
      </c>
      <c r="S10" s="21"/>
      <c r="T10" s="21"/>
      <c r="U10" s="21"/>
      <c r="V10" s="21"/>
      <c r="W10" s="21"/>
      <c r="X10" s="22"/>
      <c r="Y10" s="212" t="s">
        <v>56</v>
      </c>
      <c r="Z10" s="213"/>
      <c r="AA10" s="214" t="s">
        <v>1752</v>
      </c>
      <c r="AB10" s="215"/>
      <c r="AC10" s="216"/>
      <c r="AD10" s="25">
        <v>20</v>
      </c>
      <c r="AE10" s="27"/>
      <c r="AF10" s="27">
        <v>3</v>
      </c>
      <c r="AG10" s="26" t="s">
        <v>123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1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s="1" customFormat="1" ht="15" customHeight="1" x14ac:dyDescent="0.3">
      <c r="A11" s="44">
        <f>IF(B11="","",COUNTA($B$8:B11))</f>
        <v>4</v>
      </c>
      <c r="B11" s="7" t="s">
        <v>1762</v>
      </c>
      <c r="C11" s="112"/>
      <c r="D11" s="112"/>
      <c r="E11" s="112"/>
      <c r="F11" s="112"/>
      <c r="G11" s="112"/>
      <c r="H11" s="113"/>
      <c r="I11" s="114" t="str">
        <f>VLOOKUP(B11,項目一覧2!A:B,2,FALSE)</f>
        <v>insert_func_cd</v>
      </c>
      <c r="J11" s="133"/>
      <c r="K11" s="116"/>
      <c r="L11" s="116"/>
      <c r="M11" s="116"/>
      <c r="N11" s="116"/>
      <c r="O11" s="116"/>
      <c r="P11" s="116"/>
      <c r="Q11" s="117"/>
      <c r="R11" s="7" t="s">
        <v>118</v>
      </c>
      <c r="S11" s="116"/>
      <c r="T11" s="118"/>
      <c r="U11" s="116"/>
      <c r="V11" s="116"/>
      <c r="W11" s="116"/>
      <c r="X11" s="113"/>
      <c r="Y11" s="218" t="s">
        <v>56</v>
      </c>
      <c r="Z11" s="219"/>
      <c r="AA11" s="220" t="s">
        <v>1752</v>
      </c>
      <c r="AB11" s="221"/>
      <c r="AC11" s="222"/>
      <c r="AD11" s="119">
        <v>10</v>
      </c>
      <c r="AE11" s="121"/>
      <c r="AF11" s="121"/>
      <c r="AG11" s="26" t="s">
        <v>123</v>
      </c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6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4"/>
    </row>
    <row r="12" spans="1:56" ht="15" customHeight="1" x14ac:dyDescent="0.3">
      <c r="A12" s="44">
        <f>IF(B12="","",COUNTA($B$8:B12))</f>
        <v>5</v>
      </c>
      <c r="B12" s="18" t="s">
        <v>508</v>
      </c>
      <c r="C12" s="19"/>
      <c r="D12" s="19"/>
      <c r="E12" s="19"/>
      <c r="F12" s="19"/>
      <c r="G12" s="19"/>
      <c r="H12" s="22"/>
      <c r="I12" s="64" t="str">
        <f>VLOOKUP(B12,項目一覧2!A:B,2,FALSE)</f>
        <v>insert_user_cd</v>
      </c>
      <c r="J12" s="80"/>
      <c r="K12" s="21"/>
      <c r="L12" s="21"/>
      <c r="M12" s="21"/>
      <c r="N12" s="21"/>
      <c r="O12" s="21"/>
      <c r="P12" s="21"/>
      <c r="Q12" s="32"/>
      <c r="R12" s="18" t="s">
        <v>114</v>
      </c>
      <c r="S12" s="21"/>
      <c r="T12" s="33"/>
      <c r="U12" s="21"/>
      <c r="V12" s="21"/>
      <c r="W12" s="21"/>
      <c r="X12" s="22"/>
      <c r="Y12" s="212" t="s">
        <v>56</v>
      </c>
      <c r="Z12" s="217"/>
      <c r="AA12" s="214" t="s">
        <v>1752</v>
      </c>
      <c r="AB12" s="215"/>
      <c r="AC12" s="216"/>
      <c r="AD12" s="25">
        <v>10</v>
      </c>
      <c r="AE12" s="27"/>
      <c r="AF12" s="27"/>
      <c r="AG12" s="26" t="s">
        <v>123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512</v>
      </c>
      <c r="C13" s="19"/>
      <c r="D13" s="19"/>
      <c r="E13" s="19"/>
      <c r="F13" s="19"/>
      <c r="G13" s="19"/>
      <c r="H13" s="22"/>
      <c r="I13" s="64" t="str">
        <f>VLOOKUP(B13,項目一覧2!A:B,2,FALSE)</f>
        <v>insert_datetime</v>
      </c>
      <c r="J13" s="80"/>
      <c r="K13" s="21"/>
      <c r="L13" s="21"/>
      <c r="M13" s="21"/>
      <c r="N13" s="21"/>
      <c r="O13" s="21"/>
      <c r="P13" s="21"/>
      <c r="Q13" s="32"/>
      <c r="R13" s="18" t="s">
        <v>115</v>
      </c>
      <c r="S13" s="21"/>
      <c r="T13" s="33"/>
      <c r="U13" s="21"/>
      <c r="V13" s="21"/>
      <c r="W13" s="21"/>
      <c r="X13" s="22"/>
      <c r="Y13" s="212" t="s">
        <v>1757</v>
      </c>
      <c r="Z13" s="217"/>
      <c r="AA13" s="214" t="s">
        <v>1758</v>
      </c>
      <c r="AB13" s="215"/>
      <c r="AC13" s="216"/>
      <c r="AD13" s="45"/>
      <c r="AE13" s="27"/>
      <c r="AF13" s="27"/>
      <c r="AG13" s="26" t="s">
        <v>123</v>
      </c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1766</v>
      </c>
      <c r="C14" s="19"/>
      <c r="D14" s="19"/>
      <c r="E14" s="19"/>
      <c r="F14" s="19"/>
      <c r="G14" s="19"/>
      <c r="H14" s="22"/>
      <c r="I14" s="64" t="str">
        <f>VLOOKUP(B14,項目一覧2!A:B,2,FALSE)</f>
        <v>update_func_cd</v>
      </c>
      <c r="J14" s="80"/>
      <c r="K14" s="21"/>
      <c r="L14" s="21"/>
      <c r="M14" s="21"/>
      <c r="N14" s="21"/>
      <c r="O14" s="21"/>
      <c r="P14" s="21"/>
      <c r="Q14" s="32"/>
      <c r="R14" s="18" t="s">
        <v>119</v>
      </c>
      <c r="S14" s="21"/>
      <c r="T14" s="33"/>
      <c r="U14" s="21"/>
      <c r="V14" s="21"/>
      <c r="W14" s="21"/>
      <c r="X14" s="22"/>
      <c r="Y14" s="212" t="s">
        <v>56</v>
      </c>
      <c r="Z14" s="217"/>
      <c r="AA14" s="214" t="s">
        <v>1752</v>
      </c>
      <c r="AB14" s="215"/>
      <c r="AC14" s="216"/>
      <c r="AD14" s="25">
        <v>10</v>
      </c>
      <c r="AE14" s="27"/>
      <c r="AF14" s="27"/>
      <c r="AG14" s="26" t="s">
        <v>123</v>
      </c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354</v>
      </c>
      <c r="C15" s="19"/>
      <c r="D15" s="19"/>
      <c r="E15" s="19"/>
      <c r="F15" s="19"/>
      <c r="G15" s="19"/>
      <c r="H15" s="22"/>
      <c r="I15" s="64" t="str">
        <f>VLOOKUP(B15,項目一覧2!A:B,2,FALSE)</f>
        <v>update_user_cd</v>
      </c>
      <c r="J15" s="80"/>
      <c r="K15" s="21"/>
      <c r="L15" s="21"/>
      <c r="M15" s="21"/>
      <c r="N15" s="21"/>
      <c r="O15" s="21"/>
      <c r="P15" s="21"/>
      <c r="Q15" s="32"/>
      <c r="R15" s="18" t="s">
        <v>116</v>
      </c>
      <c r="S15" s="21"/>
      <c r="T15" s="33"/>
      <c r="U15" s="21"/>
      <c r="V15" s="21"/>
      <c r="W15" s="21"/>
      <c r="X15" s="22"/>
      <c r="Y15" s="212" t="s">
        <v>56</v>
      </c>
      <c r="Z15" s="217"/>
      <c r="AA15" s="214" t="s">
        <v>1752</v>
      </c>
      <c r="AB15" s="215"/>
      <c r="AC15" s="216"/>
      <c r="AD15" s="45">
        <v>10</v>
      </c>
      <c r="AE15" s="27"/>
      <c r="AF15" s="27"/>
      <c r="AG15" s="26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358</v>
      </c>
      <c r="C16" s="19"/>
      <c r="D16" s="19"/>
      <c r="E16" s="19"/>
      <c r="F16" s="19"/>
      <c r="G16" s="19"/>
      <c r="H16" s="22"/>
      <c r="I16" s="64" t="str">
        <f>VLOOKUP(B16,項目一覧2!A:B,2,FALSE)</f>
        <v>update_datetime</v>
      </c>
      <c r="J16" s="80"/>
      <c r="K16" s="21"/>
      <c r="L16" s="21"/>
      <c r="M16" s="21"/>
      <c r="N16" s="21"/>
      <c r="O16" s="21"/>
      <c r="P16" s="21"/>
      <c r="Q16" s="32"/>
      <c r="R16" s="18" t="s">
        <v>117</v>
      </c>
      <c r="S16" s="21"/>
      <c r="T16" s="33"/>
      <c r="U16" s="21"/>
      <c r="V16" s="21"/>
      <c r="W16" s="21"/>
      <c r="X16" s="22"/>
      <c r="Y16" s="212" t="s">
        <v>1757</v>
      </c>
      <c r="Z16" s="217"/>
      <c r="AA16" s="214" t="s">
        <v>1758</v>
      </c>
      <c r="AB16" s="215"/>
      <c r="AC16" s="216"/>
      <c r="AD16" s="45"/>
      <c r="AE16" s="27"/>
      <c r="AF16" s="27"/>
      <c r="AG16" s="26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 t="str">
        <f>IF(B17="","",COUNTA($B$9:B17))</f>
        <v/>
      </c>
      <c r="B17" s="41"/>
      <c r="C17" s="39"/>
      <c r="D17" s="39"/>
      <c r="E17" s="39"/>
      <c r="F17" s="39"/>
      <c r="G17" s="39"/>
      <c r="H17" s="40"/>
      <c r="I17" s="64"/>
      <c r="J17" s="30"/>
      <c r="K17" s="30"/>
      <c r="L17" s="30"/>
      <c r="M17" s="30"/>
      <c r="N17" s="30"/>
      <c r="O17" s="30"/>
      <c r="P17" s="30"/>
      <c r="Q17" s="31"/>
      <c r="R17" s="30"/>
      <c r="S17" s="30"/>
      <c r="T17" s="30"/>
      <c r="U17" s="30"/>
      <c r="V17" s="30"/>
      <c r="W17" s="30"/>
      <c r="X17" s="30"/>
      <c r="Y17" s="212"/>
      <c r="Z17" s="213"/>
      <c r="AA17" s="214"/>
      <c r="AB17" s="215"/>
      <c r="AC17" s="216"/>
      <c r="AD17" s="43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 t="str">
        <f>IF(B18="","",COUNTA($B$9:B18))</f>
        <v/>
      </c>
      <c r="B18" s="41"/>
      <c r="C18" s="39"/>
      <c r="D18" s="39"/>
      <c r="E18" s="39"/>
      <c r="F18" s="39"/>
      <c r="G18" s="39"/>
      <c r="H18" s="40"/>
      <c r="I18" s="64"/>
      <c r="J18" s="30"/>
      <c r="K18" s="30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0"/>
      <c r="W18" s="30"/>
      <c r="X18" s="30"/>
      <c r="Y18" s="212"/>
      <c r="Z18" s="213"/>
      <c r="AA18" s="214"/>
      <c r="AB18" s="215"/>
      <c r="AC18" s="216"/>
      <c r="AD18" s="43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 t="str">
        <f>IF(B19="","",COUNTA($B$9:B19))</f>
        <v/>
      </c>
      <c r="B19" s="41"/>
      <c r="C19" s="39"/>
      <c r="D19" s="39"/>
      <c r="E19" s="39"/>
      <c r="F19" s="39"/>
      <c r="G19" s="39"/>
      <c r="H19" s="40"/>
      <c r="I19" s="64"/>
      <c r="J19" s="30"/>
      <c r="K19" s="30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0"/>
      <c r="W19" s="30"/>
      <c r="X19" s="30"/>
      <c r="Y19" s="212"/>
      <c r="Z19" s="213"/>
      <c r="AA19" s="214"/>
      <c r="AB19" s="215"/>
      <c r="AC19" s="216"/>
      <c r="AD19" s="43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 t="str">
        <f>IF(B20="","",COUNTA($B$9:B20))</f>
        <v/>
      </c>
      <c r="B20" s="41"/>
      <c r="C20" s="39"/>
      <c r="D20" s="39"/>
      <c r="E20" s="39"/>
      <c r="F20" s="39"/>
      <c r="G20" s="39"/>
      <c r="H20" s="40"/>
      <c r="I20" s="64"/>
      <c r="J20" s="30"/>
      <c r="K20" s="30"/>
      <c r="L20" s="30"/>
      <c r="M20" s="30"/>
      <c r="N20" s="30"/>
      <c r="O20" s="30"/>
      <c r="P20" s="30"/>
      <c r="Q20" s="31"/>
      <c r="R20" s="30"/>
      <c r="S20" s="30"/>
      <c r="T20" s="30"/>
      <c r="U20" s="30"/>
      <c r="V20" s="30"/>
      <c r="W20" s="30"/>
      <c r="X20" s="30"/>
      <c r="Y20" s="212"/>
      <c r="Z20" s="213"/>
      <c r="AA20" s="214"/>
      <c r="AB20" s="215"/>
      <c r="AC20" s="216"/>
      <c r="AD20" s="43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 t="str">
        <f>IF(B21="","",COUNTA($B$9:B21))</f>
        <v/>
      </c>
      <c r="B21" s="41"/>
      <c r="C21" s="39"/>
      <c r="D21" s="39"/>
      <c r="E21" s="39"/>
      <c r="F21" s="39"/>
      <c r="G21" s="39"/>
      <c r="H21" s="40"/>
      <c r="I21" s="64"/>
      <c r="J21" s="30"/>
      <c r="K21" s="30"/>
      <c r="L21" s="30"/>
      <c r="M21" s="30"/>
      <c r="N21" s="30"/>
      <c r="O21" s="30"/>
      <c r="P21" s="30"/>
      <c r="Q21" s="31"/>
      <c r="R21" s="30"/>
      <c r="S21" s="30"/>
      <c r="T21" s="30"/>
      <c r="U21" s="30"/>
      <c r="V21" s="30"/>
      <c r="W21" s="30"/>
      <c r="X21" s="30"/>
      <c r="Y21" s="212"/>
      <c r="Z21" s="213"/>
      <c r="AA21" s="214"/>
      <c r="AB21" s="215"/>
      <c r="AC21" s="216"/>
      <c r="AD21" s="43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 t="str">
        <f>IF(B22="","",COUNTA($B$9:B22))</f>
        <v/>
      </c>
      <c r="B22" s="20"/>
      <c r="C22" s="19"/>
      <c r="D22" s="19"/>
      <c r="E22" s="19"/>
      <c r="F22" s="19"/>
      <c r="G22" s="19"/>
      <c r="H22" s="22"/>
      <c r="I22" s="63"/>
      <c r="J22" s="33"/>
      <c r="K22" s="21"/>
      <c r="L22" s="21"/>
      <c r="M22" s="21"/>
      <c r="N22" s="21"/>
      <c r="O22" s="21"/>
      <c r="P22" s="21"/>
      <c r="Q22" s="32"/>
      <c r="R22" s="21"/>
      <c r="S22" s="21"/>
      <c r="T22" s="33"/>
      <c r="U22" s="21"/>
      <c r="V22" s="21"/>
      <c r="W22" s="21"/>
      <c r="X22" s="22"/>
      <c r="Y22" s="212"/>
      <c r="Z22" s="213"/>
      <c r="AA22" s="214"/>
      <c r="AB22" s="215"/>
      <c r="AC22" s="216"/>
      <c r="AD22" s="25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 t="str">
        <f>IF(B23="","",COUNTA($B$9:B23))</f>
        <v/>
      </c>
      <c r="B23" s="20"/>
      <c r="C23" s="19"/>
      <c r="D23" s="19"/>
      <c r="E23" s="19"/>
      <c r="F23" s="19"/>
      <c r="G23" s="19"/>
      <c r="H23" s="22"/>
      <c r="I23" s="63"/>
      <c r="J23" s="33"/>
      <c r="K23" s="21"/>
      <c r="L23" s="21"/>
      <c r="M23" s="21"/>
      <c r="N23" s="21"/>
      <c r="O23" s="21"/>
      <c r="P23" s="21"/>
      <c r="Q23" s="32"/>
      <c r="R23" s="21"/>
      <c r="S23" s="21"/>
      <c r="T23" s="33"/>
      <c r="U23" s="21"/>
      <c r="V23" s="21"/>
      <c r="W23" s="21"/>
      <c r="X23" s="22"/>
      <c r="Y23" s="212"/>
      <c r="Z23" s="213"/>
      <c r="AA23" s="214"/>
      <c r="AB23" s="215"/>
      <c r="AC23" s="216"/>
      <c r="AD23" s="25"/>
      <c r="AE23" s="36"/>
      <c r="AF23" s="36"/>
      <c r="AG23" s="36"/>
      <c r="AH23" s="36"/>
      <c r="AI23" s="3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 t="str">
        <f>IF(B24="","",COUNTA($B$9:B24))</f>
        <v/>
      </c>
      <c r="B24" s="20"/>
      <c r="C24" s="19"/>
      <c r="D24" s="19"/>
      <c r="E24" s="19"/>
      <c r="F24" s="19"/>
      <c r="G24" s="19"/>
      <c r="H24" s="22"/>
      <c r="I24" s="63"/>
      <c r="J24" s="33"/>
      <c r="K24" s="21"/>
      <c r="L24" s="21"/>
      <c r="M24" s="21"/>
      <c r="N24" s="21"/>
      <c r="O24" s="21"/>
      <c r="P24" s="21"/>
      <c r="Q24" s="32"/>
      <c r="R24" s="21"/>
      <c r="S24" s="21"/>
      <c r="T24" s="33"/>
      <c r="U24" s="21"/>
      <c r="V24" s="21"/>
      <c r="W24" s="21"/>
      <c r="X24" s="22"/>
      <c r="Y24" s="212"/>
      <c r="Z24" s="213"/>
      <c r="AA24" s="214"/>
      <c r="AB24" s="215"/>
      <c r="AC24" s="216"/>
      <c r="AD24" s="28"/>
      <c r="AE24" s="26"/>
      <c r="AF24" s="26"/>
      <c r="AG24" s="26"/>
      <c r="AH24" s="26"/>
      <c r="AI24" s="26"/>
      <c r="AJ24" s="26"/>
      <c r="AK24" s="26"/>
      <c r="AL24" s="36"/>
      <c r="AM24" s="36"/>
      <c r="AN24" s="36"/>
      <c r="AO24" s="37"/>
      <c r="AP24" s="37"/>
      <c r="AQ24" s="37"/>
      <c r="AR24" s="37"/>
      <c r="AS24" s="38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IF(B25="","",COUNTA($B$9:B25))</f>
        <v/>
      </c>
      <c r="B25" s="20"/>
      <c r="C25" s="19"/>
      <c r="D25" s="19"/>
      <c r="E25" s="19"/>
      <c r="F25" s="19"/>
      <c r="G25" s="19"/>
      <c r="H25" s="22"/>
      <c r="I25" s="63"/>
      <c r="J25" s="33"/>
      <c r="K25" s="21"/>
      <c r="L25" s="21"/>
      <c r="M25" s="21"/>
      <c r="N25" s="21"/>
      <c r="O25" s="21"/>
      <c r="P25" s="21"/>
      <c r="Q25" s="32"/>
      <c r="R25" s="21"/>
      <c r="S25" s="21"/>
      <c r="T25" s="33"/>
      <c r="U25" s="21"/>
      <c r="V25" s="21"/>
      <c r="W25" s="21"/>
      <c r="X25" s="22"/>
      <c r="Y25" s="212"/>
      <c r="Z25" s="213"/>
      <c r="AA25" s="214"/>
      <c r="AB25" s="215"/>
      <c r="AC25" s="216"/>
      <c r="AD25" s="25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8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IF(B26="","",COUNTA($B$9:B26))</f>
        <v/>
      </c>
      <c r="B26" s="20"/>
      <c r="C26" s="19"/>
      <c r="D26" s="19"/>
      <c r="E26" s="19"/>
      <c r="F26" s="19"/>
      <c r="G26" s="19"/>
      <c r="H26" s="22"/>
      <c r="I26" s="63"/>
      <c r="J26" s="33"/>
      <c r="K26" s="21"/>
      <c r="L26" s="21"/>
      <c r="M26" s="21"/>
      <c r="N26" s="21"/>
      <c r="O26" s="21"/>
      <c r="P26" s="21"/>
      <c r="Q26" s="32"/>
      <c r="R26" s="21"/>
      <c r="S26" s="21"/>
      <c r="T26" s="33"/>
      <c r="U26" s="21"/>
      <c r="V26" s="21"/>
      <c r="W26" s="21"/>
      <c r="X26" s="22"/>
      <c r="Y26" s="212"/>
      <c r="Z26" s="213"/>
      <c r="AA26" s="214"/>
      <c r="AB26" s="215"/>
      <c r="AC26" s="216"/>
      <c r="AD26" s="28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8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IF(B27="","",COUNTA($B$9:B27))</f>
        <v/>
      </c>
      <c r="B27" s="20"/>
      <c r="C27" s="19"/>
      <c r="D27" s="19"/>
      <c r="E27" s="19"/>
      <c r="F27" s="19"/>
      <c r="G27" s="19"/>
      <c r="H27" s="22"/>
      <c r="I27" s="63"/>
      <c r="J27" s="33"/>
      <c r="K27" s="21"/>
      <c r="L27" s="21"/>
      <c r="M27" s="21"/>
      <c r="N27" s="21"/>
      <c r="O27" s="21"/>
      <c r="P27" s="21"/>
      <c r="Q27" s="32"/>
      <c r="R27" s="21"/>
      <c r="S27" s="21"/>
      <c r="T27" s="33"/>
      <c r="U27" s="21"/>
      <c r="V27" s="21"/>
      <c r="W27" s="21"/>
      <c r="X27" s="22"/>
      <c r="Y27" s="212"/>
      <c r="Z27" s="213"/>
      <c r="AA27" s="214"/>
      <c r="AB27" s="215"/>
      <c r="AC27" s="216"/>
      <c r="AD27" s="2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IF(B28="","",COUNTA($B$9:B28))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IF(B29="","",COUNTA($B$9:B29))</f>
        <v/>
      </c>
      <c r="B29" s="41"/>
      <c r="C29" s="39"/>
      <c r="D29" s="39"/>
      <c r="E29" s="39"/>
      <c r="F29" s="39"/>
      <c r="G29" s="39"/>
      <c r="H29" s="40"/>
      <c r="I29" s="64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43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IF(B30="","",COUNTA($B$9:B30))</f>
        <v/>
      </c>
      <c r="B30" s="41"/>
      <c r="C30" s="39"/>
      <c r="D30" s="39"/>
      <c r="E30" s="39"/>
      <c r="F30" s="39"/>
      <c r="G30" s="39"/>
      <c r="H30" s="40"/>
      <c r="I30" s="64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2"/>
      <c r="Z30" s="213"/>
      <c r="AA30" s="214"/>
      <c r="AB30" s="215"/>
      <c r="AC30" s="216"/>
      <c r="AD30" s="43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IF(B31="","",COUNTA($B$9:B31))</f>
        <v/>
      </c>
      <c r="B31" s="41"/>
      <c r="C31" s="39"/>
      <c r="D31" s="39"/>
      <c r="E31" s="39"/>
      <c r="F31" s="39"/>
      <c r="G31" s="39"/>
      <c r="H31" s="40"/>
      <c r="I31" s="64"/>
      <c r="J31" s="30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2"/>
      <c r="Z31" s="213"/>
      <c r="AA31" s="214"/>
      <c r="AB31" s="215"/>
      <c r="AC31" s="216"/>
      <c r="AD31" s="43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IF(B32="","",COUNTA($B$9:B32))</f>
        <v/>
      </c>
      <c r="B32" s="41"/>
      <c r="C32" s="39"/>
      <c r="D32" s="39"/>
      <c r="E32" s="39"/>
      <c r="F32" s="39"/>
      <c r="G32" s="39"/>
      <c r="H32" s="40"/>
      <c r="I32" s="64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2"/>
      <c r="Z32" s="213"/>
      <c r="AA32" s="214"/>
      <c r="AB32" s="215"/>
      <c r="AC32" s="216"/>
      <c r="AD32" s="43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IF(B33="","",COUNTA($B$9:B33))</f>
        <v/>
      </c>
      <c r="B33" s="41"/>
      <c r="C33" s="39"/>
      <c r="D33" s="39"/>
      <c r="E33" s="39"/>
      <c r="F33" s="39"/>
      <c r="G33" s="39"/>
      <c r="H33" s="40"/>
      <c r="I33" s="64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2"/>
      <c r="Z33" s="213"/>
      <c r="AA33" s="214"/>
      <c r="AB33" s="215"/>
      <c r="AC33" s="216"/>
      <c r="AD33" s="43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IF(B34="","",COUNTA($B$9:B34))</f>
        <v/>
      </c>
      <c r="B34" s="41"/>
      <c r="C34" s="39"/>
      <c r="D34" s="39"/>
      <c r="E34" s="39"/>
      <c r="F34" s="39"/>
      <c r="G34" s="39"/>
      <c r="H34" s="40"/>
      <c r="I34" s="64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212"/>
      <c r="Z34" s="213"/>
      <c r="AA34" s="214"/>
      <c r="AB34" s="215"/>
      <c r="AC34" s="216"/>
      <c r="AD34" s="43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IF(B35="","",COUNTA($B$9:B35))</f>
        <v/>
      </c>
      <c r="B35" s="41"/>
      <c r="C35" s="39"/>
      <c r="D35" s="39"/>
      <c r="E35" s="39"/>
      <c r="F35" s="39"/>
      <c r="G35" s="39"/>
      <c r="H35" s="40"/>
      <c r="I35" s="64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212"/>
      <c r="Z35" s="213"/>
      <c r="AA35" s="214"/>
      <c r="AB35" s="215"/>
      <c r="AC35" s="216"/>
      <c r="AD35" s="43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IF(B36="","",COUNTA($B$9:B36))</f>
        <v/>
      </c>
      <c r="B36" s="29"/>
      <c r="C36" s="39"/>
      <c r="D36" s="39"/>
      <c r="E36" s="39"/>
      <c r="F36" s="39"/>
      <c r="G36" s="39"/>
      <c r="H36" s="40"/>
      <c r="I36" s="64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212"/>
      <c r="Z36" s="213"/>
      <c r="AA36" s="214"/>
      <c r="AB36" s="215"/>
      <c r="AC36" s="216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9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IF(B37="","",COUNTA($B$9:B37))</f>
        <v/>
      </c>
      <c r="B37" s="41"/>
      <c r="C37" s="39"/>
      <c r="D37" s="39"/>
      <c r="E37" s="39"/>
      <c r="F37" s="39"/>
      <c r="G37" s="39"/>
      <c r="H37" s="40"/>
      <c r="I37" s="64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2"/>
      <c r="Z37" s="213"/>
      <c r="AA37" s="214"/>
      <c r="AB37" s="215"/>
      <c r="AC37" s="216"/>
      <c r="AD37" s="43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IF(B38="","",COUNTA($B$9:B38))</f>
        <v/>
      </c>
      <c r="B38" s="41"/>
      <c r="C38" s="39"/>
      <c r="D38" s="39"/>
      <c r="E38" s="39"/>
      <c r="F38" s="39"/>
      <c r="G38" s="39"/>
      <c r="H38" s="40"/>
      <c r="I38" s="64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2"/>
      <c r="Z38" s="213"/>
      <c r="AA38" s="214"/>
      <c r="AB38" s="215"/>
      <c r="AC38" s="216"/>
      <c r="AD38" s="43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IF(B39="","",COUNTA($B$9:B39))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IF(B40="","",COUNTA($B$9:B40))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IF(B41="","",COUNTA($B$9:B41))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IF(B42="","",COUNTA($B$9:B42))</f>
        <v/>
      </c>
      <c r="B42" s="29"/>
      <c r="C42" s="39"/>
      <c r="D42" s="39"/>
      <c r="E42" s="39"/>
      <c r="F42" s="39"/>
      <c r="G42" s="39"/>
      <c r="H42" s="40"/>
      <c r="I42" s="64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IF(B43="","",COUNTA($B$9:B43))</f>
        <v/>
      </c>
      <c r="B43" s="29"/>
      <c r="C43" s="39"/>
      <c r="D43" s="39"/>
      <c r="E43" s="39"/>
      <c r="F43" s="39"/>
      <c r="G43" s="39"/>
      <c r="H43" s="40"/>
      <c r="I43" s="64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60"/>
    </row>
    <row r="44" spans="1:56" ht="15" customHeight="1" x14ac:dyDescent="0.3">
      <c r="A44" s="44" t="str">
        <f>IF(B44="","",COUNTA($B$9:B44))</f>
        <v/>
      </c>
      <c r="B44" s="29"/>
      <c r="C44" s="39"/>
      <c r="D44" s="39"/>
      <c r="E44" s="39"/>
      <c r="F44" s="39"/>
      <c r="G44" s="39"/>
      <c r="H44" s="40"/>
      <c r="I44" s="64"/>
      <c r="J44" s="21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28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60"/>
    </row>
    <row r="45" spans="1:56" ht="15" customHeight="1" x14ac:dyDescent="0.3">
      <c r="A45" s="44" t="str">
        <f>IF(B45="","",COUNTA($B$9:B45))</f>
        <v/>
      </c>
      <c r="B45" s="20"/>
      <c r="C45" s="19"/>
      <c r="D45" s="19"/>
      <c r="E45" s="19"/>
      <c r="F45" s="19"/>
      <c r="G45" s="19"/>
      <c r="H45" s="22"/>
      <c r="I45" s="63"/>
      <c r="J45" s="33"/>
      <c r="K45" s="21"/>
      <c r="L45" s="21"/>
      <c r="M45" s="21"/>
      <c r="N45" s="21"/>
      <c r="O45" s="21"/>
      <c r="P45" s="21"/>
      <c r="Q45" s="32"/>
      <c r="R45" s="21"/>
      <c r="S45" s="21"/>
      <c r="T45" s="33"/>
      <c r="U45" s="21"/>
      <c r="V45" s="21"/>
      <c r="W45" s="21"/>
      <c r="X45" s="22"/>
      <c r="Y45" s="212"/>
      <c r="Z45" s="213"/>
      <c r="AA45" s="214"/>
      <c r="AB45" s="215"/>
      <c r="AC45" s="216"/>
      <c r="AD45" s="25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7"/>
      <c r="AP45" s="27"/>
      <c r="AQ45" s="27"/>
      <c r="AR45" s="27"/>
      <c r="AS45" s="29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IF(B46="","",COUNTA($B$9:B46))</f>
        <v/>
      </c>
      <c r="B46" s="20"/>
      <c r="C46" s="19"/>
      <c r="D46" s="19"/>
      <c r="E46" s="19"/>
      <c r="F46" s="19"/>
      <c r="G46" s="19"/>
      <c r="H46" s="22"/>
      <c r="I46" s="63"/>
      <c r="J46" s="33"/>
      <c r="K46" s="21"/>
      <c r="L46" s="21"/>
      <c r="M46" s="21"/>
      <c r="N46" s="21"/>
      <c r="O46" s="21"/>
      <c r="P46" s="21"/>
      <c r="Q46" s="32"/>
      <c r="R46" s="21"/>
      <c r="S46" s="21"/>
      <c r="T46" s="33"/>
      <c r="U46" s="21"/>
      <c r="V46" s="21"/>
      <c r="W46" s="21"/>
      <c r="X46" s="22"/>
      <c r="Y46" s="212"/>
      <c r="Z46" s="213"/>
      <c r="AA46" s="214"/>
      <c r="AB46" s="215"/>
      <c r="AC46" s="216"/>
      <c r="AD46" s="25"/>
      <c r="AE46" s="36"/>
      <c r="AF46" s="36"/>
      <c r="AG46" s="36"/>
      <c r="AH46" s="36"/>
      <c r="AI46" s="36"/>
      <c r="AJ46" s="26"/>
      <c r="AK46" s="26"/>
      <c r="AL46" s="26"/>
      <c r="AM46" s="26"/>
      <c r="AN46" s="26"/>
      <c r="AO46" s="27"/>
      <c r="AP46" s="27"/>
      <c r="AQ46" s="27"/>
      <c r="AR46" s="27"/>
      <c r="AS46" s="29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IF(B47="","",COUNTA($B$9:B47))</f>
        <v/>
      </c>
      <c r="B47" s="20"/>
      <c r="C47" s="19"/>
      <c r="D47" s="19"/>
      <c r="E47" s="19"/>
      <c r="F47" s="19"/>
      <c r="G47" s="19"/>
      <c r="H47" s="22"/>
      <c r="I47" s="63"/>
      <c r="J47" s="33"/>
      <c r="K47" s="21"/>
      <c r="L47" s="21"/>
      <c r="M47" s="21"/>
      <c r="N47" s="21"/>
      <c r="O47" s="21"/>
      <c r="P47" s="21"/>
      <c r="Q47" s="32"/>
      <c r="R47" s="21"/>
      <c r="S47" s="21"/>
      <c r="T47" s="33"/>
      <c r="U47" s="21"/>
      <c r="V47" s="21"/>
      <c r="W47" s="21"/>
      <c r="X47" s="22"/>
      <c r="Y47" s="212"/>
      <c r="Z47" s="213"/>
      <c r="AA47" s="214"/>
      <c r="AB47" s="215"/>
      <c r="AC47" s="216"/>
      <c r="AD47" s="28"/>
      <c r="AE47" s="26"/>
      <c r="AF47" s="26"/>
      <c r="AG47" s="26"/>
      <c r="AH47" s="26"/>
      <c r="AI47" s="26"/>
      <c r="AJ47" s="26"/>
      <c r="AK47" s="26"/>
      <c r="AL47" s="36"/>
      <c r="AM47" s="36"/>
      <c r="AN47" s="36"/>
      <c r="AO47" s="37"/>
      <c r="AP47" s="37"/>
      <c r="AQ47" s="37"/>
      <c r="AR47" s="37"/>
      <c r="AS47" s="38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IF(B48="","",COUNTA($B$9:B48))</f>
        <v/>
      </c>
      <c r="B48" s="20"/>
      <c r="C48" s="19"/>
      <c r="D48" s="19"/>
      <c r="E48" s="19"/>
      <c r="F48" s="19"/>
      <c r="G48" s="19"/>
      <c r="H48" s="22"/>
      <c r="I48" s="63"/>
      <c r="J48" s="33"/>
      <c r="K48" s="21"/>
      <c r="L48" s="21"/>
      <c r="M48" s="21"/>
      <c r="N48" s="21"/>
      <c r="O48" s="21"/>
      <c r="P48" s="21"/>
      <c r="Q48" s="32"/>
      <c r="R48" s="21"/>
      <c r="S48" s="21"/>
      <c r="T48" s="33"/>
      <c r="U48" s="21"/>
      <c r="V48" s="21"/>
      <c r="W48" s="21"/>
      <c r="X48" s="22"/>
      <c r="Y48" s="212"/>
      <c r="Z48" s="213"/>
      <c r="AA48" s="214"/>
      <c r="AB48" s="215"/>
      <c r="AC48" s="216"/>
      <c r="AD48" s="25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7"/>
      <c r="AP48" s="37"/>
      <c r="AQ48" s="37"/>
      <c r="AR48" s="37"/>
      <c r="AS48" s="38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</sheetData>
  <mergeCells count="114"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Y9:Z9"/>
    <mergeCell ref="AA9:AC9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8:Z8"/>
    <mergeCell ref="AA8:AC8"/>
    <mergeCell ref="AZ1:BD1"/>
    <mergeCell ref="I2:Q4"/>
    <mergeCell ref="R2:X4"/>
    <mergeCell ref="Y2:AO3"/>
    <mergeCell ref="AP2:AT2"/>
    <mergeCell ref="AZ2:BD2"/>
    <mergeCell ref="AP3:AT3"/>
    <mergeCell ref="AU3:AY3"/>
    <mergeCell ref="Y11:Z11"/>
    <mergeCell ref="AA11:AC11"/>
    <mergeCell ref="Y12:Z12"/>
    <mergeCell ref="AA12:AC12"/>
    <mergeCell ref="Y10:Z10"/>
    <mergeCell ref="AA10:AC10"/>
    <mergeCell ref="AG6:AG7"/>
    <mergeCell ref="AH6:AH7"/>
    <mergeCell ref="AI6:AR6"/>
    <mergeCell ref="Y16:Z16"/>
    <mergeCell ref="AA16:AC16"/>
    <mergeCell ref="Y17:Z17"/>
    <mergeCell ref="AA17:AC17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K65519:JV65521 TG65519:TR65521 ADC65519:ADN65521 AMY65519:ANJ65521 AWU65519:AXF65521 BGQ65519:BHB65521 BQM65519:BQX65521 CAI65519:CAT65521 CKE65519:CKP65521 CUA65519:CUL65521 DDW65519:DEH65521 DNS65519:DOD65521 DXO65519:DXZ65521 EHK65519:EHV65521 ERG65519:ERR65521 FBC65519:FBN65521 FKY65519:FLJ65521 FUU65519:FVF65521 GEQ65519:GFB65521 GOM65519:GOX65521 GYI65519:GYT65521 HIE65519:HIP65521 HSA65519:HSL65521 IBW65519:ICH65521 ILS65519:IMD65521 IVO65519:IVZ65521 JFK65519:JFV65521 JPG65519:JPR65521 JZC65519:JZN65521 KIY65519:KJJ65521 KSU65519:KTF65521 LCQ65519:LDB65521 LMM65519:LMX65521 LWI65519:LWT65521 MGE65519:MGP65521 MQA65519:MQL65521 MZW65519:NAH65521 NJS65519:NKD65521 NTO65519:NTZ65521 ODK65519:ODV65521 ONG65519:ONR65521 OXC65519:OXN65521 PGY65519:PHJ65521 PQU65519:PRF65521 QAQ65519:QBB65521 QKM65519:QKX65521 QUI65519:QUT65521 REE65519:REP65521 ROA65519:ROL65521 RXW65519:RYH65521 SHS65519:SID65521 SRO65519:SRZ65521 TBK65519:TBV65521 TLG65519:TLR65521 TVC65519:TVN65521 UEY65519:UFJ65521 UOU65519:UPF65521 UYQ65519:UZB65521 VIM65519:VIX65521 VSI65519:VST65521 WCE65519:WCP65521 WMA65519:WML65521 WVW65519:WWH65521 JK131055:JV131057 TG131055:TR131057 ADC131055:ADN131057 AMY131055:ANJ131057 AWU131055:AXF131057 BGQ131055:BHB131057 BQM131055:BQX131057 CAI131055:CAT131057 CKE131055:CKP131057 CUA131055:CUL131057 DDW131055:DEH131057 DNS131055:DOD131057 DXO131055:DXZ131057 EHK131055:EHV131057 ERG131055:ERR131057 FBC131055:FBN131057 FKY131055:FLJ131057 FUU131055:FVF131057 GEQ131055:GFB131057 GOM131055:GOX131057 GYI131055:GYT131057 HIE131055:HIP131057 HSA131055:HSL131057 IBW131055:ICH131057 ILS131055:IMD131057 IVO131055:IVZ131057 JFK131055:JFV131057 JPG131055:JPR131057 JZC131055:JZN131057 KIY131055:KJJ131057 KSU131055:KTF131057 LCQ131055:LDB131057 LMM131055:LMX131057 LWI131055:LWT131057 MGE131055:MGP131057 MQA131055:MQL131057 MZW131055:NAH131057 NJS131055:NKD131057 NTO131055:NTZ131057 ODK131055:ODV131057 ONG131055:ONR131057 OXC131055:OXN131057 PGY131055:PHJ131057 PQU131055:PRF131057 QAQ131055:QBB131057 QKM131055:QKX131057 QUI131055:QUT131057 REE131055:REP131057 ROA131055:ROL131057 RXW131055:RYH131057 SHS131055:SID131057 SRO131055:SRZ131057 TBK131055:TBV131057 TLG131055:TLR131057 TVC131055:TVN131057 UEY131055:UFJ131057 UOU131055:UPF131057 UYQ131055:UZB131057 VIM131055:VIX131057 VSI131055:VST131057 WCE131055:WCP131057 WMA131055:WML131057 WVW131055:WWH131057 JK196591:JV196593 TG196591:TR196593 ADC196591:ADN196593 AMY196591:ANJ196593 AWU196591:AXF196593 BGQ196591:BHB196593 BQM196591:BQX196593 CAI196591:CAT196593 CKE196591:CKP196593 CUA196591:CUL196593 DDW196591:DEH196593 DNS196591:DOD196593 DXO196591:DXZ196593 EHK196591:EHV196593 ERG196591:ERR196593 FBC196591:FBN196593 FKY196591:FLJ196593 FUU196591:FVF196593 GEQ196591:GFB196593 GOM196591:GOX196593 GYI196591:GYT196593 HIE196591:HIP196593 HSA196591:HSL196593 IBW196591:ICH196593 ILS196591:IMD196593 IVO196591:IVZ196593 JFK196591:JFV196593 JPG196591:JPR196593 JZC196591:JZN196593 KIY196591:KJJ196593 KSU196591:KTF196593 LCQ196591:LDB196593 LMM196591:LMX196593 LWI196591:LWT196593 MGE196591:MGP196593 MQA196591:MQL196593 MZW196591:NAH196593 NJS196591:NKD196593 NTO196591:NTZ196593 ODK196591:ODV196593 ONG196591:ONR196593 OXC196591:OXN196593 PGY196591:PHJ196593 PQU196591:PRF196593 QAQ196591:QBB196593 QKM196591:QKX196593 QUI196591:QUT196593 REE196591:REP196593 ROA196591:ROL196593 RXW196591:RYH196593 SHS196591:SID196593 SRO196591:SRZ196593 TBK196591:TBV196593 TLG196591:TLR196593 TVC196591:TVN196593 UEY196591:UFJ196593 UOU196591:UPF196593 UYQ196591:UZB196593 VIM196591:VIX196593 VSI196591:VST196593 WCE196591:WCP196593 WMA196591:WML196593 WVW196591:WWH196593 JK262127:JV262129 TG262127:TR262129 ADC262127:ADN262129 AMY262127:ANJ262129 AWU262127:AXF262129 BGQ262127:BHB262129 BQM262127:BQX262129 CAI262127:CAT262129 CKE262127:CKP262129 CUA262127:CUL262129 DDW262127:DEH262129 DNS262127:DOD262129 DXO262127:DXZ262129 EHK262127:EHV262129 ERG262127:ERR262129 FBC262127:FBN262129 FKY262127:FLJ262129 FUU262127:FVF262129 GEQ262127:GFB262129 GOM262127:GOX262129 GYI262127:GYT262129 HIE262127:HIP262129 HSA262127:HSL262129 IBW262127:ICH262129 ILS262127:IMD262129 IVO262127:IVZ262129 JFK262127:JFV262129 JPG262127:JPR262129 JZC262127:JZN262129 KIY262127:KJJ262129 KSU262127:KTF262129 LCQ262127:LDB262129 LMM262127:LMX262129 LWI262127:LWT262129 MGE262127:MGP262129 MQA262127:MQL262129 MZW262127:NAH262129 NJS262127:NKD262129 NTO262127:NTZ262129 ODK262127:ODV262129 ONG262127:ONR262129 OXC262127:OXN262129 PGY262127:PHJ262129 PQU262127:PRF262129 QAQ262127:QBB262129 QKM262127:QKX262129 QUI262127:QUT262129 REE262127:REP262129 ROA262127:ROL262129 RXW262127:RYH262129 SHS262127:SID262129 SRO262127:SRZ262129 TBK262127:TBV262129 TLG262127:TLR262129 TVC262127:TVN262129 UEY262127:UFJ262129 UOU262127:UPF262129 UYQ262127:UZB262129 VIM262127:VIX262129 VSI262127:VST262129 WCE262127:WCP262129 WMA262127:WML262129 WVW262127:WWH262129 JK327663:JV327665 TG327663:TR327665 ADC327663:ADN327665 AMY327663:ANJ327665 AWU327663:AXF327665 BGQ327663:BHB327665 BQM327663:BQX327665 CAI327663:CAT327665 CKE327663:CKP327665 CUA327663:CUL327665 DDW327663:DEH327665 DNS327663:DOD327665 DXO327663:DXZ327665 EHK327663:EHV327665 ERG327663:ERR327665 FBC327663:FBN327665 FKY327663:FLJ327665 FUU327663:FVF327665 GEQ327663:GFB327665 GOM327663:GOX327665 GYI327663:GYT327665 HIE327663:HIP327665 HSA327663:HSL327665 IBW327663:ICH327665 ILS327663:IMD327665 IVO327663:IVZ327665 JFK327663:JFV327665 JPG327663:JPR327665 JZC327663:JZN327665 KIY327663:KJJ327665 KSU327663:KTF327665 LCQ327663:LDB327665 LMM327663:LMX327665 LWI327663:LWT327665 MGE327663:MGP327665 MQA327663:MQL327665 MZW327663:NAH327665 NJS327663:NKD327665 NTO327663:NTZ327665 ODK327663:ODV327665 ONG327663:ONR327665 OXC327663:OXN327665 PGY327663:PHJ327665 PQU327663:PRF327665 QAQ327663:QBB327665 QKM327663:QKX327665 QUI327663:QUT327665 REE327663:REP327665 ROA327663:ROL327665 RXW327663:RYH327665 SHS327663:SID327665 SRO327663:SRZ327665 TBK327663:TBV327665 TLG327663:TLR327665 TVC327663:TVN327665 UEY327663:UFJ327665 UOU327663:UPF327665 UYQ327663:UZB327665 VIM327663:VIX327665 VSI327663:VST327665 WCE327663:WCP327665 WMA327663:WML327665 WVW327663:WWH327665 JK393199:JV393201 TG393199:TR393201 ADC393199:ADN393201 AMY393199:ANJ393201 AWU393199:AXF393201 BGQ393199:BHB393201 BQM393199:BQX393201 CAI393199:CAT393201 CKE393199:CKP393201 CUA393199:CUL393201 DDW393199:DEH393201 DNS393199:DOD393201 DXO393199:DXZ393201 EHK393199:EHV393201 ERG393199:ERR393201 FBC393199:FBN393201 FKY393199:FLJ393201 FUU393199:FVF393201 GEQ393199:GFB393201 GOM393199:GOX393201 GYI393199:GYT393201 HIE393199:HIP393201 HSA393199:HSL393201 IBW393199:ICH393201 ILS393199:IMD393201 IVO393199:IVZ393201 JFK393199:JFV393201 JPG393199:JPR393201 JZC393199:JZN393201 KIY393199:KJJ393201 KSU393199:KTF393201 LCQ393199:LDB393201 LMM393199:LMX393201 LWI393199:LWT393201 MGE393199:MGP393201 MQA393199:MQL393201 MZW393199:NAH393201 NJS393199:NKD393201 NTO393199:NTZ393201 ODK393199:ODV393201 ONG393199:ONR393201 OXC393199:OXN393201 PGY393199:PHJ393201 PQU393199:PRF393201 QAQ393199:QBB393201 QKM393199:QKX393201 QUI393199:QUT393201 REE393199:REP393201 ROA393199:ROL393201 RXW393199:RYH393201 SHS393199:SID393201 SRO393199:SRZ393201 TBK393199:TBV393201 TLG393199:TLR393201 TVC393199:TVN393201 UEY393199:UFJ393201 UOU393199:UPF393201 UYQ393199:UZB393201 VIM393199:VIX393201 VSI393199:VST393201 WCE393199:WCP393201 WMA393199:WML393201 WVW393199:WWH393201 JK458735:JV458737 TG458735:TR458737 ADC458735:ADN458737 AMY458735:ANJ458737 AWU458735:AXF458737 BGQ458735:BHB458737 BQM458735:BQX458737 CAI458735:CAT458737 CKE458735:CKP458737 CUA458735:CUL458737 DDW458735:DEH458737 DNS458735:DOD458737 DXO458735:DXZ458737 EHK458735:EHV458737 ERG458735:ERR458737 FBC458735:FBN458737 FKY458735:FLJ458737 FUU458735:FVF458737 GEQ458735:GFB458737 GOM458735:GOX458737 GYI458735:GYT458737 HIE458735:HIP458737 HSA458735:HSL458737 IBW458735:ICH458737 ILS458735:IMD458737 IVO458735:IVZ458737 JFK458735:JFV458737 JPG458735:JPR458737 JZC458735:JZN458737 KIY458735:KJJ458737 KSU458735:KTF458737 LCQ458735:LDB458737 LMM458735:LMX458737 LWI458735:LWT458737 MGE458735:MGP458737 MQA458735:MQL458737 MZW458735:NAH458737 NJS458735:NKD458737 NTO458735:NTZ458737 ODK458735:ODV458737 ONG458735:ONR458737 OXC458735:OXN458737 PGY458735:PHJ458737 PQU458735:PRF458737 QAQ458735:QBB458737 QKM458735:QKX458737 QUI458735:QUT458737 REE458735:REP458737 ROA458735:ROL458737 RXW458735:RYH458737 SHS458735:SID458737 SRO458735:SRZ458737 TBK458735:TBV458737 TLG458735:TLR458737 TVC458735:TVN458737 UEY458735:UFJ458737 UOU458735:UPF458737 UYQ458735:UZB458737 VIM458735:VIX458737 VSI458735:VST458737 WCE458735:WCP458737 WMA458735:WML458737 WVW458735:WWH458737 JK524271:JV524273 TG524271:TR524273 ADC524271:ADN524273 AMY524271:ANJ524273 AWU524271:AXF524273 BGQ524271:BHB524273 BQM524271:BQX524273 CAI524271:CAT524273 CKE524271:CKP524273 CUA524271:CUL524273 DDW524271:DEH524273 DNS524271:DOD524273 DXO524271:DXZ524273 EHK524271:EHV524273 ERG524271:ERR524273 FBC524271:FBN524273 FKY524271:FLJ524273 FUU524271:FVF524273 GEQ524271:GFB524273 GOM524271:GOX524273 GYI524271:GYT524273 HIE524271:HIP524273 HSA524271:HSL524273 IBW524271:ICH524273 ILS524271:IMD524273 IVO524271:IVZ524273 JFK524271:JFV524273 JPG524271:JPR524273 JZC524271:JZN524273 KIY524271:KJJ524273 KSU524271:KTF524273 LCQ524271:LDB524273 LMM524271:LMX524273 LWI524271:LWT524273 MGE524271:MGP524273 MQA524271:MQL524273 MZW524271:NAH524273 NJS524271:NKD524273 NTO524271:NTZ524273 ODK524271:ODV524273 ONG524271:ONR524273 OXC524271:OXN524273 PGY524271:PHJ524273 PQU524271:PRF524273 QAQ524271:QBB524273 QKM524271:QKX524273 QUI524271:QUT524273 REE524271:REP524273 ROA524271:ROL524273 RXW524271:RYH524273 SHS524271:SID524273 SRO524271:SRZ524273 TBK524271:TBV524273 TLG524271:TLR524273 TVC524271:TVN524273 UEY524271:UFJ524273 UOU524271:UPF524273 UYQ524271:UZB524273 VIM524271:VIX524273 VSI524271:VST524273 WCE524271:WCP524273 WMA524271:WML524273 WVW524271:WWH524273 JK589807:JV589809 TG589807:TR589809 ADC589807:ADN589809 AMY589807:ANJ589809 AWU589807:AXF589809 BGQ589807:BHB589809 BQM589807:BQX589809 CAI589807:CAT589809 CKE589807:CKP589809 CUA589807:CUL589809 DDW589807:DEH589809 DNS589807:DOD589809 DXO589807:DXZ589809 EHK589807:EHV589809 ERG589807:ERR589809 FBC589807:FBN589809 FKY589807:FLJ589809 FUU589807:FVF589809 GEQ589807:GFB589809 GOM589807:GOX589809 GYI589807:GYT589809 HIE589807:HIP589809 HSA589807:HSL589809 IBW589807:ICH589809 ILS589807:IMD589809 IVO589807:IVZ589809 JFK589807:JFV589809 JPG589807:JPR589809 JZC589807:JZN589809 KIY589807:KJJ589809 KSU589807:KTF589809 LCQ589807:LDB589809 LMM589807:LMX589809 LWI589807:LWT589809 MGE589807:MGP589809 MQA589807:MQL589809 MZW589807:NAH589809 NJS589807:NKD589809 NTO589807:NTZ589809 ODK589807:ODV589809 ONG589807:ONR589809 OXC589807:OXN589809 PGY589807:PHJ589809 PQU589807:PRF589809 QAQ589807:QBB589809 QKM589807:QKX589809 QUI589807:QUT589809 REE589807:REP589809 ROA589807:ROL589809 RXW589807:RYH589809 SHS589807:SID589809 SRO589807:SRZ589809 TBK589807:TBV589809 TLG589807:TLR589809 TVC589807:TVN589809 UEY589807:UFJ589809 UOU589807:UPF589809 UYQ589807:UZB589809 VIM589807:VIX589809 VSI589807:VST589809 WCE589807:WCP589809 WMA589807:WML589809 WVW589807:WWH589809 JK655343:JV655345 TG655343:TR655345 ADC655343:ADN655345 AMY655343:ANJ655345 AWU655343:AXF655345 BGQ655343:BHB655345 BQM655343:BQX655345 CAI655343:CAT655345 CKE655343:CKP655345 CUA655343:CUL655345 DDW655343:DEH655345 DNS655343:DOD655345 DXO655343:DXZ655345 EHK655343:EHV655345 ERG655343:ERR655345 FBC655343:FBN655345 FKY655343:FLJ655345 FUU655343:FVF655345 GEQ655343:GFB655345 GOM655343:GOX655345 GYI655343:GYT655345 HIE655343:HIP655345 HSA655343:HSL655345 IBW655343:ICH655345 ILS655343:IMD655345 IVO655343:IVZ655345 JFK655343:JFV655345 JPG655343:JPR655345 JZC655343:JZN655345 KIY655343:KJJ655345 KSU655343:KTF655345 LCQ655343:LDB655345 LMM655343:LMX655345 LWI655343:LWT655345 MGE655343:MGP655345 MQA655343:MQL655345 MZW655343:NAH655345 NJS655343:NKD655345 NTO655343:NTZ655345 ODK655343:ODV655345 ONG655343:ONR655345 OXC655343:OXN655345 PGY655343:PHJ655345 PQU655343:PRF655345 QAQ655343:QBB655345 QKM655343:QKX655345 QUI655343:QUT655345 REE655343:REP655345 ROA655343:ROL655345 RXW655343:RYH655345 SHS655343:SID655345 SRO655343:SRZ655345 TBK655343:TBV655345 TLG655343:TLR655345 TVC655343:TVN655345 UEY655343:UFJ655345 UOU655343:UPF655345 UYQ655343:UZB655345 VIM655343:VIX655345 VSI655343:VST655345 WCE655343:WCP655345 WMA655343:WML655345 WVW655343:WWH655345 JK720879:JV720881 TG720879:TR720881 ADC720879:ADN720881 AMY720879:ANJ720881 AWU720879:AXF720881 BGQ720879:BHB720881 BQM720879:BQX720881 CAI720879:CAT720881 CKE720879:CKP720881 CUA720879:CUL720881 DDW720879:DEH720881 DNS720879:DOD720881 DXO720879:DXZ720881 EHK720879:EHV720881 ERG720879:ERR720881 FBC720879:FBN720881 FKY720879:FLJ720881 FUU720879:FVF720881 GEQ720879:GFB720881 GOM720879:GOX720881 GYI720879:GYT720881 HIE720879:HIP720881 HSA720879:HSL720881 IBW720879:ICH720881 ILS720879:IMD720881 IVO720879:IVZ720881 JFK720879:JFV720881 JPG720879:JPR720881 JZC720879:JZN720881 KIY720879:KJJ720881 KSU720879:KTF720881 LCQ720879:LDB720881 LMM720879:LMX720881 LWI720879:LWT720881 MGE720879:MGP720881 MQA720879:MQL720881 MZW720879:NAH720881 NJS720879:NKD720881 NTO720879:NTZ720881 ODK720879:ODV720881 ONG720879:ONR720881 OXC720879:OXN720881 PGY720879:PHJ720881 PQU720879:PRF720881 QAQ720879:QBB720881 QKM720879:QKX720881 QUI720879:QUT720881 REE720879:REP720881 ROA720879:ROL720881 RXW720879:RYH720881 SHS720879:SID720881 SRO720879:SRZ720881 TBK720879:TBV720881 TLG720879:TLR720881 TVC720879:TVN720881 UEY720879:UFJ720881 UOU720879:UPF720881 UYQ720879:UZB720881 VIM720879:VIX720881 VSI720879:VST720881 WCE720879:WCP720881 WMA720879:WML720881 WVW720879:WWH720881 JK786415:JV786417 TG786415:TR786417 ADC786415:ADN786417 AMY786415:ANJ786417 AWU786415:AXF786417 BGQ786415:BHB786417 BQM786415:BQX786417 CAI786415:CAT786417 CKE786415:CKP786417 CUA786415:CUL786417 DDW786415:DEH786417 DNS786415:DOD786417 DXO786415:DXZ786417 EHK786415:EHV786417 ERG786415:ERR786417 FBC786415:FBN786417 FKY786415:FLJ786417 FUU786415:FVF786417 GEQ786415:GFB786417 GOM786415:GOX786417 GYI786415:GYT786417 HIE786415:HIP786417 HSA786415:HSL786417 IBW786415:ICH786417 ILS786415:IMD786417 IVO786415:IVZ786417 JFK786415:JFV786417 JPG786415:JPR786417 JZC786415:JZN786417 KIY786415:KJJ786417 KSU786415:KTF786417 LCQ786415:LDB786417 LMM786415:LMX786417 LWI786415:LWT786417 MGE786415:MGP786417 MQA786415:MQL786417 MZW786415:NAH786417 NJS786415:NKD786417 NTO786415:NTZ786417 ODK786415:ODV786417 ONG786415:ONR786417 OXC786415:OXN786417 PGY786415:PHJ786417 PQU786415:PRF786417 QAQ786415:QBB786417 QKM786415:QKX786417 QUI786415:QUT786417 REE786415:REP786417 ROA786415:ROL786417 RXW786415:RYH786417 SHS786415:SID786417 SRO786415:SRZ786417 TBK786415:TBV786417 TLG786415:TLR786417 TVC786415:TVN786417 UEY786415:UFJ786417 UOU786415:UPF786417 UYQ786415:UZB786417 VIM786415:VIX786417 VSI786415:VST786417 WCE786415:WCP786417 WMA786415:WML786417 WVW786415:WWH786417 JK851951:JV851953 TG851951:TR851953 ADC851951:ADN851953 AMY851951:ANJ851953 AWU851951:AXF851953 BGQ851951:BHB851953 BQM851951:BQX851953 CAI851951:CAT851953 CKE851951:CKP851953 CUA851951:CUL851953 DDW851951:DEH851953 DNS851951:DOD851953 DXO851951:DXZ851953 EHK851951:EHV851953 ERG851951:ERR851953 FBC851951:FBN851953 FKY851951:FLJ851953 FUU851951:FVF851953 GEQ851951:GFB851953 GOM851951:GOX851953 GYI851951:GYT851953 HIE851951:HIP851953 HSA851951:HSL851953 IBW851951:ICH851953 ILS851951:IMD851953 IVO851951:IVZ851953 JFK851951:JFV851953 JPG851951:JPR851953 JZC851951:JZN851953 KIY851951:KJJ851953 KSU851951:KTF851953 LCQ851951:LDB851953 LMM851951:LMX851953 LWI851951:LWT851953 MGE851951:MGP851953 MQA851951:MQL851953 MZW851951:NAH851953 NJS851951:NKD851953 NTO851951:NTZ851953 ODK851951:ODV851953 ONG851951:ONR851953 OXC851951:OXN851953 PGY851951:PHJ851953 PQU851951:PRF851953 QAQ851951:QBB851953 QKM851951:QKX851953 QUI851951:QUT851953 REE851951:REP851953 ROA851951:ROL851953 RXW851951:RYH851953 SHS851951:SID851953 SRO851951:SRZ851953 TBK851951:TBV851953 TLG851951:TLR851953 TVC851951:TVN851953 UEY851951:UFJ851953 UOU851951:UPF851953 UYQ851951:UZB851953 VIM851951:VIX851953 VSI851951:VST851953 WCE851951:WCP851953 WMA851951:WML851953 WVW851951:WWH851953 JK917487:JV917489 TG917487:TR917489 ADC917487:ADN917489 AMY917487:ANJ917489 AWU917487:AXF917489 BGQ917487:BHB917489 BQM917487:BQX917489 CAI917487:CAT917489 CKE917487:CKP917489 CUA917487:CUL917489 DDW917487:DEH917489 DNS917487:DOD917489 DXO917487:DXZ917489 EHK917487:EHV917489 ERG917487:ERR917489 FBC917487:FBN917489 FKY917487:FLJ917489 FUU917487:FVF917489 GEQ917487:GFB917489 GOM917487:GOX917489 GYI917487:GYT917489 HIE917487:HIP917489 HSA917487:HSL917489 IBW917487:ICH917489 ILS917487:IMD917489 IVO917487:IVZ917489 JFK917487:JFV917489 JPG917487:JPR917489 JZC917487:JZN917489 KIY917487:KJJ917489 KSU917487:KTF917489 LCQ917487:LDB917489 LMM917487:LMX917489 LWI917487:LWT917489 MGE917487:MGP917489 MQA917487:MQL917489 MZW917487:NAH917489 NJS917487:NKD917489 NTO917487:NTZ917489 ODK917487:ODV917489 ONG917487:ONR917489 OXC917487:OXN917489 PGY917487:PHJ917489 PQU917487:PRF917489 QAQ917487:QBB917489 QKM917487:QKX917489 QUI917487:QUT917489 REE917487:REP917489 ROA917487:ROL917489 RXW917487:RYH917489 SHS917487:SID917489 SRO917487:SRZ917489 TBK917487:TBV917489 TLG917487:TLR917489 TVC917487:TVN917489 UEY917487:UFJ917489 UOU917487:UPF917489 UYQ917487:UZB917489 VIM917487:VIX917489 VSI917487:VST917489 WCE917487:WCP917489 WMA917487:WML917489 WVW917487:WWH917489 JK983023:JV983025 TG983023:TR983025 ADC983023:ADN983025 AMY983023:ANJ983025 AWU983023:AXF983025 BGQ983023:BHB983025 BQM983023:BQX983025 CAI983023:CAT983025 CKE983023:CKP983025 CUA983023:CUL983025 DDW983023:DEH983025 DNS983023:DOD983025 DXO983023:DXZ983025 EHK983023:EHV983025 ERG983023:ERR983025 FBC983023:FBN983025 FKY983023:FLJ983025 FUU983023:FVF983025 GEQ983023:GFB983025 GOM983023:GOX983025 GYI983023:GYT983025 HIE983023:HIP983025 HSA983023:HSL983025 IBW983023:ICH983025 ILS983023:IMD983025 IVO983023:IVZ983025 JFK983023:JFV983025 JPG983023:JPR983025 JZC983023:JZN983025 KIY983023:KJJ983025 KSU983023:KTF983025 LCQ983023:LDB983025 LMM983023:LMX983025 LWI983023:LWT983025 MGE983023:MGP983025 MQA983023:MQL983025 MZW983023:NAH983025 NJS983023:NKD983025 NTO983023:NTZ983025 ODK983023:ODV983025 ONG983023:ONR983025 OXC983023:OXN983025 PGY983023:PHJ983025 PQU983023:PRF983025 QAQ983023:QBB983025 QKM983023:QKX983025 QUI983023:QUT983025 REE983023:REP983025 ROA983023:ROL983025 RXW983023:RYH983025 SHS983023:SID983025 SRO983023:SRZ983025 TBK983023:TBV983025 TLG983023:TLR983025 TVC983023:TVN983025 UEY983023:UFJ983025 UOU983023:UPF983025 UYQ983023:UZB983025 VIM983023:VIX983025 VSI983023:VST983025 WCE983023:WCP983025 WMA983023:WML983025 WVW983023:WWH983025 WVW983028:WWH983030 JK65524:JV65526 TG65524:TR65526 ADC65524:ADN65526 AMY65524:ANJ65526 AWU65524:AXF65526 BGQ65524:BHB65526 BQM65524:BQX65526 CAI65524:CAT65526 CKE65524:CKP65526 CUA65524:CUL65526 DDW65524:DEH65526 DNS65524:DOD65526 DXO65524:DXZ65526 EHK65524:EHV65526 ERG65524:ERR65526 FBC65524:FBN65526 FKY65524:FLJ65526 FUU65524:FVF65526 GEQ65524:GFB65526 GOM65524:GOX65526 GYI65524:GYT65526 HIE65524:HIP65526 HSA65524:HSL65526 IBW65524:ICH65526 ILS65524:IMD65526 IVO65524:IVZ65526 JFK65524:JFV65526 JPG65524:JPR65526 JZC65524:JZN65526 KIY65524:KJJ65526 KSU65524:KTF65526 LCQ65524:LDB65526 LMM65524:LMX65526 LWI65524:LWT65526 MGE65524:MGP65526 MQA65524:MQL65526 MZW65524:NAH65526 NJS65524:NKD65526 NTO65524:NTZ65526 ODK65524:ODV65526 ONG65524:ONR65526 OXC65524:OXN65526 PGY65524:PHJ65526 PQU65524:PRF65526 QAQ65524:QBB65526 QKM65524:QKX65526 QUI65524:QUT65526 REE65524:REP65526 ROA65524:ROL65526 RXW65524:RYH65526 SHS65524:SID65526 SRO65524:SRZ65526 TBK65524:TBV65526 TLG65524:TLR65526 TVC65524:TVN65526 UEY65524:UFJ65526 UOU65524:UPF65526 UYQ65524:UZB65526 VIM65524:VIX65526 VSI65524:VST65526 WCE65524:WCP65526 WMA65524:WML65526 WVW65524:WWH65526 JK131060:JV131062 TG131060:TR131062 ADC131060:ADN131062 AMY131060:ANJ131062 AWU131060:AXF131062 BGQ131060:BHB131062 BQM131060:BQX131062 CAI131060:CAT131062 CKE131060:CKP131062 CUA131060:CUL131062 DDW131060:DEH131062 DNS131060:DOD131062 DXO131060:DXZ131062 EHK131060:EHV131062 ERG131060:ERR131062 FBC131060:FBN131062 FKY131060:FLJ131062 FUU131060:FVF131062 GEQ131060:GFB131062 GOM131060:GOX131062 GYI131060:GYT131062 HIE131060:HIP131062 HSA131060:HSL131062 IBW131060:ICH131062 ILS131060:IMD131062 IVO131060:IVZ131062 JFK131060:JFV131062 JPG131060:JPR131062 JZC131060:JZN131062 KIY131060:KJJ131062 KSU131060:KTF131062 LCQ131060:LDB131062 LMM131060:LMX131062 LWI131060:LWT131062 MGE131060:MGP131062 MQA131060:MQL131062 MZW131060:NAH131062 NJS131060:NKD131062 NTO131060:NTZ131062 ODK131060:ODV131062 ONG131060:ONR131062 OXC131060:OXN131062 PGY131060:PHJ131062 PQU131060:PRF131062 QAQ131060:QBB131062 QKM131060:QKX131062 QUI131060:QUT131062 REE131060:REP131062 ROA131060:ROL131062 RXW131060:RYH131062 SHS131060:SID131062 SRO131060:SRZ131062 TBK131060:TBV131062 TLG131060:TLR131062 TVC131060:TVN131062 UEY131060:UFJ131062 UOU131060:UPF131062 UYQ131060:UZB131062 VIM131060:VIX131062 VSI131060:VST131062 WCE131060:WCP131062 WMA131060:WML131062 WVW131060:WWH131062 JK196596:JV196598 TG196596:TR196598 ADC196596:ADN196598 AMY196596:ANJ196598 AWU196596:AXF196598 BGQ196596:BHB196598 BQM196596:BQX196598 CAI196596:CAT196598 CKE196596:CKP196598 CUA196596:CUL196598 DDW196596:DEH196598 DNS196596:DOD196598 DXO196596:DXZ196598 EHK196596:EHV196598 ERG196596:ERR196598 FBC196596:FBN196598 FKY196596:FLJ196598 FUU196596:FVF196598 GEQ196596:GFB196598 GOM196596:GOX196598 GYI196596:GYT196598 HIE196596:HIP196598 HSA196596:HSL196598 IBW196596:ICH196598 ILS196596:IMD196598 IVO196596:IVZ196598 JFK196596:JFV196598 JPG196596:JPR196598 JZC196596:JZN196598 KIY196596:KJJ196598 KSU196596:KTF196598 LCQ196596:LDB196598 LMM196596:LMX196598 LWI196596:LWT196598 MGE196596:MGP196598 MQA196596:MQL196598 MZW196596:NAH196598 NJS196596:NKD196598 NTO196596:NTZ196598 ODK196596:ODV196598 ONG196596:ONR196598 OXC196596:OXN196598 PGY196596:PHJ196598 PQU196596:PRF196598 QAQ196596:QBB196598 QKM196596:QKX196598 QUI196596:QUT196598 REE196596:REP196598 ROA196596:ROL196598 RXW196596:RYH196598 SHS196596:SID196598 SRO196596:SRZ196598 TBK196596:TBV196598 TLG196596:TLR196598 TVC196596:TVN196598 UEY196596:UFJ196598 UOU196596:UPF196598 UYQ196596:UZB196598 VIM196596:VIX196598 VSI196596:VST196598 WCE196596:WCP196598 WMA196596:WML196598 WVW196596:WWH196598 JK262132:JV262134 TG262132:TR262134 ADC262132:ADN262134 AMY262132:ANJ262134 AWU262132:AXF262134 BGQ262132:BHB262134 BQM262132:BQX262134 CAI262132:CAT262134 CKE262132:CKP262134 CUA262132:CUL262134 DDW262132:DEH262134 DNS262132:DOD262134 DXO262132:DXZ262134 EHK262132:EHV262134 ERG262132:ERR262134 FBC262132:FBN262134 FKY262132:FLJ262134 FUU262132:FVF262134 GEQ262132:GFB262134 GOM262132:GOX262134 GYI262132:GYT262134 HIE262132:HIP262134 HSA262132:HSL262134 IBW262132:ICH262134 ILS262132:IMD262134 IVO262132:IVZ262134 JFK262132:JFV262134 JPG262132:JPR262134 JZC262132:JZN262134 KIY262132:KJJ262134 KSU262132:KTF262134 LCQ262132:LDB262134 LMM262132:LMX262134 LWI262132:LWT262134 MGE262132:MGP262134 MQA262132:MQL262134 MZW262132:NAH262134 NJS262132:NKD262134 NTO262132:NTZ262134 ODK262132:ODV262134 ONG262132:ONR262134 OXC262132:OXN262134 PGY262132:PHJ262134 PQU262132:PRF262134 QAQ262132:QBB262134 QKM262132:QKX262134 QUI262132:QUT262134 REE262132:REP262134 ROA262132:ROL262134 RXW262132:RYH262134 SHS262132:SID262134 SRO262132:SRZ262134 TBK262132:TBV262134 TLG262132:TLR262134 TVC262132:TVN262134 UEY262132:UFJ262134 UOU262132:UPF262134 UYQ262132:UZB262134 VIM262132:VIX262134 VSI262132:VST262134 WCE262132:WCP262134 WMA262132:WML262134 WVW262132:WWH262134 JK327668:JV327670 TG327668:TR327670 ADC327668:ADN327670 AMY327668:ANJ327670 AWU327668:AXF327670 BGQ327668:BHB327670 BQM327668:BQX327670 CAI327668:CAT327670 CKE327668:CKP327670 CUA327668:CUL327670 DDW327668:DEH327670 DNS327668:DOD327670 DXO327668:DXZ327670 EHK327668:EHV327670 ERG327668:ERR327670 FBC327668:FBN327670 FKY327668:FLJ327670 FUU327668:FVF327670 GEQ327668:GFB327670 GOM327668:GOX327670 GYI327668:GYT327670 HIE327668:HIP327670 HSA327668:HSL327670 IBW327668:ICH327670 ILS327668:IMD327670 IVO327668:IVZ327670 JFK327668:JFV327670 JPG327668:JPR327670 JZC327668:JZN327670 KIY327668:KJJ327670 KSU327668:KTF327670 LCQ327668:LDB327670 LMM327668:LMX327670 LWI327668:LWT327670 MGE327668:MGP327670 MQA327668:MQL327670 MZW327668:NAH327670 NJS327668:NKD327670 NTO327668:NTZ327670 ODK327668:ODV327670 ONG327668:ONR327670 OXC327668:OXN327670 PGY327668:PHJ327670 PQU327668:PRF327670 QAQ327668:QBB327670 QKM327668:QKX327670 QUI327668:QUT327670 REE327668:REP327670 ROA327668:ROL327670 RXW327668:RYH327670 SHS327668:SID327670 SRO327668:SRZ327670 TBK327668:TBV327670 TLG327668:TLR327670 TVC327668:TVN327670 UEY327668:UFJ327670 UOU327668:UPF327670 UYQ327668:UZB327670 VIM327668:VIX327670 VSI327668:VST327670 WCE327668:WCP327670 WMA327668:WML327670 WVW327668:WWH327670 JK393204:JV393206 TG393204:TR393206 ADC393204:ADN393206 AMY393204:ANJ393206 AWU393204:AXF393206 BGQ393204:BHB393206 BQM393204:BQX393206 CAI393204:CAT393206 CKE393204:CKP393206 CUA393204:CUL393206 DDW393204:DEH393206 DNS393204:DOD393206 DXO393204:DXZ393206 EHK393204:EHV393206 ERG393204:ERR393206 FBC393204:FBN393206 FKY393204:FLJ393206 FUU393204:FVF393206 GEQ393204:GFB393206 GOM393204:GOX393206 GYI393204:GYT393206 HIE393204:HIP393206 HSA393204:HSL393206 IBW393204:ICH393206 ILS393204:IMD393206 IVO393204:IVZ393206 JFK393204:JFV393206 JPG393204:JPR393206 JZC393204:JZN393206 KIY393204:KJJ393206 KSU393204:KTF393206 LCQ393204:LDB393206 LMM393204:LMX393206 LWI393204:LWT393206 MGE393204:MGP393206 MQA393204:MQL393206 MZW393204:NAH393206 NJS393204:NKD393206 NTO393204:NTZ393206 ODK393204:ODV393206 ONG393204:ONR393206 OXC393204:OXN393206 PGY393204:PHJ393206 PQU393204:PRF393206 QAQ393204:QBB393206 QKM393204:QKX393206 QUI393204:QUT393206 REE393204:REP393206 ROA393204:ROL393206 RXW393204:RYH393206 SHS393204:SID393206 SRO393204:SRZ393206 TBK393204:TBV393206 TLG393204:TLR393206 TVC393204:TVN393206 UEY393204:UFJ393206 UOU393204:UPF393206 UYQ393204:UZB393206 VIM393204:VIX393206 VSI393204:VST393206 WCE393204:WCP393206 WMA393204:WML393206 WVW393204:WWH393206 JK458740:JV458742 TG458740:TR458742 ADC458740:ADN458742 AMY458740:ANJ458742 AWU458740:AXF458742 BGQ458740:BHB458742 BQM458740:BQX458742 CAI458740:CAT458742 CKE458740:CKP458742 CUA458740:CUL458742 DDW458740:DEH458742 DNS458740:DOD458742 DXO458740:DXZ458742 EHK458740:EHV458742 ERG458740:ERR458742 FBC458740:FBN458742 FKY458740:FLJ458742 FUU458740:FVF458742 GEQ458740:GFB458742 GOM458740:GOX458742 GYI458740:GYT458742 HIE458740:HIP458742 HSA458740:HSL458742 IBW458740:ICH458742 ILS458740:IMD458742 IVO458740:IVZ458742 JFK458740:JFV458742 JPG458740:JPR458742 JZC458740:JZN458742 KIY458740:KJJ458742 KSU458740:KTF458742 LCQ458740:LDB458742 LMM458740:LMX458742 LWI458740:LWT458742 MGE458740:MGP458742 MQA458740:MQL458742 MZW458740:NAH458742 NJS458740:NKD458742 NTO458740:NTZ458742 ODK458740:ODV458742 ONG458740:ONR458742 OXC458740:OXN458742 PGY458740:PHJ458742 PQU458740:PRF458742 QAQ458740:QBB458742 QKM458740:QKX458742 QUI458740:QUT458742 REE458740:REP458742 ROA458740:ROL458742 RXW458740:RYH458742 SHS458740:SID458742 SRO458740:SRZ458742 TBK458740:TBV458742 TLG458740:TLR458742 TVC458740:TVN458742 UEY458740:UFJ458742 UOU458740:UPF458742 UYQ458740:UZB458742 VIM458740:VIX458742 VSI458740:VST458742 WCE458740:WCP458742 WMA458740:WML458742 WVW458740:WWH458742 JK524276:JV524278 TG524276:TR524278 ADC524276:ADN524278 AMY524276:ANJ524278 AWU524276:AXF524278 BGQ524276:BHB524278 BQM524276:BQX524278 CAI524276:CAT524278 CKE524276:CKP524278 CUA524276:CUL524278 DDW524276:DEH524278 DNS524276:DOD524278 DXO524276:DXZ524278 EHK524276:EHV524278 ERG524276:ERR524278 FBC524276:FBN524278 FKY524276:FLJ524278 FUU524276:FVF524278 GEQ524276:GFB524278 GOM524276:GOX524278 GYI524276:GYT524278 HIE524276:HIP524278 HSA524276:HSL524278 IBW524276:ICH524278 ILS524276:IMD524278 IVO524276:IVZ524278 JFK524276:JFV524278 JPG524276:JPR524278 JZC524276:JZN524278 KIY524276:KJJ524278 KSU524276:KTF524278 LCQ524276:LDB524278 LMM524276:LMX524278 LWI524276:LWT524278 MGE524276:MGP524278 MQA524276:MQL524278 MZW524276:NAH524278 NJS524276:NKD524278 NTO524276:NTZ524278 ODK524276:ODV524278 ONG524276:ONR524278 OXC524276:OXN524278 PGY524276:PHJ524278 PQU524276:PRF524278 QAQ524276:QBB524278 QKM524276:QKX524278 QUI524276:QUT524278 REE524276:REP524278 ROA524276:ROL524278 RXW524276:RYH524278 SHS524276:SID524278 SRO524276:SRZ524278 TBK524276:TBV524278 TLG524276:TLR524278 TVC524276:TVN524278 UEY524276:UFJ524278 UOU524276:UPF524278 UYQ524276:UZB524278 VIM524276:VIX524278 VSI524276:VST524278 WCE524276:WCP524278 WMA524276:WML524278 WVW524276:WWH524278 JK589812:JV589814 TG589812:TR589814 ADC589812:ADN589814 AMY589812:ANJ589814 AWU589812:AXF589814 BGQ589812:BHB589814 BQM589812:BQX589814 CAI589812:CAT589814 CKE589812:CKP589814 CUA589812:CUL589814 DDW589812:DEH589814 DNS589812:DOD589814 DXO589812:DXZ589814 EHK589812:EHV589814 ERG589812:ERR589814 FBC589812:FBN589814 FKY589812:FLJ589814 FUU589812:FVF589814 GEQ589812:GFB589814 GOM589812:GOX589814 GYI589812:GYT589814 HIE589812:HIP589814 HSA589812:HSL589814 IBW589812:ICH589814 ILS589812:IMD589814 IVO589812:IVZ589814 JFK589812:JFV589814 JPG589812:JPR589814 JZC589812:JZN589814 KIY589812:KJJ589814 KSU589812:KTF589814 LCQ589812:LDB589814 LMM589812:LMX589814 LWI589812:LWT589814 MGE589812:MGP589814 MQA589812:MQL589814 MZW589812:NAH589814 NJS589812:NKD589814 NTO589812:NTZ589814 ODK589812:ODV589814 ONG589812:ONR589814 OXC589812:OXN589814 PGY589812:PHJ589814 PQU589812:PRF589814 QAQ589812:QBB589814 QKM589812:QKX589814 QUI589812:QUT589814 REE589812:REP589814 ROA589812:ROL589814 RXW589812:RYH589814 SHS589812:SID589814 SRO589812:SRZ589814 TBK589812:TBV589814 TLG589812:TLR589814 TVC589812:TVN589814 UEY589812:UFJ589814 UOU589812:UPF589814 UYQ589812:UZB589814 VIM589812:VIX589814 VSI589812:VST589814 WCE589812:WCP589814 WMA589812:WML589814 WVW589812:WWH589814 JK655348:JV655350 TG655348:TR655350 ADC655348:ADN655350 AMY655348:ANJ655350 AWU655348:AXF655350 BGQ655348:BHB655350 BQM655348:BQX655350 CAI655348:CAT655350 CKE655348:CKP655350 CUA655348:CUL655350 DDW655348:DEH655350 DNS655348:DOD655350 DXO655348:DXZ655350 EHK655348:EHV655350 ERG655348:ERR655350 FBC655348:FBN655350 FKY655348:FLJ655350 FUU655348:FVF655350 GEQ655348:GFB655350 GOM655348:GOX655350 GYI655348:GYT655350 HIE655348:HIP655350 HSA655348:HSL655350 IBW655348:ICH655350 ILS655348:IMD655350 IVO655348:IVZ655350 JFK655348:JFV655350 JPG655348:JPR655350 JZC655348:JZN655350 KIY655348:KJJ655350 KSU655348:KTF655350 LCQ655348:LDB655350 LMM655348:LMX655350 LWI655348:LWT655350 MGE655348:MGP655350 MQA655348:MQL655350 MZW655348:NAH655350 NJS655348:NKD655350 NTO655348:NTZ655350 ODK655348:ODV655350 ONG655348:ONR655350 OXC655348:OXN655350 PGY655348:PHJ655350 PQU655348:PRF655350 QAQ655348:QBB655350 QKM655348:QKX655350 QUI655348:QUT655350 REE655348:REP655350 ROA655348:ROL655350 RXW655348:RYH655350 SHS655348:SID655350 SRO655348:SRZ655350 TBK655348:TBV655350 TLG655348:TLR655350 TVC655348:TVN655350 UEY655348:UFJ655350 UOU655348:UPF655350 UYQ655348:UZB655350 VIM655348:VIX655350 VSI655348:VST655350 WCE655348:WCP655350 WMA655348:WML655350 WVW655348:WWH655350 JK720884:JV720886 TG720884:TR720886 ADC720884:ADN720886 AMY720884:ANJ720886 AWU720884:AXF720886 BGQ720884:BHB720886 BQM720884:BQX720886 CAI720884:CAT720886 CKE720884:CKP720886 CUA720884:CUL720886 DDW720884:DEH720886 DNS720884:DOD720886 DXO720884:DXZ720886 EHK720884:EHV720886 ERG720884:ERR720886 FBC720884:FBN720886 FKY720884:FLJ720886 FUU720884:FVF720886 GEQ720884:GFB720886 GOM720884:GOX720886 GYI720884:GYT720886 HIE720884:HIP720886 HSA720884:HSL720886 IBW720884:ICH720886 ILS720884:IMD720886 IVO720884:IVZ720886 JFK720884:JFV720886 JPG720884:JPR720886 JZC720884:JZN720886 KIY720884:KJJ720886 KSU720884:KTF720886 LCQ720884:LDB720886 LMM720884:LMX720886 LWI720884:LWT720886 MGE720884:MGP720886 MQA720884:MQL720886 MZW720884:NAH720886 NJS720884:NKD720886 NTO720884:NTZ720886 ODK720884:ODV720886 ONG720884:ONR720886 OXC720884:OXN720886 PGY720884:PHJ720886 PQU720884:PRF720886 QAQ720884:QBB720886 QKM720884:QKX720886 QUI720884:QUT720886 REE720884:REP720886 ROA720884:ROL720886 RXW720884:RYH720886 SHS720884:SID720886 SRO720884:SRZ720886 TBK720884:TBV720886 TLG720884:TLR720886 TVC720884:TVN720886 UEY720884:UFJ720886 UOU720884:UPF720886 UYQ720884:UZB720886 VIM720884:VIX720886 VSI720884:VST720886 WCE720884:WCP720886 WMA720884:WML720886 WVW720884:WWH720886 JK786420:JV786422 TG786420:TR786422 ADC786420:ADN786422 AMY786420:ANJ786422 AWU786420:AXF786422 BGQ786420:BHB786422 BQM786420:BQX786422 CAI786420:CAT786422 CKE786420:CKP786422 CUA786420:CUL786422 DDW786420:DEH786422 DNS786420:DOD786422 DXO786420:DXZ786422 EHK786420:EHV786422 ERG786420:ERR786422 FBC786420:FBN786422 FKY786420:FLJ786422 FUU786420:FVF786422 GEQ786420:GFB786422 GOM786420:GOX786422 GYI786420:GYT786422 HIE786420:HIP786422 HSA786420:HSL786422 IBW786420:ICH786422 ILS786420:IMD786422 IVO786420:IVZ786422 JFK786420:JFV786422 JPG786420:JPR786422 JZC786420:JZN786422 KIY786420:KJJ786422 KSU786420:KTF786422 LCQ786420:LDB786422 LMM786420:LMX786422 LWI786420:LWT786422 MGE786420:MGP786422 MQA786420:MQL786422 MZW786420:NAH786422 NJS786420:NKD786422 NTO786420:NTZ786422 ODK786420:ODV786422 ONG786420:ONR786422 OXC786420:OXN786422 PGY786420:PHJ786422 PQU786420:PRF786422 QAQ786420:QBB786422 QKM786420:QKX786422 QUI786420:QUT786422 REE786420:REP786422 ROA786420:ROL786422 RXW786420:RYH786422 SHS786420:SID786422 SRO786420:SRZ786422 TBK786420:TBV786422 TLG786420:TLR786422 TVC786420:TVN786422 UEY786420:UFJ786422 UOU786420:UPF786422 UYQ786420:UZB786422 VIM786420:VIX786422 VSI786420:VST786422 WCE786420:WCP786422 WMA786420:WML786422 WVW786420:WWH786422 JK851956:JV851958 TG851956:TR851958 ADC851956:ADN851958 AMY851956:ANJ851958 AWU851956:AXF851958 BGQ851956:BHB851958 BQM851956:BQX851958 CAI851956:CAT851958 CKE851956:CKP851958 CUA851956:CUL851958 DDW851956:DEH851958 DNS851956:DOD851958 DXO851956:DXZ851958 EHK851956:EHV851958 ERG851956:ERR851958 FBC851956:FBN851958 FKY851956:FLJ851958 FUU851956:FVF851958 GEQ851956:GFB851958 GOM851956:GOX851958 GYI851956:GYT851958 HIE851956:HIP851958 HSA851956:HSL851958 IBW851956:ICH851958 ILS851956:IMD851958 IVO851956:IVZ851958 JFK851956:JFV851958 JPG851956:JPR851958 JZC851956:JZN851958 KIY851956:KJJ851958 KSU851956:KTF851958 LCQ851956:LDB851958 LMM851956:LMX851958 LWI851956:LWT851958 MGE851956:MGP851958 MQA851956:MQL851958 MZW851956:NAH851958 NJS851956:NKD851958 NTO851956:NTZ851958 ODK851956:ODV851958 ONG851956:ONR851958 OXC851956:OXN851958 PGY851956:PHJ851958 PQU851956:PRF851958 QAQ851956:QBB851958 QKM851956:QKX851958 QUI851956:QUT851958 REE851956:REP851958 ROA851956:ROL851958 RXW851956:RYH851958 SHS851956:SID851958 SRO851956:SRZ851958 TBK851956:TBV851958 TLG851956:TLR851958 TVC851956:TVN851958 UEY851956:UFJ851958 UOU851956:UPF851958 UYQ851956:UZB851958 VIM851956:VIX851958 VSI851956:VST851958 WCE851956:WCP851958 WMA851956:WML851958 WVW851956:WWH851958 JK917492:JV917494 TG917492:TR917494 ADC917492:ADN917494 AMY917492:ANJ917494 AWU917492:AXF917494 BGQ917492:BHB917494 BQM917492:BQX917494 CAI917492:CAT917494 CKE917492:CKP917494 CUA917492:CUL917494 DDW917492:DEH917494 DNS917492:DOD917494 DXO917492:DXZ917494 EHK917492:EHV917494 ERG917492:ERR917494 FBC917492:FBN917494 FKY917492:FLJ917494 FUU917492:FVF917494 GEQ917492:GFB917494 GOM917492:GOX917494 GYI917492:GYT917494 HIE917492:HIP917494 HSA917492:HSL917494 IBW917492:ICH917494 ILS917492:IMD917494 IVO917492:IVZ917494 JFK917492:JFV917494 JPG917492:JPR917494 JZC917492:JZN917494 KIY917492:KJJ917494 KSU917492:KTF917494 LCQ917492:LDB917494 LMM917492:LMX917494 LWI917492:LWT917494 MGE917492:MGP917494 MQA917492:MQL917494 MZW917492:NAH917494 NJS917492:NKD917494 NTO917492:NTZ917494 ODK917492:ODV917494 ONG917492:ONR917494 OXC917492:OXN917494 PGY917492:PHJ917494 PQU917492:PRF917494 QAQ917492:QBB917494 QKM917492:QKX917494 QUI917492:QUT917494 REE917492:REP917494 ROA917492:ROL917494 RXW917492:RYH917494 SHS917492:SID917494 SRO917492:SRZ917494 TBK917492:TBV917494 TLG917492:TLR917494 TVC917492:TVN917494 UEY917492:UFJ917494 UOU917492:UPF917494 UYQ917492:UZB917494 VIM917492:VIX917494 VSI917492:VST917494 WCE917492:WCP917494 WMA917492:WML917494 WVW917492:WWH917494 JK983028:JV983030 TG983028:TR983030 ADC983028:ADN983030 AMY983028:ANJ983030 AWU983028:AXF983030 BGQ983028:BHB983030 BQM983028:BQX983030 CAI983028:CAT983030 CKE983028:CKP983030 CUA983028:CUL983030 DDW983028:DEH983030 DNS983028:DOD983030 DXO983028:DXZ983030 EHK983028:EHV983030 ERG983028:ERR983030 FBC983028:FBN983030 FKY983028:FLJ983030 FUU983028:FVF983030 GEQ983028:GFB983030 GOM983028:GOX983030 GYI983028:GYT983030 HIE983028:HIP983030 HSA983028:HSL983030 IBW983028:ICH983030 ILS983028:IMD983030 IVO983028:IVZ983030 JFK983028:JFV983030 JPG983028:JPR983030 JZC983028:JZN983030 KIY983028:KJJ983030 KSU983028:KTF983030 LCQ983028:LDB983030 LMM983028:LMX983030 LWI983028:LWT983030 MGE983028:MGP983030 MQA983028:MQL983030 MZW983028:NAH983030 NJS983028:NKD983030 NTO983028:NTZ983030 ODK983028:ODV983030 ONG983028:ONR983030 OXC983028:OXN983030 PGY983028:PHJ983030 PQU983028:PRF983030 QAQ983028:QBB983030 QKM983028:QKX983030 QUI983028:QUT983030 REE983028:REP983030 ROA983028:ROL983030 RXW983028:RYH983030 SHS983028:SID983030 SRO983028:SRZ983030 TBK983028:TBV983030 TLG983028:TLR983030 TVC983028:TVN983030 UEY983028:UFJ983030 UOU983028:UPF983030 UYQ983028:UZB983030 VIM983028:VIX983030 VSI983028:VST983030 WCE983028:WCP983030 WMA983028:WML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1E566A69-C888-4A67-A726-B710E738E074}"/>
    <dataValidation type="list" allowBlank="1" showInputMessage="1" showErrorMessage="1" sqref="Y8:Z48" xr:uid="{BF5F63C5-773D-4AB3-9178-E13E6DEBE4A7}">
      <formula1>"文字,数値,日付,時間"</formula1>
    </dataValidation>
    <dataValidation type="list" allowBlank="1" showInputMessage="1" showErrorMessage="1" sqref="AA8:AA48" xr:uid="{C334483D-C339-4084-9BB1-CDD2959DEFE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2">
    <tabColor rgb="FFFFFF00"/>
  </sheetPr>
  <dimension ref="A1:BD56"/>
  <sheetViews>
    <sheetView showGridLines="0" zoomScaleNormal="100" zoomScaleSheetLayoutView="100" workbookViewId="0">
      <selection activeCell="B13" sqref="B13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5.54296875" style="17" bestFit="1" customWidth="1"/>
    <col min="10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資材請求情報（ヘッダ）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50" t="s">
        <v>151</v>
      </c>
      <c r="AV2" s="51"/>
      <c r="AW2" s="51"/>
      <c r="AX2" s="51"/>
      <c r="AY2" s="52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t_shizai_seikyu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145</v>
      </c>
      <c r="C8" s="19"/>
      <c r="D8" s="19"/>
      <c r="E8" s="19"/>
      <c r="F8" s="19"/>
      <c r="G8" s="19"/>
      <c r="H8" s="22"/>
      <c r="I8" s="64" t="str">
        <f>VLOOKUP(B8,項目一覧2!A:B,2,FALSE)</f>
        <v>shizai_seikyu_no</v>
      </c>
      <c r="J8" s="30"/>
      <c r="K8" s="21"/>
      <c r="L8" s="21"/>
      <c r="M8" s="21"/>
      <c r="N8" s="21"/>
      <c r="O8" s="21"/>
      <c r="P8" s="21"/>
      <c r="Q8" s="32"/>
      <c r="R8" s="18" t="s">
        <v>145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1753</v>
      </c>
      <c r="C9" s="39"/>
      <c r="D9" s="39"/>
      <c r="E9" s="39"/>
      <c r="F9" s="39"/>
      <c r="G9" s="39"/>
      <c r="H9" s="40"/>
      <c r="I9" s="64" t="str">
        <f>VLOOKUP(B9,項目一覧2!A:B,2,FALSE)</f>
        <v>seikyu_busho_cd</v>
      </c>
      <c r="J9" s="30"/>
      <c r="K9" s="30"/>
      <c r="L9" s="30"/>
      <c r="M9" s="30"/>
      <c r="N9" s="30"/>
      <c r="O9" s="30"/>
      <c r="P9" s="30"/>
      <c r="Q9" s="31"/>
      <c r="R9" s="41" t="s">
        <v>125</v>
      </c>
      <c r="S9" s="30"/>
      <c r="T9" s="30"/>
      <c r="U9" s="30"/>
      <c r="V9" s="30"/>
      <c r="W9" s="30"/>
      <c r="X9" s="30"/>
      <c r="Y9" s="212" t="s">
        <v>1891</v>
      </c>
      <c r="Z9" s="217"/>
      <c r="AA9" s="214" t="s">
        <v>1892</v>
      </c>
      <c r="AB9" s="215"/>
      <c r="AC9" s="216"/>
      <c r="AD9" s="62">
        <v>4</v>
      </c>
      <c r="AE9" s="27"/>
      <c r="AF9" s="27"/>
      <c r="AG9" s="26" t="s">
        <v>123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s="1" customFormat="1" ht="15" customHeight="1" x14ac:dyDescent="0.3">
      <c r="A10" s="111">
        <f>IF(B10="","",COUNTA($B$8:B10))</f>
        <v>3</v>
      </c>
      <c r="B10" s="126" t="s">
        <v>1754</v>
      </c>
      <c r="C10" s="127"/>
      <c r="D10" s="127"/>
      <c r="E10" s="127"/>
      <c r="F10" s="127"/>
      <c r="G10" s="127"/>
      <c r="H10" s="128"/>
      <c r="I10" s="64" t="str">
        <f>VLOOKUP(B10,項目一覧2!A:B,2,FALSE)</f>
        <v>seikyu_kotei_cd</v>
      </c>
      <c r="J10" s="115"/>
      <c r="K10" s="115"/>
      <c r="L10" s="115"/>
      <c r="M10" s="115"/>
      <c r="N10" s="115"/>
      <c r="O10" s="115"/>
      <c r="P10" s="115"/>
      <c r="Q10" s="129"/>
      <c r="R10" s="7" t="s">
        <v>178</v>
      </c>
      <c r="S10" s="116"/>
      <c r="T10" s="116"/>
      <c r="U10" s="116"/>
      <c r="V10" s="116"/>
      <c r="W10" s="116"/>
      <c r="X10" s="113"/>
      <c r="Y10" s="218" t="s">
        <v>56</v>
      </c>
      <c r="Z10" s="265"/>
      <c r="AA10" s="220" t="s">
        <v>1892</v>
      </c>
      <c r="AB10" s="221"/>
      <c r="AC10" s="222"/>
      <c r="AD10" s="119">
        <v>4</v>
      </c>
      <c r="AE10" s="121"/>
      <c r="AF10" s="121"/>
      <c r="AG10" s="120"/>
      <c r="AH10" s="121"/>
      <c r="AI10" s="120"/>
      <c r="AJ10" s="120"/>
      <c r="AK10" s="120"/>
      <c r="AL10" s="120"/>
      <c r="AM10" s="120"/>
      <c r="AN10" s="120"/>
      <c r="AO10" s="121"/>
      <c r="AP10" s="121"/>
      <c r="AQ10" s="121"/>
      <c r="AR10" s="121"/>
      <c r="AS10" s="122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4"/>
    </row>
    <row r="11" spans="1:56" s="1" customFormat="1" ht="15" customHeight="1" x14ac:dyDescent="0.3">
      <c r="A11" s="111">
        <f>IF(B11="","",COUNTA($B$8:B11))</f>
        <v>4</v>
      </c>
      <c r="B11" s="7" t="s">
        <v>1755</v>
      </c>
      <c r="C11" s="112"/>
      <c r="D11" s="112"/>
      <c r="E11" s="112"/>
      <c r="F11" s="112"/>
      <c r="G11" s="112"/>
      <c r="H11" s="113"/>
      <c r="I11" s="114" t="str">
        <f>VLOOKUP(B11,項目一覧2!A:B,2,FALSE)</f>
        <v>seikyu_tantosya_nm</v>
      </c>
      <c r="J11" s="115"/>
      <c r="K11" s="116"/>
      <c r="L11" s="116"/>
      <c r="M11" s="116"/>
      <c r="N11" s="116"/>
      <c r="O11" s="116"/>
      <c r="P11" s="116"/>
      <c r="Q11" s="117"/>
      <c r="R11" s="7" t="s">
        <v>126</v>
      </c>
      <c r="S11" s="116"/>
      <c r="T11" s="116"/>
      <c r="U11" s="116"/>
      <c r="V11" s="116"/>
      <c r="W11" s="112"/>
      <c r="X11" s="113"/>
      <c r="Y11" s="218" t="s">
        <v>1891</v>
      </c>
      <c r="Z11" s="219"/>
      <c r="AA11" s="220" t="s">
        <v>1892</v>
      </c>
      <c r="AB11" s="221"/>
      <c r="AC11" s="222"/>
      <c r="AD11" s="119">
        <v>30</v>
      </c>
      <c r="AE11" s="120" t="s">
        <v>1893</v>
      </c>
      <c r="AF11" s="120"/>
      <c r="AG11" s="120" t="s">
        <v>123</v>
      </c>
      <c r="AH11" s="120"/>
      <c r="AI11" s="120"/>
      <c r="AJ11" s="120"/>
      <c r="AK11" s="120"/>
      <c r="AL11" s="120"/>
      <c r="AM11" s="120"/>
      <c r="AN11" s="120"/>
      <c r="AO11" s="121"/>
      <c r="AP11" s="121"/>
      <c r="AQ11" s="121"/>
      <c r="AR11" s="121"/>
      <c r="AS11" s="122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4"/>
    </row>
    <row r="12" spans="1:56" s="1" customFormat="1" ht="15" customHeight="1" x14ac:dyDescent="0.3">
      <c r="A12" s="111">
        <f>IF(B12="","",COUNTA($B$8:B12))</f>
        <v>5</v>
      </c>
      <c r="B12" s="7" t="s">
        <v>1756</v>
      </c>
      <c r="C12" s="106"/>
      <c r="D12" s="106"/>
      <c r="E12" s="106"/>
      <c r="F12" s="106"/>
      <c r="G12" s="106"/>
      <c r="H12" s="107"/>
      <c r="I12" s="114" t="str">
        <f>VLOOKUP(B12,項目一覧2!A:B,2,FALSE)</f>
        <v>seikyu_date</v>
      </c>
      <c r="J12" s="125"/>
      <c r="K12" s="116"/>
      <c r="L12" s="116"/>
      <c r="M12" s="116"/>
      <c r="N12" s="116"/>
      <c r="O12" s="116"/>
      <c r="P12" s="116"/>
      <c r="Q12" s="117"/>
      <c r="R12" s="7" t="s">
        <v>127</v>
      </c>
      <c r="S12" s="116"/>
      <c r="T12" s="116"/>
      <c r="U12" s="116"/>
      <c r="V12" s="116"/>
      <c r="W12" s="112"/>
      <c r="X12" s="113"/>
      <c r="Y12" s="218" t="s">
        <v>1894</v>
      </c>
      <c r="Z12" s="219"/>
      <c r="AA12" s="220" t="s">
        <v>1895</v>
      </c>
      <c r="AB12" s="221"/>
      <c r="AC12" s="222"/>
      <c r="AD12" s="119"/>
      <c r="AE12" s="120" t="s">
        <v>1893</v>
      </c>
      <c r="AF12" s="120"/>
      <c r="AG12" s="120" t="s">
        <v>123</v>
      </c>
      <c r="AH12" s="120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6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4"/>
    </row>
    <row r="13" spans="1:56" s="1" customFormat="1" ht="15" customHeight="1" x14ac:dyDescent="0.3">
      <c r="A13" s="111">
        <f>IF(B13="","",COUNTA($B$8:B13))</f>
        <v>6</v>
      </c>
      <c r="B13" s="154" t="s">
        <v>2043</v>
      </c>
      <c r="C13" s="112"/>
      <c r="D13" s="112"/>
      <c r="E13" s="112"/>
      <c r="F13" s="112"/>
      <c r="G13" s="112"/>
      <c r="H13" s="113"/>
      <c r="I13" s="114" t="str">
        <f>VLOOKUP(B13,項目一覧2!A:B,2,FALSE)</f>
        <v>shonin_jokyo_cd</v>
      </c>
      <c r="J13" s="115"/>
      <c r="K13" s="116"/>
      <c r="L13" s="116"/>
      <c r="M13" s="116"/>
      <c r="N13" s="116"/>
      <c r="O13" s="116"/>
      <c r="P13" s="116"/>
      <c r="Q13" s="117"/>
      <c r="R13" s="7" t="s">
        <v>2043</v>
      </c>
      <c r="S13" s="116"/>
      <c r="T13" s="116"/>
      <c r="U13" s="116"/>
      <c r="V13" s="116"/>
      <c r="W13" s="112"/>
      <c r="X13" s="113"/>
      <c r="Y13" s="218" t="s">
        <v>1891</v>
      </c>
      <c r="Z13" s="219"/>
      <c r="AA13" s="220" t="s">
        <v>1892</v>
      </c>
      <c r="AB13" s="221"/>
      <c r="AC13" s="222"/>
      <c r="AD13" s="119">
        <v>30</v>
      </c>
      <c r="AE13" s="120" t="s">
        <v>1893</v>
      </c>
      <c r="AF13" s="120"/>
      <c r="AG13" s="120" t="s">
        <v>123</v>
      </c>
      <c r="AH13" s="120"/>
      <c r="AI13" s="120"/>
      <c r="AJ13" s="120"/>
      <c r="AK13" s="120"/>
      <c r="AL13" s="120"/>
      <c r="AM13" s="120"/>
      <c r="AN13" s="120"/>
      <c r="AO13" s="121"/>
      <c r="AP13" s="121"/>
      <c r="AQ13" s="121"/>
      <c r="AR13" s="121"/>
      <c r="AS13" s="126" t="s">
        <v>1983</v>
      </c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4"/>
    </row>
    <row r="14" spans="1:56" ht="15" customHeight="1" x14ac:dyDescent="0.3">
      <c r="A14" s="111">
        <f>IF(B14="","",COUNTA($B$8:B14))</f>
        <v>7</v>
      </c>
      <c r="B14" s="18" t="s">
        <v>138</v>
      </c>
      <c r="C14" s="39"/>
      <c r="D14" s="39"/>
      <c r="E14" s="39"/>
      <c r="F14" s="39"/>
      <c r="G14" s="39"/>
      <c r="H14" s="39"/>
      <c r="I14" s="114" t="str">
        <f>VLOOKUP(B14,項目一覧2!A:B,2,FALSE)</f>
        <v>shonin_order</v>
      </c>
      <c r="J14" s="30"/>
      <c r="K14" s="30"/>
      <c r="L14" s="30"/>
      <c r="M14" s="30"/>
      <c r="N14" s="30"/>
      <c r="O14" s="30"/>
      <c r="P14" s="30"/>
      <c r="Q14" s="30"/>
      <c r="R14" s="18" t="s">
        <v>1625</v>
      </c>
      <c r="S14" s="39"/>
      <c r="T14" s="39"/>
      <c r="U14" s="39"/>
      <c r="V14" s="39"/>
      <c r="W14" s="39"/>
      <c r="X14" s="39"/>
      <c r="Y14" s="212" t="s">
        <v>108</v>
      </c>
      <c r="Z14" s="213"/>
      <c r="AA14" s="23" t="s">
        <v>110</v>
      </c>
      <c r="AB14" s="24"/>
      <c r="AC14" s="35"/>
      <c r="AD14" s="25">
        <v>2</v>
      </c>
      <c r="AE14" s="27"/>
      <c r="AF14" s="26"/>
      <c r="AG14" s="26" t="s">
        <v>85</v>
      </c>
      <c r="AH14" s="27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s="1" customFormat="1" ht="15" customHeight="1" x14ac:dyDescent="0.3">
      <c r="A15" s="111">
        <f>IF(B15="","",COUNTA($B$8:B15))</f>
        <v>8</v>
      </c>
      <c r="B15" s="7" t="s">
        <v>1759</v>
      </c>
      <c r="C15" s="127"/>
      <c r="D15" s="127"/>
      <c r="E15" s="127"/>
      <c r="F15" s="127"/>
      <c r="G15" s="127"/>
      <c r="H15" s="128"/>
      <c r="I15" s="114" t="str">
        <f>VLOOKUP(B15,項目一覧2!A:B,2,FALSE)</f>
        <v>shinsei_riyu</v>
      </c>
      <c r="J15" s="115"/>
      <c r="K15" s="115"/>
      <c r="L15" s="115"/>
      <c r="M15" s="115"/>
      <c r="N15" s="115"/>
      <c r="O15" s="115"/>
      <c r="P15" s="115"/>
      <c r="Q15" s="129"/>
      <c r="R15" s="7" t="s">
        <v>128</v>
      </c>
      <c r="S15" s="115"/>
      <c r="T15" s="115"/>
      <c r="U15" s="115"/>
      <c r="V15" s="115"/>
      <c r="W15" s="115"/>
      <c r="X15" s="115"/>
      <c r="Y15" s="218" t="s">
        <v>1891</v>
      </c>
      <c r="Z15" s="219"/>
      <c r="AA15" s="220" t="s">
        <v>1892</v>
      </c>
      <c r="AB15" s="221"/>
      <c r="AC15" s="222"/>
      <c r="AD15" s="130">
        <v>100</v>
      </c>
      <c r="AE15" s="121"/>
      <c r="AF15" s="121"/>
      <c r="AG15" s="120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6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2"/>
    </row>
    <row r="16" spans="1:56" s="1" customFormat="1" ht="15" customHeight="1" x14ac:dyDescent="0.3">
      <c r="A16" s="111">
        <f>IF(B16="","",COUNTA($B$8:B16))</f>
        <v>9</v>
      </c>
      <c r="B16" s="7" t="s">
        <v>1974</v>
      </c>
      <c r="C16" s="127"/>
      <c r="D16" s="127"/>
      <c r="E16" s="127"/>
      <c r="F16" s="127"/>
      <c r="G16" s="127"/>
      <c r="H16" s="128"/>
      <c r="I16" s="114" t="str">
        <f>VLOOKUP(B16,項目一覧2!A:B,2,FALSE)</f>
        <v>data_kbn</v>
      </c>
      <c r="J16" s="115"/>
      <c r="K16" s="115"/>
      <c r="L16" s="115"/>
      <c r="M16" s="115"/>
      <c r="N16" s="115"/>
      <c r="O16" s="115"/>
      <c r="P16" s="115"/>
      <c r="Q16" s="129"/>
      <c r="R16" s="7" t="s">
        <v>1974</v>
      </c>
      <c r="S16" s="115"/>
      <c r="T16" s="115"/>
      <c r="U16" s="115"/>
      <c r="V16" s="115"/>
      <c r="W16" s="115"/>
      <c r="X16" s="115"/>
      <c r="Y16" s="218" t="s">
        <v>56</v>
      </c>
      <c r="Z16" s="219"/>
      <c r="AA16" s="220" t="s">
        <v>1752</v>
      </c>
      <c r="AB16" s="221"/>
      <c r="AC16" s="222"/>
      <c r="AD16" s="130">
        <v>1</v>
      </c>
      <c r="AE16" s="121"/>
      <c r="AF16" s="121"/>
      <c r="AG16" s="120" t="s">
        <v>123</v>
      </c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6" t="s">
        <v>2019</v>
      </c>
      <c r="AT16" s="131"/>
      <c r="AU16" s="131"/>
      <c r="AV16" s="131"/>
      <c r="AW16" s="131"/>
      <c r="AX16" s="131"/>
      <c r="AY16" s="131"/>
      <c r="AZ16" s="131"/>
      <c r="BA16" s="131"/>
      <c r="BB16" s="131"/>
      <c r="BC16" s="131"/>
      <c r="BD16" s="132"/>
    </row>
    <row r="17" spans="1:56" s="1" customFormat="1" ht="15" customHeight="1" x14ac:dyDescent="0.3">
      <c r="A17" s="111">
        <f>IF(B17="","",COUNTA($B$8:B17))</f>
        <v>10</v>
      </c>
      <c r="B17" s="7" t="s">
        <v>142</v>
      </c>
      <c r="C17" s="112"/>
      <c r="D17" s="112"/>
      <c r="E17" s="112"/>
      <c r="F17" s="112"/>
      <c r="G17" s="112"/>
      <c r="H17" s="113"/>
      <c r="I17" s="114" t="str">
        <f>VLOOKUP(B17,項目一覧2!A:B,2,FALSE)</f>
        <v>shukan_busho_cd</v>
      </c>
      <c r="J17" s="115"/>
      <c r="K17" s="116"/>
      <c r="L17" s="116"/>
      <c r="M17" s="116"/>
      <c r="N17" s="116"/>
      <c r="O17" s="116"/>
      <c r="P17" s="116"/>
      <c r="Q17" s="117"/>
      <c r="R17" s="7" t="s">
        <v>144</v>
      </c>
      <c r="S17" s="116"/>
      <c r="T17" s="116"/>
      <c r="U17" s="116"/>
      <c r="V17" s="116"/>
      <c r="W17" s="116"/>
      <c r="X17" s="113"/>
      <c r="Y17" s="218" t="s">
        <v>56</v>
      </c>
      <c r="Z17" s="265"/>
      <c r="AA17" s="220" t="s">
        <v>1892</v>
      </c>
      <c r="AB17" s="221"/>
      <c r="AC17" s="222"/>
      <c r="AD17" s="119">
        <v>4</v>
      </c>
      <c r="AE17" s="120" t="s">
        <v>1893</v>
      </c>
      <c r="AF17" s="120"/>
      <c r="AG17" s="120"/>
      <c r="AH17" s="120"/>
      <c r="AI17" s="120"/>
      <c r="AJ17" s="120"/>
      <c r="AK17" s="120"/>
      <c r="AL17" s="120"/>
      <c r="AM17" s="120"/>
      <c r="AN17" s="120"/>
      <c r="AO17" s="121"/>
      <c r="AP17" s="121"/>
      <c r="AQ17" s="121"/>
      <c r="AR17" s="121"/>
      <c r="AS17" s="122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/>
      <c r="BD17" s="132"/>
    </row>
    <row r="18" spans="1:56" s="1" customFormat="1" ht="15" customHeight="1" x14ac:dyDescent="0.3">
      <c r="A18" s="134">
        <f>IF(B18="","",COUNTA($B$8:B18))</f>
        <v>11</v>
      </c>
      <c r="B18" s="7" t="s">
        <v>387</v>
      </c>
      <c r="C18" s="112"/>
      <c r="D18" s="112"/>
      <c r="E18" s="112"/>
      <c r="F18" s="112"/>
      <c r="G18" s="112"/>
      <c r="H18" s="113"/>
      <c r="I18" s="114" t="str">
        <f>VLOOKUP(B18,項目一覧2!A:B,2,FALSE)</f>
        <v>shukan_kotei_cd</v>
      </c>
      <c r="J18" s="115"/>
      <c r="K18" s="116"/>
      <c r="L18" s="116"/>
      <c r="M18" s="116"/>
      <c r="N18" s="116"/>
      <c r="O18" s="116"/>
      <c r="P18" s="116"/>
      <c r="Q18" s="117"/>
      <c r="R18" s="7" t="s">
        <v>143</v>
      </c>
      <c r="S18" s="116"/>
      <c r="T18" s="116"/>
      <c r="U18" s="116"/>
      <c r="V18" s="116"/>
      <c r="W18" s="116"/>
      <c r="X18" s="113"/>
      <c r="Y18" s="218" t="s">
        <v>56</v>
      </c>
      <c r="Z18" s="265"/>
      <c r="AA18" s="220" t="s">
        <v>1892</v>
      </c>
      <c r="AB18" s="221"/>
      <c r="AC18" s="222"/>
      <c r="AD18" s="119">
        <v>4</v>
      </c>
      <c r="AE18" s="120" t="s">
        <v>1893</v>
      </c>
      <c r="AF18" s="120"/>
      <c r="AG18" s="120"/>
      <c r="AH18" s="120"/>
      <c r="AI18" s="120"/>
      <c r="AJ18" s="120"/>
      <c r="AK18" s="120"/>
      <c r="AL18" s="120"/>
      <c r="AM18" s="120"/>
      <c r="AN18" s="120"/>
      <c r="AO18" s="121"/>
      <c r="AP18" s="121"/>
      <c r="AQ18" s="121"/>
      <c r="AR18" s="121"/>
      <c r="AS18" s="122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/>
      <c r="BD18" s="132"/>
    </row>
    <row r="19" spans="1:56" s="1" customFormat="1" ht="15" customHeight="1" x14ac:dyDescent="0.3">
      <c r="A19" s="111">
        <f>IF(B19="","",COUNTA($B$8:B19))</f>
        <v>12</v>
      </c>
      <c r="B19" s="7" t="s">
        <v>1762</v>
      </c>
      <c r="C19" s="112"/>
      <c r="D19" s="112"/>
      <c r="E19" s="112"/>
      <c r="F19" s="112"/>
      <c r="G19" s="112"/>
      <c r="H19" s="113"/>
      <c r="I19" s="114" t="str">
        <f>VLOOKUP(B19,項目一覧2!A:B,2,FALSE)</f>
        <v>insert_func_cd</v>
      </c>
      <c r="J19" s="133"/>
      <c r="K19" s="116"/>
      <c r="L19" s="116"/>
      <c r="M19" s="116"/>
      <c r="N19" s="116"/>
      <c r="O19" s="116"/>
      <c r="P19" s="116"/>
      <c r="Q19" s="117"/>
      <c r="R19" s="7" t="s">
        <v>118</v>
      </c>
      <c r="S19" s="116"/>
      <c r="T19" s="118"/>
      <c r="U19" s="116"/>
      <c r="V19" s="116"/>
      <c r="W19" s="116"/>
      <c r="X19" s="113"/>
      <c r="Y19" s="218" t="s">
        <v>1891</v>
      </c>
      <c r="Z19" s="219"/>
      <c r="AA19" s="220" t="s">
        <v>1892</v>
      </c>
      <c r="AB19" s="221"/>
      <c r="AC19" s="222"/>
      <c r="AD19" s="119">
        <v>10</v>
      </c>
      <c r="AE19" s="121"/>
      <c r="AF19" s="121"/>
      <c r="AG19" s="120" t="s">
        <v>123</v>
      </c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6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4"/>
    </row>
    <row r="20" spans="1:56" ht="15" customHeight="1" x14ac:dyDescent="0.3">
      <c r="A20" s="44">
        <f>IF(B20="","",COUNTA($B$8:B20))</f>
        <v>13</v>
      </c>
      <c r="B20" s="18" t="s">
        <v>1896</v>
      </c>
      <c r="C20" s="19"/>
      <c r="D20" s="19"/>
      <c r="E20" s="19"/>
      <c r="F20" s="19"/>
      <c r="G20" s="19"/>
      <c r="H20" s="22"/>
      <c r="I20" s="64" t="str">
        <f>VLOOKUP(B20,項目一覧2!A:B,2,FALSE)</f>
        <v>insert_user_cd</v>
      </c>
      <c r="J20" s="80"/>
      <c r="K20" s="21"/>
      <c r="L20" s="21"/>
      <c r="M20" s="21"/>
      <c r="N20" s="21"/>
      <c r="O20" s="21"/>
      <c r="P20" s="21"/>
      <c r="Q20" s="32"/>
      <c r="R20" s="18" t="s">
        <v>114</v>
      </c>
      <c r="S20" s="21"/>
      <c r="T20" s="33"/>
      <c r="U20" s="21"/>
      <c r="V20" s="21"/>
      <c r="W20" s="21"/>
      <c r="X20" s="22"/>
      <c r="Y20" s="212" t="s">
        <v>1891</v>
      </c>
      <c r="Z20" s="217"/>
      <c r="AA20" s="214" t="s">
        <v>1892</v>
      </c>
      <c r="AB20" s="215"/>
      <c r="AC20" s="216"/>
      <c r="AD20" s="25">
        <v>10</v>
      </c>
      <c r="AE20" s="27"/>
      <c r="AF20" s="27"/>
      <c r="AG20" s="26" t="s">
        <v>123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18" t="s">
        <v>1897</v>
      </c>
      <c r="C21" s="19"/>
      <c r="D21" s="19"/>
      <c r="E21" s="19"/>
      <c r="F21" s="19"/>
      <c r="G21" s="19"/>
      <c r="H21" s="22"/>
      <c r="I21" s="64" t="str">
        <f>VLOOKUP(B21,項目一覧2!A:B,2,FALSE)</f>
        <v>insert_datetime</v>
      </c>
      <c r="J21" s="80"/>
      <c r="K21" s="21"/>
      <c r="L21" s="21"/>
      <c r="M21" s="21"/>
      <c r="N21" s="21"/>
      <c r="O21" s="21"/>
      <c r="P21" s="21"/>
      <c r="Q21" s="32"/>
      <c r="R21" s="18" t="s">
        <v>115</v>
      </c>
      <c r="S21" s="21"/>
      <c r="T21" s="33"/>
      <c r="U21" s="21"/>
      <c r="V21" s="21"/>
      <c r="W21" s="21"/>
      <c r="X21" s="22"/>
      <c r="Y21" s="212" t="s">
        <v>1894</v>
      </c>
      <c r="Z21" s="217"/>
      <c r="AA21" s="214" t="s">
        <v>1895</v>
      </c>
      <c r="AB21" s="215"/>
      <c r="AC21" s="216"/>
      <c r="AD21" s="45"/>
      <c r="AE21" s="27"/>
      <c r="AF21" s="27"/>
      <c r="AG21" s="26" t="s">
        <v>123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>
        <f>IF(B22="","",COUNTA($B$8:B22))</f>
        <v>15</v>
      </c>
      <c r="B22" s="97" t="s">
        <v>1898</v>
      </c>
      <c r="C22" s="19"/>
      <c r="D22" s="19"/>
      <c r="E22" s="19"/>
      <c r="F22" s="19"/>
      <c r="G22" s="19"/>
      <c r="H22" s="22"/>
      <c r="I22" s="64" t="str">
        <f>VLOOKUP(B22,項目一覧2!A:B,2,FALSE)</f>
        <v>update_func_cd</v>
      </c>
      <c r="J22" s="80"/>
      <c r="K22" s="21"/>
      <c r="L22" s="21"/>
      <c r="M22" s="21"/>
      <c r="N22" s="21"/>
      <c r="O22" s="21"/>
      <c r="P22" s="21"/>
      <c r="Q22" s="32"/>
      <c r="R22" s="18" t="s">
        <v>119</v>
      </c>
      <c r="S22" s="21"/>
      <c r="T22" s="33"/>
      <c r="U22" s="21"/>
      <c r="V22" s="21"/>
      <c r="W22" s="21"/>
      <c r="X22" s="22"/>
      <c r="Y22" s="212" t="s">
        <v>1891</v>
      </c>
      <c r="Z22" s="217"/>
      <c r="AA22" s="214" t="s">
        <v>1892</v>
      </c>
      <c r="AB22" s="215"/>
      <c r="AC22" s="216"/>
      <c r="AD22" s="25">
        <v>10</v>
      </c>
      <c r="AE22" s="27"/>
      <c r="AF22" s="27"/>
      <c r="AG22" s="26" t="s">
        <v>123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>
        <f>IF(B23="","",COUNTA($B$8:B23))</f>
        <v>16</v>
      </c>
      <c r="B23" s="18" t="s">
        <v>1899</v>
      </c>
      <c r="C23" s="19"/>
      <c r="D23" s="19"/>
      <c r="E23" s="19"/>
      <c r="F23" s="19"/>
      <c r="G23" s="19"/>
      <c r="H23" s="22"/>
      <c r="I23" s="64" t="str">
        <f>VLOOKUP(B23,項目一覧2!A:B,2,FALSE)</f>
        <v>update_user_cd</v>
      </c>
      <c r="J23" s="80"/>
      <c r="K23" s="21"/>
      <c r="L23" s="21"/>
      <c r="M23" s="21"/>
      <c r="N23" s="21"/>
      <c r="O23" s="21"/>
      <c r="P23" s="21"/>
      <c r="Q23" s="32"/>
      <c r="R23" s="18" t="s">
        <v>116</v>
      </c>
      <c r="S23" s="21"/>
      <c r="T23" s="33"/>
      <c r="U23" s="21"/>
      <c r="V23" s="21"/>
      <c r="W23" s="21"/>
      <c r="X23" s="22"/>
      <c r="Y23" s="212" t="s">
        <v>1891</v>
      </c>
      <c r="Z23" s="217"/>
      <c r="AA23" s="214" t="s">
        <v>1892</v>
      </c>
      <c r="AB23" s="215"/>
      <c r="AC23" s="216"/>
      <c r="AD23" s="45">
        <v>10</v>
      </c>
      <c r="AE23" s="27"/>
      <c r="AF23" s="27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>
        <f>IF(B24="","",COUNTA($B$8:B24))</f>
        <v>17</v>
      </c>
      <c r="B24" s="18" t="s">
        <v>1900</v>
      </c>
      <c r="C24" s="19"/>
      <c r="D24" s="19"/>
      <c r="E24" s="19"/>
      <c r="F24" s="19"/>
      <c r="G24" s="19"/>
      <c r="H24" s="22"/>
      <c r="I24" s="64" t="str">
        <f>VLOOKUP(B24,項目一覧2!A:B,2,FALSE)</f>
        <v>update_datetime</v>
      </c>
      <c r="J24" s="80"/>
      <c r="K24" s="21"/>
      <c r="L24" s="21"/>
      <c r="M24" s="21"/>
      <c r="N24" s="21"/>
      <c r="O24" s="21"/>
      <c r="P24" s="21"/>
      <c r="Q24" s="32"/>
      <c r="R24" s="18" t="s">
        <v>117</v>
      </c>
      <c r="S24" s="21"/>
      <c r="T24" s="33"/>
      <c r="U24" s="21"/>
      <c r="V24" s="21"/>
      <c r="W24" s="21"/>
      <c r="X24" s="22"/>
      <c r="Y24" s="212" t="s">
        <v>1894</v>
      </c>
      <c r="Z24" s="217"/>
      <c r="AA24" s="214" t="s">
        <v>1895</v>
      </c>
      <c r="AB24" s="215"/>
      <c r="AC24" s="216"/>
      <c r="AD24" s="45"/>
      <c r="AE24" s="27"/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IF(B25="","",COUNTA($B$8:B25))</f>
        <v/>
      </c>
      <c r="B25" s="41"/>
      <c r="C25" s="39"/>
      <c r="D25" s="39"/>
      <c r="E25" s="39"/>
      <c r="F25" s="39"/>
      <c r="G25" s="39"/>
      <c r="H25" s="40"/>
      <c r="I25" s="64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212"/>
      <c r="Z25" s="213"/>
      <c r="AA25" s="214"/>
      <c r="AB25" s="215"/>
      <c r="AC25" s="216"/>
      <c r="AD25" s="43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IF(B26="","",COUNTA($B$8:B26))</f>
        <v/>
      </c>
      <c r="B26" s="41"/>
      <c r="C26" s="39"/>
      <c r="D26" s="39"/>
      <c r="E26" s="39"/>
      <c r="F26" s="39"/>
      <c r="G26" s="39"/>
      <c r="H26" s="40"/>
      <c r="I26" s="64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212"/>
      <c r="Z26" s="213"/>
      <c r="AA26" s="214"/>
      <c r="AB26" s="215"/>
      <c r="AC26" s="216"/>
      <c r="AD26" s="43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IF(B27="","",COUNTA($B$8:B27))</f>
        <v/>
      </c>
      <c r="B27" s="41"/>
      <c r="C27" s="39"/>
      <c r="D27" s="39"/>
      <c r="E27" s="39"/>
      <c r="F27" s="39"/>
      <c r="G27" s="39"/>
      <c r="H27" s="40"/>
      <c r="I27" s="64"/>
      <c r="J27" s="30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212"/>
      <c r="Z27" s="213"/>
      <c r="AA27" s="214"/>
      <c r="AB27" s="215"/>
      <c r="AC27" s="216"/>
      <c r="AD27" s="43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IF(B28="","",COUNTA($B$8:B28))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41"/>
      <c r="C29" s="39"/>
      <c r="D29" s="39"/>
      <c r="E29" s="39"/>
      <c r="F29" s="39"/>
      <c r="G29" s="39"/>
      <c r="H29" s="40"/>
      <c r="I29" s="64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43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20"/>
      <c r="C30" s="19"/>
      <c r="D30" s="19"/>
      <c r="E30" s="19"/>
      <c r="F30" s="19"/>
      <c r="G30" s="19"/>
      <c r="H30" s="22"/>
      <c r="I30" s="63"/>
      <c r="J30" s="33"/>
      <c r="K30" s="21"/>
      <c r="L30" s="21"/>
      <c r="M30" s="21"/>
      <c r="N30" s="21"/>
      <c r="O30" s="21"/>
      <c r="P30" s="21"/>
      <c r="Q30" s="32"/>
      <c r="R30" s="21"/>
      <c r="S30" s="21"/>
      <c r="T30" s="33"/>
      <c r="U30" s="21"/>
      <c r="V30" s="21"/>
      <c r="W30" s="21"/>
      <c r="X30" s="22"/>
      <c r="Y30" s="212"/>
      <c r="Z30" s="213"/>
      <c r="AA30" s="214"/>
      <c r="AB30" s="215"/>
      <c r="AC30" s="216"/>
      <c r="AD30" s="25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20"/>
      <c r="C31" s="19"/>
      <c r="D31" s="19"/>
      <c r="E31" s="19"/>
      <c r="F31" s="19"/>
      <c r="G31" s="19"/>
      <c r="H31" s="22"/>
      <c r="I31" s="63"/>
      <c r="J31" s="33"/>
      <c r="K31" s="21"/>
      <c r="L31" s="21"/>
      <c r="M31" s="21"/>
      <c r="N31" s="21"/>
      <c r="O31" s="21"/>
      <c r="P31" s="21"/>
      <c r="Q31" s="32"/>
      <c r="R31" s="21"/>
      <c r="S31" s="21"/>
      <c r="T31" s="33"/>
      <c r="U31" s="21"/>
      <c r="V31" s="21"/>
      <c r="W31" s="21"/>
      <c r="X31" s="22"/>
      <c r="Y31" s="212"/>
      <c r="Z31" s="213"/>
      <c r="AA31" s="214"/>
      <c r="AB31" s="215"/>
      <c r="AC31" s="216"/>
      <c r="AD31" s="25"/>
      <c r="AE31" s="36"/>
      <c r="AF31" s="36"/>
      <c r="AG31" s="36"/>
      <c r="AH31" s="36"/>
      <c r="AI31" s="3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63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212"/>
      <c r="Z32" s="213"/>
      <c r="AA32" s="214"/>
      <c r="AB32" s="215"/>
      <c r="AC32" s="216"/>
      <c r="AD32" s="28"/>
      <c r="AE32" s="26"/>
      <c r="AF32" s="26"/>
      <c r="AG32" s="26"/>
      <c r="AH32" s="26"/>
      <c r="AI32" s="26"/>
      <c r="AJ32" s="26"/>
      <c r="AK32" s="26"/>
      <c r="AL32" s="36"/>
      <c r="AM32" s="36"/>
      <c r="AN32" s="36"/>
      <c r="AO32" s="37"/>
      <c r="AP32" s="37"/>
      <c r="AQ32" s="37"/>
      <c r="AR32" s="37"/>
      <c r="AS32" s="38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IF(B33="","",COUNTA($B$8:B33))</f>
        <v/>
      </c>
      <c r="B33" s="20"/>
      <c r="C33" s="19"/>
      <c r="D33" s="19"/>
      <c r="E33" s="19"/>
      <c r="F33" s="19"/>
      <c r="G33" s="19"/>
      <c r="H33" s="22"/>
      <c r="I33" s="63"/>
      <c r="J33" s="33"/>
      <c r="K33" s="21"/>
      <c r="L33" s="21"/>
      <c r="M33" s="21"/>
      <c r="N33" s="21"/>
      <c r="O33" s="21"/>
      <c r="P33" s="21"/>
      <c r="Q33" s="32"/>
      <c r="R33" s="21"/>
      <c r="S33" s="21"/>
      <c r="T33" s="33"/>
      <c r="U33" s="21"/>
      <c r="V33" s="21"/>
      <c r="W33" s="21"/>
      <c r="X33" s="22"/>
      <c r="Y33" s="212"/>
      <c r="Z33" s="213"/>
      <c r="AA33" s="214"/>
      <c r="AB33" s="215"/>
      <c r="AC33" s="216"/>
      <c r="AD33" s="25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3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2"/>
      <c r="Z34" s="213"/>
      <c r="AA34" s="214"/>
      <c r="AB34" s="215"/>
      <c r="AC34" s="216"/>
      <c r="AD34" s="28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8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3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12"/>
      <c r="Z35" s="213"/>
      <c r="AA35" s="214"/>
      <c r="AB35" s="215"/>
      <c r="AC35" s="216"/>
      <c r="AD35" s="2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9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41"/>
      <c r="C36" s="39"/>
      <c r="D36" s="39"/>
      <c r="E36" s="39"/>
      <c r="F36" s="39"/>
      <c r="G36" s="39"/>
      <c r="H36" s="40"/>
      <c r="I36" s="64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212"/>
      <c r="Z36" s="213"/>
      <c r="AA36" s="214"/>
      <c r="AB36" s="215"/>
      <c r="AC36" s="216"/>
      <c r="AD36" s="43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IF(B37="","",COUNTA($B$8:B37))</f>
        <v/>
      </c>
      <c r="B37" s="41"/>
      <c r="C37" s="39"/>
      <c r="D37" s="39"/>
      <c r="E37" s="39"/>
      <c r="F37" s="39"/>
      <c r="G37" s="39"/>
      <c r="H37" s="40"/>
      <c r="I37" s="64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2"/>
      <c r="Z37" s="213"/>
      <c r="AA37" s="214"/>
      <c r="AB37" s="215"/>
      <c r="AC37" s="216"/>
      <c r="AD37" s="43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IF(B38="","",COUNTA($B$8:B38))</f>
        <v/>
      </c>
      <c r="B38" s="41"/>
      <c r="C38" s="39"/>
      <c r="D38" s="39"/>
      <c r="E38" s="39"/>
      <c r="F38" s="39"/>
      <c r="G38" s="39"/>
      <c r="H38" s="40"/>
      <c r="I38" s="64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2"/>
      <c r="Z38" s="213"/>
      <c r="AA38" s="214"/>
      <c r="AB38" s="215"/>
      <c r="AC38" s="216"/>
      <c r="AD38" s="43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IF(B39="","",COUNTA($B$8:B39))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IF(B40="","",COUNTA($B$8:B40))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IF(B41="","",COUNTA($B$8:B41))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IF(B42="","",COUNTA($B$8:B42))</f>
        <v/>
      </c>
      <c r="B42" s="41"/>
      <c r="C42" s="39"/>
      <c r="D42" s="39"/>
      <c r="E42" s="39"/>
      <c r="F42" s="39"/>
      <c r="G42" s="39"/>
      <c r="H42" s="40"/>
      <c r="I42" s="64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43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IF(B43="","",COUNTA($B$8:B43))</f>
        <v/>
      </c>
      <c r="B43" s="41"/>
      <c r="C43" s="39"/>
      <c r="D43" s="39"/>
      <c r="E43" s="39"/>
      <c r="F43" s="39"/>
      <c r="G43" s="39"/>
      <c r="H43" s="40"/>
      <c r="I43" s="64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43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1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 t="str">
        <f>IF(B44="","",COUNTA($B$8:B44))</f>
        <v/>
      </c>
      <c r="B44" s="29"/>
      <c r="C44" s="39"/>
      <c r="D44" s="39"/>
      <c r="E44" s="39"/>
      <c r="F44" s="39"/>
      <c r="G44" s="39"/>
      <c r="H44" s="40"/>
      <c r="I44" s="64"/>
      <c r="J44" s="21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28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9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IF(B45="","",COUNTA($B$8:B45))</f>
        <v/>
      </c>
      <c r="B45" s="41"/>
      <c r="C45" s="39"/>
      <c r="D45" s="39"/>
      <c r="E45" s="39"/>
      <c r="F45" s="39"/>
      <c r="G45" s="39"/>
      <c r="H45" s="40"/>
      <c r="I45" s="64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2"/>
      <c r="Z45" s="213"/>
      <c r="AA45" s="214"/>
      <c r="AB45" s="215"/>
      <c r="AC45" s="216"/>
      <c r="AD45" s="43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IF(B46="","",COUNTA($B$8:B46))</f>
        <v/>
      </c>
      <c r="B46" s="41"/>
      <c r="C46" s="39"/>
      <c r="D46" s="39"/>
      <c r="E46" s="39"/>
      <c r="F46" s="39"/>
      <c r="G46" s="39"/>
      <c r="H46" s="40"/>
      <c r="I46" s="64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2"/>
      <c r="Z46" s="213"/>
      <c r="AA46" s="214"/>
      <c r="AB46" s="215"/>
      <c r="AC46" s="216"/>
      <c r="AD46" s="43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IF(B47="","",COUNTA($B$8:B47))</f>
        <v/>
      </c>
      <c r="B47" s="41"/>
      <c r="C47" s="39"/>
      <c r="D47" s="39"/>
      <c r="E47" s="39"/>
      <c r="F47" s="39"/>
      <c r="G47" s="39"/>
      <c r="H47" s="40"/>
      <c r="I47" s="64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2"/>
      <c r="Z47" s="213"/>
      <c r="AA47" s="214"/>
      <c r="AB47" s="215"/>
      <c r="AC47" s="216"/>
      <c r="AD47" s="43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IF(B48="","",COUNTA($B$8:B48))</f>
        <v/>
      </c>
      <c r="B48" s="41"/>
      <c r="C48" s="39"/>
      <c r="D48" s="39"/>
      <c r="E48" s="39"/>
      <c r="F48" s="39"/>
      <c r="G48" s="39"/>
      <c r="H48" s="40"/>
      <c r="I48" s="64"/>
      <c r="J48" s="30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2"/>
      <c r="Z48" s="213"/>
      <c r="AA48" s="214"/>
      <c r="AB48" s="215"/>
      <c r="AC48" s="216"/>
      <c r="AD48" s="43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41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41"/>
      <c r="C49" s="39"/>
      <c r="D49" s="39"/>
      <c r="E49" s="39"/>
      <c r="F49" s="39"/>
      <c r="G49" s="39"/>
      <c r="H49" s="40"/>
      <c r="I49" s="64"/>
      <c r="J49" s="30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212"/>
      <c r="Z49" s="213"/>
      <c r="AA49" s="214"/>
      <c r="AB49" s="215"/>
      <c r="AC49" s="216"/>
      <c r="AD49" s="43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1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4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212"/>
      <c r="Z50" s="213"/>
      <c r="AA50" s="214"/>
      <c r="AB50" s="215"/>
      <c r="AC50" s="216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  <row r="51" spans="1:56" ht="15" customHeight="1" x14ac:dyDescent="0.3">
      <c r="A51" s="44" t="str">
        <f>IF(B51="","",COUNTA($B$8:B51))</f>
        <v/>
      </c>
      <c r="B51" s="29"/>
      <c r="C51" s="39"/>
      <c r="D51" s="39"/>
      <c r="E51" s="39"/>
      <c r="F51" s="39"/>
      <c r="G51" s="39"/>
      <c r="H51" s="40"/>
      <c r="I51" s="64"/>
      <c r="J51" s="21"/>
      <c r="K51" s="30"/>
      <c r="L51" s="30"/>
      <c r="M51" s="30"/>
      <c r="N51" s="30"/>
      <c r="O51" s="30"/>
      <c r="P51" s="30"/>
      <c r="Q51" s="31"/>
      <c r="R51" s="30"/>
      <c r="S51" s="30"/>
      <c r="T51" s="30"/>
      <c r="U51" s="30"/>
      <c r="V51" s="30"/>
      <c r="W51" s="30"/>
      <c r="X51" s="30"/>
      <c r="Y51" s="212"/>
      <c r="Z51" s="213"/>
      <c r="AA51" s="214"/>
      <c r="AB51" s="215"/>
      <c r="AC51" s="216"/>
      <c r="AD51" s="28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60"/>
    </row>
    <row r="52" spans="1:56" ht="15" customHeight="1" x14ac:dyDescent="0.3">
      <c r="A52" s="44" t="str">
        <f>IF(B52="","",COUNTA($B$8:B52))</f>
        <v/>
      </c>
      <c r="B52" s="29"/>
      <c r="C52" s="39"/>
      <c r="D52" s="39"/>
      <c r="E52" s="39"/>
      <c r="F52" s="39"/>
      <c r="G52" s="39"/>
      <c r="H52" s="40"/>
      <c r="I52" s="64"/>
      <c r="J52" s="21"/>
      <c r="K52" s="30"/>
      <c r="L52" s="30"/>
      <c r="M52" s="30"/>
      <c r="N52" s="30"/>
      <c r="O52" s="30"/>
      <c r="P52" s="30"/>
      <c r="Q52" s="31"/>
      <c r="R52" s="30"/>
      <c r="S52" s="30"/>
      <c r="T52" s="30"/>
      <c r="U52" s="30"/>
      <c r="V52" s="30"/>
      <c r="W52" s="30"/>
      <c r="X52" s="30"/>
      <c r="Y52" s="212"/>
      <c r="Z52" s="213"/>
      <c r="AA52" s="214"/>
      <c r="AB52" s="215"/>
      <c r="AC52" s="216"/>
      <c r="AD52" s="28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60"/>
    </row>
    <row r="53" spans="1:56" ht="15" customHeight="1" x14ac:dyDescent="0.3">
      <c r="A53" s="44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3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212"/>
      <c r="Z53" s="213"/>
      <c r="AA53" s="214"/>
      <c r="AB53" s="215"/>
      <c r="AC53" s="216"/>
      <c r="AD53" s="25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7"/>
      <c r="AP53" s="27"/>
      <c r="AQ53" s="27"/>
      <c r="AR53" s="27"/>
      <c r="AS53" s="29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3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212"/>
      <c r="Z54" s="213"/>
      <c r="AA54" s="214"/>
      <c r="AB54" s="215"/>
      <c r="AC54" s="216"/>
      <c r="AD54" s="25"/>
      <c r="AE54" s="36"/>
      <c r="AF54" s="36"/>
      <c r="AG54" s="36"/>
      <c r="AH54" s="36"/>
      <c r="AI54" s="36"/>
      <c r="AJ54" s="26"/>
      <c r="AK54" s="26"/>
      <c r="AL54" s="26"/>
      <c r="AM54" s="26"/>
      <c r="AN54" s="26"/>
      <c r="AO54" s="27"/>
      <c r="AP54" s="27"/>
      <c r="AQ54" s="27"/>
      <c r="AR54" s="27"/>
      <c r="AS54" s="29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  <row r="55" spans="1:56" ht="15" customHeight="1" x14ac:dyDescent="0.3">
      <c r="A55" s="44" t="str">
        <f>IF(B55="","",COUNTA($B$8:B55))</f>
        <v/>
      </c>
      <c r="B55" s="20"/>
      <c r="C55" s="19"/>
      <c r="D55" s="19"/>
      <c r="E55" s="19"/>
      <c r="F55" s="19"/>
      <c r="G55" s="19"/>
      <c r="H55" s="22"/>
      <c r="I55" s="63"/>
      <c r="J55" s="33"/>
      <c r="K55" s="21"/>
      <c r="L55" s="21"/>
      <c r="M55" s="21"/>
      <c r="N55" s="21"/>
      <c r="O55" s="21"/>
      <c r="P55" s="21"/>
      <c r="Q55" s="32"/>
      <c r="R55" s="21"/>
      <c r="S55" s="21"/>
      <c r="T55" s="33"/>
      <c r="U55" s="21"/>
      <c r="V55" s="21"/>
      <c r="W55" s="21"/>
      <c r="X55" s="22"/>
      <c r="Y55" s="212"/>
      <c r="Z55" s="213"/>
      <c r="AA55" s="214"/>
      <c r="AB55" s="215"/>
      <c r="AC55" s="216"/>
      <c r="AD55" s="28"/>
      <c r="AE55" s="26"/>
      <c r="AF55" s="26"/>
      <c r="AG55" s="26"/>
      <c r="AH55" s="26"/>
      <c r="AI55" s="26"/>
      <c r="AJ55" s="26"/>
      <c r="AK55" s="26"/>
      <c r="AL55" s="36"/>
      <c r="AM55" s="36"/>
      <c r="AN55" s="36"/>
      <c r="AO55" s="37"/>
      <c r="AP55" s="37"/>
      <c r="AQ55" s="37"/>
      <c r="AR55" s="37"/>
      <c r="AS55" s="38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58"/>
    </row>
    <row r="56" spans="1:56" ht="15" customHeight="1" x14ac:dyDescent="0.3">
      <c r="A56" s="44" t="str">
        <f>IF(B56="","",COUNTA($B$8:B56))</f>
        <v/>
      </c>
      <c r="B56" s="20"/>
      <c r="C56" s="19"/>
      <c r="D56" s="19"/>
      <c r="E56" s="19"/>
      <c r="F56" s="19"/>
      <c r="G56" s="19"/>
      <c r="H56" s="22"/>
      <c r="I56" s="63"/>
      <c r="J56" s="33"/>
      <c r="K56" s="21"/>
      <c r="L56" s="21"/>
      <c r="M56" s="21"/>
      <c r="N56" s="21"/>
      <c r="O56" s="21"/>
      <c r="P56" s="21"/>
      <c r="Q56" s="32"/>
      <c r="R56" s="21"/>
      <c r="S56" s="21"/>
      <c r="T56" s="33"/>
      <c r="U56" s="21"/>
      <c r="V56" s="21"/>
      <c r="W56" s="21"/>
      <c r="X56" s="22"/>
      <c r="Y56" s="212"/>
      <c r="Z56" s="213"/>
      <c r="AA56" s="214"/>
      <c r="AB56" s="215"/>
      <c r="AC56" s="216"/>
      <c r="AD56" s="25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7"/>
      <c r="AP56" s="37"/>
      <c r="AQ56" s="37"/>
      <c r="AR56" s="37"/>
      <c r="AS56" s="38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58"/>
    </row>
  </sheetData>
  <mergeCells count="129">
    <mergeCell ref="Y54:Z54"/>
    <mergeCell ref="AA54:AC54"/>
    <mergeCell ref="Y55:Z55"/>
    <mergeCell ref="AA55:AC55"/>
    <mergeCell ref="Y56:Z56"/>
    <mergeCell ref="AA56:AC56"/>
    <mergeCell ref="Y51:Z51"/>
    <mergeCell ref="AA51:AC51"/>
    <mergeCell ref="Y52:Z52"/>
    <mergeCell ref="AA52:AC52"/>
    <mergeCell ref="Y53:Z53"/>
    <mergeCell ref="AA53:AC53"/>
    <mergeCell ref="Y48:Z48"/>
    <mergeCell ref="AA48:AC48"/>
    <mergeCell ref="Y49:Z49"/>
    <mergeCell ref="AA49:AC49"/>
    <mergeCell ref="Y50:Z50"/>
    <mergeCell ref="AA50:AC50"/>
    <mergeCell ref="Y45:Z45"/>
    <mergeCell ref="AA45:AC45"/>
    <mergeCell ref="Y46:Z46"/>
    <mergeCell ref="AA46:AC46"/>
    <mergeCell ref="Y47:Z47"/>
    <mergeCell ref="AA47:AC47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5:Z15"/>
    <mergeCell ref="AA15:AC15"/>
    <mergeCell ref="Y19:Z19"/>
    <mergeCell ref="AA19:AC19"/>
    <mergeCell ref="Y20:Z20"/>
    <mergeCell ref="AA20:AC20"/>
    <mergeCell ref="Y9:Z9"/>
    <mergeCell ref="AA9:AC9"/>
    <mergeCell ref="Y11:Z11"/>
    <mergeCell ref="AA11:AC11"/>
    <mergeCell ref="Y12:Z12"/>
    <mergeCell ref="AA12:AC12"/>
    <mergeCell ref="Y17:Z17"/>
    <mergeCell ref="AA17:AC17"/>
    <mergeCell ref="Y18:Z18"/>
    <mergeCell ref="AA18:AC18"/>
    <mergeCell ref="Y13:Z13"/>
    <mergeCell ref="AA13:AC13"/>
    <mergeCell ref="Y10:Z10"/>
    <mergeCell ref="AA10:AC10"/>
    <mergeCell ref="Y16:Z16"/>
    <mergeCell ref="AA16:AC16"/>
    <mergeCell ref="Y14:Z1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</mergeCells>
  <phoneticPr fontId="5"/>
  <dataValidations disablePrompts="1" count="3">
    <dataValidation imeMode="hiragana" allowBlank="1" showInputMessage="1" showErrorMessage="1" sqref="JK65527:JV65529 TG65527:TR65529 ADC65527:ADN65529 AMY65527:ANJ65529 AWU65527:AXF65529 BGQ65527:BHB65529 BQM65527:BQX65529 CAI65527:CAT65529 CKE65527:CKP65529 CUA65527:CUL65529 DDW65527:DEH65529 DNS65527:DOD65529 DXO65527:DXZ65529 EHK65527:EHV65529 ERG65527:ERR65529 FBC65527:FBN65529 FKY65527:FLJ65529 FUU65527:FVF65529 GEQ65527:GFB65529 GOM65527:GOX65529 GYI65527:GYT65529 HIE65527:HIP65529 HSA65527:HSL65529 IBW65527:ICH65529 ILS65527:IMD65529 IVO65527:IVZ65529 JFK65527:JFV65529 JPG65527:JPR65529 JZC65527:JZN65529 KIY65527:KJJ65529 KSU65527:KTF65529 LCQ65527:LDB65529 LMM65527:LMX65529 LWI65527:LWT65529 MGE65527:MGP65529 MQA65527:MQL65529 MZW65527:NAH65529 NJS65527:NKD65529 NTO65527:NTZ65529 ODK65527:ODV65529 ONG65527:ONR65529 OXC65527:OXN65529 PGY65527:PHJ65529 PQU65527:PRF65529 QAQ65527:QBB65529 QKM65527:QKX65529 QUI65527:QUT65529 REE65527:REP65529 ROA65527:ROL65529 RXW65527:RYH65529 SHS65527:SID65529 SRO65527:SRZ65529 TBK65527:TBV65529 TLG65527:TLR65529 TVC65527:TVN65529 UEY65527:UFJ65529 UOU65527:UPF65529 UYQ65527:UZB65529 VIM65527:VIX65529 VSI65527:VST65529 WCE65527:WCP65529 WMA65527:WML65529 WVW65527:WWH65529 JK131063:JV131065 TG131063:TR131065 ADC131063:ADN131065 AMY131063:ANJ131065 AWU131063:AXF131065 BGQ131063:BHB131065 BQM131063:BQX131065 CAI131063:CAT131065 CKE131063:CKP131065 CUA131063:CUL131065 DDW131063:DEH131065 DNS131063:DOD131065 DXO131063:DXZ131065 EHK131063:EHV131065 ERG131063:ERR131065 FBC131063:FBN131065 FKY131063:FLJ131065 FUU131063:FVF131065 GEQ131063:GFB131065 GOM131063:GOX131065 GYI131063:GYT131065 HIE131063:HIP131065 HSA131063:HSL131065 IBW131063:ICH131065 ILS131063:IMD131065 IVO131063:IVZ131065 JFK131063:JFV131065 JPG131063:JPR131065 JZC131063:JZN131065 KIY131063:KJJ131065 KSU131063:KTF131065 LCQ131063:LDB131065 LMM131063:LMX131065 LWI131063:LWT131065 MGE131063:MGP131065 MQA131063:MQL131065 MZW131063:NAH131065 NJS131063:NKD131065 NTO131063:NTZ131065 ODK131063:ODV131065 ONG131063:ONR131065 OXC131063:OXN131065 PGY131063:PHJ131065 PQU131063:PRF131065 QAQ131063:QBB131065 QKM131063:QKX131065 QUI131063:QUT131065 REE131063:REP131065 ROA131063:ROL131065 RXW131063:RYH131065 SHS131063:SID131065 SRO131063:SRZ131065 TBK131063:TBV131065 TLG131063:TLR131065 TVC131063:TVN131065 UEY131063:UFJ131065 UOU131063:UPF131065 UYQ131063:UZB131065 VIM131063:VIX131065 VSI131063:VST131065 WCE131063:WCP131065 WMA131063:WML131065 WVW131063:WWH131065 JK196599:JV196601 TG196599:TR196601 ADC196599:ADN196601 AMY196599:ANJ196601 AWU196599:AXF196601 BGQ196599:BHB196601 BQM196599:BQX196601 CAI196599:CAT196601 CKE196599:CKP196601 CUA196599:CUL196601 DDW196599:DEH196601 DNS196599:DOD196601 DXO196599:DXZ196601 EHK196599:EHV196601 ERG196599:ERR196601 FBC196599:FBN196601 FKY196599:FLJ196601 FUU196599:FVF196601 GEQ196599:GFB196601 GOM196599:GOX196601 GYI196599:GYT196601 HIE196599:HIP196601 HSA196599:HSL196601 IBW196599:ICH196601 ILS196599:IMD196601 IVO196599:IVZ196601 JFK196599:JFV196601 JPG196599:JPR196601 JZC196599:JZN196601 KIY196599:KJJ196601 KSU196599:KTF196601 LCQ196599:LDB196601 LMM196599:LMX196601 LWI196599:LWT196601 MGE196599:MGP196601 MQA196599:MQL196601 MZW196599:NAH196601 NJS196599:NKD196601 NTO196599:NTZ196601 ODK196599:ODV196601 ONG196599:ONR196601 OXC196599:OXN196601 PGY196599:PHJ196601 PQU196599:PRF196601 QAQ196599:QBB196601 QKM196599:QKX196601 QUI196599:QUT196601 REE196599:REP196601 ROA196599:ROL196601 RXW196599:RYH196601 SHS196599:SID196601 SRO196599:SRZ196601 TBK196599:TBV196601 TLG196599:TLR196601 TVC196599:TVN196601 UEY196599:UFJ196601 UOU196599:UPF196601 UYQ196599:UZB196601 VIM196599:VIX196601 VSI196599:VST196601 WCE196599:WCP196601 WMA196599:WML196601 WVW196599:WWH196601 JK262135:JV262137 TG262135:TR262137 ADC262135:ADN262137 AMY262135:ANJ262137 AWU262135:AXF262137 BGQ262135:BHB262137 BQM262135:BQX262137 CAI262135:CAT262137 CKE262135:CKP262137 CUA262135:CUL262137 DDW262135:DEH262137 DNS262135:DOD262137 DXO262135:DXZ262137 EHK262135:EHV262137 ERG262135:ERR262137 FBC262135:FBN262137 FKY262135:FLJ262137 FUU262135:FVF262137 GEQ262135:GFB262137 GOM262135:GOX262137 GYI262135:GYT262137 HIE262135:HIP262137 HSA262135:HSL262137 IBW262135:ICH262137 ILS262135:IMD262137 IVO262135:IVZ262137 JFK262135:JFV262137 JPG262135:JPR262137 JZC262135:JZN262137 KIY262135:KJJ262137 KSU262135:KTF262137 LCQ262135:LDB262137 LMM262135:LMX262137 LWI262135:LWT262137 MGE262135:MGP262137 MQA262135:MQL262137 MZW262135:NAH262137 NJS262135:NKD262137 NTO262135:NTZ262137 ODK262135:ODV262137 ONG262135:ONR262137 OXC262135:OXN262137 PGY262135:PHJ262137 PQU262135:PRF262137 QAQ262135:QBB262137 QKM262135:QKX262137 QUI262135:QUT262137 REE262135:REP262137 ROA262135:ROL262137 RXW262135:RYH262137 SHS262135:SID262137 SRO262135:SRZ262137 TBK262135:TBV262137 TLG262135:TLR262137 TVC262135:TVN262137 UEY262135:UFJ262137 UOU262135:UPF262137 UYQ262135:UZB262137 VIM262135:VIX262137 VSI262135:VST262137 WCE262135:WCP262137 WMA262135:WML262137 WVW262135:WWH262137 JK327671:JV327673 TG327671:TR327673 ADC327671:ADN327673 AMY327671:ANJ327673 AWU327671:AXF327673 BGQ327671:BHB327673 BQM327671:BQX327673 CAI327671:CAT327673 CKE327671:CKP327673 CUA327671:CUL327673 DDW327671:DEH327673 DNS327671:DOD327673 DXO327671:DXZ327673 EHK327671:EHV327673 ERG327671:ERR327673 FBC327671:FBN327673 FKY327671:FLJ327673 FUU327671:FVF327673 GEQ327671:GFB327673 GOM327671:GOX327673 GYI327671:GYT327673 HIE327671:HIP327673 HSA327671:HSL327673 IBW327671:ICH327673 ILS327671:IMD327673 IVO327671:IVZ327673 JFK327671:JFV327673 JPG327671:JPR327673 JZC327671:JZN327673 KIY327671:KJJ327673 KSU327671:KTF327673 LCQ327671:LDB327673 LMM327671:LMX327673 LWI327671:LWT327673 MGE327671:MGP327673 MQA327671:MQL327673 MZW327671:NAH327673 NJS327671:NKD327673 NTO327671:NTZ327673 ODK327671:ODV327673 ONG327671:ONR327673 OXC327671:OXN327673 PGY327671:PHJ327673 PQU327671:PRF327673 QAQ327671:QBB327673 QKM327671:QKX327673 QUI327671:QUT327673 REE327671:REP327673 ROA327671:ROL327673 RXW327671:RYH327673 SHS327671:SID327673 SRO327671:SRZ327673 TBK327671:TBV327673 TLG327671:TLR327673 TVC327671:TVN327673 UEY327671:UFJ327673 UOU327671:UPF327673 UYQ327671:UZB327673 VIM327671:VIX327673 VSI327671:VST327673 WCE327671:WCP327673 WMA327671:WML327673 WVW327671:WWH327673 JK393207:JV393209 TG393207:TR393209 ADC393207:ADN393209 AMY393207:ANJ393209 AWU393207:AXF393209 BGQ393207:BHB393209 BQM393207:BQX393209 CAI393207:CAT393209 CKE393207:CKP393209 CUA393207:CUL393209 DDW393207:DEH393209 DNS393207:DOD393209 DXO393207:DXZ393209 EHK393207:EHV393209 ERG393207:ERR393209 FBC393207:FBN393209 FKY393207:FLJ393209 FUU393207:FVF393209 GEQ393207:GFB393209 GOM393207:GOX393209 GYI393207:GYT393209 HIE393207:HIP393209 HSA393207:HSL393209 IBW393207:ICH393209 ILS393207:IMD393209 IVO393207:IVZ393209 JFK393207:JFV393209 JPG393207:JPR393209 JZC393207:JZN393209 KIY393207:KJJ393209 KSU393207:KTF393209 LCQ393207:LDB393209 LMM393207:LMX393209 LWI393207:LWT393209 MGE393207:MGP393209 MQA393207:MQL393209 MZW393207:NAH393209 NJS393207:NKD393209 NTO393207:NTZ393209 ODK393207:ODV393209 ONG393207:ONR393209 OXC393207:OXN393209 PGY393207:PHJ393209 PQU393207:PRF393209 QAQ393207:QBB393209 QKM393207:QKX393209 QUI393207:QUT393209 REE393207:REP393209 ROA393207:ROL393209 RXW393207:RYH393209 SHS393207:SID393209 SRO393207:SRZ393209 TBK393207:TBV393209 TLG393207:TLR393209 TVC393207:TVN393209 UEY393207:UFJ393209 UOU393207:UPF393209 UYQ393207:UZB393209 VIM393207:VIX393209 VSI393207:VST393209 WCE393207:WCP393209 WMA393207:WML393209 WVW393207:WWH393209 JK458743:JV458745 TG458743:TR458745 ADC458743:ADN458745 AMY458743:ANJ458745 AWU458743:AXF458745 BGQ458743:BHB458745 BQM458743:BQX458745 CAI458743:CAT458745 CKE458743:CKP458745 CUA458743:CUL458745 DDW458743:DEH458745 DNS458743:DOD458745 DXO458743:DXZ458745 EHK458743:EHV458745 ERG458743:ERR458745 FBC458743:FBN458745 FKY458743:FLJ458745 FUU458743:FVF458745 GEQ458743:GFB458745 GOM458743:GOX458745 GYI458743:GYT458745 HIE458743:HIP458745 HSA458743:HSL458745 IBW458743:ICH458745 ILS458743:IMD458745 IVO458743:IVZ458745 JFK458743:JFV458745 JPG458743:JPR458745 JZC458743:JZN458745 KIY458743:KJJ458745 KSU458743:KTF458745 LCQ458743:LDB458745 LMM458743:LMX458745 LWI458743:LWT458745 MGE458743:MGP458745 MQA458743:MQL458745 MZW458743:NAH458745 NJS458743:NKD458745 NTO458743:NTZ458745 ODK458743:ODV458745 ONG458743:ONR458745 OXC458743:OXN458745 PGY458743:PHJ458745 PQU458743:PRF458745 QAQ458743:QBB458745 QKM458743:QKX458745 QUI458743:QUT458745 REE458743:REP458745 ROA458743:ROL458745 RXW458743:RYH458745 SHS458743:SID458745 SRO458743:SRZ458745 TBK458743:TBV458745 TLG458743:TLR458745 TVC458743:TVN458745 UEY458743:UFJ458745 UOU458743:UPF458745 UYQ458743:UZB458745 VIM458743:VIX458745 VSI458743:VST458745 WCE458743:WCP458745 WMA458743:WML458745 WVW458743:WWH458745 JK524279:JV524281 TG524279:TR524281 ADC524279:ADN524281 AMY524279:ANJ524281 AWU524279:AXF524281 BGQ524279:BHB524281 BQM524279:BQX524281 CAI524279:CAT524281 CKE524279:CKP524281 CUA524279:CUL524281 DDW524279:DEH524281 DNS524279:DOD524281 DXO524279:DXZ524281 EHK524279:EHV524281 ERG524279:ERR524281 FBC524279:FBN524281 FKY524279:FLJ524281 FUU524279:FVF524281 GEQ524279:GFB524281 GOM524279:GOX524281 GYI524279:GYT524281 HIE524279:HIP524281 HSA524279:HSL524281 IBW524279:ICH524281 ILS524279:IMD524281 IVO524279:IVZ524281 JFK524279:JFV524281 JPG524279:JPR524281 JZC524279:JZN524281 KIY524279:KJJ524281 KSU524279:KTF524281 LCQ524279:LDB524281 LMM524279:LMX524281 LWI524279:LWT524281 MGE524279:MGP524281 MQA524279:MQL524281 MZW524279:NAH524281 NJS524279:NKD524281 NTO524279:NTZ524281 ODK524279:ODV524281 ONG524279:ONR524281 OXC524279:OXN524281 PGY524279:PHJ524281 PQU524279:PRF524281 QAQ524279:QBB524281 QKM524279:QKX524281 QUI524279:QUT524281 REE524279:REP524281 ROA524279:ROL524281 RXW524279:RYH524281 SHS524279:SID524281 SRO524279:SRZ524281 TBK524279:TBV524281 TLG524279:TLR524281 TVC524279:TVN524281 UEY524279:UFJ524281 UOU524279:UPF524281 UYQ524279:UZB524281 VIM524279:VIX524281 VSI524279:VST524281 WCE524279:WCP524281 WMA524279:WML524281 WVW524279:WWH524281 JK589815:JV589817 TG589815:TR589817 ADC589815:ADN589817 AMY589815:ANJ589817 AWU589815:AXF589817 BGQ589815:BHB589817 BQM589815:BQX589817 CAI589815:CAT589817 CKE589815:CKP589817 CUA589815:CUL589817 DDW589815:DEH589817 DNS589815:DOD589817 DXO589815:DXZ589817 EHK589815:EHV589817 ERG589815:ERR589817 FBC589815:FBN589817 FKY589815:FLJ589817 FUU589815:FVF589817 GEQ589815:GFB589817 GOM589815:GOX589817 GYI589815:GYT589817 HIE589815:HIP589817 HSA589815:HSL589817 IBW589815:ICH589817 ILS589815:IMD589817 IVO589815:IVZ589817 JFK589815:JFV589817 JPG589815:JPR589817 JZC589815:JZN589817 KIY589815:KJJ589817 KSU589815:KTF589817 LCQ589815:LDB589817 LMM589815:LMX589817 LWI589815:LWT589817 MGE589815:MGP589817 MQA589815:MQL589817 MZW589815:NAH589817 NJS589815:NKD589817 NTO589815:NTZ589817 ODK589815:ODV589817 ONG589815:ONR589817 OXC589815:OXN589817 PGY589815:PHJ589817 PQU589815:PRF589817 QAQ589815:QBB589817 QKM589815:QKX589817 QUI589815:QUT589817 REE589815:REP589817 ROA589815:ROL589817 RXW589815:RYH589817 SHS589815:SID589817 SRO589815:SRZ589817 TBK589815:TBV589817 TLG589815:TLR589817 TVC589815:TVN589817 UEY589815:UFJ589817 UOU589815:UPF589817 UYQ589815:UZB589817 VIM589815:VIX589817 VSI589815:VST589817 WCE589815:WCP589817 WMA589815:WML589817 WVW589815:WWH589817 JK655351:JV655353 TG655351:TR655353 ADC655351:ADN655353 AMY655351:ANJ655353 AWU655351:AXF655353 BGQ655351:BHB655353 BQM655351:BQX655353 CAI655351:CAT655353 CKE655351:CKP655353 CUA655351:CUL655353 DDW655351:DEH655353 DNS655351:DOD655353 DXO655351:DXZ655353 EHK655351:EHV655353 ERG655351:ERR655353 FBC655351:FBN655353 FKY655351:FLJ655353 FUU655351:FVF655353 GEQ655351:GFB655353 GOM655351:GOX655353 GYI655351:GYT655353 HIE655351:HIP655353 HSA655351:HSL655353 IBW655351:ICH655353 ILS655351:IMD655353 IVO655351:IVZ655353 JFK655351:JFV655353 JPG655351:JPR655353 JZC655351:JZN655353 KIY655351:KJJ655353 KSU655351:KTF655353 LCQ655351:LDB655353 LMM655351:LMX655353 LWI655351:LWT655353 MGE655351:MGP655353 MQA655351:MQL655353 MZW655351:NAH655353 NJS655351:NKD655353 NTO655351:NTZ655353 ODK655351:ODV655353 ONG655351:ONR655353 OXC655351:OXN655353 PGY655351:PHJ655353 PQU655351:PRF655353 QAQ655351:QBB655353 QKM655351:QKX655353 QUI655351:QUT655353 REE655351:REP655353 ROA655351:ROL655353 RXW655351:RYH655353 SHS655351:SID655353 SRO655351:SRZ655353 TBK655351:TBV655353 TLG655351:TLR655353 TVC655351:TVN655353 UEY655351:UFJ655353 UOU655351:UPF655353 UYQ655351:UZB655353 VIM655351:VIX655353 VSI655351:VST655353 WCE655351:WCP655353 WMA655351:WML655353 WVW655351:WWH655353 JK720887:JV720889 TG720887:TR720889 ADC720887:ADN720889 AMY720887:ANJ720889 AWU720887:AXF720889 BGQ720887:BHB720889 BQM720887:BQX720889 CAI720887:CAT720889 CKE720887:CKP720889 CUA720887:CUL720889 DDW720887:DEH720889 DNS720887:DOD720889 DXO720887:DXZ720889 EHK720887:EHV720889 ERG720887:ERR720889 FBC720887:FBN720889 FKY720887:FLJ720889 FUU720887:FVF720889 GEQ720887:GFB720889 GOM720887:GOX720889 GYI720887:GYT720889 HIE720887:HIP720889 HSA720887:HSL720889 IBW720887:ICH720889 ILS720887:IMD720889 IVO720887:IVZ720889 JFK720887:JFV720889 JPG720887:JPR720889 JZC720887:JZN720889 KIY720887:KJJ720889 KSU720887:KTF720889 LCQ720887:LDB720889 LMM720887:LMX720889 LWI720887:LWT720889 MGE720887:MGP720889 MQA720887:MQL720889 MZW720887:NAH720889 NJS720887:NKD720889 NTO720887:NTZ720889 ODK720887:ODV720889 ONG720887:ONR720889 OXC720887:OXN720889 PGY720887:PHJ720889 PQU720887:PRF720889 QAQ720887:QBB720889 QKM720887:QKX720889 QUI720887:QUT720889 REE720887:REP720889 ROA720887:ROL720889 RXW720887:RYH720889 SHS720887:SID720889 SRO720887:SRZ720889 TBK720887:TBV720889 TLG720887:TLR720889 TVC720887:TVN720889 UEY720887:UFJ720889 UOU720887:UPF720889 UYQ720887:UZB720889 VIM720887:VIX720889 VSI720887:VST720889 WCE720887:WCP720889 WMA720887:WML720889 WVW720887:WWH720889 JK786423:JV786425 TG786423:TR786425 ADC786423:ADN786425 AMY786423:ANJ786425 AWU786423:AXF786425 BGQ786423:BHB786425 BQM786423:BQX786425 CAI786423:CAT786425 CKE786423:CKP786425 CUA786423:CUL786425 DDW786423:DEH786425 DNS786423:DOD786425 DXO786423:DXZ786425 EHK786423:EHV786425 ERG786423:ERR786425 FBC786423:FBN786425 FKY786423:FLJ786425 FUU786423:FVF786425 GEQ786423:GFB786425 GOM786423:GOX786425 GYI786423:GYT786425 HIE786423:HIP786425 HSA786423:HSL786425 IBW786423:ICH786425 ILS786423:IMD786425 IVO786423:IVZ786425 JFK786423:JFV786425 JPG786423:JPR786425 JZC786423:JZN786425 KIY786423:KJJ786425 KSU786423:KTF786425 LCQ786423:LDB786425 LMM786423:LMX786425 LWI786423:LWT786425 MGE786423:MGP786425 MQA786423:MQL786425 MZW786423:NAH786425 NJS786423:NKD786425 NTO786423:NTZ786425 ODK786423:ODV786425 ONG786423:ONR786425 OXC786423:OXN786425 PGY786423:PHJ786425 PQU786423:PRF786425 QAQ786423:QBB786425 QKM786423:QKX786425 QUI786423:QUT786425 REE786423:REP786425 ROA786423:ROL786425 RXW786423:RYH786425 SHS786423:SID786425 SRO786423:SRZ786425 TBK786423:TBV786425 TLG786423:TLR786425 TVC786423:TVN786425 UEY786423:UFJ786425 UOU786423:UPF786425 UYQ786423:UZB786425 VIM786423:VIX786425 VSI786423:VST786425 WCE786423:WCP786425 WMA786423:WML786425 WVW786423:WWH786425 JK851959:JV851961 TG851959:TR851961 ADC851959:ADN851961 AMY851959:ANJ851961 AWU851959:AXF851961 BGQ851959:BHB851961 BQM851959:BQX851961 CAI851959:CAT851961 CKE851959:CKP851961 CUA851959:CUL851961 DDW851959:DEH851961 DNS851959:DOD851961 DXO851959:DXZ851961 EHK851959:EHV851961 ERG851959:ERR851961 FBC851959:FBN851961 FKY851959:FLJ851961 FUU851959:FVF851961 GEQ851959:GFB851961 GOM851959:GOX851961 GYI851959:GYT851961 HIE851959:HIP851961 HSA851959:HSL851961 IBW851959:ICH851961 ILS851959:IMD851961 IVO851959:IVZ851961 JFK851959:JFV851961 JPG851959:JPR851961 JZC851959:JZN851961 KIY851959:KJJ851961 KSU851959:KTF851961 LCQ851959:LDB851961 LMM851959:LMX851961 LWI851959:LWT851961 MGE851959:MGP851961 MQA851959:MQL851961 MZW851959:NAH851961 NJS851959:NKD851961 NTO851959:NTZ851961 ODK851959:ODV851961 ONG851959:ONR851961 OXC851959:OXN851961 PGY851959:PHJ851961 PQU851959:PRF851961 QAQ851959:QBB851961 QKM851959:QKX851961 QUI851959:QUT851961 REE851959:REP851961 ROA851959:ROL851961 RXW851959:RYH851961 SHS851959:SID851961 SRO851959:SRZ851961 TBK851959:TBV851961 TLG851959:TLR851961 TVC851959:TVN851961 UEY851959:UFJ851961 UOU851959:UPF851961 UYQ851959:UZB851961 VIM851959:VIX851961 VSI851959:VST851961 WCE851959:WCP851961 WMA851959:WML851961 WVW851959:WWH851961 JK917495:JV917497 TG917495:TR917497 ADC917495:ADN917497 AMY917495:ANJ917497 AWU917495:AXF917497 BGQ917495:BHB917497 BQM917495:BQX917497 CAI917495:CAT917497 CKE917495:CKP917497 CUA917495:CUL917497 DDW917495:DEH917497 DNS917495:DOD917497 DXO917495:DXZ917497 EHK917495:EHV917497 ERG917495:ERR917497 FBC917495:FBN917497 FKY917495:FLJ917497 FUU917495:FVF917497 GEQ917495:GFB917497 GOM917495:GOX917497 GYI917495:GYT917497 HIE917495:HIP917497 HSA917495:HSL917497 IBW917495:ICH917497 ILS917495:IMD917497 IVO917495:IVZ917497 JFK917495:JFV917497 JPG917495:JPR917497 JZC917495:JZN917497 KIY917495:KJJ917497 KSU917495:KTF917497 LCQ917495:LDB917497 LMM917495:LMX917497 LWI917495:LWT917497 MGE917495:MGP917497 MQA917495:MQL917497 MZW917495:NAH917497 NJS917495:NKD917497 NTO917495:NTZ917497 ODK917495:ODV917497 ONG917495:ONR917497 OXC917495:OXN917497 PGY917495:PHJ917497 PQU917495:PRF917497 QAQ917495:QBB917497 QKM917495:QKX917497 QUI917495:QUT917497 REE917495:REP917497 ROA917495:ROL917497 RXW917495:RYH917497 SHS917495:SID917497 SRO917495:SRZ917497 TBK917495:TBV917497 TLG917495:TLR917497 TVC917495:TVN917497 UEY917495:UFJ917497 UOU917495:UPF917497 UYQ917495:UZB917497 VIM917495:VIX917497 VSI917495:VST917497 WCE917495:WCP917497 WMA917495:WML917497 WVW917495:WWH917497 JK983031:JV983033 TG983031:TR983033 ADC983031:ADN983033 AMY983031:ANJ983033 AWU983031:AXF983033 BGQ983031:BHB983033 BQM983031:BQX983033 CAI983031:CAT983033 CKE983031:CKP983033 CUA983031:CUL983033 DDW983031:DEH983033 DNS983031:DOD983033 DXO983031:DXZ983033 EHK983031:EHV983033 ERG983031:ERR983033 FBC983031:FBN983033 FKY983031:FLJ983033 FUU983031:FVF983033 GEQ983031:GFB983033 GOM983031:GOX983033 GYI983031:GYT983033 HIE983031:HIP983033 HSA983031:HSL983033 IBW983031:ICH983033 ILS983031:IMD983033 IVO983031:IVZ983033 JFK983031:JFV983033 JPG983031:JPR983033 JZC983031:JZN983033 KIY983031:KJJ983033 KSU983031:KTF983033 LCQ983031:LDB983033 LMM983031:LMX983033 LWI983031:LWT983033 MGE983031:MGP983033 MQA983031:MQL983033 MZW983031:NAH983033 NJS983031:NKD983033 NTO983031:NTZ983033 ODK983031:ODV983033 ONG983031:ONR983033 OXC983031:OXN983033 PGY983031:PHJ983033 PQU983031:PRF983033 QAQ983031:QBB983033 QKM983031:QKX983033 QUI983031:QUT983033 REE983031:REP983033 ROA983031:ROL983033 RXW983031:RYH983033 SHS983031:SID983033 SRO983031:SRZ983033 TBK983031:TBV983033 TLG983031:TLR983033 TVC983031:TVN983033 UEY983031:UFJ983033 UOU983031:UPF983033 UYQ983031:UZB983033 VIM983031:VIX983033 VSI983031:VST983033 WCE983031:WCP983033 WMA983031:WML983033 WVW983031:WWH983033 WVW983036:WWH983038 JK65532:JV65534 TG65532:TR65534 ADC65532:ADN65534 AMY65532:ANJ65534 AWU65532:AXF65534 BGQ65532:BHB65534 BQM65532:BQX65534 CAI65532:CAT65534 CKE65532:CKP65534 CUA65532:CUL65534 DDW65532:DEH65534 DNS65532:DOD65534 DXO65532:DXZ65534 EHK65532:EHV65534 ERG65532:ERR65534 FBC65532:FBN65534 FKY65532:FLJ65534 FUU65532:FVF65534 GEQ65532:GFB65534 GOM65532:GOX65534 GYI65532:GYT65534 HIE65532:HIP65534 HSA65532:HSL65534 IBW65532:ICH65534 ILS65532:IMD65534 IVO65532:IVZ65534 JFK65532:JFV65534 JPG65532:JPR65534 JZC65532:JZN65534 KIY65532:KJJ65534 KSU65532:KTF65534 LCQ65532:LDB65534 LMM65532:LMX65534 LWI65532:LWT65534 MGE65532:MGP65534 MQA65532:MQL65534 MZW65532:NAH65534 NJS65532:NKD65534 NTO65532:NTZ65534 ODK65532:ODV65534 ONG65532:ONR65534 OXC65532:OXN65534 PGY65532:PHJ65534 PQU65532:PRF65534 QAQ65532:QBB65534 QKM65532:QKX65534 QUI65532:QUT65534 REE65532:REP65534 ROA65532:ROL65534 RXW65532:RYH65534 SHS65532:SID65534 SRO65532:SRZ65534 TBK65532:TBV65534 TLG65532:TLR65534 TVC65532:TVN65534 UEY65532:UFJ65534 UOU65532:UPF65534 UYQ65532:UZB65534 VIM65532:VIX65534 VSI65532:VST65534 WCE65532:WCP65534 WMA65532:WML65534 WVW65532:WWH65534 JK131068:JV131070 TG131068:TR131070 ADC131068:ADN131070 AMY131068:ANJ131070 AWU131068:AXF131070 BGQ131068:BHB131070 BQM131068:BQX131070 CAI131068:CAT131070 CKE131068:CKP131070 CUA131068:CUL131070 DDW131068:DEH131070 DNS131068:DOD131070 DXO131068:DXZ131070 EHK131068:EHV131070 ERG131068:ERR131070 FBC131068:FBN131070 FKY131068:FLJ131070 FUU131068:FVF131070 GEQ131068:GFB131070 GOM131068:GOX131070 GYI131068:GYT131070 HIE131068:HIP131070 HSA131068:HSL131070 IBW131068:ICH131070 ILS131068:IMD131070 IVO131068:IVZ131070 JFK131068:JFV131070 JPG131068:JPR131070 JZC131068:JZN131070 KIY131068:KJJ131070 KSU131068:KTF131070 LCQ131068:LDB131070 LMM131068:LMX131070 LWI131068:LWT131070 MGE131068:MGP131070 MQA131068:MQL131070 MZW131068:NAH131070 NJS131068:NKD131070 NTO131068:NTZ131070 ODK131068:ODV131070 ONG131068:ONR131070 OXC131068:OXN131070 PGY131068:PHJ131070 PQU131068:PRF131070 QAQ131068:QBB131070 QKM131068:QKX131070 QUI131068:QUT131070 REE131068:REP131070 ROA131068:ROL131070 RXW131068:RYH131070 SHS131068:SID131070 SRO131068:SRZ131070 TBK131068:TBV131070 TLG131068:TLR131070 TVC131068:TVN131070 UEY131068:UFJ131070 UOU131068:UPF131070 UYQ131068:UZB131070 VIM131068:VIX131070 VSI131068:VST131070 WCE131068:WCP131070 WMA131068:WML131070 WVW131068:WWH131070 JK196604:JV196606 TG196604:TR196606 ADC196604:ADN196606 AMY196604:ANJ196606 AWU196604:AXF196606 BGQ196604:BHB196606 BQM196604:BQX196606 CAI196604:CAT196606 CKE196604:CKP196606 CUA196604:CUL196606 DDW196604:DEH196606 DNS196604:DOD196606 DXO196604:DXZ196606 EHK196604:EHV196606 ERG196604:ERR196606 FBC196604:FBN196606 FKY196604:FLJ196606 FUU196604:FVF196606 GEQ196604:GFB196606 GOM196604:GOX196606 GYI196604:GYT196606 HIE196604:HIP196606 HSA196604:HSL196606 IBW196604:ICH196606 ILS196604:IMD196606 IVO196604:IVZ196606 JFK196604:JFV196606 JPG196604:JPR196606 JZC196604:JZN196606 KIY196604:KJJ196606 KSU196604:KTF196606 LCQ196604:LDB196606 LMM196604:LMX196606 LWI196604:LWT196606 MGE196604:MGP196606 MQA196604:MQL196606 MZW196604:NAH196606 NJS196604:NKD196606 NTO196604:NTZ196606 ODK196604:ODV196606 ONG196604:ONR196606 OXC196604:OXN196606 PGY196604:PHJ196606 PQU196604:PRF196606 QAQ196604:QBB196606 QKM196604:QKX196606 QUI196604:QUT196606 REE196604:REP196606 ROA196604:ROL196606 RXW196604:RYH196606 SHS196604:SID196606 SRO196604:SRZ196606 TBK196604:TBV196606 TLG196604:TLR196606 TVC196604:TVN196606 UEY196604:UFJ196606 UOU196604:UPF196606 UYQ196604:UZB196606 VIM196604:VIX196606 VSI196604:VST196606 WCE196604:WCP196606 WMA196604:WML196606 WVW196604:WWH196606 JK262140:JV262142 TG262140:TR262142 ADC262140:ADN262142 AMY262140:ANJ262142 AWU262140:AXF262142 BGQ262140:BHB262142 BQM262140:BQX262142 CAI262140:CAT262142 CKE262140:CKP262142 CUA262140:CUL262142 DDW262140:DEH262142 DNS262140:DOD262142 DXO262140:DXZ262142 EHK262140:EHV262142 ERG262140:ERR262142 FBC262140:FBN262142 FKY262140:FLJ262142 FUU262140:FVF262142 GEQ262140:GFB262142 GOM262140:GOX262142 GYI262140:GYT262142 HIE262140:HIP262142 HSA262140:HSL262142 IBW262140:ICH262142 ILS262140:IMD262142 IVO262140:IVZ262142 JFK262140:JFV262142 JPG262140:JPR262142 JZC262140:JZN262142 KIY262140:KJJ262142 KSU262140:KTF262142 LCQ262140:LDB262142 LMM262140:LMX262142 LWI262140:LWT262142 MGE262140:MGP262142 MQA262140:MQL262142 MZW262140:NAH262142 NJS262140:NKD262142 NTO262140:NTZ262142 ODK262140:ODV262142 ONG262140:ONR262142 OXC262140:OXN262142 PGY262140:PHJ262142 PQU262140:PRF262142 QAQ262140:QBB262142 QKM262140:QKX262142 QUI262140:QUT262142 REE262140:REP262142 ROA262140:ROL262142 RXW262140:RYH262142 SHS262140:SID262142 SRO262140:SRZ262142 TBK262140:TBV262142 TLG262140:TLR262142 TVC262140:TVN262142 UEY262140:UFJ262142 UOU262140:UPF262142 UYQ262140:UZB262142 VIM262140:VIX262142 VSI262140:VST262142 WCE262140:WCP262142 WMA262140:WML262142 WVW262140:WWH262142 JK327676:JV327678 TG327676:TR327678 ADC327676:ADN327678 AMY327676:ANJ327678 AWU327676:AXF327678 BGQ327676:BHB327678 BQM327676:BQX327678 CAI327676:CAT327678 CKE327676:CKP327678 CUA327676:CUL327678 DDW327676:DEH327678 DNS327676:DOD327678 DXO327676:DXZ327678 EHK327676:EHV327678 ERG327676:ERR327678 FBC327676:FBN327678 FKY327676:FLJ327678 FUU327676:FVF327678 GEQ327676:GFB327678 GOM327676:GOX327678 GYI327676:GYT327678 HIE327676:HIP327678 HSA327676:HSL327678 IBW327676:ICH327678 ILS327676:IMD327678 IVO327676:IVZ327678 JFK327676:JFV327678 JPG327676:JPR327678 JZC327676:JZN327678 KIY327676:KJJ327678 KSU327676:KTF327678 LCQ327676:LDB327678 LMM327676:LMX327678 LWI327676:LWT327678 MGE327676:MGP327678 MQA327676:MQL327678 MZW327676:NAH327678 NJS327676:NKD327678 NTO327676:NTZ327678 ODK327676:ODV327678 ONG327676:ONR327678 OXC327676:OXN327678 PGY327676:PHJ327678 PQU327676:PRF327678 QAQ327676:QBB327678 QKM327676:QKX327678 QUI327676:QUT327678 REE327676:REP327678 ROA327676:ROL327678 RXW327676:RYH327678 SHS327676:SID327678 SRO327676:SRZ327678 TBK327676:TBV327678 TLG327676:TLR327678 TVC327676:TVN327678 UEY327676:UFJ327678 UOU327676:UPF327678 UYQ327676:UZB327678 VIM327676:VIX327678 VSI327676:VST327678 WCE327676:WCP327678 WMA327676:WML327678 WVW327676:WWH327678 JK393212:JV393214 TG393212:TR393214 ADC393212:ADN393214 AMY393212:ANJ393214 AWU393212:AXF393214 BGQ393212:BHB393214 BQM393212:BQX393214 CAI393212:CAT393214 CKE393212:CKP393214 CUA393212:CUL393214 DDW393212:DEH393214 DNS393212:DOD393214 DXO393212:DXZ393214 EHK393212:EHV393214 ERG393212:ERR393214 FBC393212:FBN393214 FKY393212:FLJ393214 FUU393212:FVF393214 GEQ393212:GFB393214 GOM393212:GOX393214 GYI393212:GYT393214 HIE393212:HIP393214 HSA393212:HSL393214 IBW393212:ICH393214 ILS393212:IMD393214 IVO393212:IVZ393214 JFK393212:JFV393214 JPG393212:JPR393214 JZC393212:JZN393214 KIY393212:KJJ393214 KSU393212:KTF393214 LCQ393212:LDB393214 LMM393212:LMX393214 LWI393212:LWT393214 MGE393212:MGP393214 MQA393212:MQL393214 MZW393212:NAH393214 NJS393212:NKD393214 NTO393212:NTZ393214 ODK393212:ODV393214 ONG393212:ONR393214 OXC393212:OXN393214 PGY393212:PHJ393214 PQU393212:PRF393214 QAQ393212:QBB393214 QKM393212:QKX393214 QUI393212:QUT393214 REE393212:REP393214 ROA393212:ROL393214 RXW393212:RYH393214 SHS393212:SID393214 SRO393212:SRZ393214 TBK393212:TBV393214 TLG393212:TLR393214 TVC393212:TVN393214 UEY393212:UFJ393214 UOU393212:UPF393214 UYQ393212:UZB393214 VIM393212:VIX393214 VSI393212:VST393214 WCE393212:WCP393214 WMA393212:WML393214 WVW393212:WWH393214 JK458748:JV458750 TG458748:TR458750 ADC458748:ADN458750 AMY458748:ANJ458750 AWU458748:AXF458750 BGQ458748:BHB458750 BQM458748:BQX458750 CAI458748:CAT458750 CKE458748:CKP458750 CUA458748:CUL458750 DDW458748:DEH458750 DNS458748:DOD458750 DXO458748:DXZ458750 EHK458748:EHV458750 ERG458748:ERR458750 FBC458748:FBN458750 FKY458748:FLJ458750 FUU458748:FVF458750 GEQ458748:GFB458750 GOM458748:GOX458750 GYI458748:GYT458750 HIE458748:HIP458750 HSA458748:HSL458750 IBW458748:ICH458750 ILS458748:IMD458750 IVO458748:IVZ458750 JFK458748:JFV458750 JPG458748:JPR458750 JZC458748:JZN458750 KIY458748:KJJ458750 KSU458748:KTF458750 LCQ458748:LDB458750 LMM458748:LMX458750 LWI458748:LWT458750 MGE458748:MGP458750 MQA458748:MQL458750 MZW458748:NAH458750 NJS458748:NKD458750 NTO458748:NTZ458750 ODK458748:ODV458750 ONG458748:ONR458750 OXC458748:OXN458750 PGY458748:PHJ458750 PQU458748:PRF458750 QAQ458748:QBB458750 QKM458748:QKX458750 QUI458748:QUT458750 REE458748:REP458750 ROA458748:ROL458750 RXW458748:RYH458750 SHS458748:SID458750 SRO458748:SRZ458750 TBK458748:TBV458750 TLG458748:TLR458750 TVC458748:TVN458750 UEY458748:UFJ458750 UOU458748:UPF458750 UYQ458748:UZB458750 VIM458748:VIX458750 VSI458748:VST458750 WCE458748:WCP458750 WMA458748:WML458750 WVW458748:WWH458750 JK524284:JV524286 TG524284:TR524286 ADC524284:ADN524286 AMY524284:ANJ524286 AWU524284:AXF524286 BGQ524284:BHB524286 BQM524284:BQX524286 CAI524284:CAT524286 CKE524284:CKP524286 CUA524284:CUL524286 DDW524284:DEH524286 DNS524284:DOD524286 DXO524284:DXZ524286 EHK524284:EHV524286 ERG524284:ERR524286 FBC524284:FBN524286 FKY524284:FLJ524286 FUU524284:FVF524286 GEQ524284:GFB524286 GOM524284:GOX524286 GYI524284:GYT524286 HIE524284:HIP524286 HSA524284:HSL524286 IBW524284:ICH524286 ILS524284:IMD524286 IVO524284:IVZ524286 JFK524284:JFV524286 JPG524284:JPR524286 JZC524284:JZN524286 KIY524284:KJJ524286 KSU524284:KTF524286 LCQ524284:LDB524286 LMM524284:LMX524286 LWI524284:LWT524286 MGE524284:MGP524286 MQA524284:MQL524286 MZW524284:NAH524286 NJS524284:NKD524286 NTO524284:NTZ524286 ODK524284:ODV524286 ONG524284:ONR524286 OXC524284:OXN524286 PGY524284:PHJ524286 PQU524284:PRF524286 QAQ524284:QBB524286 QKM524284:QKX524286 QUI524284:QUT524286 REE524284:REP524286 ROA524284:ROL524286 RXW524284:RYH524286 SHS524284:SID524286 SRO524284:SRZ524286 TBK524284:TBV524286 TLG524284:TLR524286 TVC524284:TVN524286 UEY524284:UFJ524286 UOU524284:UPF524286 UYQ524284:UZB524286 VIM524284:VIX524286 VSI524284:VST524286 WCE524284:WCP524286 WMA524284:WML524286 WVW524284:WWH524286 JK589820:JV589822 TG589820:TR589822 ADC589820:ADN589822 AMY589820:ANJ589822 AWU589820:AXF589822 BGQ589820:BHB589822 BQM589820:BQX589822 CAI589820:CAT589822 CKE589820:CKP589822 CUA589820:CUL589822 DDW589820:DEH589822 DNS589820:DOD589822 DXO589820:DXZ589822 EHK589820:EHV589822 ERG589820:ERR589822 FBC589820:FBN589822 FKY589820:FLJ589822 FUU589820:FVF589822 GEQ589820:GFB589822 GOM589820:GOX589822 GYI589820:GYT589822 HIE589820:HIP589822 HSA589820:HSL589822 IBW589820:ICH589822 ILS589820:IMD589822 IVO589820:IVZ589822 JFK589820:JFV589822 JPG589820:JPR589822 JZC589820:JZN589822 KIY589820:KJJ589822 KSU589820:KTF589822 LCQ589820:LDB589822 LMM589820:LMX589822 LWI589820:LWT589822 MGE589820:MGP589822 MQA589820:MQL589822 MZW589820:NAH589822 NJS589820:NKD589822 NTO589820:NTZ589822 ODK589820:ODV589822 ONG589820:ONR589822 OXC589820:OXN589822 PGY589820:PHJ589822 PQU589820:PRF589822 QAQ589820:QBB589822 QKM589820:QKX589822 QUI589820:QUT589822 REE589820:REP589822 ROA589820:ROL589822 RXW589820:RYH589822 SHS589820:SID589822 SRO589820:SRZ589822 TBK589820:TBV589822 TLG589820:TLR589822 TVC589820:TVN589822 UEY589820:UFJ589822 UOU589820:UPF589822 UYQ589820:UZB589822 VIM589820:VIX589822 VSI589820:VST589822 WCE589820:WCP589822 WMA589820:WML589822 WVW589820:WWH589822 JK655356:JV655358 TG655356:TR655358 ADC655356:ADN655358 AMY655356:ANJ655358 AWU655356:AXF655358 BGQ655356:BHB655358 BQM655356:BQX655358 CAI655356:CAT655358 CKE655356:CKP655358 CUA655356:CUL655358 DDW655356:DEH655358 DNS655356:DOD655358 DXO655356:DXZ655358 EHK655356:EHV655358 ERG655356:ERR655358 FBC655356:FBN655358 FKY655356:FLJ655358 FUU655356:FVF655358 GEQ655356:GFB655358 GOM655356:GOX655358 GYI655356:GYT655358 HIE655356:HIP655358 HSA655356:HSL655358 IBW655356:ICH655358 ILS655356:IMD655358 IVO655356:IVZ655358 JFK655356:JFV655358 JPG655356:JPR655358 JZC655356:JZN655358 KIY655356:KJJ655358 KSU655356:KTF655358 LCQ655356:LDB655358 LMM655356:LMX655358 LWI655356:LWT655358 MGE655356:MGP655358 MQA655356:MQL655358 MZW655356:NAH655358 NJS655356:NKD655358 NTO655356:NTZ655358 ODK655356:ODV655358 ONG655356:ONR655358 OXC655356:OXN655358 PGY655356:PHJ655358 PQU655356:PRF655358 QAQ655356:QBB655358 QKM655356:QKX655358 QUI655356:QUT655358 REE655356:REP655358 ROA655356:ROL655358 RXW655356:RYH655358 SHS655356:SID655358 SRO655356:SRZ655358 TBK655356:TBV655358 TLG655356:TLR655358 TVC655356:TVN655358 UEY655356:UFJ655358 UOU655356:UPF655358 UYQ655356:UZB655358 VIM655356:VIX655358 VSI655356:VST655358 WCE655356:WCP655358 WMA655356:WML655358 WVW655356:WWH655358 JK720892:JV720894 TG720892:TR720894 ADC720892:ADN720894 AMY720892:ANJ720894 AWU720892:AXF720894 BGQ720892:BHB720894 BQM720892:BQX720894 CAI720892:CAT720894 CKE720892:CKP720894 CUA720892:CUL720894 DDW720892:DEH720894 DNS720892:DOD720894 DXO720892:DXZ720894 EHK720892:EHV720894 ERG720892:ERR720894 FBC720892:FBN720894 FKY720892:FLJ720894 FUU720892:FVF720894 GEQ720892:GFB720894 GOM720892:GOX720894 GYI720892:GYT720894 HIE720892:HIP720894 HSA720892:HSL720894 IBW720892:ICH720894 ILS720892:IMD720894 IVO720892:IVZ720894 JFK720892:JFV720894 JPG720892:JPR720894 JZC720892:JZN720894 KIY720892:KJJ720894 KSU720892:KTF720894 LCQ720892:LDB720894 LMM720892:LMX720894 LWI720892:LWT720894 MGE720892:MGP720894 MQA720892:MQL720894 MZW720892:NAH720894 NJS720892:NKD720894 NTO720892:NTZ720894 ODK720892:ODV720894 ONG720892:ONR720894 OXC720892:OXN720894 PGY720892:PHJ720894 PQU720892:PRF720894 QAQ720892:QBB720894 QKM720892:QKX720894 QUI720892:QUT720894 REE720892:REP720894 ROA720892:ROL720894 RXW720892:RYH720894 SHS720892:SID720894 SRO720892:SRZ720894 TBK720892:TBV720894 TLG720892:TLR720894 TVC720892:TVN720894 UEY720892:UFJ720894 UOU720892:UPF720894 UYQ720892:UZB720894 VIM720892:VIX720894 VSI720892:VST720894 WCE720892:WCP720894 WMA720892:WML720894 WVW720892:WWH720894 JK786428:JV786430 TG786428:TR786430 ADC786428:ADN786430 AMY786428:ANJ786430 AWU786428:AXF786430 BGQ786428:BHB786430 BQM786428:BQX786430 CAI786428:CAT786430 CKE786428:CKP786430 CUA786428:CUL786430 DDW786428:DEH786430 DNS786428:DOD786430 DXO786428:DXZ786430 EHK786428:EHV786430 ERG786428:ERR786430 FBC786428:FBN786430 FKY786428:FLJ786430 FUU786428:FVF786430 GEQ786428:GFB786430 GOM786428:GOX786430 GYI786428:GYT786430 HIE786428:HIP786430 HSA786428:HSL786430 IBW786428:ICH786430 ILS786428:IMD786430 IVO786428:IVZ786430 JFK786428:JFV786430 JPG786428:JPR786430 JZC786428:JZN786430 KIY786428:KJJ786430 KSU786428:KTF786430 LCQ786428:LDB786430 LMM786428:LMX786430 LWI786428:LWT786430 MGE786428:MGP786430 MQA786428:MQL786430 MZW786428:NAH786430 NJS786428:NKD786430 NTO786428:NTZ786430 ODK786428:ODV786430 ONG786428:ONR786430 OXC786428:OXN786430 PGY786428:PHJ786430 PQU786428:PRF786430 QAQ786428:QBB786430 QKM786428:QKX786430 QUI786428:QUT786430 REE786428:REP786430 ROA786428:ROL786430 RXW786428:RYH786430 SHS786428:SID786430 SRO786428:SRZ786430 TBK786428:TBV786430 TLG786428:TLR786430 TVC786428:TVN786430 UEY786428:UFJ786430 UOU786428:UPF786430 UYQ786428:UZB786430 VIM786428:VIX786430 VSI786428:VST786430 WCE786428:WCP786430 WMA786428:WML786430 WVW786428:WWH786430 JK851964:JV851966 TG851964:TR851966 ADC851964:ADN851966 AMY851964:ANJ851966 AWU851964:AXF851966 BGQ851964:BHB851966 BQM851964:BQX851966 CAI851964:CAT851966 CKE851964:CKP851966 CUA851964:CUL851966 DDW851964:DEH851966 DNS851964:DOD851966 DXO851964:DXZ851966 EHK851964:EHV851966 ERG851964:ERR851966 FBC851964:FBN851966 FKY851964:FLJ851966 FUU851964:FVF851966 GEQ851964:GFB851966 GOM851964:GOX851966 GYI851964:GYT851966 HIE851964:HIP851966 HSA851964:HSL851966 IBW851964:ICH851966 ILS851964:IMD851966 IVO851964:IVZ851966 JFK851964:JFV851966 JPG851964:JPR851966 JZC851964:JZN851966 KIY851964:KJJ851966 KSU851964:KTF851966 LCQ851964:LDB851966 LMM851964:LMX851966 LWI851964:LWT851966 MGE851964:MGP851966 MQA851964:MQL851966 MZW851964:NAH851966 NJS851964:NKD851966 NTO851964:NTZ851966 ODK851964:ODV851966 ONG851964:ONR851966 OXC851964:OXN851966 PGY851964:PHJ851966 PQU851964:PRF851966 QAQ851964:QBB851966 QKM851964:QKX851966 QUI851964:QUT851966 REE851964:REP851966 ROA851964:ROL851966 RXW851964:RYH851966 SHS851964:SID851966 SRO851964:SRZ851966 TBK851964:TBV851966 TLG851964:TLR851966 TVC851964:TVN851966 UEY851964:UFJ851966 UOU851964:UPF851966 UYQ851964:UZB851966 VIM851964:VIX851966 VSI851964:VST851966 WCE851964:WCP851966 WMA851964:WML851966 WVW851964:WWH851966 JK917500:JV917502 TG917500:TR917502 ADC917500:ADN917502 AMY917500:ANJ917502 AWU917500:AXF917502 BGQ917500:BHB917502 BQM917500:BQX917502 CAI917500:CAT917502 CKE917500:CKP917502 CUA917500:CUL917502 DDW917500:DEH917502 DNS917500:DOD917502 DXO917500:DXZ917502 EHK917500:EHV917502 ERG917500:ERR917502 FBC917500:FBN917502 FKY917500:FLJ917502 FUU917500:FVF917502 GEQ917500:GFB917502 GOM917500:GOX917502 GYI917500:GYT917502 HIE917500:HIP917502 HSA917500:HSL917502 IBW917500:ICH917502 ILS917500:IMD917502 IVO917500:IVZ917502 JFK917500:JFV917502 JPG917500:JPR917502 JZC917500:JZN917502 KIY917500:KJJ917502 KSU917500:KTF917502 LCQ917500:LDB917502 LMM917500:LMX917502 LWI917500:LWT917502 MGE917500:MGP917502 MQA917500:MQL917502 MZW917500:NAH917502 NJS917500:NKD917502 NTO917500:NTZ917502 ODK917500:ODV917502 ONG917500:ONR917502 OXC917500:OXN917502 PGY917500:PHJ917502 PQU917500:PRF917502 QAQ917500:QBB917502 QKM917500:QKX917502 QUI917500:QUT917502 REE917500:REP917502 ROA917500:ROL917502 RXW917500:RYH917502 SHS917500:SID917502 SRO917500:SRZ917502 TBK917500:TBV917502 TLG917500:TLR917502 TVC917500:TVN917502 UEY917500:UFJ917502 UOU917500:UPF917502 UYQ917500:UZB917502 VIM917500:VIX917502 VSI917500:VST917502 WCE917500:WCP917502 WMA917500:WML917502 WVW917500:WWH917502 JK983036:JV983038 TG983036:TR983038 ADC983036:ADN983038 AMY983036:ANJ983038 AWU983036:AXF983038 BGQ983036:BHB983038 BQM983036:BQX983038 CAI983036:CAT983038 CKE983036:CKP983038 CUA983036:CUL983038 DDW983036:DEH983038 DNS983036:DOD983038 DXO983036:DXZ983038 EHK983036:EHV983038 ERG983036:ERR983038 FBC983036:FBN983038 FKY983036:FLJ983038 FUU983036:FVF983038 GEQ983036:GFB983038 GOM983036:GOX983038 GYI983036:GYT983038 HIE983036:HIP983038 HSA983036:HSL983038 IBW983036:ICH983038 ILS983036:IMD983038 IVO983036:IVZ983038 JFK983036:JFV983038 JPG983036:JPR983038 JZC983036:JZN983038 KIY983036:KJJ983038 KSU983036:KTF983038 LCQ983036:LDB983038 LMM983036:LMX983038 LWI983036:LWT983038 MGE983036:MGP983038 MQA983036:MQL983038 MZW983036:NAH983038 NJS983036:NKD983038 NTO983036:NTZ983038 ODK983036:ODV983038 ONG983036:ONR983038 OXC983036:OXN983038 PGY983036:PHJ983038 PQU983036:PRF983038 QAQ983036:QBB983038 QKM983036:QKX983038 QUI983036:QUT983038 REE983036:REP983038 ROA983036:ROL983038 RXW983036:RYH983038 SHS983036:SID983038 SRO983036:SRZ983038 TBK983036:TBV983038 TLG983036:TLR983038 TVC983036:TVN983038 UEY983036:UFJ983038 UOU983036:UPF983038 UYQ983036:UZB983038 VIM983036:VIX983038 VSI983036:VST983038 WCE983036:WCP983038 WMA983036:WML983038 Z262135:AJ262137 Z196599:AJ196601 Z131063:AJ131065 Z65527:AJ65529 Z983036:AJ983038 Z917500:AJ917502 Z851964:AJ851966 Z786428:AJ786430 Z720892:AJ720894 Z655356:AJ655358 Z589820:AJ589822 Z524284:AJ524286 Z458748:AJ458750 Z393212:AJ393214 Z327676:AJ327678 Z262140:AJ262142 Z196604:AJ196606 Z131068:AJ131070 Z65532:AJ65534 Z983031:AJ983033 Z917495:AJ917497 Z851959:AJ851961 Z786423:AJ786425 Z720887:AJ720889 Z655351:AJ655353 Z589815:AJ589817 Z524279:AJ524281 Z458743:AJ458745 Z393207:AJ393209 Z327671:AJ327673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200-000000000000}"/>
    <dataValidation type="list" allowBlank="1" showInputMessage="1" showErrorMessage="1" sqref="AA17:AC18 AA19:AA56 AA8:AA9 AA10:AC10 AA11:AA16" xr:uid="{00000000-0002-0000-0200-000001000000}">
      <formula1>"datetime,int,numeric,varchar,nvarchar"</formula1>
    </dataValidation>
    <dataValidation type="list" allowBlank="1" showInputMessage="1" showErrorMessage="1" sqref="Y8:Z56" xr:uid="{00000000-0002-0000-02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3">
    <tabColor rgb="FFFFFF00"/>
  </sheetPr>
  <dimension ref="A1:BD63"/>
  <sheetViews>
    <sheetView showGridLines="0" tabSelected="1" topLeftCell="A22" zoomScaleNormal="100" zoomScaleSheetLayoutView="100" workbookViewId="0">
      <selection activeCell="AU28" sqref="AU28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5.54296875" style="17" bestFit="1" customWidth="1"/>
    <col min="10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資材請求明細情報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50" t="s">
        <v>151</v>
      </c>
      <c r="AV2" s="51"/>
      <c r="AW2" s="51"/>
      <c r="AX2" s="51"/>
      <c r="AY2" s="52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t_shizai_seikyu_meisai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145</v>
      </c>
      <c r="C8" s="19"/>
      <c r="D8" s="19"/>
      <c r="E8" s="19"/>
      <c r="F8" s="19"/>
      <c r="G8" s="19"/>
      <c r="H8" s="22"/>
      <c r="I8" s="64" t="str">
        <f>VLOOKUP(B8,項目一覧2!A:B,2,FALSE)</f>
        <v>shizai_seikyu_no</v>
      </c>
      <c r="J8" s="21"/>
      <c r="K8" s="21"/>
      <c r="L8" s="21"/>
      <c r="M8" s="21"/>
      <c r="N8" s="21"/>
      <c r="O8" s="21"/>
      <c r="P8" s="21"/>
      <c r="Q8" s="32"/>
      <c r="R8" s="18" t="s">
        <v>145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1803</v>
      </c>
      <c r="C9" s="39"/>
      <c r="D9" s="39"/>
      <c r="E9" s="39"/>
      <c r="F9" s="39"/>
      <c r="G9" s="39"/>
      <c r="H9" s="39"/>
      <c r="I9" s="64" t="str">
        <f>VLOOKUP(B9,項目一覧2!A:B,2,FALSE)</f>
        <v>meisai_seq</v>
      </c>
      <c r="J9" s="30"/>
      <c r="K9" s="30"/>
      <c r="L9" s="30"/>
      <c r="M9" s="30"/>
      <c r="N9" s="30"/>
      <c r="O9" s="30"/>
      <c r="P9" s="30"/>
      <c r="Q9" s="30"/>
      <c r="R9" s="41" t="s">
        <v>146</v>
      </c>
      <c r="S9" s="39"/>
      <c r="T9" s="39"/>
      <c r="U9" s="39"/>
      <c r="V9" s="39"/>
      <c r="W9" s="39"/>
      <c r="X9" s="39"/>
      <c r="Y9" s="212" t="s">
        <v>1901</v>
      </c>
      <c r="Z9" s="213"/>
      <c r="AA9" s="214" t="s">
        <v>1902</v>
      </c>
      <c r="AB9" s="215"/>
      <c r="AC9" s="216"/>
      <c r="AD9" s="25">
        <v>5</v>
      </c>
      <c r="AE9" s="27"/>
      <c r="AF9" s="110">
        <v>2</v>
      </c>
      <c r="AG9" s="26" t="s">
        <v>123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23" t="s">
        <v>1772</v>
      </c>
      <c r="C10" s="39"/>
      <c r="D10" s="39"/>
      <c r="E10" s="39"/>
      <c r="F10" s="39"/>
      <c r="G10" s="39"/>
      <c r="H10" s="40"/>
      <c r="I10" s="64" t="str">
        <f>VLOOKUP(B10,項目一覧2!A:B,2,FALSE)</f>
        <v>nonyusaki_cd</v>
      </c>
      <c r="J10" s="30"/>
      <c r="K10" s="30"/>
      <c r="L10" s="30"/>
      <c r="M10" s="30"/>
      <c r="N10" s="30"/>
      <c r="O10" s="30"/>
      <c r="P10" s="30"/>
      <c r="Q10" s="31"/>
      <c r="R10" s="23" t="s">
        <v>131</v>
      </c>
      <c r="S10" s="30"/>
      <c r="T10" s="30"/>
      <c r="U10" s="30"/>
      <c r="V10" s="30"/>
      <c r="W10" s="30"/>
      <c r="X10" s="30"/>
      <c r="Y10" s="212" t="s">
        <v>1891</v>
      </c>
      <c r="Z10" s="217"/>
      <c r="AA10" s="214" t="s">
        <v>1892</v>
      </c>
      <c r="AB10" s="215"/>
      <c r="AC10" s="216"/>
      <c r="AD10" s="62">
        <v>3</v>
      </c>
      <c r="AE10" s="27"/>
      <c r="AF10" s="27"/>
      <c r="AG10" s="26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1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60"/>
    </row>
    <row r="11" spans="1:56" ht="15" customHeight="1" x14ac:dyDescent="0.3">
      <c r="A11" s="44">
        <f>IF(B11="","",COUNTA($B$8:B11))</f>
        <v>4</v>
      </c>
      <c r="B11" s="23" t="s">
        <v>1774</v>
      </c>
      <c r="C11" s="19"/>
      <c r="D11" s="19"/>
      <c r="E11" s="19"/>
      <c r="F11" s="19"/>
      <c r="G11" s="19"/>
      <c r="H11" s="22"/>
      <c r="I11" s="64" t="str">
        <f>VLOOKUP(B11,項目一覧2!A:B,2,FALSE)</f>
        <v>nounyusaki_nm</v>
      </c>
      <c r="J11" s="33"/>
      <c r="K11" s="21"/>
      <c r="L11" s="21"/>
      <c r="M11" s="21"/>
      <c r="N11" s="21"/>
      <c r="O11" s="21"/>
      <c r="P11" s="21"/>
      <c r="Q11" s="32"/>
      <c r="R11" s="23" t="s">
        <v>132</v>
      </c>
      <c r="S11" s="21"/>
      <c r="T11" s="33"/>
      <c r="U11" s="21"/>
      <c r="V11" s="21"/>
      <c r="W11" s="21"/>
      <c r="X11" s="22"/>
      <c r="Y11" s="212" t="s">
        <v>1891</v>
      </c>
      <c r="Z11" s="213"/>
      <c r="AA11" s="214" t="s">
        <v>1892</v>
      </c>
      <c r="AB11" s="215"/>
      <c r="AC11" s="216"/>
      <c r="AD11" s="25">
        <v>30</v>
      </c>
      <c r="AE11" s="27"/>
      <c r="AF11" s="27"/>
      <c r="AG11" s="26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1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1776</v>
      </c>
      <c r="C12" s="19"/>
      <c r="D12" s="19"/>
      <c r="E12" s="19"/>
      <c r="F12" s="19"/>
      <c r="G12" s="19"/>
      <c r="H12" s="22"/>
      <c r="I12" s="64" t="str">
        <f>VLOOKUP(B12,項目一覧2!A:B,2,FALSE)</f>
        <v>kibo_noki</v>
      </c>
      <c r="J12" s="33"/>
      <c r="K12" s="21"/>
      <c r="L12" s="21"/>
      <c r="M12" s="21"/>
      <c r="N12" s="21"/>
      <c r="O12" s="21"/>
      <c r="P12" s="21"/>
      <c r="Q12" s="32"/>
      <c r="R12" s="18" t="s">
        <v>133</v>
      </c>
      <c r="S12" s="21"/>
      <c r="T12" s="33"/>
      <c r="U12" s="21"/>
      <c r="V12" s="21"/>
      <c r="W12" s="21"/>
      <c r="X12" s="22"/>
      <c r="Y12" s="212" t="s">
        <v>1894</v>
      </c>
      <c r="Z12" s="213"/>
      <c r="AA12" s="214" t="s">
        <v>1895</v>
      </c>
      <c r="AB12" s="215"/>
      <c r="AC12" s="216"/>
      <c r="AD12" s="25"/>
      <c r="AE12" s="27"/>
      <c r="AF12" s="27"/>
      <c r="AG12" s="26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1" t="s">
        <v>2046</v>
      </c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1777</v>
      </c>
      <c r="C13" s="19"/>
      <c r="D13" s="19"/>
      <c r="E13" s="19"/>
      <c r="F13" s="19"/>
      <c r="G13" s="19"/>
      <c r="H13" s="22"/>
      <c r="I13" s="64" t="str">
        <f>VLOOKUP(B13,項目一覧2!A:B,2,FALSE)</f>
        <v>saitan_noki_flg</v>
      </c>
      <c r="J13" s="33"/>
      <c r="K13" s="21"/>
      <c r="L13" s="21"/>
      <c r="M13" s="21"/>
      <c r="N13" s="21"/>
      <c r="O13" s="21"/>
      <c r="P13" s="21"/>
      <c r="Q13" s="32"/>
      <c r="R13" s="18" t="s">
        <v>225</v>
      </c>
      <c r="S13" s="21"/>
      <c r="T13" s="33"/>
      <c r="U13" s="21"/>
      <c r="V13" s="21"/>
      <c r="W13" s="21"/>
      <c r="X13" s="22"/>
      <c r="Y13" s="212" t="s">
        <v>1891</v>
      </c>
      <c r="Z13" s="213"/>
      <c r="AA13" s="214" t="s">
        <v>1892</v>
      </c>
      <c r="AB13" s="215"/>
      <c r="AC13" s="216"/>
      <c r="AD13" s="25">
        <v>1</v>
      </c>
      <c r="AE13" s="27"/>
      <c r="AF13" s="27"/>
      <c r="AG13" s="26" t="s">
        <v>123</v>
      </c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41" t="s">
        <v>1997</v>
      </c>
      <c r="C14" s="19"/>
      <c r="D14" s="19"/>
      <c r="E14" s="19"/>
      <c r="F14" s="19"/>
      <c r="G14" s="19"/>
      <c r="H14" s="22"/>
      <c r="I14" s="64" t="str">
        <f>VLOOKUP(B14,項目一覧2!A:B,2,FALSE)</f>
        <v>bunrui_cd</v>
      </c>
      <c r="J14" s="33"/>
      <c r="K14" s="21"/>
      <c r="L14" s="21"/>
      <c r="M14" s="21"/>
      <c r="N14" s="21"/>
      <c r="O14" s="21"/>
      <c r="P14" s="21"/>
      <c r="Q14" s="32"/>
      <c r="R14" s="41" t="s">
        <v>1997</v>
      </c>
      <c r="S14" s="21"/>
      <c r="T14" s="33"/>
      <c r="U14" s="21"/>
      <c r="V14" s="21"/>
      <c r="W14" s="21"/>
      <c r="X14" s="22"/>
      <c r="Y14" s="212" t="s">
        <v>1891</v>
      </c>
      <c r="Z14" s="213"/>
      <c r="AA14" s="214" t="s">
        <v>1892</v>
      </c>
      <c r="AB14" s="215"/>
      <c r="AC14" s="216"/>
      <c r="AD14" s="25">
        <v>30</v>
      </c>
      <c r="AE14" s="27"/>
      <c r="AF14" s="27"/>
      <c r="AG14" s="26" t="s">
        <v>123</v>
      </c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 t="s">
        <v>1569</v>
      </c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1903</v>
      </c>
      <c r="C15" s="19"/>
      <c r="D15" s="19"/>
      <c r="E15" s="19"/>
      <c r="F15" s="19"/>
      <c r="G15" s="19"/>
      <c r="H15" s="22"/>
      <c r="I15" s="64" t="str">
        <f>VLOOKUP(B15,項目一覧2!A:B,2,FALSE)</f>
        <v>seihin_no</v>
      </c>
      <c r="J15" s="21"/>
      <c r="K15" s="21"/>
      <c r="L15" s="21"/>
      <c r="M15" s="21"/>
      <c r="N15" s="21"/>
      <c r="O15" s="21"/>
      <c r="P15" s="21"/>
      <c r="Q15" s="32"/>
      <c r="R15" s="18" t="s">
        <v>1560</v>
      </c>
      <c r="S15" s="21"/>
      <c r="T15" s="21"/>
      <c r="U15" s="21"/>
      <c r="V15" s="21"/>
      <c r="W15" s="21"/>
      <c r="X15" s="22"/>
      <c r="Y15" s="212" t="s">
        <v>1891</v>
      </c>
      <c r="Z15" s="213"/>
      <c r="AA15" s="214" t="s">
        <v>1892</v>
      </c>
      <c r="AB15" s="215"/>
      <c r="AC15" s="216"/>
      <c r="AD15" s="25">
        <v>5</v>
      </c>
      <c r="AE15" s="27"/>
      <c r="AF15" s="27"/>
      <c r="AG15" s="26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1904</v>
      </c>
      <c r="C16" s="19"/>
      <c r="D16" s="19"/>
      <c r="E16" s="19"/>
      <c r="F16" s="19"/>
      <c r="G16" s="19"/>
      <c r="H16" s="22"/>
      <c r="I16" s="64" t="str">
        <f>VLOOKUP(B16,項目一覧2!A:B,2,FALSE)</f>
        <v>hinshu_cd</v>
      </c>
      <c r="J16" s="21"/>
      <c r="K16" s="21"/>
      <c r="L16" s="21"/>
      <c r="M16" s="21"/>
      <c r="N16" s="21"/>
      <c r="O16" s="21"/>
      <c r="P16" s="21"/>
      <c r="Q16" s="32"/>
      <c r="R16" s="18" t="s">
        <v>156</v>
      </c>
      <c r="S16" s="21"/>
      <c r="T16" s="21"/>
      <c r="U16" s="21"/>
      <c r="V16" s="21"/>
      <c r="W16" s="21"/>
      <c r="X16" s="22"/>
      <c r="Y16" s="212" t="s">
        <v>1891</v>
      </c>
      <c r="Z16" s="213"/>
      <c r="AA16" s="214" t="s">
        <v>1892</v>
      </c>
      <c r="AB16" s="215"/>
      <c r="AC16" s="216"/>
      <c r="AD16" s="25">
        <v>20</v>
      </c>
      <c r="AE16" s="27"/>
      <c r="AF16" s="27"/>
      <c r="AG16" s="26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>
        <f>IF(B17="","",COUNTA($B$8:B17))</f>
        <v>10</v>
      </c>
      <c r="B17" s="18" t="s">
        <v>1905</v>
      </c>
      <c r="C17" s="19"/>
      <c r="D17" s="19"/>
      <c r="E17" s="19"/>
      <c r="F17" s="19"/>
      <c r="G17" s="19"/>
      <c r="H17" s="22"/>
      <c r="I17" s="64" t="str">
        <f>VLOOKUP(B17,項目一覧2!A:B,2,FALSE)</f>
        <v>hinmei</v>
      </c>
      <c r="J17" s="21"/>
      <c r="K17" s="21"/>
      <c r="L17" s="21"/>
      <c r="M17" s="21"/>
      <c r="N17" s="21"/>
      <c r="O17" s="21"/>
      <c r="P17" s="21"/>
      <c r="Q17" s="32"/>
      <c r="R17" s="18" t="s">
        <v>1561</v>
      </c>
      <c r="S17" s="21"/>
      <c r="T17" s="21"/>
      <c r="U17" s="21"/>
      <c r="V17" s="21"/>
      <c r="W17" s="21"/>
      <c r="X17" s="22"/>
      <c r="Y17" s="212" t="s">
        <v>1891</v>
      </c>
      <c r="Z17" s="213"/>
      <c r="AA17" s="214" t="s">
        <v>1892</v>
      </c>
      <c r="AB17" s="215"/>
      <c r="AC17" s="216"/>
      <c r="AD17" s="25">
        <v>30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41" t="s">
        <v>1783</v>
      </c>
      <c r="C18" s="39"/>
      <c r="D18" s="39"/>
      <c r="E18" s="39"/>
      <c r="F18" s="39"/>
      <c r="G18" s="39"/>
      <c r="H18" s="40"/>
      <c r="I18" s="64" t="str">
        <f>VLOOKUP(B18,項目一覧2!A:B,2,FALSE)</f>
        <v>sumpo</v>
      </c>
      <c r="J18" s="30"/>
      <c r="K18" s="30"/>
      <c r="L18" s="30"/>
      <c r="M18" s="30"/>
      <c r="N18" s="30"/>
      <c r="O18" s="30"/>
      <c r="P18" s="30"/>
      <c r="Q18" s="31"/>
      <c r="R18" s="41" t="s">
        <v>135</v>
      </c>
      <c r="S18" s="30"/>
      <c r="T18" s="30"/>
      <c r="U18" s="30"/>
      <c r="V18" s="30"/>
      <c r="W18" s="30"/>
      <c r="X18" s="30"/>
      <c r="Y18" s="212" t="s">
        <v>1901</v>
      </c>
      <c r="Z18" s="213"/>
      <c r="AA18" s="214" t="s">
        <v>1902</v>
      </c>
      <c r="AB18" s="215"/>
      <c r="AC18" s="216"/>
      <c r="AD18" s="25">
        <v>5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41" t="s">
        <v>1784</v>
      </c>
      <c r="C19" s="39"/>
      <c r="D19" s="39"/>
      <c r="E19" s="39"/>
      <c r="F19" s="39"/>
      <c r="G19" s="39"/>
      <c r="H19" s="40"/>
      <c r="I19" s="64" t="str">
        <f>VLOOKUP(B19,項目一覧2!A:B,2,FALSE)</f>
        <v>chodori_group</v>
      </c>
      <c r="J19" s="30"/>
      <c r="K19" s="30"/>
      <c r="L19" s="30"/>
      <c r="M19" s="30"/>
      <c r="N19" s="30"/>
      <c r="O19" s="30"/>
      <c r="P19" s="30"/>
      <c r="Q19" s="31"/>
      <c r="R19" s="41" t="s">
        <v>169</v>
      </c>
      <c r="S19" s="30"/>
      <c r="T19" s="30"/>
      <c r="U19" s="30"/>
      <c r="V19" s="30"/>
      <c r="W19" s="30"/>
      <c r="X19" s="30"/>
      <c r="Y19" s="212" t="s">
        <v>1891</v>
      </c>
      <c r="Z19" s="213"/>
      <c r="AA19" s="214" t="s">
        <v>1892</v>
      </c>
      <c r="AB19" s="215"/>
      <c r="AC19" s="216"/>
      <c r="AD19" s="25">
        <v>3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 t="s">
        <v>2048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>
        <f>IF(B20="","",COUNTA($B$8:B20))</f>
        <v>13</v>
      </c>
      <c r="B20" s="41" t="s">
        <v>1785</v>
      </c>
      <c r="C20" s="39"/>
      <c r="D20" s="39"/>
      <c r="E20" s="39"/>
      <c r="F20" s="39"/>
      <c r="G20" s="39"/>
      <c r="H20" s="40"/>
      <c r="I20" s="64" t="str">
        <f>VLOOKUP(B20,項目一覧2!A:B,2,FALSE)</f>
        <v xml:space="preserve">spec </v>
      </c>
      <c r="J20" s="30"/>
      <c r="K20" s="30"/>
      <c r="L20" s="30"/>
      <c r="M20" s="30"/>
      <c r="N20" s="30"/>
      <c r="O20" s="30"/>
      <c r="P20" s="30"/>
      <c r="Q20" s="31"/>
      <c r="R20" s="41" t="s">
        <v>136</v>
      </c>
      <c r="S20" s="30"/>
      <c r="T20" s="30"/>
      <c r="U20" s="30"/>
      <c r="V20" s="30"/>
      <c r="W20" s="30"/>
      <c r="X20" s="30"/>
      <c r="Y20" s="212" t="s">
        <v>1891</v>
      </c>
      <c r="Z20" s="213"/>
      <c r="AA20" s="214" t="s">
        <v>1892</v>
      </c>
      <c r="AB20" s="215"/>
      <c r="AC20" s="216"/>
      <c r="AD20" s="25">
        <v>30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41" t="s">
        <v>1789</v>
      </c>
      <c r="C21" s="39"/>
      <c r="D21" s="39"/>
      <c r="E21" s="39"/>
      <c r="F21" s="39"/>
      <c r="G21" s="39"/>
      <c r="H21" s="40"/>
      <c r="I21" s="64" t="str">
        <f>VLOOKUP(B21,項目一覧2!A:B,2,FALSE)</f>
        <v>suryo</v>
      </c>
      <c r="J21" s="30"/>
      <c r="K21" s="30"/>
      <c r="L21" s="30"/>
      <c r="M21" s="30"/>
      <c r="N21" s="30"/>
      <c r="O21" s="30"/>
      <c r="P21" s="30"/>
      <c r="Q21" s="31"/>
      <c r="R21" s="41" t="s">
        <v>112</v>
      </c>
      <c r="S21" s="30"/>
      <c r="T21" s="30"/>
      <c r="U21" s="30"/>
      <c r="V21" s="30"/>
      <c r="W21" s="30"/>
      <c r="X21" s="30"/>
      <c r="Y21" s="212" t="s">
        <v>1891</v>
      </c>
      <c r="Z21" s="213"/>
      <c r="AA21" s="214" t="s">
        <v>1902</v>
      </c>
      <c r="AB21" s="215"/>
      <c r="AC21" s="216"/>
      <c r="AD21" s="62">
        <v>5</v>
      </c>
      <c r="AE21" s="27"/>
      <c r="AF21" s="27"/>
      <c r="AG21" s="26" t="s">
        <v>123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>
        <f>IF(B22="","",COUNTA($B$8:B22))</f>
        <v>15</v>
      </c>
      <c r="B22" s="151" t="s">
        <v>1825</v>
      </c>
      <c r="C22" s="39"/>
      <c r="D22" s="39"/>
      <c r="E22" s="39"/>
      <c r="F22" s="39"/>
      <c r="G22" s="39"/>
      <c r="H22" s="40"/>
      <c r="I22" s="64" t="str">
        <f>VLOOKUP(B22,項目一覧2!A:B,2,FALSE)</f>
        <v>qty_unit_cd</v>
      </c>
      <c r="J22" s="30"/>
      <c r="K22" s="30"/>
      <c r="L22" s="30"/>
      <c r="M22" s="30"/>
      <c r="N22" s="30"/>
      <c r="O22" s="30"/>
      <c r="P22" s="30"/>
      <c r="Q22" s="31"/>
      <c r="R22" s="41" t="s">
        <v>167</v>
      </c>
      <c r="S22" s="30"/>
      <c r="T22" s="30"/>
      <c r="U22" s="30"/>
      <c r="V22" s="30"/>
      <c r="W22" s="30"/>
      <c r="X22" s="30"/>
      <c r="Y22" s="212" t="s">
        <v>1891</v>
      </c>
      <c r="Z22" s="213"/>
      <c r="AA22" s="214" t="s">
        <v>1892</v>
      </c>
      <c r="AB22" s="215"/>
      <c r="AC22" s="216"/>
      <c r="AD22" s="25">
        <v>4</v>
      </c>
      <c r="AE22" s="27"/>
      <c r="AF22" s="27"/>
      <c r="AG22" s="2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>
        <f>IF(B23="","",COUNTA($B$8:B23))</f>
        <v>16</v>
      </c>
      <c r="B23" s="41" t="s">
        <v>1978</v>
      </c>
      <c r="C23" s="39"/>
      <c r="D23" s="39"/>
      <c r="E23" s="39"/>
      <c r="F23" s="39"/>
      <c r="G23" s="39"/>
      <c r="H23" s="40"/>
      <c r="I23" s="64" t="str">
        <f>VLOOKUP(B23,項目一覧2!A:B,2,FALSE)</f>
        <v>hatchu_zan</v>
      </c>
      <c r="J23" s="30"/>
      <c r="K23" s="30"/>
      <c r="L23" s="30"/>
      <c r="M23" s="30"/>
      <c r="N23" s="30"/>
      <c r="O23" s="30"/>
      <c r="P23" s="30"/>
      <c r="Q23" s="31"/>
      <c r="R23" s="41" t="s">
        <v>1978</v>
      </c>
      <c r="S23" s="30"/>
      <c r="T23" s="30"/>
      <c r="U23" s="30"/>
      <c r="V23" s="30"/>
      <c r="W23" s="30"/>
      <c r="X23" s="30"/>
      <c r="Y23" s="212" t="s">
        <v>108</v>
      </c>
      <c r="Z23" s="213"/>
      <c r="AA23" s="214" t="s">
        <v>1771</v>
      </c>
      <c r="AB23" s="215"/>
      <c r="AC23" s="216"/>
      <c r="AD23" s="62">
        <v>5</v>
      </c>
      <c r="AE23" s="27"/>
      <c r="AF23" s="27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>
        <f>IF(B24="","",COUNTA($B$8:B24))</f>
        <v>17</v>
      </c>
      <c r="B24" s="169" t="s">
        <v>2004</v>
      </c>
      <c r="C24" s="158"/>
      <c r="D24" s="158"/>
      <c r="E24" s="19"/>
      <c r="F24" s="19"/>
      <c r="G24" s="19"/>
      <c r="H24" s="22"/>
      <c r="I24" s="64" t="str">
        <f>VLOOKUP(B24,項目一覧2!A:B,2,FALSE)</f>
        <v>notice</v>
      </c>
      <c r="J24" s="21"/>
      <c r="K24" s="21"/>
      <c r="L24" s="21"/>
      <c r="M24" s="21"/>
      <c r="N24" s="21"/>
      <c r="O24" s="21"/>
      <c r="P24" s="21"/>
      <c r="Q24" s="32"/>
      <c r="R24" s="20" t="s">
        <v>2004</v>
      </c>
      <c r="S24" s="21"/>
      <c r="T24" s="21"/>
      <c r="U24" s="21"/>
      <c r="V24" s="21"/>
      <c r="W24" s="21"/>
      <c r="X24" s="19"/>
      <c r="Y24" s="212" t="s">
        <v>56</v>
      </c>
      <c r="Z24" s="213"/>
      <c r="AA24" s="214" t="s">
        <v>1752</v>
      </c>
      <c r="AB24" s="215"/>
      <c r="AC24" s="216"/>
      <c r="AD24" s="25">
        <v>30</v>
      </c>
      <c r="AE24" s="26" t="s">
        <v>1893</v>
      </c>
      <c r="AF24" s="26"/>
      <c r="AG24" s="26"/>
      <c r="AH24" s="26"/>
      <c r="AI24" s="2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60"/>
    </row>
    <row r="25" spans="1:56" ht="15" customHeight="1" x14ac:dyDescent="0.3">
      <c r="A25" s="44">
        <f>IF(B25="","",COUNTA($B$8:B25))</f>
        <v>18</v>
      </c>
      <c r="B25" s="169" t="s">
        <v>2005</v>
      </c>
      <c r="C25" s="158"/>
      <c r="D25" s="158"/>
      <c r="E25" s="19"/>
      <c r="F25" s="19"/>
      <c r="G25" s="19"/>
      <c r="H25" s="22"/>
      <c r="I25" s="64" t="str">
        <f>VLOOKUP(B25,項目一覧2!A:B,2,FALSE)</f>
        <v>notice2</v>
      </c>
      <c r="J25" s="21"/>
      <c r="K25" s="21"/>
      <c r="L25" s="21"/>
      <c r="M25" s="21"/>
      <c r="N25" s="21"/>
      <c r="O25" s="21"/>
      <c r="P25" s="21"/>
      <c r="Q25" s="32"/>
      <c r="R25" s="20" t="s">
        <v>2005</v>
      </c>
      <c r="S25" s="21"/>
      <c r="T25" s="21"/>
      <c r="U25" s="21"/>
      <c r="V25" s="21"/>
      <c r="W25" s="21"/>
      <c r="X25" s="19"/>
      <c r="Y25" s="212" t="s">
        <v>56</v>
      </c>
      <c r="Z25" s="213"/>
      <c r="AA25" s="214" t="s">
        <v>1752</v>
      </c>
      <c r="AB25" s="215"/>
      <c r="AC25" s="216"/>
      <c r="AD25" s="25">
        <v>30</v>
      </c>
      <c r="AE25" s="26" t="s">
        <v>1893</v>
      </c>
      <c r="AF25" s="26"/>
      <c r="AG25" s="26"/>
      <c r="AH25" s="26"/>
      <c r="AI25" s="26"/>
      <c r="AJ25" s="26"/>
      <c r="AK25" s="26"/>
      <c r="AL25" s="26"/>
      <c r="AM25" s="26"/>
      <c r="AN25" s="26"/>
      <c r="AO25" s="27"/>
      <c r="AP25" s="27"/>
      <c r="AQ25" s="27"/>
      <c r="AR25" s="27"/>
      <c r="AS25" s="29" t="s">
        <v>1574</v>
      </c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60"/>
    </row>
    <row r="26" spans="1:56" ht="15" customHeight="1" x14ac:dyDescent="0.3">
      <c r="A26" s="44">
        <f>IF(B26="","",COUNTA($B$8:B26))</f>
        <v>19</v>
      </c>
      <c r="B26" s="41" t="s">
        <v>1791</v>
      </c>
      <c r="C26" s="19"/>
      <c r="D26" s="19"/>
      <c r="E26" s="19"/>
      <c r="F26" s="19"/>
      <c r="G26" s="19"/>
      <c r="H26" s="22"/>
      <c r="I26" s="64" t="str">
        <f>VLOOKUP(B26,項目一覧2!A:B,2,FALSE)</f>
        <v>biko</v>
      </c>
      <c r="J26" s="33"/>
      <c r="K26" s="21"/>
      <c r="L26" s="21"/>
      <c r="M26" s="21"/>
      <c r="N26" s="21"/>
      <c r="O26" s="21"/>
      <c r="P26" s="21"/>
      <c r="Q26" s="32"/>
      <c r="R26" s="41" t="s">
        <v>111</v>
      </c>
      <c r="S26" s="21"/>
      <c r="T26" s="33"/>
      <c r="U26" s="21"/>
      <c r="V26" s="21"/>
      <c r="W26" s="21"/>
      <c r="X26" s="22"/>
      <c r="Y26" s="212" t="s">
        <v>1891</v>
      </c>
      <c r="Z26" s="213"/>
      <c r="AA26" s="214" t="s">
        <v>1892</v>
      </c>
      <c r="AB26" s="215"/>
      <c r="AC26" s="216"/>
      <c r="AD26" s="25">
        <v>80</v>
      </c>
      <c r="AE26" s="26" t="s">
        <v>1893</v>
      </c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>
        <f>IF(B27="","",COUNTA($B$8:B27))</f>
        <v>20</v>
      </c>
      <c r="B27" s="41" t="s">
        <v>1793</v>
      </c>
      <c r="C27" s="19"/>
      <c r="D27" s="19"/>
      <c r="E27" s="19"/>
      <c r="F27" s="19"/>
      <c r="G27" s="19"/>
      <c r="H27" s="22"/>
      <c r="I27" s="64" t="str">
        <f>VLOOKUP(B27,項目一覧2!A:B,2,FALSE)</f>
        <v>renraku_jiko</v>
      </c>
      <c r="J27" s="33"/>
      <c r="K27" s="21"/>
      <c r="L27" s="21"/>
      <c r="M27" s="21"/>
      <c r="N27" s="21"/>
      <c r="O27" s="21"/>
      <c r="P27" s="21"/>
      <c r="Q27" s="32"/>
      <c r="R27" s="41" t="s">
        <v>137</v>
      </c>
      <c r="S27" s="21"/>
      <c r="T27" s="33"/>
      <c r="U27" s="21"/>
      <c r="V27" s="21"/>
      <c r="W27" s="21"/>
      <c r="X27" s="22"/>
      <c r="Y27" s="212" t="s">
        <v>1891</v>
      </c>
      <c r="Z27" s="213"/>
      <c r="AA27" s="214" t="s">
        <v>1892</v>
      </c>
      <c r="AB27" s="215"/>
      <c r="AC27" s="216"/>
      <c r="AD27" s="102">
        <v>100</v>
      </c>
      <c r="AE27" s="36" t="s">
        <v>1893</v>
      </c>
      <c r="AF27" s="36"/>
      <c r="AG27" s="36"/>
      <c r="AH27" s="36"/>
      <c r="AI27" s="3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160">
        <f>IF(B28="","",COUNTA($B$8:B28))</f>
        <v>21</v>
      </c>
      <c r="B28" s="161" t="s">
        <v>1906</v>
      </c>
      <c r="C28" s="162"/>
      <c r="D28" s="162"/>
      <c r="E28" s="162"/>
      <c r="F28" s="162"/>
      <c r="G28" s="162"/>
      <c r="H28" s="163"/>
      <c r="I28" s="164" t="str">
        <f>VLOOKUP(B28,項目一覧2!A:B,2,FALSE)</f>
        <v>henko_flg</v>
      </c>
      <c r="J28" s="165"/>
      <c r="K28" s="165"/>
      <c r="L28" s="165"/>
      <c r="M28" s="165"/>
      <c r="N28" s="165"/>
      <c r="O28" s="165"/>
      <c r="P28" s="165"/>
      <c r="Q28" s="166"/>
      <c r="R28" s="161" t="s">
        <v>1464</v>
      </c>
      <c r="S28" s="165"/>
      <c r="T28" s="165"/>
      <c r="U28" s="165"/>
      <c r="V28" s="165"/>
      <c r="W28" s="165"/>
      <c r="X28" s="165"/>
      <c r="Y28" s="266" t="s">
        <v>1891</v>
      </c>
      <c r="Z28" s="267"/>
      <c r="AA28" s="268" t="s">
        <v>1892</v>
      </c>
      <c r="AB28" s="269"/>
      <c r="AC28" s="270"/>
      <c r="AD28" s="167">
        <v>1</v>
      </c>
      <c r="AE28" s="168" t="s">
        <v>1893</v>
      </c>
      <c r="AF28" s="36"/>
      <c r="AG28" s="26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>
        <f>IF(B29="","",COUNTA($B$8:B29))</f>
        <v>22</v>
      </c>
      <c r="B29" s="41" t="s">
        <v>2025</v>
      </c>
      <c r="C29" s="39"/>
      <c r="D29" s="39"/>
      <c r="E29" s="39"/>
      <c r="F29" s="39"/>
      <c r="G29" s="39"/>
      <c r="H29" s="40"/>
      <c r="I29" s="64" t="str">
        <f>VLOOKUP(B29,項目一覧2!A:B,2,FALSE)</f>
        <v>henko_komoku_cd</v>
      </c>
      <c r="J29" s="30"/>
      <c r="K29" s="30"/>
      <c r="L29" s="30"/>
      <c r="M29" s="30"/>
      <c r="N29" s="30"/>
      <c r="O29" s="30"/>
      <c r="P29" s="30"/>
      <c r="Q29" s="31"/>
      <c r="R29" s="41" t="s">
        <v>2025</v>
      </c>
      <c r="S29" s="30"/>
      <c r="T29" s="30"/>
      <c r="U29" s="30"/>
      <c r="V29" s="30"/>
      <c r="W29" s="30"/>
      <c r="X29" s="30"/>
      <c r="Y29" s="212" t="s">
        <v>56</v>
      </c>
      <c r="Z29" s="213"/>
      <c r="AA29" s="214" t="s">
        <v>1752</v>
      </c>
      <c r="AB29" s="215"/>
      <c r="AC29" s="216"/>
      <c r="AD29" s="25">
        <v>30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 t="s">
        <v>2029</v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>
        <f>IF(B30="","",COUNTA($B$8:B30))</f>
        <v>23</v>
      </c>
      <c r="B30" s="41" t="s">
        <v>1797</v>
      </c>
      <c r="C30" s="39"/>
      <c r="D30" s="39"/>
      <c r="E30" s="39"/>
      <c r="F30" s="39"/>
      <c r="G30" s="39"/>
      <c r="H30" s="40"/>
      <c r="I30" s="64" t="str">
        <f>VLOOKUP(B30,項目一覧2!A:B,2,FALSE)</f>
        <v>henko_naiyo</v>
      </c>
      <c r="J30" s="30"/>
      <c r="K30" s="30"/>
      <c r="L30" s="30"/>
      <c r="M30" s="30"/>
      <c r="N30" s="30"/>
      <c r="O30" s="30"/>
      <c r="P30" s="30"/>
      <c r="Q30" s="31"/>
      <c r="R30" s="41" t="s">
        <v>1797</v>
      </c>
      <c r="S30" s="30"/>
      <c r="T30" s="30"/>
      <c r="U30" s="30"/>
      <c r="V30" s="30"/>
      <c r="W30" s="30"/>
      <c r="X30" s="30"/>
      <c r="Y30" s="212" t="s">
        <v>56</v>
      </c>
      <c r="Z30" s="213"/>
      <c r="AA30" s="214" t="s">
        <v>1752</v>
      </c>
      <c r="AB30" s="215"/>
      <c r="AC30" s="216"/>
      <c r="AD30" s="25">
        <v>100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>
        <f>IF(B31="","",COUNTA($B$8:B31))</f>
        <v>24</v>
      </c>
      <c r="B31" s="18" t="s">
        <v>1940</v>
      </c>
      <c r="C31" s="19"/>
      <c r="D31" s="19"/>
      <c r="E31" s="19"/>
      <c r="F31" s="19"/>
      <c r="G31" s="19"/>
      <c r="H31" s="22"/>
      <c r="I31" s="64" t="str">
        <f>VLOOKUP(B31,項目一覧2!A:B,2,FALSE)</f>
        <v>after_kibo_noki</v>
      </c>
      <c r="J31" s="33"/>
      <c r="K31" s="21"/>
      <c r="L31" s="21"/>
      <c r="M31" s="21"/>
      <c r="N31" s="21"/>
      <c r="O31" s="21"/>
      <c r="P31" s="21"/>
      <c r="Q31" s="32"/>
      <c r="R31" s="18" t="s">
        <v>176</v>
      </c>
      <c r="S31" s="21"/>
      <c r="T31" s="33"/>
      <c r="U31" s="21"/>
      <c r="V31" s="21"/>
      <c r="W31" s="21"/>
      <c r="X31" s="22"/>
      <c r="Y31" s="212" t="s">
        <v>1894</v>
      </c>
      <c r="Z31" s="213"/>
      <c r="AA31" s="214" t="s">
        <v>1895</v>
      </c>
      <c r="AB31" s="215"/>
      <c r="AC31" s="216"/>
      <c r="AD31" s="25"/>
      <c r="AE31" s="27"/>
      <c r="AF31" s="27"/>
      <c r="AG31" s="26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>
        <f>IF(B32="","",COUNTA($B$8:B32))</f>
        <v>25</v>
      </c>
      <c r="B32" s="41" t="s">
        <v>1941</v>
      </c>
      <c r="C32" s="39"/>
      <c r="D32" s="39"/>
      <c r="E32" s="39"/>
      <c r="F32" s="39"/>
      <c r="G32" s="39"/>
      <c r="H32" s="40"/>
      <c r="I32" s="64" t="str">
        <f>VLOOKUP(B32,項目一覧2!A:B,2,FALSE)</f>
        <v>after_qty</v>
      </c>
      <c r="J32" s="30"/>
      <c r="K32" s="30"/>
      <c r="L32" s="30"/>
      <c r="M32" s="30"/>
      <c r="N32" s="30"/>
      <c r="O32" s="30"/>
      <c r="P32" s="30"/>
      <c r="Q32" s="31"/>
      <c r="R32" s="41" t="s">
        <v>112</v>
      </c>
      <c r="S32" s="30"/>
      <c r="T32" s="30"/>
      <c r="U32" s="30"/>
      <c r="V32" s="30"/>
      <c r="W32" s="30"/>
      <c r="X32" s="30"/>
      <c r="Y32" s="212" t="s">
        <v>1891</v>
      </c>
      <c r="Z32" s="213"/>
      <c r="AA32" s="214" t="s">
        <v>1902</v>
      </c>
      <c r="AB32" s="215"/>
      <c r="AC32" s="216"/>
      <c r="AD32" s="62">
        <v>5</v>
      </c>
      <c r="AE32" s="27"/>
      <c r="AF32" s="27"/>
      <c r="AG32" s="2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160">
        <f>IF(B33="","",COUNTA($B$8:B33))</f>
        <v>26</v>
      </c>
      <c r="B33" s="161" t="s">
        <v>1942</v>
      </c>
      <c r="C33" s="162"/>
      <c r="D33" s="162"/>
      <c r="E33" s="162"/>
      <c r="F33" s="162"/>
      <c r="G33" s="162"/>
      <c r="H33" s="163"/>
      <c r="I33" s="164" t="str">
        <f>VLOOKUP(B33,項目一覧2!A:B,2,FALSE)</f>
        <v>after_qty_unit</v>
      </c>
      <c r="J33" s="165"/>
      <c r="K33" s="165"/>
      <c r="L33" s="165"/>
      <c r="M33" s="165"/>
      <c r="N33" s="165"/>
      <c r="O33" s="165"/>
      <c r="P33" s="165"/>
      <c r="Q33" s="166"/>
      <c r="R33" s="161" t="s">
        <v>167</v>
      </c>
      <c r="S33" s="165"/>
      <c r="T33" s="165"/>
      <c r="U33" s="165"/>
      <c r="V33" s="165"/>
      <c r="W33" s="165"/>
      <c r="X33" s="165"/>
      <c r="Y33" s="266" t="s">
        <v>1891</v>
      </c>
      <c r="Z33" s="267"/>
      <c r="AA33" s="268" t="s">
        <v>1892</v>
      </c>
      <c r="AB33" s="269"/>
      <c r="AC33" s="270"/>
      <c r="AD33" s="167">
        <v>4</v>
      </c>
      <c r="AE33" s="27"/>
      <c r="AF33" s="27"/>
      <c r="AG33" s="26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>
        <f>IF(B34="","",COUNTA($B$8:B34))</f>
        <v>27</v>
      </c>
      <c r="B34" s="41" t="s">
        <v>2023</v>
      </c>
      <c r="C34" s="39"/>
      <c r="D34" s="39"/>
      <c r="E34" s="39"/>
      <c r="F34" s="39"/>
      <c r="G34" s="39"/>
      <c r="H34" s="39"/>
      <c r="I34" s="64" t="str">
        <f>VLOOKUP(B34,項目一覧2!A:B,2,FALSE)</f>
        <v>file_seq</v>
      </c>
      <c r="J34" s="30"/>
      <c r="K34" s="30"/>
      <c r="L34" s="30"/>
      <c r="M34" s="30"/>
      <c r="N34" s="30"/>
      <c r="O34" s="30"/>
      <c r="P34" s="30"/>
      <c r="Q34" s="30"/>
      <c r="R34" s="41" t="s">
        <v>2023</v>
      </c>
      <c r="S34" s="39"/>
      <c r="T34" s="39"/>
      <c r="U34" s="39"/>
      <c r="V34" s="39"/>
      <c r="W34" s="39"/>
      <c r="X34" s="39"/>
      <c r="Y34" s="212" t="s">
        <v>1770</v>
      </c>
      <c r="Z34" s="213"/>
      <c r="AA34" s="214" t="s">
        <v>1771</v>
      </c>
      <c r="AB34" s="215"/>
      <c r="AC34" s="216"/>
      <c r="AD34" s="25">
        <v>5</v>
      </c>
      <c r="AE34" s="27"/>
      <c r="AF34" s="27"/>
      <c r="AG34" s="26"/>
      <c r="AH34" s="27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s="138" customFormat="1" ht="15" customHeight="1" x14ac:dyDescent="0.3">
      <c r="A35" s="44">
        <f>IF(B35="","",COUNTA($B$8:B35))</f>
        <v>28</v>
      </c>
      <c r="B35" s="126" t="s">
        <v>1998</v>
      </c>
      <c r="C35" s="127"/>
      <c r="D35" s="127"/>
      <c r="E35" s="127"/>
      <c r="F35" s="127"/>
      <c r="G35" s="127"/>
      <c r="H35" s="128"/>
      <c r="I35" s="114" t="str">
        <f>VLOOKUP(B35,項目一覧2!A:B,2,FALSE)</f>
        <v>bucho_shonin_flg</v>
      </c>
      <c r="J35" s="115"/>
      <c r="K35" s="115"/>
      <c r="L35" s="115"/>
      <c r="M35" s="115"/>
      <c r="N35" s="115"/>
      <c r="O35" s="115"/>
      <c r="P35" s="115"/>
      <c r="Q35" s="129"/>
      <c r="R35" s="126" t="s">
        <v>1998</v>
      </c>
      <c r="S35" s="115"/>
      <c r="T35" s="115"/>
      <c r="U35" s="115"/>
      <c r="V35" s="115"/>
      <c r="W35" s="115"/>
      <c r="X35" s="115"/>
      <c r="Y35" s="218" t="s">
        <v>56</v>
      </c>
      <c r="Z35" s="265"/>
      <c r="AA35" s="220" t="s">
        <v>1752</v>
      </c>
      <c r="AB35" s="221"/>
      <c r="AC35" s="222"/>
      <c r="AD35" s="119">
        <v>1</v>
      </c>
      <c r="AE35" s="144" t="s">
        <v>1893</v>
      </c>
      <c r="AF35" s="144"/>
      <c r="AG35" s="120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6" t="s">
        <v>1999</v>
      </c>
      <c r="AT35" s="123"/>
      <c r="AU35" s="123"/>
      <c r="AV35" s="123"/>
      <c r="AW35" s="123"/>
      <c r="AX35" s="136"/>
      <c r="AY35" s="136"/>
      <c r="AZ35" s="136"/>
      <c r="BA35" s="136"/>
      <c r="BB35" s="136"/>
      <c r="BC35" s="136"/>
      <c r="BD35" s="137"/>
    </row>
    <row r="36" spans="1:56" ht="15" customHeight="1" x14ac:dyDescent="0.3">
      <c r="A36" s="44">
        <f>IF(B36="","",COUNTA($B$8:B36))</f>
        <v>29</v>
      </c>
      <c r="B36" s="20" t="s">
        <v>1939</v>
      </c>
      <c r="C36" s="21"/>
      <c r="D36" s="21"/>
      <c r="E36" s="21"/>
      <c r="F36" s="21"/>
      <c r="G36" s="21"/>
      <c r="H36" s="32"/>
      <c r="I36" s="64" t="str">
        <f>VLOOKUP(B36,項目一覧2!A:B,2,FALSE)</f>
        <v>seisan_keikaku_no</v>
      </c>
      <c r="J36" s="21"/>
      <c r="K36" s="21"/>
      <c r="L36" s="21"/>
      <c r="M36" s="21"/>
      <c r="N36" s="21"/>
      <c r="O36" s="21"/>
      <c r="P36" s="21"/>
      <c r="Q36" s="32"/>
      <c r="R36" s="20" t="s">
        <v>1939</v>
      </c>
      <c r="S36" s="21"/>
      <c r="T36" s="21"/>
      <c r="U36" s="21"/>
      <c r="V36" s="21"/>
      <c r="W36" s="21"/>
      <c r="X36" s="22"/>
      <c r="Y36" s="212" t="s">
        <v>113</v>
      </c>
      <c r="Z36" s="213"/>
      <c r="AA36" s="214" t="s">
        <v>107</v>
      </c>
      <c r="AB36" s="215"/>
      <c r="AC36" s="216"/>
      <c r="AD36" s="25">
        <v>15</v>
      </c>
      <c r="AE36" s="36"/>
      <c r="AF36" s="3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>
        <f>IF(B37="","",COUNTA($B$8:B37))</f>
        <v>30</v>
      </c>
      <c r="B37" s="18" t="s">
        <v>1988</v>
      </c>
      <c r="C37" s="19"/>
      <c r="D37" s="39"/>
      <c r="E37" s="39"/>
      <c r="F37" s="39"/>
      <c r="G37" s="39"/>
      <c r="H37" s="40"/>
      <c r="I37" s="64" t="str">
        <f>VLOOKUP(B37,項目一覧2!A:B,2,FALSE)</f>
        <v>hatchu_tantosya_cd</v>
      </c>
      <c r="J37" s="21"/>
      <c r="K37" s="30"/>
      <c r="L37" s="30"/>
      <c r="M37" s="30"/>
      <c r="N37" s="30"/>
      <c r="O37" s="30"/>
      <c r="P37" s="30"/>
      <c r="Q37" s="31"/>
      <c r="R37" s="30" t="s">
        <v>1988</v>
      </c>
      <c r="S37" s="30"/>
      <c r="T37" s="30"/>
      <c r="U37" s="30"/>
      <c r="V37" s="30"/>
      <c r="W37" s="30"/>
      <c r="X37" s="30"/>
      <c r="Y37" s="212" t="s">
        <v>56</v>
      </c>
      <c r="Z37" s="213"/>
      <c r="AA37" s="214" t="s">
        <v>1752</v>
      </c>
      <c r="AB37" s="215"/>
      <c r="AC37" s="216"/>
      <c r="AD37" s="28">
        <v>10</v>
      </c>
      <c r="AE37" s="27"/>
      <c r="AF37" s="27"/>
      <c r="AG37" s="150"/>
      <c r="AH37" s="26"/>
      <c r="AI37" s="26"/>
      <c r="AJ37" s="26"/>
      <c r="AK37" s="26"/>
      <c r="AL37" s="26"/>
      <c r="AM37" s="26"/>
      <c r="AN37" s="26"/>
      <c r="AO37" s="27"/>
      <c r="AP37" s="27"/>
      <c r="AQ37" s="27"/>
      <c r="AR37" s="27"/>
      <c r="AS37" s="29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>
        <f>IF(B38="","",COUNTA($B$8:B38))</f>
        <v>31</v>
      </c>
      <c r="B38" s="18" t="s">
        <v>1800</v>
      </c>
      <c r="C38" s="19"/>
      <c r="D38" s="19"/>
      <c r="E38" s="19"/>
      <c r="F38" s="19"/>
      <c r="G38" s="19"/>
      <c r="H38" s="22"/>
      <c r="I38" s="64" t="str">
        <f>VLOOKUP(B38,項目一覧2!A:B,2,FALSE)</f>
        <v>hatchu_shukan_busho_cd</v>
      </c>
      <c r="J38" s="21"/>
      <c r="K38" s="21"/>
      <c r="L38" s="21"/>
      <c r="M38" s="21"/>
      <c r="N38" s="21"/>
      <c r="O38" s="21"/>
      <c r="P38" s="21"/>
      <c r="Q38" s="32"/>
      <c r="R38" s="18" t="s">
        <v>180</v>
      </c>
      <c r="S38" s="21"/>
      <c r="T38" s="21"/>
      <c r="U38" s="21"/>
      <c r="V38" s="21"/>
      <c r="W38" s="21"/>
      <c r="X38" s="22"/>
      <c r="Y38" s="212" t="s">
        <v>56</v>
      </c>
      <c r="Z38" s="213"/>
      <c r="AA38" s="214" t="s">
        <v>1892</v>
      </c>
      <c r="AB38" s="215"/>
      <c r="AC38" s="216"/>
      <c r="AD38" s="25">
        <v>4</v>
      </c>
      <c r="AE38" s="26" t="s">
        <v>1893</v>
      </c>
      <c r="AF38" s="26"/>
      <c r="AG38" s="26"/>
      <c r="AH38" s="26"/>
      <c r="AI38" s="26"/>
      <c r="AJ38" s="26"/>
      <c r="AK38" s="26"/>
      <c r="AL38" s="26"/>
      <c r="AM38" s="26"/>
      <c r="AN38" s="26"/>
      <c r="AO38" s="27"/>
      <c r="AP38" s="27"/>
      <c r="AQ38" s="27"/>
      <c r="AR38" s="27"/>
      <c r="AS38" s="2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60"/>
    </row>
    <row r="39" spans="1:56" ht="15" customHeight="1" x14ac:dyDescent="0.3">
      <c r="A39" s="44">
        <f>IF(B39="","",COUNTA($B$8:B39))</f>
        <v>32</v>
      </c>
      <c r="B39" s="18" t="s">
        <v>1801</v>
      </c>
      <c r="C39" s="19"/>
      <c r="D39" s="19"/>
      <c r="E39" s="19"/>
      <c r="F39" s="19"/>
      <c r="G39" s="19"/>
      <c r="H39" s="22"/>
      <c r="I39" s="64" t="str">
        <f>VLOOKUP(B39,項目一覧2!A:B,2,FALSE)</f>
        <v>hatchu_shukan_kotei_cd</v>
      </c>
      <c r="J39" s="21"/>
      <c r="K39" s="21"/>
      <c r="L39" s="21"/>
      <c r="M39" s="21"/>
      <c r="N39" s="21"/>
      <c r="O39" s="21"/>
      <c r="P39" s="21"/>
      <c r="Q39" s="32"/>
      <c r="R39" s="18" t="s">
        <v>181</v>
      </c>
      <c r="S39" s="21"/>
      <c r="T39" s="21"/>
      <c r="U39" s="21"/>
      <c r="V39" s="21"/>
      <c r="W39" s="21"/>
      <c r="X39" s="22"/>
      <c r="Y39" s="212" t="s">
        <v>56</v>
      </c>
      <c r="Z39" s="213"/>
      <c r="AA39" s="214" t="s">
        <v>1892</v>
      </c>
      <c r="AB39" s="215"/>
      <c r="AC39" s="216"/>
      <c r="AD39" s="25">
        <v>4</v>
      </c>
      <c r="AE39" s="26" t="s">
        <v>1893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7"/>
      <c r="AP39" s="27"/>
      <c r="AQ39" s="27"/>
      <c r="AR39" s="27"/>
      <c r="AS39" s="2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60"/>
    </row>
    <row r="40" spans="1:56" ht="15" customHeight="1" x14ac:dyDescent="0.3">
      <c r="A40" s="44">
        <f>IF(B40="","",COUNTA($B$8:B40))</f>
        <v>33</v>
      </c>
      <c r="B40" s="18" t="s">
        <v>142</v>
      </c>
      <c r="C40" s="19"/>
      <c r="D40" s="19"/>
      <c r="E40" s="19"/>
      <c r="F40" s="19"/>
      <c r="G40" s="19"/>
      <c r="H40" s="22"/>
      <c r="I40" s="64" t="str">
        <f>VLOOKUP(B40,項目一覧2!A:B,2,FALSE)</f>
        <v>shukan_busho_cd</v>
      </c>
      <c r="J40" s="21"/>
      <c r="K40" s="21"/>
      <c r="L40" s="21"/>
      <c r="M40" s="21"/>
      <c r="N40" s="21"/>
      <c r="O40" s="21"/>
      <c r="P40" s="21"/>
      <c r="Q40" s="32"/>
      <c r="R40" s="18" t="s">
        <v>144</v>
      </c>
      <c r="S40" s="21"/>
      <c r="T40" s="21"/>
      <c r="U40" s="21"/>
      <c r="V40" s="21"/>
      <c r="W40" s="21"/>
      <c r="X40" s="22"/>
      <c r="Y40" s="212" t="s">
        <v>56</v>
      </c>
      <c r="Z40" s="213"/>
      <c r="AA40" s="214" t="s">
        <v>1892</v>
      </c>
      <c r="AB40" s="215"/>
      <c r="AC40" s="216"/>
      <c r="AD40" s="25">
        <v>4</v>
      </c>
      <c r="AE40" s="26" t="s">
        <v>1893</v>
      </c>
      <c r="AF40" s="26"/>
      <c r="AG40" s="26"/>
      <c r="AH40" s="26"/>
      <c r="AI40" s="26"/>
      <c r="AJ40" s="26"/>
      <c r="AK40" s="26"/>
      <c r="AL40" s="26"/>
      <c r="AM40" s="26"/>
      <c r="AN40" s="26"/>
      <c r="AO40" s="27"/>
      <c r="AP40" s="27"/>
      <c r="AQ40" s="27"/>
      <c r="AR40" s="27"/>
      <c r="AS40" s="2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60"/>
    </row>
    <row r="41" spans="1:56" ht="15" customHeight="1" x14ac:dyDescent="0.3">
      <c r="A41" s="44">
        <f>IF(B41="","",COUNTA($B$8:B41))</f>
        <v>34</v>
      </c>
      <c r="B41" s="18" t="s">
        <v>387</v>
      </c>
      <c r="C41" s="19"/>
      <c r="D41" s="19"/>
      <c r="E41" s="19"/>
      <c r="F41" s="19"/>
      <c r="G41" s="19"/>
      <c r="H41" s="22"/>
      <c r="I41" s="64" t="str">
        <f>VLOOKUP(B41,項目一覧2!A:B,2,FALSE)</f>
        <v>shukan_kotei_cd</v>
      </c>
      <c r="J41" s="21"/>
      <c r="K41" s="21"/>
      <c r="L41" s="21"/>
      <c r="M41" s="21"/>
      <c r="N41" s="21"/>
      <c r="O41" s="21"/>
      <c r="P41" s="21"/>
      <c r="Q41" s="32"/>
      <c r="R41" s="18" t="s">
        <v>143</v>
      </c>
      <c r="S41" s="21"/>
      <c r="T41" s="21"/>
      <c r="U41" s="21"/>
      <c r="V41" s="21"/>
      <c r="W41" s="21"/>
      <c r="X41" s="22"/>
      <c r="Y41" s="212" t="s">
        <v>56</v>
      </c>
      <c r="Z41" s="213"/>
      <c r="AA41" s="214" t="s">
        <v>1892</v>
      </c>
      <c r="AB41" s="215"/>
      <c r="AC41" s="216"/>
      <c r="AD41" s="25">
        <v>4</v>
      </c>
      <c r="AE41" s="26" t="s">
        <v>1893</v>
      </c>
      <c r="AF41" s="26"/>
      <c r="AG41" s="26"/>
      <c r="AH41" s="26"/>
      <c r="AI41" s="26"/>
      <c r="AJ41" s="26"/>
      <c r="AK41" s="26"/>
      <c r="AL41" s="26"/>
      <c r="AM41" s="26"/>
      <c r="AN41" s="26"/>
      <c r="AO41" s="27"/>
      <c r="AP41" s="27"/>
      <c r="AQ41" s="27"/>
      <c r="AR41" s="27"/>
      <c r="AS41" s="2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60"/>
    </row>
    <row r="42" spans="1:56" ht="15" customHeight="1" x14ac:dyDescent="0.3">
      <c r="A42" s="159">
        <f>IF(B42="","",COUNTA($B$8:B42))</f>
        <v>35</v>
      </c>
      <c r="B42" s="169" t="s">
        <v>2052</v>
      </c>
      <c r="C42" s="157"/>
      <c r="D42" s="157"/>
      <c r="E42" s="157"/>
      <c r="F42" s="157"/>
      <c r="G42" s="157"/>
      <c r="H42" s="285"/>
      <c r="I42" s="156" t="str">
        <f>VLOOKUP(B42,項目一覧2!A:B,2,FALSE)</f>
        <v>delete_flg</v>
      </c>
      <c r="J42" s="157"/>
      <c r="K42" s="157"/>
      <c r="L42" s="157"/>
      <c r="M42" s="157"/>
      <c r="N42" s="157"/>
      <c r="O42" s="157"/>
      <c r="P42" s="157"/>
      <c r="Q42" s="285"/>
      <c r="R42" s="169" t="s">
        <v>2052</v>
      </c>
      <c r="S42" s="157"/>
      <c r="T42" s="157"/>
      <c r="U42" s="157"/>
      <c r="V42" s="157"/>
      <c r="W42" s="157"/>
      <c r="X42" s="286"/>
      <c r="Y42" s="271" t="s">
        <v>113</v>
      </c>
      <c r="Z42" s="272"/>
      <c r="AA42" s="273" t="s">
        <v>107</v>
      </c>
      <c r="AB42" s="274"/>
      <c r="AC42" s="275"/>
      <c r="AD42" s="102">
        <v>15</v>
      </c>
      <c r="AE42" s="36"/>
      <c r="AF42" s="36"/>
      <c r="AG42" s="26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>
        <f>IF(B43="","",COUNTA($B$8:B43))</f>
        <v>36</v>
      </c>
      <c r="B43" s="18" t="s">
        <v>1762</v>
      </c>
      <c r="C43" s="19"/>
      <c r="D43" s="39"/>
      <c r="E43" s="39"/>
      <c r="F43" s="39"/>
      <c r="G43" s="39"/>
      <c r="H43" s="40"/>
      <c r="I43" s="64" t="str">
        <f>VLOOKUP(B43,項目一覧2!A:B,2,FALSE)</f>
        <v>insert_func_cd</v>
      </c>
      <c r="J43" s="30"/>
      <c r="K43" s="30"/>
      <c r="L43" s="30"/>
      <c r="M43" s="30"/>
      <c r="N43" s="30"/>
      <c r="O43" s="30"/>
      <c r="P43" s="30"/>
      <c r="Q43" s="31"/>
      <c r="R43" s="30" t="s">
        <v>118</v>
      </c>
      <c r="S43" s="30"/>
      <c r="T43" s="30"/>
      <c r="U43" s="30"/>
      <c r="V43" s="30"/>
      <c r="W43" s="30"/>
      <c r="X43" s="30"/>
      <c r="Y43" s="212" t="s">
        <v>1891</v>
      </c>
      <c r="Z43" s="213"/>
      <c r="AA43" s="214" t="s">
        <v>1892</v>
      </c>
      <c r="AB43" s="215"/>
      <c r="AC43" s="216"/>
      <c r="AD43" s="43">
        <v>10</v>
      </c>
      <c r="AE43" s="27"/>
      <c r="AF43" s="27"/>
      <c r="AG43" s="27" t="s">
        <v>123</v>
      </c>
      <c r="AH43" s="36"/>
      <c r="AI43" s="36"/>
      <c r="AJ43" s="36"/>
      <c r="AK43" s="36"/>
      <c r="AL43" s="36"/>
      <c r="AM43" s="36"/>
      <c r="AN43" s="36"/>
      <c r="AO43" s="37"/>
      <c r="AP43" s="37"/>
      <c r="AQ43" s="37"/>
      <c r="AR43" s="37"/>
      <c r="AS43" s="38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>
        <f>IF(B44="","",COUNTA($B$8:B44))</f>
        <v>37</v>
      </c>
      <c r="B44" s="18" t="s">
        <v>508</v>
      </c>
      <c r="C44" s="19"/>
      <c r="D44" s="39"/>
      <c r="E44" s="39"/>
      <c r="F44" s="39"/>
      <c r="G44" s="39"/>
      <c r="H44" s="40"/>
      <c r="I44" s="64" t="str">
        <f>VLOOKUP(B44,項目一覧2!A:B,2,FALSE)</f>
        <v>insert_user_cd</v>
      </c>
      <c r="J44" s="21"/>
      <c r="K44" s="30"/>
      <c r="L44" s="30"/>
      <c r="M44" s="30"/>
      <c r="N44" s="30"/>
      <c r="O44" s="30"/>
      <c r="P44" s="30"/>
      <c r="Q44" s="31"/>
      <c r="R44" s="30" t="s">
        <v>114</v>
      </c>
      <c r="S44" s="30"/>
      <c r="T44" s="30"/>
      <c r="U44" s="30"/>
      <c r="V44" s="30"/>
      <c r="W44" s="30"/>
      <c r="X44" s="30"/>
      <c r="Y44" s="212" t="s">
        <v>1891</v>
      </c>
      <c r="Z44" s="213"/>
      <c r="AA44" s="214" t="s">
        <v>1892</v>
      </c>
      <c r="AB44" s="215"/>
      <c r="AC44" s="216"/>
      <c r="AD44" s="28">
        <v>10</v>
      </c>
      <c r="AE44" s="27"/>
      <c r="AF44" s="27"/>
      <c r="AG44" s="27" t="s">
        <v>123</v>
      </c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>
        <f>IF(B45="","",COUNTA($B$8:B45))</f>
        <v>38</v>
      </c>
      <c r="B45" s="18" t="s">
        <v>1897</v>
      </c>
      <c r="C45" s="19"/>
      <c r="D45" s="39"/>
      <c r="E45" s="39"/>
      <c r="F45" s="39"/>
      <c r="G45" s="39"/>
      <c r="H45" s="40"/>
      <c r="I45" s="64" t="str">
        <f>VLOOKUP(B45,項目一覧2!A:B,2,FALSE)</f>
        <v>insert_datetime</v>
      </c>
      <c r="J45" s="21"/>
      <c r="K45" s="30"/>
      <c r="L45" s="30"/>
      <c r="M45" s="30"/>
      <c r="N45" s="30"/>
      <c r="O45" s="30"/>
      <c r="P45" s="30"/>
      <c r="Q45" s="31"/>
      <c r="R45" s="30" t="s">
        <v>115</v>
      </c>
      <c r="S45" s="30"/>
      <c r="T45" s="30"/>
      <c r="U45" s="30"/>
      <c r="V45" s="30"/>
      <c r="W45" s="30"/>
      <c r="X45" s="30"/>
      <c r="Y45" s="212" t="s">
        <v>1894</v>
      </c>
      <c r="Z45" s="213"/>
      <c r="AA45" s="214" t="s">
        <v>1895</v>
      </c>
      <c r="AB45" s="215"/>
      <c r="AC45" s="216"/>
      <c r="AD45" s="28"/>
      <c r="AE45" s="27"/>
      <c r="AF45" s="27"/>
      <c r="AG45" s="27" t="s">
        <v>123</v>
      </c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>
        <f>IF(B46="","",COUNTA($B$8:B46))</f>
        <v>39</v>
      </c>
      <c r="B46" s="97" t="s">
        <v>1766</v>
      </c>
      <c r="C46" s="19"/>
      <c r="D46" s="39"/>
      <c r="E46" s="39"/>
      <c r="F46" s="39"/>
      <c r="G46" s="39"/>
      <c r="H46" s="40"/>
      <c r="I46" s="64" t="str">
        <f>VLOOKUP(B46,項目一覧2!A:B,2,FALSE)</f>
        <v>update_func_cd</v>
      </c>
      <c r="J46" s="21"/>
      <c r="K46" s="30"/>
      <c r="L46" s="30"/>
      <c r="M46" s="30"/>
      <c r="N46" s="30"/>
      <c r="O46" s="30"/>
      <c r="P46" s="30"/>
      <c r="Q46" s="31"/>
      <c r="R46" s="30" t="s">
        <v>119</v>
      </c>
      <c r="S46" s="30"/>
      <c r="T46" s="30"/>
      <c r="U46" s="30"/>
      <c r="V46" s="30"/>
      <c r="W46" s="30"/>
      <c r="X46" s="30"/>
      <c r="Y46" s="212" t="s">
        <v>1891</v>
      </c>
      <c r="Z46" s="213"/>
      <c r="AA46" s="214" t="s">
        <v>1892</v>
      </c>
      <c r="AB46" s="215"/>
      <c r="AC46" s="216"/>
      <c r="AD46" s="28">
        <v>10</v>
      </c>
      <c r="AE46" s="27"/>
      <c r="AF46" s="27"/>
      <c r="AG46" s="27" t="s">
        <v>123</v>
      </c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>
        <f>IF(B47="","",COUNTA($B$8:B47))</f>
        <v>40</v>
      </c>
      <c r="B47" s="18" t="s">
        <v>1899</v>
      </c>
      <c r="C47" s="19"/>
      <c r="D47" s="19"/>
      <c r="E47" s="19"/>
      <c r="F47" s="19"/>
      <c r="G47" s="19"/>
      <c r="H47" s="22"/>
      <c r="I47" s="64" t="str">
        <f>VLOOKUP(B47,項目一覧2!A:B,2,FALSE)</f>
        <v>update_user_cd</v>
      </c>
      <c r="J47" s="33"/>
      <c r="K47" s="21"/>
      <c r="L47" s="21"/>
      <c r="M47" s="21"/>
      <c r="N47" s="21"/>
      <c r="O47" s="21"/>
      <c r="P47" s="21"/>
      <c r="Q47" s="32"/>
      <c r="R47" s="21" t="s">
        <v>116</v>
      </c>
      <c r="S47" s="21"/>
      <c r="T47" s="33"/>
      <c r="U47" s="21"/>
      <c r="V47" s="21"/>
      <c r="W47" s="21"/>
      <c r="X47" s="22"/>
      <c r="Y47" s="212" t="s">
        <v>1891</v>
      </c>
      <c r="Z47" s="213"/>
      <c r="AA47" s="214" t="s">
        <v>1892</v>
      </c>
      <c r="AB47" s="215"/>
      <c r="AC47" s="216"/>
      <c r="AD47" s="25">
        <v>10</v>
      </c>
      <c r="AE47" s="26" t="s">
        <v>1893</v>
      </c>
      <c r="AF47" s="26"/>
      <c r="AG47" s="26" t="s">
        <v>123</v>
      </c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>
        <f>IF(B48="","",COUNTA($B$8:B48))</f>
        <v>41</v>
      </c>
      <c r="B48" s="18" t="s">
        <v>1900</v>
      </c>
      <c r="C48" s="19"/>
      <c r="D48" s="19"/>
      <c r="E48" s="19"/>
      <c r="F48" s="19"/>
      <c r="G48" s="19"/>
      <c r="H48" s="22"/>
      <c r="I48" s="64" t="str">
        <f>VLOOKUP(B48,項目一覧2!A:B,2,FALSE)</f>
        <v>update_datetime</v>
      </c>
      <c r="J48" s="33"/>
      <c r="K48" s="21"/>
      <c r="L48" s="21"/>
      <c r="M48" s="21"/>
      <c r="N48" s="21"/>
      <c r="O48" s="21"/>
      <c r="P48" s="21"/>
      <c r="Q48" s="32"/>
      <c r="R48" s="21" t="s">
        <v>117</v>
      </c>
      <c r="S48" s="21"/>
      <c r="T48" s="33"/>
      <c r="U48" s="21"/>
      <c r="V48" s="21"/>
      <c r="W48" s="21"/>
      <c r="X48" s="22"/>
      <c r="Y48" s="212" t="s">
        <v>1894</v>
      </c>
      <c r="Z48" s="213"/>
      <c r="AA48" s="214" t="s">
        <v>1895</v>
      </c>
      <c r="AB48" s="215"/>
      <c r="AC48" s="216"/>
      <c r="AD48" s="25"/>
      <c r="AE48" s="36" t="s">
        <v>1893</v>
      </c>
      <c r="AF48" s="36"/>
      <c r="AG48" s="36" t="s">
        <v>123</v>
      </c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41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41"/>
      <c r="C49" s="39"/>
      <c r="D49" s="39"/>
      <c r="E49" s="39"/>
      <c r="F49" s="39"/>
      <c r="G49" s="39"/>
      <c r="H49" s="40"/>
      <c r="I49" s="64"/>
      <c r="J49" s="30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212"/>
      <c r="Z49" s="213"/>
      <c r="AA49" s="214"/>
      <c r="AB49" s="215"/>
      <c r="AC49" s="216"/>
      <c r="AD49" s="43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1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 t="str">
        <f>IF(B50="","",COUNTA($B$8:B50))</f>
        <v/>
      </c>
      <c r="B50" s="41"/>
      <c r="C50" s="39"/>
      <c r="D50" s="39"/>
      <c r="E50" s="39"/>
      <c r="F50" s="39"/>
      <c r="G50" s="39"/>
      <c r="H50" s="40"/>
      <c r="I50" s="64"/>
      <c r="J50" s="30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212"/>
      <c r="Z50" s="213"/>
      <c r="AA50" s="214"/>
      <c r="AB50" s="215"/>
      <c r="AC50" s="216"/>
      <c r="AD50" s="43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41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  <row r="51" spans="1:56" ht="15" customHeight="1" x14ac:dyDescent="0.3">
      <c r="A51" s="44" t="str">
        <f>IF(B51="","",COUNTA($B$8:B51))</f>
        <v/>
      </c>
      <c r="B51" s="29"/>
      <c r="C51" s="39"/>
      <c r="D51" s="39"/>
      <c r="E51" s="39"/>
      <c r="F51" s="39"/>
      <c r="G51" s="39"/>
      <c r="H51" s="40"/>
      <c r="I51" s="64"/>
      <c r="J51" s="21"/>
      <c r="K51" s="30"/>
      <c r="L51" s="30"/>
      <c r="M51" s="30"/>
      <c r="N51" s="30"/>
      <c r="O51" s="30"/>
      <c r="P51" s="30"/>
      <c r="Q51" s="31"/>
      <c r="R51" s="30"/>
      <c r="S51" s="30"/>
      <c r="T51" s="30"/>
      <c r="U51" s="30"/>
      <c r="V51" s="30"/>
      <c r="W51" s="30"/>
      <c r="X51" s="30"/>
      <c r="Y51" s="212"/>
      <c r="Z51" s="213"/>
      <c r="AA51" s="214"/>
      <c r="AB51" s="215"/>
      <c r="AC51" s="216"/>
      <c r="AD51" s="28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9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8"/>
    </row>
    <row r="52" spans="1:56" ht="15" customHeight="1" x14ac:dyDescent="0.3">
      <c r="A52" s="44" t="str">
        <f>IF(B52="","",COUNTA($B$8:B52))</f>
        <v/>
      </c>
      <c r="B52" s="41"/>
      <c r="C52" s="39"/>
      <c r="D52" s="39"/>
      <c r="E52" s="39"/>
      <c r="F52" s="39"/>
      <c r="G52" s="39"/>
      <c r="H52" s="40"/>
      <c r="I52" s="64"/>
      <c r="J52" s="30"/>
      <c r="K52" s="30"/>
      <c r="L52" s="30"/>
      <c r="M52" s="30"/>
      <c r="N52" s="30"/>
      <c r="O52" s="30"/>
      <c r="P52" s="30"/>
      <c r="Q52" s="31"/>
      <c r="R52" s="30"/>
      <c r="S52" s="30"/>
      <c r="T52" s="30"/>
      <c r="U52" s="30"/>
      <c r="V52" s="30"/>
      <c r="W52" s="30"/>
      <c r="X52" s="30"/>
      <c r="Y52" s="212"/>
      <c r="Z52" s="213"/>
      <c r="AA52" s="214"/>
      <c r="AB52" s="215"/>
      <c r="AC52" s="216"/>
      <c r="AD52" s="43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41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 t="str">
        <f>IF(B53="","",COUNTA($B$8:B53))</f>
        <v/>
      </c>
      <c r="B53" s="41"/>
      <c r="C53" s="39"/>
      <c r="D53" s="39"/>
      <c r="E53" s="39"/>
      <c r="F53" s="39"/>
      <c r="G53" s="39"/>
      <c r="H53" s="40"/>
      <c r="I53" s="64"/>
      <c r="J53" s="30"/>
      <c r="K53" s="30"/>
      <c r="L53" s="30"/>
      <c r="M53" s="30"/>
      <c r="N53" s="30"/>
      <c r="O53" s="30"/>
      <c r="P53" s="30"/>
      <c r="Q53" s="31"/>
      <c r="R53" s="30"/>
      <c r="S53" s="30"/>
      <c r="T53" s="30"/>
      <c r="U53" s="30"/>
      <c r="V53" s="30"/>
      <c r="W53" s="30"/>
      <c r="X53" s="30"/>
      <c r="Y53" s="212"/>
      <c r="Z53" s="213"/>
      <c r="AA53" s="214"/>
      <c r="AB53" s="215"/>
      <c r="AC53" s="216"/>
      <c r="AD53" s="43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41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 t="str">
        <f>IF(B54="","",COUNTA($B$8:B54))</f>
        <v/>
      </c>
      <c r="B54" s="41"/>
      <c r="C54" s="39"/>
      <c r="D54" s="39"/>
      <c r="E54" s="39"/>
      <c r="F54" s="39"/>
      <c r="G54" s="39"/>
      <c r="H54" s="40"/>
      <c r="I54" s="64"/>
      <c r="J54" s="30"/>
      <c r="K54" s="30"/>
      <c r="L54" s="30"/>
      <c r="M54" s="30"/>
      <c r="N54" s="30"/>
      <c r="O54" s="30"/>
      <c r="P54" s="30"/>
      <c r="Q54" s="31"/>
      <c r="R54" s="30"/>
      <c r="S54" s="30"/>
      <c r="T54" s="30"/>
      <c r="U54" s="30"/>
      <c r="V54" s="30"/>
      <c r="W54" s="30"/>
      <c r="X54" s="30"/>
      <c r="Y54" s="212"/>
      <c r="Z54" s="213"/>
      <c r="AA54" s="214"/>
      <c r="AB54" s="215"/>
      <c r="AC54" s="216"/>
      <c r="AD54" s="43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41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  <row r="55" spans="1:56" ht="15" customHeight="1" x14ac:dyDescent="0.3">
      <c r="A55" s="44" t="str">
        <f>IF(B55="","",COUNTA($B$8:B55))</f>
        <v/>
      </c>
      <c r="B55" s="41"/>
      <c r="C55" s="39"/>
      <c r="D55" s="39"/>
      <c r="E55" s="39"/>
      <c r="F55" s="39"/>
      <c r="G55" s="39"/>
      <c r="H55" s="40"/>
      <c r="I55" s="64"/>
      <c r="J55" s="30"/>
      <c r="K55" s="30"/>
      <c r="L55" s="30"/>
      <c r="M55" s="30"/>
      <c r="N55" s="30"/>
      <c r="O55" s="30"/>
      <c r="P55" s="30"/>
      <c r="Q55" s="31"/>
      <c r="R55" s="30"/>
      <c r="S55" s="30"/>
      <c r="T55" s="30"/>
      <c r="U55" s="30"/>
      <c r="V55" s="30"/>
      <c r="W55" s="30"/>
      <c r="X55" s="30"/>
      <c r="Y55" s="212"/>
      <c r="Z55" s="213"/>
      <c r="AA55" s="214"/>
      <c r="AB55" s="215"/>
      <c r="AC55" s="216"/>
      <c r="AD55" s="43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41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58"/>
    </row>
    <row r="56" spans="1:56" ht="15" customHeight="1" x14ac:dyDescent="0.3">
      <c r="A56" s="44" t="str">
        <f>IF(B56="","",COUNTA($B$8:B56))</f>
        <v/>
      </c>
      <c r="B56" s="41"/>
      <c r="C56" s="39"/>
      <c r="D56" s="39"/>
      <c r="E56" s="39"/>
      <c r="F56" s="39"/>
      <c r="G56" s="39"/>
      <c r="H56" s="40"/>
      <c r="I56" s="64"/>
      <c r="J56" s="30"/>
      <c r="K56" s="30"/>
      <c r="L56" s="30"/>
      <c r="M56" s="30"/>
      <c r="N56" s="30"/>
      <c r="O56" s="30"/>
      <c r="P56" s="30"/>
      <c r="Q56" s="31"/>
      <c r="R56" s="30"/>
      <c r="S56" s="30"/>
      <c r="T56" s="30"/>
      <c r="U56" s="30"/>
      <c r="V56" s="30"/>
      <c r="W56" s="30"/>
      <c r="X56" s="30"/>
      <c r="Y56" s="212"/>
      <c r="Z56" s="213"/>
      <c r="AA56" s="214"/>
      <c r="AB56" s="215"/>
      <c r="AC56" s="216"/>
      <c r="AD56" s="43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41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58"/>
    </row>
    <row r="57" spans="1:56" ht="15" customHeight="1" x14ac:dyDescent="0.3">
      <c r="A57" s="44" t="str">
        <f>IF(B57="","",COUNTA($B$8:B57))</f>
        <v/>
      </c>
      <c r="B57" s="29"/>
      <c r="C57" s="39"/>
      <c r="D57" s="39"/>
      <c r="E57" s="39"/>
      <c r="F57" s="39"/>
      <c r="G57" s="39"/>
      <c r="H57" s="40"/>
      <c r="I57" s="64"/>
      <c r="J57" s="21"/>
      <c r="K57" s="30"/>
      <c r="L57" s="30"/>
      <c r="M57" s="30"/>
      <c r="N57" s="30"/>
      <c r="O57" s="30"/>
      <c r="P57" s="30"/>
      <c r="Q57" s="31"/>
      <c r="R57" s="30"/>
      <c r="S57" s="30"/>
      <c r="T57" s="30"/>
      <c r="U57" s="30"/>
      <c r="V57" s="30"/>
      <c r="W57" s="30"/>
      <c r="X57" s="30"/>
      <c r="Y57" s="212"/>
      <c r="Z57" s="213"/>
      <c r="AA57" s="214"/>
      <c r="AB57" s="215"/>
      <c r="AC57" s="216"/>
      <c r="AD57" s="28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9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58"/>
    </row>
    <row r="58" spans="1:56" ht="15" customHeight="1" x14ac:dyDescent="0.3">
      <c r="A58" s="44" t="str">
        <f>IF(B58="","",COUNTA($B$8:B58))</f>
        <v/>
      </c>
      <c r="B58" s="29"/>
      <c r="C58" s="39"/>
      <c r="D58" s="39"/>
      <c r="E58" s="39"/>
      <c r="F58" s="39"/>
      <c r="G58" s="39"/>
      <c r="H58" s="40"/>
      <c r="I58" s="64"/>
      <c r="J58" s="21"/>
      <c r="K58" s="30"/>
      <c r="L58" s="30"/>
      <c r="M58" s="30"/>
      <c r="N58" s="30"/>
      <c r="O58" s="30"/>
      <c r="P58" s="30"/>
      <c r="Q58" s="31"/>
      <c r="R58" s="30"/>
      <c r="S58" s="30"/>
      <c r="T58" s="30"/>
      <c r="U58" s="30"/>
      <c r="V58" s="30"/>
      <c r="W58" s="30"/>
      <c r="X58" s="30"/>
      <c r="Y58" s="212"/>
      <c r="Z58" s="213"/>
      <c r="AA58" s="214"/>
      <c r="AB58" s="215"/>
      <c r="AC58" s="216"/>
      <c r="AD58" s="28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60"/>
    </row>
    <row r="59" spans="1:56" ht="15" customHeight="1" x14ac:dyDescent="0.3">
      <c r="A59" s="44" t="str">
        <f>IF(B59="","",COUNTA($B$8:B59))</f>
        <v/>
      </c>
      <c r="B59" s="29"/>
      <c r="C59" s="39"/>
      <c r="D59" s="39"/>
      <c r="E59" s="39"/>
      <c r="F59" s="39"/>
      <c r="G59" s="39"/>
      <c r="H59" s="40"/>
      <c r="I59" s="64"/>
      <c r="J59" s="21"/>
      <c r="K59" s="30"/>
      <c r="L59" s="30"/>
      <c r="M59" s="30"/>
      <c r="N59" s="30"/>
      <c r="O59" s="30"/>
      <c r="P59" s="30"/>
      <c r="Q59" s="31"/>
      <c r="R59" s="30"/>
      <c r="S59" s="30"/>
      <c r="T59" s="30"/>
      <c r="U59" s="30"/>
      <c r="V59" s="30"/>
      <c r="W59" s="30"/>
      <c r="X59" s="30"/>
      <c r="Y59" s="212"/>
      <c r="Z59" s="213"/>
      <c r="AA59" s="214"/>
      <c r="AB59" s="215"/>
      <c r="AC59" s="216"/>
      <c r="AD59" s="28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60"/>
    </row>
    <row r="60" spans="1:56" ht="15" customHeight="1" x14ac:dyDescent="0.3">
      <c r="A60" s="44" t="str">
        <f>IF(B60="","",COUNTA($B$8:B60))</f>
        <v/>
      </c>
      <c r="B60" s="20"/>
      <c r="C60" s="19"/>
      <c r="D60" s="19"/>
      <c r="E60" s="19"/>
      <c r="F60" s="19"/>
      <c r="G60" s="19"/>
      <c r="H60" s="22"/>
      <c r="I60" s="63"/>
      <c r="J60" s="33"/>
      <c r="K60" s="21"/>
      <c r="L60" s="21"/>
      <c r="M60" s="21"/>
      <c r="N60" s="21"/>
      <c r="O60" s="21"/>
      <c r="P60" s="21"/>
      <c r="Q60" s="32"/>
      <c r="R60" s="21"/>
      <c r="S60" s="21"/>
      <c r="T60" s="33"/>
      <c r="U60" s="21"/>
      <c r="V60" s="21"/>
      <c r="W60" s="21"/>
      <c r="X60" s="22"/>
      <c r="Y60" s="212"/>
      <c r="Z60" s="213"/>
      <c r="AA60" s="214"/>
      <c r="AB60" s="215"/>
      <c r="AC60" s="216"/>
      <c r="AD60" s="25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9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58"/>
    </row>
    <row r="61" spans="1:56" ht="15" customHeight="1" x14ac:dyDescent="0.3">
      <c r="A61" s="44" t="str">
        <f>IF(B61="","",COUNTA($B$8:B61))</f>
        <v/>
      </c>
      <c r="B61" s="20"/>
      <c r="C61" s="19"/>
      <c r="D61" s="19"/>
      <c r="E61" s="19"/>
      <c r="F61" s="19"/>
      <c r="G61" s="19"/>
      <c r="H61" s="22"/>
      <c r="I61" s="63"/>
      <c r="J61" s="33"/>
      <c r="K61" s="21"/>
      <c r="L61" s="21"/>
      <c r="M61" s="21"/>
      <c r="N61" s="21"/>
      <c r="O61" s="21"/>
      <c r="P61" s="21"/>
      <c r="Q61" s="32"/>
      <c r="R61" s="21"/>
      <c r="S61" s="21"/>
      <c r="T61" s="33"/>
      <c r="U61" s="21"/>
      <c r="V61" s="21"/>
      <c r="W61" s="21"/>
      <c r="X61" s="22"/>
      <c r="Y61" s="212"/>
      <c r="Z61" s="213"/>
      <c r="AA61" s="214"/>
      <c r="AB61" s="215"/>
      <c r="AC61" s="216"/>
      <c r="AD61" s="25"/>
      <c r="AE61" s="36"/>
      <c r="AF61" s="36"/>
      <c r="AG61" s="36"/>
      <c r="AH61" s="36"/>
      <c r="AI61" s="36"/>
      <c r="AJ61" s="26"/>
      <c r="AK61" s="26"/>
      <c r="AL61" s="26"/>
      <c r="AM61" s="26"/>
      <c r="AN61" s="26"/>
      <c r="AO61" s="27"/>
      <c r="AP61" s="27"/>
      <c r="AQ61" s="27"/>
      <c r="AR61" s="27"/>
      <c r="AS61" s="29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58"/>
    </row>
    <row r="62" spans="1:56" ht="15" customHeight="1" x14ac:dyDescent="0.3">
      <c r="A62" s="44" t="str">
        <f>IF(B62="","",COUNTA($B$8:B62))</f>
        <v/>
      </c>
      <c r="B62" s="20"/>
      <c r="C62" s="19"/>
      <c r="D62" s="19"/>
      <c r="E62" s="19"/>
      <c r="F62" s="19"/>
      <c r="G62" s="19"/>
      <c r="H62" s="22"/>
      <c r="I62" s="63"/>
      <c r="J62" s="33"/>
      <c r="K62" s="21"/>
      <c r="L62" s="21"/>
      <c r="M62" s="21"/>
      <c r="N62" s="21"/>
      <c r="O62" s="21"/>
      <c r="P62" s="21"/>
      <c r="Q62" s="32"/>
      <c r="R62" s="21"/>
      <c r="S62" s="21"/>
      <c r="T62" s="33"/>
      <c r="U62" s="21"/>
      <c r="V62" s="21"/>
      <c r="W62" s="21"/>
      <c r="X62" s="22"/>
      <c r="Y62" s="212"/>
      <c r="Z62" s="213"/>
      <c r="AA62" s="214"/>
      <c r="AB62" s="215"/>
      <c r="AC62" s="216"/>
      <c r="AD62" s="28"/>
      <c r="AE62" s="26"/>
      <c r="AF62" s="26"/>
      <c r="AG62" s="26"/>
      <c r="AH62" s="26"/>
      <c r="AI62" s="26"/>
      <c r="AJ62" s="26"/>
      <c r="AK62" s="26"/>
      <c r="AL62" s="36"/>
      <c r="AM62" s="36"/>
      <c r="AN62" s="36"/>
      <c r="AO62" s="37"/>
      <c r="AP62" s="37"/>
      <c r="AQ62" s="37"/>
      <c r="AR62" s="37"/>
      <c r="AS62" s="38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58"/>
    </row>
    <row r="63" spans="1:56" ht="15" customHeight="1" x14ac:dyDescent="0.3">
      <c r="A63" s="44" t="str">
        <f>IF(B63="","",COUNTA($B$8:B63))</f>
        <v/>
      </c>
      <c r="B63" s="20"/>
      <c r="C63" s="19"/>
      <c r="D63" s="19"/>
      <c r="E63" s="19"/>
      <c r="F63" s="19"/>
      <c r="G63" s="19"/>
      <c r="H63" s="22"/>
      <c r="I63" s="63"/>
      <c r="J63" s="33"/>
      <c r="K63" s="21"/>
      <c r="L63" s="21"/>
      <c r="M63" s="21"/>
      <c r="N63" s="21"/>
      <c r="O63" s="21"/>
      <c r="P63" s="21"/>
      <c r="Q63" s="32"/>
      <c r="R63" s="21"/>
      <c r="S63" s="21"/>
      <c r="T63" s="33"/>
      <c r="U63" s="21"/>
      <c r="V63" s="21"/>
      <c r="W63" s="21"/>
      <c r="X63" s="22"/>
      <c r="Y63" s="212"/>
      <c r="Z63" s="213"/>
      <c r="AA63" s="214"/>
      <c r="AB63" s="215"/>
      <c r="AC63" s="216"/>
      <c r="AD63" s="25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7"/>
      <c r="AP63" s="37"/>
      <c r="AQ63" s="37"/>
      <c r="AR63" s="37"/>
      <c r="AS63" s="38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58"/>
    </row>
  </sheetData>
  <mergeCells count="144">
    <mergeCell ref="Y23:Z23"/>
    <mergeCell ref="AA23:AC23"/>
    <mergeCell ref="Y36:Z36"/>
    <mergeCell ref="AA36:AC36"/>
    <mergeCell ref="Y30:Z30"/>
    <mergeCell ref="AA30:AC30"/>
    <mergeCell ref="Y29:Z29"/>
    <mergeCell ref="AA29:AC29"/>
    <mergeCell ref="Y24:Z24"/>
    <mergeCell ref="AA24:AC24"/>
    <mergeCell ref="Y25:Z25"/>
    <mergeCell ref="AA25:AC25"/>
    <mergeCell ref="Y27:Z27"/>
    <mergeCell ref="AA27:AC27"/>
    <mergeCell ref="Y32:Z32"/>
    <mergeCell ref="AA32:AC32"/>
    <mergeCell ref="Y33:Z33"/>
    <mergeCell ref="AA33:AC33"/>
    <mergeCell ref="Y28:Z28"/>
    <mergeCell ref="AA28:AC28"/>
    <mergeCell ref="Y35:Z35"/>
    <mergeCell ref="AA35:AC35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38:Z38"/>
    <mergeCell ref="AA38:AC38"/>
    <mergeCell ref="Y39:Z39"/>
    <mergeCell ref="AA39:AC39"/>
    <mergeCell ref="Y37:Z37"/>
    <mergeCell ref="AA37:AC37"/>
    <mergeCell ref="Y34:Z34"/>
    <mergeCell ref="AA34:AC34"/>
    <mergeCell ref="Y49:Z49"/>
    <mergeCell ref="AA49:AC49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21:Z21"/>
    <mergeCell ref="AA21:AC21"/>
    <mergeCell ref="Y22:Z22"/>
    <mergeCell ref="AA22:AC22"/>
    <mergeCell ref="AA26:AC26"/>
    <mergeCell ref="AA11:AC11"/>
    <mergeCell ref="Y31:Z31"/>
    <mergeCell ref="AA31:AC31"/>
    <mergeCell ref="Y13:Z13"/>
    <mergeCell ref="AA13:AC13"/>
    <mergeCell ref="Y19:Z19"/>
    <mergeCell ref="AA19:AC19"/>
    <mergeCell ref="Y17:Z17"/>
    <mergeCell ref="Y15:Z15"/>
    <mergeCell ref="Y16:Z16"/>
    <mergeCell ref="AA15:AC15"/>
    <mergeCell ref="AA16:AC16"/>
    <mergeCell ref="AA17:AC17"/>
    <mergeCell ref="Y12:Z12"/>
    <mergeCell ref="AA12:AC12"/>
    <mergeCell ref="Y18:Z18"/>
    <mergeCell ref="AA18:AC18"/>
    <mergeCell ref="Y14:Z14"/>
    <mergeCell ref="AA14:AC14"/>
    <mergeCell ref="Y11:Z11"/>
    <mergeCell ref="Y26:Z26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Y10:Z10"/>
    <mergeCell ref="AA10:AC10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U3:AY3"/>
    <mergeCell ref="AZ3:BD3"/>
    <mergeCell ref="I1:Q1"/>
    <mergeCell ref="Y8:Z8"/>
    <mergeCell ref="AA8:AC8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4:BD4"/>
    <mergeCell ref="AE6:AE7"/>
    <mergeCell ref="AF6:AF7"/>
  </mergeCells>
  <phoneticPr fontId="5"/>
  <dataValidations count="3">
    <dataValidation type="list" allowBlank="1" showInputMessage="1" showErrorMessage="1" sqref="AA43:AA63 AA9:AC9 AA8 AA10:AA33 AA34:AC34 AA38:AC42 AA35:AA37" xr:uid="{00000000-0002-0000-0300-000000000000}">
      <formula1>"datetime,int,numeric,varchar,nvarchar"</formula1>
    </dataValidation>
    <dataValidation imeMode="hiragana" allowBlank="1" showInputMessage="1" showErrorMessage="1" sqref="JK65534:JV65536 TG65534:TR65536 ADC65534:ADN65536 AMY65534:ANJ65536 AWU65534:AXF65536 BGQ65534:BHB65536 BQM65534:BQX65536 CAI65534:CAT65536 CKE65534:CKP65536 CUA65534:CUL65536 DDW65534:DEH65536 DNS65534:DOD65536 DXO65534:DXZ65536 EHK65534:EHV65536 ERG65534:ERR65536 FBC65534:FBN65536 FKY65534:FLJ65536 FUU65534:FVF65536 GEQ65534:GFB65536 GOM65534:GOX65536 GYI65534:GYT65536 HIE65534:HIP65536 HSA65534:HSL65536 IBW65534:ICH65536 ILS65534:IMD65536 IVO65534:IVZ65536 JFK65534:JFV65536 JPG65534:JPR65536 JZC65534:JZN65536 KIY65534:KJJ65536 KSU65534:KTF65536 LCQ65534:LDB65536 LMM65534:LMX65536 LWI65534:LWT65536 MGE65534:MGP65536 MQA65534:MQL65536 MZW65534:NAH65536 NJS65534:NKD65536 NTO65534:NTZ65536 ODK65534:ODV65536 ONG65534:ONR65536 OXC65534:OXN65536 PGY65534:PHJ65536 PQU65534:PRF65536 QAQ65534:QBB65536 QKM65534:QKX65536 QUI65534:QUT65536 REE65534:REP65536 ROA65534:ROL65536 RXW65534:RYH65536 SHS65534:SID65536 SRO65534:SRZ65536 TBK65534:TBV65536 TLG65534:TLR65536 TVC65534:TVN65536 UEY65534:UFJ65536 UOU65534:UPF65536 UYQ65534:UZB65536 VIM65534:VIX65536 VSI65534:VST65536 WCE65534:WCP65536 WMA65534:WML65536 WVW65534:WWH65536 JK131070:JV131072 TG131070:TR131072 ADC131070:ADN131072 AMY131070:ANJ131072 AWU131070:AXF131072 BGQ131070:BHB131072 BQM131070:BQX131072 CAI131070:CAT131072 CKE131070:CKP131072 CUA131070:CUL131072 DDW131070:DEH131072 DNS131070:DOD131072 DXO131070:DXZ131072 EHK131070:EHV131072 ERG131070:ERR131072 FBC131070:FBN131072 FKY131070:FLJ131072 FUU131070:FVF131072 GEQ131070:GFB131072 GOM131070:GOX131072 GYI131070:GYT131072 HIE131070:HIP131072 HSA131070:HSL131072 IBW131070:ICH131072 ILS131070:IMD131072 IVO131070:IVZ131072 JFK131070:JFV131072 JPG131070:JPR131072 JZC131070:JZN131072 KIY131070:KJJ131072 KSU131070:KTF131072 LCQ131070:LDB131072 LMM131070:LMX131072 LWI131070:LWT131072 MGE131070:MGP131072 MQA131070:MQL131072 MZW131070:NAH131072 NJS131070:NKD131072 NTO131070:NTZ131072 ODK131070:ODV131072 ONG131070:ONR131072 OXC131070:OXN131072 PGY131070:PHJ131072 PQU131070:PRF131072 QAQ131070:QBB131072 QKM131070:QKX131072 QUI131070:QUT131072 REE131070:REP131072 ROA131070:ROL131072 RXW131070:RYH131072 SHS131070:SID131072 SRO131070:SRZ131072 TBK131070:TBV131072 TLG131070:TLR131072 TVC131070:TVN131072 UEY131070:UFJ131072 UOU131070:UPF131072 UYQ131070:UZB131072 VIM131070:VIX131072 VSI131070:VST131072 WCE131070:WCP131072 WMA131070:WML131072 WVW131070:WWH131072 JK196606:JV196608 TG196606:TR196608 ADC196606:ADN196608 AMY196606:ANJ196608 AWU196606:AXF196608 BGQ196606:BHB196608 BQM196606:BQX196608 CAI196606:CAT196608 CKE196606:CKP196608 CUA196606:CUL196608 DDW196606:DEH196608 DNS196606:DOD196608 DXO196606:DXZ196608 EHK196606:EHV196608 ERG196606:ERR196608 FBC196606:FBN196608 FKY196606:FLJ196608 FUU196606:FVF196608 GEQ196606:GFB196608 GOM196606:GOX196608 GYI196606:GYT196608 HIE196606:HIP196608 HSA196606:HSL196608 IBW196606:ICH196608 ILS196606:IMD196608 IVO196606:IVZ196608 JFK196606:JFV196608 JPG196606:JPR196608 JZC196606:JZN196608 KIY196606:KJJ196608 KSU196606:KTF196608 LCQ196606:LDB196608 LMM196606:LMX196608 LWI196606:LWT196608 MGE196606:MGP196608 MQA196606:MQL196608 MZW196606:NAH196608 NJS196606:NKD196608 NTO196606:NTZ196608 ODK196606:ODV196608 ONG196606:ONR196608 OXC196606:OXN196608 PGY196606:PHJ196608 PQU196606:PRF196608 QAQ196606:QBB196608 QKM196606:QKX196608 QUI196606:QUT196608 REE196606:REP196608 ROA196606:ROL196608 RXW196606:RYH196608 SHS196606:SID196608 SRO196606:SRZ196608 TBK196606:TBV196608 TLG196606:TLR196608 TVC196606:TVN196608 UEY196606:UFJ196608 UOU196606:UPF196608 UYQ196606:UZB196608 VIM196606:VIX196608 VSI196606:VST196608 WCE196606:WCP196608 WMA196606:WML196608 WVW196606:WWH196608 JK262142:JV262144 TG262142:TR262144 ADC262142:ADN262144 AMY262142:ANJ262144 AWU262142:AXF262144 BGQ262142:BHB262144 BQM262142:BQX262144 CAI262142:CAT262144 CKE262142:CKP262144 CUA262142:CUL262144 DDW262142:DEH262144 DNS262142:DOD262144 DXO262142:DXZ262144 EHK262142:EHV262144 ERG262142:ERR262144 FBC262142:FBN262144 FKY262142:FLJ262144 FUU262142:FVF262144 GEQ262142:GFB262144 GOM262142:GOX262144 GYI262142:GYT262144 HIE262142:HIP262144 HSA262142:HSL262144 IBW262142:ICH262144 ILS262142:IMD262144 IVO262142:IVZ262144 JFK262142:JFV262144 JPG262142:JPR262144 JZC262142:JZN262144 KIY262142:KJJ262144 KSU262142:KTF262144 LCQ262142:LDB262144 LMM262142:LMX262144 LWI262142:LWT262144 MGE262142:MGP262144 MQA262142:MQL262144 MZW262142:NAH262144 NJS262142:NKD262144 NTO262142:NTZ262144 ODK262142:ODV262144 ONG262142:ONR262144 OXC262142:OXN262144 PGY262142:PHJ262144 PQU262142:PRF262144 QAQ262142:QBB262144 QKM262142:QKX262144 QUI262142:QUT262144 REE262142:REP262144 ROA262142:ROL262144 RXW262142:RYH262144 SHS262142:SID262144 SRO262142:SRZ262144 TBK262142:TBV262144 TLG262142:TLR262144 TVC262142:TVN262144 UEY262142:UFJ262144 UOU262142:UPF262144 UYQ262142:UZB262144 VIM262142:VIX262144 VSI262142:VST262144 WCE262142:WCP262144 WMA262142:WML262144 WVW262142:WWH262144 JK327678:JV327680 TG327678:TR327680 ADC327678:ADN327680 AMY327678:ANJ327680 AWU327678:AXF327680 BGQ327678:BHB327680 BQM327678:BQX327680 CAI327678:CAT327680 CKE327678:CKP327680 CUA327678:CUL327680 DDW327678:DEH327680 DNS327678:DOD327680 DXO327678:DXZ327680 EHK327678:EHV327680 ERG327678:ERR327680 FBC327678:FBN327680 FKY327678:FLJ327680 FUU327678:FVF327680 GEQ327678:GFB327680 GOM327678:GOX327680 GYI327678:GYT327680 HIE327678:HIP327680 HSA327678:HSL327680 IBW327678:ICH327680 ILS327678:IMD327680 IVO327678:IVZ327680 JFK327678:JFV327680 JPG327678:JPR327680 JZC327678:JZN327680 KIY327678:KJJ327680 KSU327678:KTF327680 LCQ327678:LDB327680 LMM327678:LMX327680 LWI327678:LWT327680 MGE327678:MGP327680 MQA327678:MQL327680 MZW327678:NAH327680 NJS327678:NKD327680 NTO327678:NTZ327680 ODK327678:ODV327680 ONG327678:ONR327680 OXC327678:OXN327680 PGY327678:PHJ327680 PQU327678:PRF327680 QAQ327678:QBB327680 QKM327678:QKX327680 QUI327678:QUT327680 REE327678:REP327680 ROA327678:ROL327680 RXW327678:RYH327680 SHS327678:SID327680 SRO327678:SRZ327680 TBK327678:TBV327680 TLG327678:TLR327680 TVC327678:TVN327680 UEY327678:UFJ327680 UOU327678:UPF327680 UYQ327678:UZB327680 VIM327678:VIX327680 VSI327678:VST327680 WCE327678:WCP327680 WMA327678:WML327680 WVW327678:WWH327680 JK393214:JV393216 TG393214:TR393216 ADC393214:ADN393216 AMY393214:ANJ393216 AWU393214:AXF393216 BGQ393214:BHB393216 BQM393214:BQX393216 CAI393214:CAT393216 CKE393214:CKP393216 CUA393214:CUL393216 DDW393214:DEH393216 DNS393214:DOD393216 DXO393214:DXZ393216 EHK393214:EHV393216 ERG393214:ERR393216 FBC393214:FBN393216 FKY393214:FLJ393216 FUU393214:FVF393216 GEQ393214:GFB393216 GOM393214:GOX393216 GYI393214:GYT393216 HIE393214:HIP393216 HSA393214:HSL393216 IBW393214:ICH393216 ILS393214:IMD393216 IVO393214:IVZ393216 JFK393214:JFV393216 JPG393214:JPR393216 JZC393214:JZN393216 KIY393214:KJJ393216 KSU393214:KTF393216 LCQ393214:LDB393216 LMM393214:LMX393216 LWI393214:LWT393216 MGE393214:MGP393216 MQA393214:MQL393216 MZW393214:NAH393216 NJS393214:NKD393216 NTO393214:NTZ393216 ODK393214:ODV393216 ONG393214:ONR393216 OXC393214:OXN393216 PGY393214:PHJ393216 PQU393214:PRF393216 QAQ393214:QBB393216 QKM393214:QKX393216 QUI393214:QUT393216 REE393214:REP393216 ROA393214:ROL393216 RXW393214:RYH393216 SHS393214:SID393216 SRO393214:SRZ393216 TBK393214:TBV393216 TLG393214:TLR393216 TVC393214:TVN393216 UEY393214:UFJ393216 UOU393214:UPF393216 UYQ393214:UZB393216 VIM393214:VIX393216 VSI393214:VST393216 WCE393214:WCP393216 WMA393214:WML393216 WVW393214:WWH393216 JK458750:JV458752 TG458750:TR458752 ADC458750:ADN458752 AMY458750:ANJ458752 AWU458750:AXF458752 BGQ458750:BHB458752 BQM458750:BQX458752 CAI458750:CAT458752 CKE458750:CKP458752 CUA458750:CUL458752 DDW458750:DEH458752 DNS458750:DOD458752 DXO458750:DXZ458752 EHK458750:EHV458752 ERG458750:ERR458752 FBC458750:FBN458752 FKY458750:FLJ458752 FUU458750:FVF458752 GEQ458750:GFB458752 GOM458750:GOX458752 GYI458750:GYT458752 HIE458750:HIP458752 HSA458750:HSL458752 IBW458750:ICH458752 ILS458750:IMD458752 IVO458750:IVZ458752 JFK458750:JFV458752 JPG458750:JPR458752 JZC458750:JZN458752 KIY458750:KJJ458752 KSU458750:KTF458752 LCQ458750:LDB458752 LMM458750:LMX458752 LWI458750:LWT458752 MGE458750:MGP458752 MQA458750:MQL458752 MZW458750:NAH458752 NJS458750:NKD458752 NTO458750:NTZ458752 ODK458750:ODV458752 ONG458750:ONR458752 OXC458750:OXN458752 PGY458750:PHJ458752 PQU458750:PRF458752 QAQ458750:QBB458752 QKM458750:QKX458752 QUI458750:QUT458752 REE458750:REP458752 ROA458750:ROL458752 RXW458750:RYH458752 SHS458750:SID458752 SRO458750:SRZ458752 TBK458750:TBV458752 TLG458750:TLR458752 TVC458750:TVN458752 UEY458750:UFJ458752 UOU458750:UPF458752 UYQ458750:UZB458752 VIM458750:VIX458752 VSI458750:VST458752 WCE458750:WCP458752 WMA458750:WML458752 WVW458750:WWH458752 JK524286:JV524288 TG524286:TR524288 ADC524286:ADN524288 AMY524286:ANJ524288 AWU524286:AXF524288 BGQ524286:BHB524288 BQM524286:BQX524288 CAI524286:CAT524288 CKE524286:CKP524288 CUA524286:CUL524288 DDW524286:DEH524288 DNS524286:DOD524288 DXO524286:DXZ524288 EHK524286:EHV524288 ERG524286:ERR524288 FBC524286:FBN524288 FKY524286:FLJ524288 FUU524286:FVF524288 GEQ524286:GFB524288 GOM524286:GOX524288 GYI524286:GYT524288 HIE524286:HIP524288 HSA524286:HSL524288 IBW524286:ICH524288 ILS524286:IMD524288 IVO524286:IVZ524288 JFK524286:JFV524288 JPG524286:JPR524288 JZC524286:JZN524288 KIY524286:KJJ524288 KSU524286:KTF524288 LCQ524286:LDB524288 LMM524286:LMX524288 LWI524286:LWT524288 MGE524286:MGP524288 MQA524286:MQL524288 MZW524286:NAH524288 NJS524286:NKD524288 NTO524286:NTZ524288 ODK524286:ODV524288 ONG524286:ONR524288 OXC524286:OXN524288 PGY524286:PHJ524288 PQU524286:PRF524288 QAQ524286:QBB524288 QKM524286:QKX524288 QUI524286:QUT524288 REE524286:REP524288 ROA524286:ROL524288 RXW524286:RYH524288 SHS524286:SID524288 SRO524286:SRZ524288 TBK524286:TBV524288 TLG524286:TLR524288 TVC524286:TVN524288 UEY524286:UFJ524288 UOU524286:UPF524288 UYQ524286:UZB524288 VIM524286:VIX524288 VSI524286:VST524288 WCE524286:WCP524288 WMA524286:WML524288 WVW524286:WWH524288 JK589822:JV589824 TG589822:TR589824 ADC589822:ADN589824 AMY589822:ANJ589824 AWU589822:AXF589824 BGQ589822:BHB589824 BQM589822:BQX589824 CAI589822:CAT589824 CKE589822:CKP589824 CUA589822:CUL589824 DDW589822:DEH589824 DNS589822:DOD589824 DXO589822:DXZ589824 EHK589822:EHV589824 ERG589822:ERR589824 FBC589822:FBN589824 FKY589822:FLJ589824 FUU589822:FVF589824 GEQ589822:GFB589824 GOM589822:GOX589824 GYI589822:GYT589824 HIE589822:HIP589824 HSA589822:HSL589824 IBW589822:ICH589824 ILS589822:IMD589824 IVO589822:IVZ589824 JFK589822:JFV589824 JPG589822:JPR589824 JZC589822:JZN589824 KIY589822:KJJ589824 KSU589822:KTF589824 LCQ589822:LDB589824 LMM589822:LMX589824 LWI589822:LWT589824 MGE589822:MGP589824 MQA589822:MQL589824 MZW589822:NAH589824 NJS589822:NKD589824 NTO589822:NTZ589824 ODK589822:ODV589824 ONG589822:ONR589824 OXC589822:OXN589824 PGY589822:PHJ589824 PQU589822:PRF589824 QAQ589822:QBB589824 QKM589822:QKX589824 QUI589822:QUT589824 REE589822:REP589824 ROA589822:ROL589824 RXW589822:RYH589824 SHS589822:SID589824 SRO589822:SRZ589824 TBK589822:TBV589824 TLG589822:TLR589824 TVC589822:TVN589824 UEY589822:UFJ589824 UOU589822:UPF589824 UYQ589822:UZB589824 VIM589822:VIX589824 VSI589822:VST589824 WCE589822:WCP589824 WMA589822:WML589824 WVW589822:WWH589824 JK655358:JV655360 TG655358:TR655360 ADC655358:ADN655360 AMY655358:ANJ655360 AWU655358:AXF655360 BGQ655358:BHB655360 BQM655358:BQX655360 CAI655358:CAT655360 CKE655358:CKP655360 CUA655358:CUL655360 DDW655358:DEH655360 DNS655358:DOD655360 DXO655358:DXZ655360 EHK655358:EHV655360 ERG655358:ERR655360 FBC655358:FBN655360 FKY655358:FLJ655360 FUU655358:FVF655360 GEQ655358:GFB655360 GOM655358:GOX655360 GYI655358:GYT655360 HIE655358:HIP655360 HSA655358:HSL655360 IBW655358:ICH655360 ILS655358:IMD655360 IVO655358:IVZ655360 JFK655358:JFV655360 JPG655358:JPR655360 JZC655358:JZN655360 KIY655358:KJJ655360 KSU655358:KTF655360 LCQ655358:LDB655360 LMM655358:LMX655360 LWI655358:LWT655360 MGE655358:MGP655360 MQA655358:MQL655360 MZW655358:NAH655360 NJS655358:NKD655360 NTO655358:NTZ655360 ODK655358:ODV655360 ONG655358:ONR655360 OXC655358:OXN655360 PGY655358:PHJ655360 PQU655358:PRF655360 QAQ655358:QBB655360 QKM655358:QKX655360 QUI655358:QUT655360 REE655358:REP655360 ROA655358:ROL655360 RXW655358:RYH655360 SHS655358:SID655360 SRO655358:SRZ655360 TBK655358:TBV655360 TLG655358:TLR655360 TVC655358:TVN655360 UEY655358:UFJ655360 UOU655358:UPF655360 UYQ655358:UZB655360 VIM655358:VIX655360 VSI655358:VST655360 WCE655358:WCP655360 WMA655358:WML655360 WVW655358:WWH655360 JK720894:JV720896 TG720894:TR720896 ADC720894:ADN720896 AMY720894:ANJ720896 AWU720894:AXF720896 BGQ720894:BHB720896 BQM720894:BQX720896 CAI720894:CAT720896 CKE720894:CKP720896 CUA720894:CUL720896 DDW720894:DEH720896 DNS720894:DOD720896 DXO720894:DXZ720896 EHK720894:EHV720896 ERG720894:ERR720896 FBC720894:FBN720896 FKY720894:FLJ720896 FUU720894:FVF720896 GEQ720894:GFB720896 GOM720894:GOX720896 GYI720894:GYT720896 HIE720894:HIP720896 HSA720894:HSL720896 IBW720894:ICH720896 ILS720894:IMD720896 IVO720894:IVZ720896 JFK720894:JFV720896 JPG720894:JPR720896 JZC720894:JZN720896 KIY720894:KJJ720896 KSU720894:KTF720896 LCQ720894:LDB720896 LMM720894:LMX720896 LWI720894:LWT720896 MGE720894:MGP720896 MQA720894:MQL720896 MZW720894:NAH720896 NJS720894:NKD720896 NTO720894:NTZ720896 ODK720894:ODV720896 ONG720894:ONR720896 OXC720894:OXN720896 PGY720894:PHJ720896 PQU720894:PRF720896 QAQ720894:QBB720896 QKM720894:QKX720896 QUI720894:QUT720896 REE720894:REP720896 ROA720894:ROL720896 RXW720894:RYH720896 SHS720894:SID720896 SRO720894:SRZ720896 TBK720894:TBV720896 TLG720894:TLR720896 TVC720894:TVN720896 UEY720894:UFJ720896 UOU720894:UPF720896 UYQ720894:UZB720896 VIM720894:VIX720896 VSI720894:VST720896 WCE720894:WCP720896 WMA720894:WML720896 WVW720894:WWH720896 JK786430:JV786432 TG786430:TR786432 ADC786430:ADN786432 AMY786430:ANJ786432 AWU786430:AXF786432 BGQ786430:BHB786432 BQM786430:BQX786432 CAI786430:CAT786432 CKE786430:CKP786432 CUA786430:CUL786432 DDW786430:DEH786432 DNS786430:DOD786432 DXO786430:DXZ786432 EHK786430:EHV786432 ERG786430:ERR786432 FBC786430:FBN786432 FKY786430:FLJ786432 FUU786430:FVF786432 GEQ786430:GFB786432 GOM786430:GOX786432 GYI786430:GYT786432 HIE786430:HIP786432 HSA786430:HSL786432 IBW786430:ICH786432 ILS786430:IMD786432 IVO786430:IVZ786432 JFK786430:JFV786432 JPG786430:JPR786432 JZC786430:JZN786432 KIY786430:KJJ786432 KSU786430:KTF786432 LCQ786430:LDB786432 LMM786430:LMX786432 LWI786430:LWT786432 MGE786430:MGP786432 MQA786430:MQL786432 MZW786430:NAH786432 NJS786430:NKD786432 NTO786430:NTZ786432 ODK786430:ODV786432 ONG786430:ONR786432 OXC786430:OXN786432 PGY786430:PHJ786432 PQU786430:PRF786432 QAQ786430:QBB786432 QKM786430:QKX786432 QUI786430:QUT786432 REE786430:REP786432 ROA786430:ROL786432 RXW786430:RYH786432 SHS786430:SID786432 SRO786430:SRZ786432 TBK786430:TBV786432 TLG786430:TLR786432 TVC786430:TVN786432 UEY786430:UFJ786432 UOU786430:UPF786432 UYQ786430:UZB786432 VIM786430:VIX786432 VSI786430:VST786432 WCE786430:WCP786432 WMA786430:WML786432 WVW786430:WWH786432 JK851966:JV851968 TG851966:TR851968 ADC851966:ADN851968 AMY851966:ANJ851968 AWU851966:AXF851968 BGQ851966:BHB851968 BQM851966:BQX851968 CAI851966:CAT851968 CKE851966:CKP851968 CUA851966:CUL851968 DDW851966:DEH851968 DNS851966:DOD851968 DXO851966:DXZ851968 EHK851966:EHV851968 ERG851966:ERR851968 FBC851966:FBN851968 FKY851966:FLJ851968 FUU851966:FVF851968 GEQ851966:GFB851968 GOM851966:GOX851968 GYI851966:GYT851968 HIE851966:HIP851968 HSA851966:HSL851968 IBW851966:ICH851968 ILS851966:IMD851968 IVO851966:IVZ851968 JFK851966:JFV851968 JPG851966:JPR851968 JZC851966:JZN851968 KIY851966:KJJ851968 KSU851966:KTF851968 LCQ851966:LDB851968 LMM851966:LMX851968 LWI851966:LWT851968 MGE851966:MGP851968 MQA851966:MQL851968 MZW851966:NAH851968 NJS851966:NKD851968 NTO851966:NTZ851968 ODK851966:ODV851968 ONG851966:ONR851968 OXC851966:OXN851968 PGY851966:PHJ851968 PQU851966:PRF851968 QAQ851966:QBB851968 QKM851966:QKX851968 QUI851966:QUT851968 REE851966:REP851968 ROA851966:ROL851968 RXW851966:RYH851968 SHS851966:SID851968 SRO851966:SRZ851968 TBK851966:TBV851968 TLG851966:TLR851968 TVC851966:TVN851968 UEY851966:UFJ851968 UOU851966:UPF851968 UYQ851966:UZB851968 VIM851966:VIX851968 VSI851966:VST851968 WCE851966:WCP851968 WMA851966:WML851968 WVW851966:WWH851968 JK917502:JV917504 TG917502:TR917504 ADC917502:ADN917504 AMY917502:ANJ917504 AWU917502:AXF917504 BGQ917502:BHB917504 BQM917502:BQX917504 CAI917502:CAT917504 CKE917502:CKP917504 CUA917502:CUL917504 DDW917502:DEH917504 DNS917502:DOD917504 DXO917502:DXZ917504 EHK917502:EHV917504 ERG917502:ERR917504 FBC917502:FBN917504 FKY917502:FLJ917504 FUU917502:FVF917504 GEQ917502:GFB917504 GOM917502:GOX917504 GYI917502:GYT917504 HIE917502:HIP917504 HSA917502:HSL917504 IBW917502:ICH917504 ILS917502:IMD917504 IVO917502:IVZ917504 JFK917502:JFV917504 JPG917502:JPR917504 JZC917502:JZN917504 KIY917502:KJJ917504 KSU917502:KTF917504 LCQ917502:LDB917504 LMM917502:LMX917504 LWI917502:LWT917504 MGE917502:MGP917504 MQA917502:MQL917504 MZW917502:NAH917504 NJS917502:NKD917504 NTO917502:NTZ917504 ODK917502:ODV917504 ONG917502:ONR917504 OXC917502:OXN917504 PGY917502:PHJ917504 PQU917502:PRF917504 QAQ917502:QBB917504 QKM917502:QKX917504 QUI917502:QUT917504 REE917502:REP917504 ROA917502:ROL917504 RXW917502:RYH917504 SHS917502:SID917504 SRO917502:SRZ917504 TBK917502:TBV917504 TLG917502:TLR917504 TVC917502:TVN917504 UEY917502:UFJ917504 UOU917502:UPF917504 UYQ917502:UZB917504 VIM917502:VIX917504 VSI917502:VST917504 WCE917502:WCP917504 WMA917502:WML917504 WVW917502:WWH917504 JK983038:JV983040 TG983038:TR983040 ADC983038:ADN983040 AMY983038:ANJ983040 AWU983038:AXF983040 BGQ983038:BHB983040 BQM983038:BQX983040 CAI983038:CAT983040 CKE983038:CKP983040 CUA983038:CUL983040 DDW983038:DEH983040 DNS983038:DOD983040 DXO983038:DXZ983040 EHK983038:EHV983040 ERG983038:ERR983040 FBC983038:FBN983040 FKY983038:FLJ983040 FUU983038:FVF983040 GEQ983038:GFB983040 GOM983038:GOX983040 GYI983038:GYT983040 HIE983038:HIP983040 HSA983038:HSL983040 IBW983038:ICH983040 ILS983038:IMD983040 IVO983038:IVZ983040 JFK983038:JFV983040 JPG983038:JPR983040 JZC983038:JZN983040 KIY983038:KJJ983040 KSU983038:KTF983040 LCQ983038:LDB983040 LMM983038:LMX983040 LWI983038:LWT983040 MGE983038:MGP983040 MQA983038:MQL983040 MZW983038:NAH983040 NJS983038:NKD983040 NTO983038:NTZ983040 ODK983038:ODV983040 ONG983038:ONR983040 OXC983038:OXN983040 PGY983038:PHJ983040 PQU983038:PRF983040 QAQ983038:QBB983040 QKM983038:QKX983040 QUI983038:QUT983040 REE983038:REP983040 ROA983038:ROL983040 RXW983038:RYH983040 SHS983038:SID983040 SRO983038:SRZ983040 TBK983038:TBV983040 TLG983038:TLR983040 TVC983038:TVN983040 UEY983038:UFJ983040 UOU983038:UPF983040 UYQ983038:UZB983040 VIM983038:VIX983040 VSI983038:VST983040 WCE983038:WCP983040 WMA983038:WML983040 WVW983038:WWH983040 WVW983043:WWH983045 JK65539:JV65541 TG65539:TR65541 ADC65539:ADN65541 AMY65539:ANJ65541 AWU65539:AXF65541 BGQ65539:BHB65541 BQM65539:BQX65541 CAI65539:CAT65541 CKE65539:CKP65541 CUA65539:CUL65541 DDW65539:DEH65541 DNS65539:DOD65541 DXO65539:DXZ65541 EHK65539:EHV65541 ERG65539:ERR65541 FBC65539:FBN65541 FKY65539:FLJ65541 FUU65539:FVF65541 GEQ65539:GFB65541 GOM65539:GOX65541 GYI65539:GYT65541 HIE65539:HIP65541 HSA65539:HSL65541 IBW65539:ICH65541 ILS65539:IMD65541 IVO65539:IVZ65541 JFK65539:JFV65541 JPG65539:JPR65541 JZC65539:JZN65541 KIY65539:KJJ65541 KSU65539:KTF65541 LCQ65539:LDB65541 LMM65539:LMX65541 LWI65539:LWT65541 MGE65539:MGP65541 MQA65539:MQL65541 MZW65539:NAH65541 NJS65539:NKD65541 NTO65539:NTZ65541 ODK65539:ODV65541 ONG65539:ONR65541 OXC65539:OXN65541 PGY65539:PHJ65541 PQU65539:PRF65541 QAQ65539:QBB65541 QKM65539:QKX65541 QUI65539:QUT65541 REE65539:REP65541 ROA65539:ROL65541 RXW65539:RYH65541 SHS65539:SID65541 SRO65539:SRZ65541 TBK65539:TBV65541 TLG65539:TLR65541 TVC65539:TVN65541 UEY65539:UFJ65541 UOU65539:UPF65541 UYQ65539:UZB65541 VIM65539:VIX65541 VSI65539:VST65541 WCE65539:WCP65541 WMA65539:WML65541 WVW65539:WWH65541 JK131075:JV131077 TG131075:TR131077 ADC131075:ADN131077 AMY131075:ANJ131077 AWU131075:AXF131077 BGQ131075:BHB131077 BQM131075:BQX131077 CAI131075:CAT131077 CKE131075:CKP131077 CUA131075:CUL131077 DDW131075:DEH131077 DNS131075:DOD131077 DXO131075:DXZ131077 EHK131075:EHV131077 ERG131075:ERR131077 FBC131075:FBN131077 FKY131075:FLJ131077 FUU131075:FVF131077 GEQ131075:GFB131077 GOM131075:GOX131077 GYI131075:GYT131077 HIE131075:HIP131077 HSA131075:HSL131077 IBW131075:ICH131077 ILS131075:IMD131077 IVO131075:IVZ131077 JFK131075:JFV131077 JPG131075:JPR131077 JZC131075:JZN131077 KIY131075:KJJ131077 KSU131075:KTF131077 LCQ131075:LDB131077 LMM131075:LMX131077 LWI131075:LWT131077 MGE131075:MGP131077 MQA131075:MQL131077 MZW131075:NAH131077 NJS131075:NKD131077 NTO131075:NTZ131077 ODK131075:ODV131077 ONG131075:ONR131077 OXC131075:OXN131077 PGY131075:PHJ131077 PQU131075:PRF131077 QAQ131075:QBB131077 QKM131075:QKX131077 QUI131075:QUT131077 REE131075:REP131077 ROA131075:ROL131077 RXW131075:RYH131077 SHS131075:SID131077 SRO131075:SRZ131077 TBK131075:TBV131077 TLG131075:TLR131077 TVC131075:TVN131077 UEY131075:UFJ131077 UOU131075:UPF131077 UYQ131075:UZB131077 VIM131075:VIX131077 VSI131075:VST131077 WCE131075:WCP131077 WMA131075:WML131077 WVW131075:WWH131077 JK196611:JV196613 TG196611:TR196613 ADC196611:ADN196613 AMY196611:ANJ196613 AWU196611:AXF196613 BGQ196611:BHB196613 BQM196611:BQX196613 CAI196611:CAT196613 CKE196611:CKP196613 CUA196611:CUL196613 DDW196611:DEH196613 DNS196611:DOD196613 DXO196611:DXZ196613 EHK196611:EHV196613 ERG196611:ERR196613 FBC196611:FBN196613 FKY196611:FLJ196613 FUU196611:FVF196613 GEQ196611:GFB196613 GOM196611:GOX196613 GYI196611:GYT196613 HIE196611:HIP196613 HSA196611:HSL196613 IBW196611:ICH196613 ILS196611:IMD196613 IVO196611:IVZ196613 JFK196611:JFV196613 JPG196611:JPR196613 JZC196611:JZN196613 KIY196611:KJJ196613 KSU196611:KTF196613 LCQ196611:LDB196613 LMM196611:LMX196613 LWI196611:LWT196613 MGE196611:MGP196613 MQA196611:MQL196613 MZW196611:NAH196613 NJS196611:NKD196613 NTO196611:NTZ196613 ODK196611:ODV196613 ONG196611:ONR196613 OXC196611:OXN196613 PGY196611:PHJ196613 PQU196611:PRF196613 QAQ196611:QBB196613 QKM196611:QKX196613 QUI196611:QUT196613 REE196611:REP196613 ROA196611:ROL196613 RXW196611:RYH196613 SHS196611:SID196613 SRO196611:SRZ196613 TBK196611:TBV196613 TLG196611:TLR196613 TVC196611:TVN196613 UEY196611:UFJ196613 UOU196611:UPF196613 UYQ196611:UZB196613 VIM196611:VIX196613 VSI196611:VST196613 WCE196611:WCP196613 WMA196611:WML196613 WVW196611:WWH196613 JK262147:JV262149 TG262147:TR262149 ADC262147:ADN262149 AMY262147:ANJ262149 AWU262147:AXF262149 BGQ262147:BHB262149 BQM262147:BQX262149 CAI262147:CAT262149 CKE262147:CKP262149 CUA262147:CUL262149 DDW262147:DEH262149 DNS262147:DOD262149 DXO262147:DXZ262149 EHK262147:EHV262149 ERG262147:ERR262149 FBC262147:FBN262149 FKY262147:FLJ262149 FUU262147:FVF262149 GEQ262147:GFB262149 GOM262147:GOX262149 GYI262147:GYT262149 HIE262147:HIP262149 HSA262147:HSL262149 IBW262147:ICH262149 ILS262147:IMD262149 IVO262147:IVZ262149 JFK262147:JFV262149 JPG262147:JPR262149 JZC262147:JZN262149 KIY262147:KJJ262149 KSU262147:KTF262149 LCQ262147:LDB262149 LMM262147:LMX262149 LWI262147:LWT262149 MGE262147:MGP262149 MQA262147:MQL262149 MZW262147:NAH262149 NJS262147:NKD262149 NTO262147:NTZ262149 ODK262147:ODV262149 ONG262147:ONR262149 OXC262147:OXN262149 PGY262147:PHJ262149 PQU262147:PRF262149 QAQ262147:QBB262149 QKM262147:QKX262149 QUI262147:QUT262149 REE262147:REP262149 ROA262147:ROL262149 RXW262147:RYH262149 SHS262147:SID262149 SRO262147:SRZ262149 TBK262147:TBV262149 TLG262147:TLR262149 TVC262147:TVN262149 UEY262147:UFJ262149 UOU262147:UPF262149 UYQ262147:UZB262149 VIM262147:VIX262149 VSI262147:VST262149 WCE262147:WCP262149 WMA262147:WML262149 WVW262147:WWH262149 JK327683:JV327685 TG327683:TR327685 ADC327683:ADN327685 AMY327683:ANJ327685 AWU327683:AXF327685 BGQ327683:BHB327685 BQM327683:BQX327685 CAI327683:CAT327685 CKE327683:CKP327685 CUA327683:CUL327685 DDW327683:DEH327685 DNS327683:DOD327685 DXO327683:DXZ327685 EHK327683:EHV327685 ERG327683:ERR327685 FBC327683:FBN327685 FKY327683:FLJ327685 FUU327683:FVF327685 GEQ327683:GFB327685 GOM327683:GOX327685 GYI327683:GYT327685 HIE327683:HIP327685 HSA327683:HSL327685 IBW327683:ICH327685 ILS327683:IMD327685 IVO327683:IVZ327685 JFK327683:JFV327685 JPG327683:JPR327685 JZC327683:JZN327685 KIY327683:KJJ327685 KSU327683:KTF327685 LCQ327683:LDB327685 LMM327683:LMX327685 LWI327683:LWT327685 MGE327683:MGP327685 MQA327683:MQL327685 MZW327683:NAH327685 NJS327683:NKD327685 NTO327683:NTZ327685 ODK327683:ODV327685 ONG327683:ONR327685 OXC327683:OXN327685 PGY327683:PHJ327685 PQU327683:PRF327685 QAQ327683:QBB327685 QKM327683:QKX327685 QUI327683:QUT327685 REE327683:REP327685 ROA327683:ROL327685 RXW327683:RYH327685 SHS327683:SID327685 SRO327683:SRZ327685 TBK327683:TBV327685 TLG327683:TLR327685 TVC327683:TVN327685 UEY327683:UFJ327685 UOU327683:UPF327685 UYQ327683:UZB327685 VIM327683:VIX327685 VSI327683:VST327685 WCE327683:WCP327685 WMA327683:WML327685 WVW327683:WWH327685 JK393219:JV393221 TG393219:TR393221 ADC393219:ADN393221 AMY393219:ANJ393221 AWU393219:AXF393221 BGQ393219:BHB393221 BQM393219:BQX393221 CAI393219:CAT393221 CKE393219:CKP393221 CUA393219:CUL393221 DDW393219:DEH393221 DNS393219:DOD393221 DXO393219:DXZ393221 EHK393219:EHV393221 ERG393219:ERR393221 FBC393219:FBN393221 FKY393219:FLJ393221 FUU393219:FVF393221 GEQ393219:GFB393221 GOM393219:GOX393221 GYI393219:GYT393221 HIE393219:HIP393221 HSA393219:HSL393221 IBW393219:ICH393221 ILS393219:IMD393221 IVO393219:IVZ393221 JFK393219:JFV393221 JPG393219:JPR393221 JZC393219:JZN393221 KIY393219:KJJ393221 KSU393219:KTF393221 LCQ393219:LDB393221 LMM393219:LMX393221 LWI393219:LWT393221 MGE393219:MGP393221 MQA393219:MQL393221 MZW393219:NAH393221 NJS393219:NKD393221 NTO393219:NTZ393221 ODK393219:ODV393221 ONG393219:ONR393221 OXC393219:OXN393221 PGY393219:PHJ393221 PQU393219:PRF393221 QAQ393219:QBB393221 QKM393219:QKX393221 QUI393219:QUT393221 REE393219:REP393221 ROA393219:ROL393221 RXW393219:RYH393221 SHS393219:SID393221 SRO393219:SRZ393221 TBK393219:TBV393221 TLG393219:TLR393221 TVC393219:TVN393221 UEY393219:UFJ393221 UOU393219:UPF393221 UYQ393219:UZB393221 VIM393219:VIX393221 VSI393219:VST393221 WCE393219:WCP393221 WMA393219:WML393221 WVW393219:WWH393221 JK458755:JV458757 TG458755:TR458757 ADC458755:ADN458757 AMY458755:ANJ458757 AWU458755:AXF458757 BGQ458755:BHB458757 BQM458755:BQX458757 CAI458755:CAT458757 CKE458755:CKP458757 CUA458755:CUL458757 DDW458755:DEH458757 DNS458755:DOD458757 DXO458755:DXZ458757 EHK458755:EHV458757 ERG458755:ERR458757 FBC458755:FBN458757 FKY458755:FLJ458757 FUU458755:FVF458757 GEQ458755:GFB458757 GOM458755:GOX458757 GYI458755:GYT458757 HIE458755:HIP458757 HSA458755:HSL458757 IBW458755:ICH458757 ILS458755:IMD458757 IVO458755:IVZ458757 JFK458755:JFV458757 JPG458755:JPR458757 JZC458755:JZN458757 KIY458755:KJJ458757 KSU458755:KTF458757 LCQ458755:LDB458757 LMM458755:LMX458757 LWI458755:LWT458757 MGE458755:MGP458757 MQA458755:MQL458757 MZW458755:NAH458757 NJS458755:NKD458757 NTO458755:NTZ458757 ODK458755:ODV458757 ONG458755:ONR458757 OXC458755:OXN458757 PGY458755:PHJ458757 PQU458755:PRF458757 QAQ458755:QBB458757 QKM458755:QKX458757 QUI458755:QUT458757 REE458755:REP458757 ROA458755:ROL458757 RXW458755:RYH458757 SHS458755:SID458757 SRO458755:SRZ458757 TBK458755:TBV458757 TLG458755:TLR458757 TVC458755:TVN458757 UEY458755:UFJ458757 UOU458755:UPF458757 UYQ458755:UZB458757 VIM458755:VIX458757 VSI458755:VST458757 WCE458755:WCP458757 WMA458755:WML458757 WVW458755:WWH458757 JK524291:JV524293 TG524291:TR524293 ADC524291:ADN524293 AMY524291:ANJ524293 AWU524291:AXF524293 BGQ524291:BHB524293 BQM524291:BQX524293 CAI524291:CAT524293 CKE524291:CKP524293 CUA524291:CUL524293 DDW524291:DEH524293 DNS524291:DOD524293 DXO524291:DXZ524293 EHK524291:EHV524293 ERG524291:ERR524293 FBC524291:FBN524293 FKY524291:FLJ524293 FUU524291:FVF524293 GEQ524291:GFB524293 GOM524291:GOX524293 GYI524291:GYT524293 HIE524291:HIP524293 HSA524291:HSL524293 IBW524291:ICH524293 ILS524291:IMD524293 IVO524291:IVZ524293 JFK524291:JFV524293 JPG524291:JPR524293 JZC524291:JZN524293 KIY524291:KJJ524293 KSU524291:KTF524293 LCQ524291:LDB524293 LMM524291:LMX524293 LWI524291:LWT524293 MGE524291:MGP524293 MQA524291:MQL524293 MZW524291:NAH524293 NJS524291:NKD524293 NTO524291:NTZ524293 ODK524291:ODV524293 ONG524291:ONR524293 OXC524291:OXN524293 PGY524291:PHJ524293 PQU524291:PRF524293 QAQ524291:QBB524293 QKM524291:QKX524293 QUI524291:QUT524293 REE524291:REP524293 ROA524291:ROL524293 RXW524291:RYH524293 SHS524291:SID524293 SRO524291:SRZ524293 TBK524291:TBV524293 TLG524291:TLR524293 TVC524291:TVN524293 UEY524291:UFJ524293 UOU524291:UPF524293 UYQ524291:UZB524293 VIM524291:VIX524293 VSI524291:VST524293 WCE524291:WCP524293 WMA524291:WML524293 WVW524291:WWH524293 JK589827:JV589829 TG589827:TR589829 ADC589827:ADN589829 AMY589827:ANJ589829 AWU589827:AXF589829 BGQ589827:BHB589829 BQM589827:BQX589829 CAI589827:CAT589829 CKE589827:CKP589829 CUA589827:CUL589829 DDW589827:DEH589829 DNS589827:DOD589829 DXO589827:DXZ589829 EHK589827:EHV589829 ERG589827:ERR589829 FBC589827:FBN589829 FKY589827:FLJ589829 FUU589827:FVF589829 GEQ589827:GFB589829 GOM589827:GOX589829 GYI589827:GYT589829 HIE589827:HIP589829 HSA589827:HSL589829 IBW589827:ICH589829 ILS589827:IMD589829 IVO589827:IVZ589829 JFK589827:JFV589829 JPG589827:JPR589829 JZC589827:JZN589829 KIY589827:KJJ589829 KSU589827:KTF589829 LCQ589827:LDB589829 LMM589827:LMX589829 LWI589827:LWT589829 MGE589827:MGP589829 MQA589827:MQL589829 MZW589827:NAH589829 NJS589827:NKD589829 NTO589827:NTZ589829 ODK589827:ODV589829 ONG589827:ONR589829 OXC589827:OXN589829 PGY589827:PHJ589829 PQU589827:PRF589829 QAQ589827:QBB589829 QKM589827:QKX589829 QUI589827:QUT589829 REE589827:REP589829 ROA589827:ROL589829 RXW589827:RYH589829 SHS589827:SID589829 SRO589827:SRZ589829 TBK589827:TBV589829 TLG589827:TLR589829 TVC589827:TVN589829 UEY589827:UFJ589829 UOU589827:UPF589829 UYQ589827:UZB589829 VIM589827:VIX589829 VSI589827:VST589829 WCE589827:WCP589829 WMA589827:WML589829 WVW589827:WWH589829 JK655363:JV655365 TG655363:TR655365 ADC655363:ADN655365 AMY655363:ANJ655365 AWU655363:AXF655365 BGQ655363:BHB655365 BQM655363:BQX655365 CAI655363:CAT655365 CKE655363:CKP655365 CUA655363:CUL655365 DDW655363:DEH655365 DNS655363:DOD655365 DXO655363:DXZ655365 EHK655363:EHV655365 ERG655363:ERR655365 FBC655363:FBN655365 FKY655363:FLJ655365 FUU655363:FVF655365 GEQ655363:GFB655365 GOM655363:GOX655365 GYI655363:GYT655365 HIE655363:HIP655365 HSA655363:HSL655365 IBW655363:ICH655365 ILS655363:IMD655365 IVO655363:IVZ655365 JFK655363:JFV655365 JPG655363:JPR655365 JZC655363:JZN655365 KIY655363:KJJ655365 KSU655363:KTF655365 LCQ655363:LDB655365 LMM655363:LMX655365 LWI655363:LWT655365 MGE655363:MGP655365 MQA655363:MQL655365 MZW655363:NAH655365 NJS655363:NKD655365 NTO655363:NTZ655365 ODK655363:ODV655365 ONG655363:ONR655365 OXC655363:OXN655365 PGY655363:PHJ655365 PQU655363:PRF655365 QAQ655363:QBB655365 QKM655363:QKX655365 QUI655363:QUT655365 REE655363:REP655365 ROA655363:ROL655365 RXW655363:RYH655365 SHS655363:SID655365 SRO655363:SRZ655365 TBK655363:TBV655365 TLG655363:TLR655365 TVC655363:TVN655365 UEY655363:UFJ655365 UOU655363:UPF655365 UYQ655363:UZB655365 VIM655363:VIX655365 VSI655363:VST655365 WCE655363:WCP655365 WMA655363:WML655365 WVW655363:WWH655365 JK720899:JV720901 TG720899:TR720901 ADC720899:ADN720901 AMY720899:ANJ720901 AWU720899:AXF720901 BGQ720899:BHB720901 BQM720899:BQX720901 CAI720899:CAT720901 CKE720899:CKP720901 CUA720899:CUL720901 DDW720899:DEH720901 DNS720899:DOD720901 DXO720899:DXZ720901 EHK720899:EHV720901 ERG720899:ERR720901 FBC720899:FBN720901 FKY720899:FLJ720901 FUU720899:FVF720901 GEQ720899:GFB720901 GOM720899:GOX720901 GYI720899:GYT720901 HIE720899:HIP720901 HSA720899:HSL720901 IBW720899:ICH720901 ILS720899:IMD720901 IVO720899:IVZ720901 JFK720899:JFV720901 JPG720899:JPR720901 JZC720899:JZN720901 KIY720899:KJJ720901 KSU720899:KTF720901 LCQ720899:LDB720901 LMM720899:LMX720901 LWI720899:LWT720901 MGE720899:MGP720901 MQA720899:MQL720901 MZW720899:NAH720901 NJS720899:NKD720901 NTO720899:NTZ720901 ODK720899:ODV720901 ONG720899:ONR720901 OXC720899:OXN720901 PGY720899:PHJ720901 PQU720899:PRF720901 QAQ720899:QBB720901 QKM720899:QKX720901 QUI720899:QUT720901 REE720899:REP720901 ROA720899:ROL720901 RXW720899:RYH720901 SHS720899:SID720901 SRO720899:SRZ720901 TBK720899:TBV720901 TLG720899:TLR720901 TVC720899:TVN720901 UEY720899:UFJ720901 UOU720899:UPF720901 UYQ720899:UZB720901 VIM720899:VIX720901 VSI720899:VST720901 WCE720899:WCP720901 WMA720899:WML720901 WVW720899:WWH720901 JK786435:JV786437 TG786435:TR786437 ADC786435:ADN786437 AMY786435:ANJ786437 AWU786435:AXF786437 BGQ786435:BHB786437 BQM786435:BQX786437 CAI786435:CAT786437 CKE786435:CKP786437 CUA786435:CUL786437 DDW786435:DEH786437 DNS786435:DOD786437 DXO786435:DXZ786437 EHK786435:EHV786437 ERG786435:ERR786437 FBC786435:FBN786437 FKY786435:FLJ786437 FUU786435:FVF786437 GEQ786435:GFB786437 GOM786435:GOX786437 GYI786435:GYT786437 HIE786435:HIP786437 HSA786435:HSL786437 IBW786435:ICH786437 ILS786435:IMD786437 IVO786435:IVZ786437 JFK786435:JFV786437 JPG786435:JPR786437 JZC786435:JZN786437 KIY786435:KJJ786437 KSU786435:KTF786437 LCQ786435:LDB786437 LMM786435:LMX786437 LWI786435:LWT786437 MGE786435:MGP786437 MQA786435:MQL786437 MZW786435:NAH786437 NJS786435:NKD786437 NTO786435:NTZ786437 ODK786435:ODV786437 ONG786435:ONR786437 OXC786435:OXN786437 PGY786435:PHJ786437 PQU786435:PRF786437 QAQ786435:QBB786437 QKM786435:QKX786437 QUI786435:QUT786437 REE786435:REP786437 ROA786435:ROL786437 RXW786435:RYH786437 SHS786435:SID786437 SRO786435:SRZ786437 TBK786435:TBV786437 TLG786435:TLR786437 TVC786435:TVN786437 UEY786435:UFJ786437 UOU786435:UPF786437 UYQ786435:UZB786437 VIM786435:VIX786437 VSI786435:VST786437 WCE786435:WCP786437 WMA786435:WML786437 WVW786435:WWH786437 JK851971:JV851973 TG851971:TR851973 ADC851971:ADN851973 AMY851971:ANJ851973 AWU851971:AXF851973 BGQ851971:BHB851973 BQM851971:BQX851973 CAI851971:CAT851973 CKE851971:CKP851973 CUA851971:CUL851973 DDW851971:DEH851973 DNS851971:DOD851973 DXO851971:DXZ851973 EHK851971:EHV851973 ERG851971:ERR851973 FBC851971:FBN851973 FKY851971:FLJ851973 FUU851971:FVF851973 GEQ851971:GFB851973 GOM851971:GOX851973 GYI851971:GYT851973 HIE851971:HIP851973 HSA851971:HSL851973 IBW851971:ICH851973 ILS851971:IMD851973 IVO851971:IVZ851973 JFK851971:JFV851973 JPG851971:JPR851973 JZC851971:JZN851973 KIY851971:KJJ851973 KSU851971:KTF851973 LCQ851971:LDB851973 LMM851971:LMX851973 LWI851971:LWT851973 MGE851971:MGP851973 MQA851971:MQL851973 MZW851971:NAH851973 NJS851971:NKD851973 NTO851971:NTZ851973 ODK851971:ODV851973 ONG851971:ONR851973 OXC851971:OXN851973 PGY851971:PHJ851973 PQU851971:PRF851973 QAQ851971:QBB851973 QKM851971:QKX851973 QUI851971:QUT851973 REE851971:REP851973 ROA851971:ROL851973 RXW851971:RYH851973 SHS851971:SID851973 SRO851971:SRZ851973 TBK851971:TBV851973 TLG851971:TLR851973 TVC851971:TVN851973 UEY851971:UFJ851973 UOU851971:UPF851973 UYQ851971:UZB851973 VIM851971:VIX851973 VSI851971:VST851973 WCE851971:WCP851973 WMA851971:WML851973 WVW851971:WWH851973 JK917507:JV917509 TG917507:TR917509 ADC917507:ADN917509 AMY917507:ANJ917509 AWU917507:AXF917509 BGQ917507:BHB917509 BQM917507:BQX917509 CAI917507:CAT917509 CKE917507:CKP917509 CUA917507:CUL917509 DDW917507:DEH917509 DNS917507:DOD917509 DXO917507:DXZ917509 EHK917507:EHV917509 ERG917507:ERR917509 FBC917507:FBN917509 FKY917507:FLJ917509 FUU917507:FVF917509 GEQ917507:GFB917509 GOM917507:GOX917509 GYI917507:GYT917509 HIE917507:HIP917509 HSA917507:HSL917509 IBW917507:ICH917509 ILS917507:IMD917509 IVO917507:IVZ917509 JFK917507:JFV917509 JPG917507:JPR917509 JZC917507:JZN917509 KIY917507:KJJ917509 KSU917507:KTF917509 LCQ917507:LDB917509 LMM917507:LMX917509 LWI917507:LWT917509 MGE917507:MGP917509 MQA917507:MQL917509 MZW917507:NAH917509 NJS917507:NKD917509 NTO917507:NTZ917509 ODK917507:ODV917509 ONG917507:ONR917509 OXC917507:OXN917509 PGY917507:PHJ917509 PQU917507:PRF917509 QAQ917507:QBB917509 QKM917507:QKX917509 QUI917507:QUT917509 REE917507:REP917509 ROA917507:ROL917509 RXW917507:RYH917509 SHS917507:SID917509 SRO917507:SRZ917509 TBK917507:TBV917509 TLG917507:TLR917509 TVC917507:TVN917509 UEY917507:UFJ917509 UOU917507:UPF917509 UYQ917507:UZB917509 VIM917507:VIX917509 VSI917507:VST917509 WCE917507:WCP917509 WMA917507:WML917509 WVW917507:WWH917509 JK983043:JV983045 TG983043:TR983045 ADC983043:ADN983045 AMY983043:ANJ983045 AWU983043:AXF983045 BGQ983043:BHB983045 BQM983043:BQX983045 CAI983043:CAT983045 CKE983043:CKP983045 CUA983043:CUL983045 DDW983043:DEH983045 DNS983043:DOD983045 DXO983043:DXZ983045 EHK983043:EHV983045 ERG983043:ERR983045 FBC983043:FBN983045 FKY983043:FLJ983045 FUU983043:FVF983045 GEQ983043:GFB983045 GOM983043:GOX983045 GYI983043:GYT983045 HIE983043:HIP983045 HSA983043:HSL983045 IBW983043:ICH983045 ILS983043:IMD983045 IVO983043:IVZ983045 JFK983043:JFV983045 JPG983043:JPR983045 JZC983043:JZN983045 KIY983043:KJJ983045 KSU983043:KTF983045 LCQ983043:LDB983045 LMM983043:LMX983045 LWI983043:LWT983045 MGE983043:MGP983045 MQA983043:MQL983045 MZW983043:NAH983045 NJS983043:NKD983045 NTO983043:NTZ983045 ODK983043:ODV983045 ONG983043:ONR983045 OXC983043:OXN983045 PGY983043:PHJ983045 PQU983043:PRF983045 QAQ983043:QBB983045 QKM983043:QKX983045 QUI983043:QUT983045 REE983043:REP983045 ROA983043:ROL983045 RXW983043:RYH983045 SHS983043:SID983045 SRO983043:SRZ983045 TBK983043:TBV983045 TLG983043:TLR983045 TVC983043:TVN983045 UEY983043:UFJ983045 UOU983043:UPF983045 UYQ983043:UZB983045 VIM983043:VIX983045 VSI983043:VST983045 WCE983043:WCP983045 WMA983043:WML983045 Z262142:AJ262144 Z196606:AJ196608 Z131070:AJ131072 Z65534:AJ65536 Z983043:AJ983045 Z917507:AJ917509 Z851971:AJ851973 Z786435:AJ786437 Z720899:AJ720901 Z655363:AJ655365 Z589827:AJ589829 Z524291:AJ524293 Z458755:AJ458757 Z393219:AJ393221 Z327683:AJ327685 Z262147:AJ262149 Z196611:AJ196613 Z131075:AJ131077 Z65539:AJ65541 Z983038:AJ983040 Z917502:AJ917504 Z851966:AJ851968 Z786430:AJ786432 Z720894:AJ720896 Z655358:AJ655360 Z589822:AJ589824 Z524286:AJ524288 Z458750:AJ458752 Z393214:AJ393216 Z327678:AJ327680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300-000001000000}"/>
    <dataValidation type="list" allowBlank="1" showInputMessage="1" showErrorMessage="1" sqref="Y8:Z63" xr:uid="{00000000-0002-0000-03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4"/>
  <dimension ref="A1:BD54"/>
  <sheetViews>
    <sheetView showGridLines="0" topLeftCell="A4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資材請求添付ファイル情報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50" t="s">
        <v>151</v>
      </c>
      <c r="AV2" s="51"/>
      <c r="AW2" s="51"/>
      <c r="AX2" s="51"/>
      <c r="AY2" s="52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t_shizai_seikyu_attach_file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145</v>
      </c>
      <c r="C8" s="19"/>
      <c r="D8" s="19"/>
      <c r="E8" s="19"/>
      <c r="F8" s="19"/>
      <c r="G8" s="19"/>
      <c r="H8" s="19"/>
      <c r="I8" s="64" t="str">
        <f>VLOOKUP(B8,項目一覧2!A:B,2,FALSE)</f>
        <v>shizai_seikyu_no</v>
      </c>
      <c r="J8" s="21"/>
      <c r="K8" s="21"/>
      <c r="L8" s="21"/>
      <c r="M8" s="21"/>
      <c r="N8" s="21"/>
      <c r="O8" s="21"/>
      <c r="P8" s="21"/>
      <c r="Q8" s="21"/>
      <c r="R8" s="18" t="s">
        <v>145</v>
      </c>
      <c r="S8" s="19"/>
      <c r="T8" s="19"/>
      <c r="U8" s="19"/>
      <c r="V8" s="19"/>
      <c r="W8" s="19"/>
      <c r="X8" s="19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2023</v>
      </c>
      <c r="C9" s="39"/>
      <c r="D9" s="39"/>
      <c r="E9" s="39"/>
      <c r="F9" s="39"/>
      <c r="G9" s="39"/>
      <c r="H9" s="39"/>
      <c r="I9" s="64" t="str">
        <f>VLOOKUP(B9,項目一覧2!A:B,2,FALSE)</f>
        <v>file_seq</v>
      </c>
      <c r="J9" s="30"/>
      <c r="K9" s="30"/>
      <c r="L9" s="30"/>
      <c r="M9" s="30"/>
      <c r="N9" s="30"/>
      <c r="O9" s="30"/>
      <c r="P9" s="30"/>
      <c r="Q9" s="30"/>
      <c r="R9" s="41" t="s">
        <v>2023</v>
      </c>
      <c r="S9" s="39"/>
      <c r="T9" s="39"/>
      <c r="U9" s="39"/>
      <c r="V9" s="39"/>
      <c r="W9" s="39"/>
      <c r="X9" s="39"/>
      <c r="Y9" s="212" t="s">
        <v>1901</v>
      </c>
      <c r="Z9" s="213"/>
      <c r="AA9" s="214" t="s">
        <v>1902</v>
      </c>
      <c r="AB9" s="215"/>
      <c r="AC9" s="216"/>
      <c r="AD9" s="25">
        <v>5</v>
      </c>
      <c r="AE9" s="27"/>
      <c r="AF9" s="27">
        <v>2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18" t="s">
        <v>1805</v>
      </c>
      <c r="C10" s="19"/>
      <c r="D10" s="19"/>
      <c r="E10" s="19"/>
      <c r="F10" s="19"/>
      <c r="G10" s="19"/>
      <c r="H10" s="19"/>
      <c r="I10" s="64" t="str">
        <f>VLOOKUP(B10,項目一覧2!A:B,2,FALSE)</f>
        <v>attach_file_seq</v>
      </c>
      <c r="J10" s="21"/>
      <c r="K10" s="21"/>
      <c r="L10" s="21"/>
      <c r="M10" s="21"/>
      <c r="N10" s="21"/>
      <c r="O10" s="21"/>
      <c r="P10" s="21"/>
      <c r="Q10" s="21"/>
      <c r="R10" s="18" t="s">
        <v>1805</v>
      </c>
      <c r="S10" s="19"/>
      <c r="T10" s="19"/>
      <c r="U10" s="19"/>
      <c r="V10" s="19"/>
      <c r="W10" s="19"/>
      <c r="X10" s="19"/>
      <c r="Y10" s="212" t="s">
        <v>1901</v>
      </c>
      <c r="Z10" s="213"/>
      <c r="AA10" s="214" t="s">
        <v>1902</v>
      </c>
      <c r="AB10" s="215"/>
      <c r="AC10" s="216"/>
      <c r="AD10" s="25">
        <v>5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18" t="s">
        <v>1806</v>
      </c>
      <c r="C11" s="19"/>
      <c r="D11" s="19"/>
      <c r="E11" s="19"/>
      <c r="F11" s="19"/>
      <c r="G11" s="19"/>
      <c r="H11" s="19"/>
      <c r="I11" s="64" t="str">
        <f>VLOOKUP(B11,項目一覧2!A:B,2,FALSE)</f>
        <v>attach_file_name</v>
      </c>
      <c r="J11" s="21"/>
      <c r="K11" s="21"/>
      <c r="L11" s="21"/>
      <c r="M11" s="21"/>
      <c r="N11" s="21"/>
      <c r="O11" s="21"/>
      <c r="P11" s="21"/>
      <c r="Q11" s="21"/>
      <c r="R11" s="18" t="s">
        <v>140</v>
      </c>
      <c r="S11" s="19"/>
      <c r="T11" s="19"/>
      <c r="U11" s="19"/>
      <c r="V11" s="19"/>
      <c r="W11" s="19"/>
      <c r="X11" s="19"/>
      <c r="Y11" s="212" t="s">
        <v>1891</v>
      </c>
      <c r="Z11" s="217"/>
      <c r="AA11" s="214" t="s">
        <v>1892</v>
      </c>
      <c r="AB11" s="215"/>
      <c r="AC11" s="216"/>
      <c r="AD11" s="25">
        <v>20</v>
      </c>
      <c r="AE11" s="26" t="s">
        <v>1893</v>
      </c>
      <c r="AF11" s="26"/>
      <c r="AG11" s="26" t="s">
        <v>85</v>
      </c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1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159">
        <f>IF(B12="","",COUNTA($B$8:B12))</f>
        <v>5</v>
      </c>
      <c r="B12" s="149" t="s">
        <v>2049</v>
      </c>
      <c r="C12" s="158"/>
      <c r="D12" s="158"/>
      <c r="E12" s="158"/>
      <c r="F12" s="158"/>
      <c r="G12" s="158"/>
      <c r="H12" s="158"/>
      <c r="I12" s="156" t="str">
        <f>VLOOKUP(B12,項目一覧2!A:B,2,FALSE)</f>
        <v>attach_file_size</v>
      </c>
      <c r="J12" s="157"/>
      <c r="K12" s="157"/>
      <c r="L12" s="157"/>
      <c r="M12" s="157"/>
      <c r="N12" s="157"/>
      <c r="O12" s="157"/>
      <c r="P12" s="157"/>
      <c r="Q12" s="157"/>
      <c r="R12" s="149" t="s">
        <v>2050</v>
      </c>
      <c r="S12" s="158"/>
      <c r="T12" s="158"/>
      <c r="U12" s="158"/>
      <c r="V12" s="158"/>
      <c r="W12" s="158"/>
      <c r="X12" s="158"/>
      <c r="Y12" s="271" t="s">
        <v>1770</v>
      </c>
      <c r="Z12" s="272"/>
      <c r="AA12" s="273" t="s">
        <v>1771</v>
      </c>
      <c r="AB12" s="274"/>
      <c r="AC12" s="275"/>
      <c r="AD12" s="102">
        <v>8</v>
      </c>
      <c r="AE12" s="26" t="s">
        <v>1893</v>
      </c>
      <c r="AF12" s="26"/>
      <c r="AG12" s="26" t="s">
        <v>85</v>
      </c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1807</v>
      </c>
      <c r="C13" s="19"/>
      <c r="D13" s="19"/>
      <c r="E13" s="19"/>
      <c r="F13" s="19"/>
      <c r="G13" s="19"/>
      <c r="H13" s="19"/>
      <c r="I13" s="64" t="str">
        <f>VLOOKUP(B13,項目一覧2!A:B,2,FALSE)</f>
        <v>attach_file</v>
      </c>
      <c r="J13" s="21"/>
      <c r="K13" s="21"/>
      <c r="L13" s="21"/>
      <c r="M13" s="21"/>
      <c r="N13" s="21"/>
      <c r="O13" s="21"/>
      <c r="P13" s="21"/>
      <c r="Q13" s="21"/>
      <c r="R13" s="18" t="s">
        <v>224</v>
      </c>
      <c r="S13" s="19"/>
      <c r="T13" s="19"/>
      <c r="U13" s="19"/>
      <c r="V13" s="19"/>
      <c r="W13" s="19"/>
      <c r="X13" s="19"/>
      <c r="Y13" s="212" t="s">
        <v>1907</v>
      </c>
      <c r="Z13" s="217"/>
      <c r="AA13" s="214" t="s">
        <v>1908</v>
      </c>
      <c r="AB13" s="215"/>
      <c r="AC13" s="216"/>
      <c r="AD13" s="25"/>
      <c r="AE13" s="26" t="s">
        <v>1893</v>
      </c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61">
        <f>IF(B14="","",COUNTA($B$8:B14))</f>
        <v>7</v>
      </c>
      <c r="B14" s="18" t="s">
        <v>142</v>
      </c>
      <c r="C14" s="19"/>
      <c r="D14" s="19"/>
      <c r="E14" s="19"/>
      <c r="F14" s="19"/>
      <c r="G14" s="19"/>
      <c r="H14" s="22"/>
      <c r="I14" s="64" t="str">
        <f>VLOOKUP(B14,項目一覧2!A:B,2,FALSE)</f>
        <v>shukan_busho_cd</v>
      </c>
      <c r="J14" s="21"/>
      <c r="K14" s="21"/>
      <c r="L14" s="21"/>
      <c r="M14" s="21"/>
      <c r="N14" s="21"/>
      <c r="O14" s="21"/>
      <c r="P14" s="21"/>
      <c r="Q14" s="32"/>
      <c r="R14" s="18" t="s">
        <v>144</v>
      </c>
      <c r="S14" s="21"/>
      <c r="T14" s="21"/>
      <c r="U14" s="21"/>
      <c r="V14" s="21"/>
      <c r="W14" s="21"/>
      <c r="X14" s="22"/>
      <c r="Y14" s="212" t="s">
        <v>56</v>
      </c>
      <c r="Z14" s="213"/>
      <c r="AA14" s="214" t="s">
        <v>1892</v>
      </c>
      <c r="AB14" s="215"/>
      <c r="AC14" s="216"/>
      <c r="AD14" s="25">
        <v>4</v>
      </c>
      <c r="AE14" s="26" t="s">
        <v>1893</v>
      </c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60"/>
    </row>
    <row r="15" spans="1:56" ht="15" customHeight="1" x14ac:dyDescent="0.3">
      <c r="A15" s="61">
        <f>IF(B15="","",COUNTA($B$8:B15))</f>
        <v>8</v>
      </c>
      <c r="B15" s="18" t="s">
        <v>387</v>
      </c>
      <c r="C15" s="19"/>
      <c r="D15" s="19"/>
      <c r="E15" s="19"/>
      <c r="F15" s="19"/>
      <c r="G15" s="19"/>
      <c r="H15" s="22"/>
      <c r="I15" s="64" t="str">
        <f>VLOOKUP(B15,項目一覧2!A:B,2,FALSE)</f>
        <v>shukan_kotei_cd</v>
      </c>
      <c r="J15" s="21"/>
      <c r="K15" s="21"/>
      <c r="L15" s="21"/>
      <c r="M15" s="21"/>
      <c r="N15" s="21"/>
      <c r="O15" s="21"/>
      <c r="P15" s="21"/>
      <c r="Q15" s="32"/>
      <c r="R15" s="18" t="s">
        <v>143</v>
      </c>
      <c r="S15" s="21"/>
      <c r="T15" s="21"/>
      <c r="U15" s="21"/>
      <c r="V15" s="21"/>
      <c r="W15" s="21"/>
      <c r="X15" s="22"/>
      <c r="Y15" s="212" t="s">
        <v>56</v>
      </c>
      <c r="Z15" s="213"/>
      <c r="AA15" s="214" t="s">
        <v>1892</v>
      </c>
      <c r="AB15" s="215"/>
      <c r="AC15" s="216"/>
      <c r="AD15" s="25">
        <v>4</v>
      </c>
      <c r="AE15" s="26" t="s">
        <v>1893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60"/>
    </row>
    <row r="16" spans="1:56" ht="15" customHeight="1" x14ac:dyDescent="0.3">
      <c r="A16" s="44">
        <f>IF(B16="","",COUNTA($B$8:B16))</f>
        <v>9</v>
      </c>
      <c r="B16" s="18" t="s">
        <v>1762</v>
      </c>
      <c r="C16" s="19"/>
      <c r="D16" s="39"/>
      <c r="E16" s="39"/>
      <c r="F16" s="39"/>
      <c r="G16" s="39"/>
      <c r="H16" s="39"/>
      <c r="I16" s="64" t="str">
        <f>VLOOKUP(B16,項目一覧2!A:B,2,FALSE)</f>
        <v>insert_func_cd</v>
      </c>
      <c r="J16" s="30"/>
      <c r="K16" s="30"/>
      <c r="L16" s="30"/>
      <c r="M16" s="30"/>
      <c r="N16" s="30"/>
      <c r="O16" s="30"/>
      <c r="P16" s="30"/>
      <c r="Q16" s="30"/>
      <c r="R16" s="18" t="s">
        <v>118</v>
      </c>
      <c r="S16" s="39"/>
      <c r="T16" s="39"/>
      <c r="U16" s="39"/>
      <c r="V16" s="39"/>
      <c r="W16" s="39"/>
      <c r="X16" s="39"/>
      <c r="Y16" s="212" t="s">
        <v>1891</v>
      </c>
      <c r="Z16" s="217"/>
      <c r="AA16" s="214" t="s">
        <v>1892</v>
      </c>
      <c r="AB16" s="215"/>
      <c r="AC16" s="216"/>
      <c r="AD16" s="25">
        <v>10</v>
      </c>
      <c r="AE16" s="27"/>
      <c r="AF16" s="27"/>
      <c r="AG16" s="27" t="s">
        <v>123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60"/>
    </row>
    <row r="17" spans="1:56" ht="15" customHeight="1" x14ac:dyDescent="0.3">
      <c r="A17" s="44">
        <f>IF(B17="","",COUNTA($B$8:B17))</f>
        <v>10</v>
      </c>
      <c r="B17" s="18" t="s">
        <v>1896</v>
      </c>
      <c r="C17" s="19"/>
      <c r="D17" s="39"/>
      <c r="E17" s="39"/>
      <c r="F17" s="39"/>
      <c r="G17" s="39"/>
      <c r="H17" s="39"/>
      <c r="I17" s="64" t="str">
        <f>VLOOKUP(B17,項目一覧2!A:B,2,FALSE)</f>
        <v>insert_user_cd</v>
      </c>
      <c r="J17" s="30"/>
      <c r="K17" s="30"/>
      <c r="L17" s="30"/>
      <c r="M17" s="30"/>
      <c r="N17" s="30"/>
      <c r="O17" s="30"/>
      <c r="P17" s="30"/>
      <c r="Q17" s="30"/>
      <c r="R17" s="18" t="s">
        <v>114</v>
      </c>
      <c r="S17" s="39"/>
      <c r="T17" s="39"/>
      <c r="U17" s="39"/>
      <c r="V17" s="39"/>
      <c r="W17" s="39"/>
      <c r="X17" s="39"/>
      <c r="Y17" s="212" t="s">
        <v>56</v>
      </c>
      <c r="Z17" s="213"/>
      <c r="AA17" s="214" t="s">
        <v>1892</v>
      </c>
      <c r="AB17" s="215"/>
      <c r="AC17" s="216"/>
      <c r="AD17" s="25">
        <v>10</v>
      </c>
      <c r="AE17" s="27"/>
      <c r="AF17" s="27"/>
      <c r="AG17" s="27" t="s">
        <v>123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18" t="s">
        <v>1897</v>
      </c>
      <c r="C18" s="19"/>
      <c r="D18" s="39"/>
      <c r="E18" s="39"/>
      <c r="F18" s="39"/>
      <c r="G18" s="39"/>
      <c r="H18" s="39"/>
      <c r="I18" s="64" t="str">
        <f>VLOOKUP(B18,項目一覧2!A:B,2,FALSE)</f>
        <v>insert_datetime</v>
      </c>
      <c r="J18" s="30"/>
      <c r="K18" s="30"/>
      <c r="L18" s="30"/>
      <c r="M18" s="30"/>
      <c r="N18" s="30"/>
      <c r="O18" s="30"/>
      <c r="P18" s="30"/>
      <c r="Q18" s="30"/>
      <c r="R18" s="18" t="s">
        <v>115</v>
      </c>
      <c r="S18" s="39"/>
      <c r="T18" s="39"/>
      <c r="U18" s="39"/>
      <c r="V18" s="39"/>
      <c r="W18" s="39"/>
      <c r="X18" s="39"/>
      <c r="Y18" s="212" t="s">
        <v>1891</v>
      </c>
      <c r="Z18" s="213"/>
      <c r="AA18" s="214" t="s">
        <v>1892</v>
      </c>
      <c r="AB18" s="215"/>
      <c r="AC18" s="216"/>
      <c r="AD18" s="25">
        <v>10</v>
      </c>
      <c r="AE18" s="27"/>
      <c r="AF18" s="27"/>
      <c r="AG18" s="27" t="s">
        <v>123</v>
      </c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97" t="s">
        <v>1766</v>
      </c>
      <c r="C19" s="19"/>
      <c r="D19" s="39"/>
      <c r="E19" s="39"/>
      <c r="F19" s="39"/>
      <c r="G19" s="39"/>
      <c r="H19" s="39"/>
      <c r="I19" s="64" t="str">
        <f>VLOOKUP(B19,項目一覧2!A:B,2,FALSE)</f>
        <v>update_func_cd</v>
      </c>
      <c r="J19" s="30"/>
      <c r="K19" s="30"/>
      <c r="L19" s="30"/>
      <c r="M19" s="30"/>
      <c r="N19" s="30"/>
      <c r="O19" s="30"/>
      <c r="P19" s="30"/>
      <c r="Q19" s="30"/>
      <c r="R19" s="18" t="s">
        <v>119</v>
      </c>
      <c r="S19" s="39"/>
      <c r="T19" s="39"/>
      <c r="U19" s="39"/>
      <c r="V19" s="39"/>
      <c r="W19" s="39"/>
      <c r="X19" s="39"/>
      <c r="Y19" s="212" t="s">
        <v>1894</v>
      </c>
      <c r="Z19" s="213"/>
      <c r="AA19" s="214" t="s">
        <v>1895</v>
      </c>
      <c r="AB19" s="215"/>
      <c r="AC19" s="216"/>
      <c r="AD19" s="28"/>
      <c r="AE19" s="27"/>
      <c r="AF19" s="27"/>
      <c r="AG19" s="27" t="s">
        <v>123</v>
      </c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>
        <f>IF(B20="","",COUNTA($B$8:B20))</f>
        <v>13</v>
      </c>
      <c r="B20" s="18" t="s">
        <v>1899</v>
      </c>
      <c r="C20" s="19"/>
      <c r="D20" s="19"/>
      <c r="E20" s="19"/>
      <c r="F20" s="19"/>
      <c r="G20" s="19"/>
      <c r="H20" s="19"/>
      <c r="I20" s="64" t="str">
        <f>VLOOKUP(B20,項目一覧2!A:B,2,FALSE)</f>
        <v>update_user_cd</v>
      </c>
      <c r="J20" s="21"/>
      <c r="K20" s="21"/>
      <c r="L20" s="21"/>
      <c r="M20" s="21"/>
      <c r="N20" s="21"/>
      <c r="O20" s="21"/>
      <c r="P20" s="21"/>
      <c r="Q20" s="21"/>
      <c r="R20" s="18" t="s">
        <v>116</v>
      </c>
      <c r="S20" s="19"/>
      <c r="T20" s="19"/>
      <c r="U20" s="19"/>
      <c r="V20" s="19"/>
      <c r="W20" s="19"/>
      <c r="X20" s="19"/>
      <c r="Y20" s="212" t="s">
        <v>56</v>
      </c>
      <c r="Z20" s="213"/>
      <c r="AA20" s="214" t="s">
        <v>1892</v>
      </c>
      <c r="AB20" s="215"/>
      <c r="AC20" s="216"/>
      <c r="AD20" s="25">
        <v>10</v>
      </c>
      <c r="AE20" s="27"/>
      <c r="AF20" s="27"/>
      <c r="AG20" s="26" t="s">
        <v>123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18" t="s">
        <v>1900</v>
      </c>
      <c r="C21" s="19"/>
      <c r="D21" s="19"/>
      <c r="E21" s="19"/>
      <c r="F21" s="19"/>
      <c r="G21" s="19"/>
      <c r="H21" s="19"/>
      <c r="I21" s="64" t="str">
        <f>VLOOKUP(B21,項目一覧2!A:B,2,FALSE)</f>
        <v>update_datetime</v>
      </c>
      <c r="J21" s="21"/>
      <c r="K21" s="21"/>
      <c r="L21" s="21"/>
      <c r="M21" s="21"/>
      <c r="N21" s="21"/>
      <c r="O21" s="21"/>
      <c r="P21" s="21"/>
      <c r="Q21" s="21"/>
      <c r="R21" s="18" t="s">
        <v>117</v>
      </c>
      <c r="S21" s="19"/>
      <c r="T21" s="19"/>
      <c r="U21" s="19"/>
      <c r="V21" s="19"/>
      <c r="W21" s="19"/>
      <c r="X21" s="19"/>
      <c r="Y21" s="212" t="s">
        <v>1894</v>
      </c>
      <c r="Z21" s="213"/>
      <c r="AA21" s="214" t="s">
        <v>1895</v>
      </c>
      <c r="AB21" s="215"/>
      <c r="AC21" s="216"/>
      <c r="AD21" s="28"/>
      <c r="AE21" s="27"/>
      <c r="AF21" s="27"/>
      <c r="AG21" s="36" t="s">
        <v>123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 t="str">
        <f>IF(B22="","",COUNTA($B$8:B22))</f>
        <v/>
      </c>
      <c r="B22" s="41"/>
      <c r="C22" s="19"/>
      <c r="D22" s="19"/>
      <c r="E22" s="19"/>
      <c r="F22" s="19"/>
      <c r="G22" s="19"/>
      <c r="H22" s="22"/>
      <c r="I22" s="63"/>
      <c r="J22" s="33"/>
      <c r="K22" s="21"/>
      <c r="L22" s="21"/>
      <c r="M22" s="21"/>
      <c r="N22" s="21"/>
      <c r="O22" s="21"/>
      <c r="P22" s="21"/>
      <c r="Q22" s="32"/>
      <c r="R22" s="41"/>
      <c r="S22" s="21"/>
      <c r="T22" s="33"/>
      <c r="U22" s="21"/>
      <c r="V22" s="21"/>
      <c r="W22" s="21"/>
      <c r="X22" s="22"/>
      <c r="Y22" s="212"/>
      <c r="Z22" s="213"/>
      <c r="AA22" s="214"/>
      <c r="AB22" s="215"/>
      <c r="AC22" s="216"/>
      <c r="AD22" s="25"/>
      <c r="AE22" s="27"/>
      <c r="AF22" s="27"/>
      <c r="AG22" s="2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 t="str">
        <f>IF(B23="","",COUNTA($B$8:B23))</f>
        <v/>
      </c>
      <c r="B23" s="41"/>
      <c r="C23" s="39"/>
      <c r="D23" s="39"/>
      <c r="E23" s="39"/>
      <c r="F23" s="39"/>
      <c r="G23" s="39"/>
      <c r="H23" s="40"/>
      <c r="I23" s="64"/>
      <c r="J23" s="30"/>
      <c r="K23" s="30"/>
      <c r="L23" s="30"/>
      <c r="M23" s="30"/>
      <c r="N23" s="30"/>
      <c r="O23" s="30"/>
      <c r="P23" s="30"/>
      <c r="Q23" s="31"/>
      <c r="R23" s="41"/>
      <c r="S23" s="30"/>
      <c r="T23" s="30"/>
      <c r="U23" s="30"/>
      <c r="V23" s="30"/>
      <c r="W23" s="30"/>
      <c r="X23" s="30"/>
      <c r="Y23" s="18"/>
      <c r="Z23" s="34"/>
      <c r="AA23" s="214"/>
      <c r="AB23" s="215"/>
      <c r="AC23" s="216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 t="str">
        <f>IF(B24="","",COUNTA($B$8:B24))</f>
        <v/>
      </c>
      <c r="B24" s="41"/>
      <c r="C24" s="39"/>
      <c r="D24" s="39"/>
      <c r="E24" s="39"/>
      <c r="F24" s="39"/>
      <c r="G24" s="39"/>
      <c r="H24" s="40"/>
      <c r="I24" s="64"/>
      <c r="J24" s="30"/>
      <c r="K24" s="30"/>
      <c r="L24" s="30"/>
      <c r="M24" s="30"/>
      <c r="N24" s="30"/>
      <c r="O24" s="30"/>
      <c r="P24" s="30"/>
      <c r="Q24" s="31"/>
      <c r="R24" s="41"/>
      <c r="S24" s="30"/>
      <c r="T24" s="30"/>
      <c r="U24" s="30"/>
      <c r="V24" s="30"/>
      <c r="W24" s="30"/>
      <c r="X24" s="30"/>
      <c r="Y24" s="18"/>
      <c r="Z24" s="33"/>
      <c r="AA24" s="214"/>
      <c r="AB24" s="215"/>
      <c r="AC24" s="216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IF(B25="","",COUNTA($B$8:B25))</f>
        <v/>
      </c>
      <c r="B25" s="41"/>
      <c r="C25" s="39"/>
      <c r="D25" s="39"/>
      <c r="E25" s="39"/>
      <c r="F25" s="39"/>
      <c r="G25" s="39"/>
      <c r="H25" s="40"/>
      <c r="I25" s="64"/>
      <c r="J25" s="30"/>
      <c r="K25" s="30"/>
      <c r="L25" s="30"/>
      <c r="M25" s="30"/>
      <c r="N25" s="30"/>
      <c r="O25" s="30"/>
      <c r="P25" s="30"/>
      <c r="Q25" s="31"/>
      <c r="R25" s="41"/>
      <c r="S25" s="30"/>
      <c r="T25" s="30"/>
      <c r="U25" s="30"/>
      <c r="V25" s="30"/>
      <c r="W25" s="30"/>
      <c r="X25" s="30"/>
      <c r="Y25" s="18"/>
      <c r="Z25" s="33"/>
      <c r="AA25" s="214"/>
      <c r="AB25" s="215"/>
      <c r="AC25" s="216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IF(B26="","",COUNTA($B$8:B26))</f>
        <v/>
      </c>
      <c r="B26" s="41"/>
      <c r="C26" s="39"/>
      <c r="D26" s="39"/>
      <c r="E26" s="39"/>
      <c r="F26" s="39"/>
      <c r="G26" s="39"/>
      <c r="H26" s="40"/>
      <c r="I26" s="64"/>
      <c r="J26" s="30"/>
      <c r="K26" s="30"/>
      <c r="L26" s="30"/>
      <c r="M26" s="30"/>
      <c r="N26" s="30"/>
      <c r="O26" s="30"/>
      <c r="P26" s="30"/>
      <c r="Q26" s="31"/>
      <c r="R26" s="41"/>
      <c r="S26" s="30"/>
      <c r="T26" s="30"/>
      <c r="U26" s="30"/>
      <c r="V26" s="30"/>
      <c r="W26" s="30"/>
      <c r="X26" s="30"/>
      <c r="Y26" s="18"/>
      <c r="Z26" s="33"/>
      <c r="AA26" s="214"/>
      <c r="AB26" s="215"/>
      <c r="AC26" s="216"/>
      <c r="AD26" s="62"/>
      <c r="AE26" s="27"/>
      <c r="AF26" s="27"/>
      <c r="AG26" s="26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IF(B27="","",COUNTA($B$8:B27))</f>
        <v/>
      </c>
      <c r="B27" s="41"/>
      <c r="C27" s="39"/>
      <c r="D27" s="39"/>
      <c r="E27" s="39"/>
      <c r="F27" s="39"/>
      <c r="G27" s="39"/>
      <c r="H27" s="40"/>
      <c r="I27" s="64"/>
      <c r="J27" s="30"/>
      <c r="K27" s="30"/>
      <c r="L27" s="30"/>
      <c r="M27" s="30"/>
      <c r="N27" s="30"/>
      <c r="O27" s="30"/>
      <c r="P27" s="30"/>
      <c r="Q27" s="31"/>
      <c r="R27" s="41"/>
      <c r="S27" s="30"/>
      <c r="T27" s="30"/>
      <c r="U27" s="30"/>
      <c r="V27" s="30"/>
      <c r="W27" s="30"/>
      <c r="X27" s="30"/>
      <c r="Y27" s="18"/>
      <c r="Z27" s="33"/>
      <c r="AA27" s="214"/>
      <c r="AB27" s="215"/>
      <c r="AC27" s="216"/>
      <c r="AD27" s="25"/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IF(B28="","",COUNTA($B$8:B28))</f>
        <v/>
      </c>
      <c r="B28" s="41"/>
      <c r="C28" s="19"/>
      <c r="D28" s="19"/>
      <c r="E28" s="19"/>
      <c r="F28" s="19"/>
      <c r="G28" s="19"/>
      <c r="H28" s="22"/>
      <c r="I28" s="63"/>
      <c r="J28" s="33"/>
      <c r="K28" s="21"/>
      <c r="L28" s="21"/>
      <c r="M28" s="21"/>
      <c r="N28" s="21"/>
      <c r="O28" s="21"/>
      <c r="P28" s="21"/>
      <c r="Q28" s="32"/>
      <c r="R28" s="41"/>
      <c r="S28" s="21"/>
      <c r="T28" s="33"/>
      <c r="U28" s="21"/>
      <c r="V28" s="21"/>
      <c r="W28" s="21"/>
      <c r="X28" s="22"/>
      <c r="Y28" s="18"/>
      <c r="Z28" s="33"/>
      <c r="AA28" s="214"/>
      <c r="AB28" s="215"/>
      <c r="AC28" s="216"/>
      <c r="AD28" s="25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41"/>
      <c r="C29" s="19"/>
      <c r="D29" s="19"/>
      <c r="E29" s="19"/>
      <c r="F29" s="19"/>
      <c r="G29" s="19"/>
      <c r="H29" s="22"/>
      <c r="I29" s="63"/>
      <c r="J29" s="33"/>
      <c r="K29" s="21"/>
      <c r="L29" s="21"/>
      <c r="M29" s="21"/>
      <c r="N29" s="21"/>
      <c r="O29" s="21"/>
      <c r="P29" s="21"/>
      <c r="Q29" s="32"/>
      <c r="R29" s="41"/>
      <c r="S29" s="21"/>
      <c r="T29" s="33"/>
      <c r="U29" s="21"/>
      <c r="V29" s="21"/>
      <c r="W29" s="21"/>
      <c r="X29" s="22"/>
      <c r="Y29" s="18"/>
      <c r="Z29" s="33"/>
      <c r="AA29" s="214"/>
      <c r="AB29" s="215"/>
      <c r="AC29" s="216"/>
      <c r="AD29" s="25"/>
      <c r="AE29" s="36"/>
      <c r="AF29" s="36"/>
      <c r="AG29" s="36"/>
      <c r="AH29" s="36"/>
      <c r="AI29" s="3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18"/>
      <c r="C30" s="19"/>
      <c r="D30" s="19"/>
      <c r="E30" s="19"/>
      <c r="F30" s="19"/>
      <c r="G30" s="19"/>
      <c r="H30" s="22"/>
      <c r="I30" s="63"/>
      <c r="J30" s="33"/>
      <c r="K30" s="21"/>
      <c r="L30" s="21"/>
      <c r="M30" s="21"/>
      <c r="N30" s="21"/>
      <c r="O30" s="21"/>
      <c r="P30" s="21"/>
      <c r="Q30" s="32"/>
      <c r="R30" s="18"/>
      <c r="S30" s="21"/>
      <c r="T30" s="33"/>
      <c r="U30" s="21"/>
      <c r="V30" s="21"/>
      <c r="W30" s="21"/>
      <c r="X30" s="22"/>
      <c r="Y30" s="18"/>
      <c r="Z30" s="33"/>
      <c r="AA30" s="214"/>
      <c r="AB30" s="215"/>
      <c r="AC30" s="216"/>
      <c r="AD30" s="25"/>
      <c r="AE30" s="26"/>
      <c r="AF30" s="26"/>
      <c r="AG30" s="26"/>
      <c r="AH30" s="26"/>
      <c r="AI30" s="26"/>
      <c r="AJ30" s="26"/>
      <c r="AK30" s="26"/>
      <c r="AL30" s="36"/>
      <c r="AM30" s="36"/>
      <c r="AN30" s="36"/>
      <c r="AO30" s="37"/>
      <c r="AP30" s="37"/>
      <c r="AQ30" s="37"/>
      <c r="AR30" s="37"/>
      <c r="AS30" s="38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3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212"/>
      <c r="Z31" s="213"/>
      <c r="AA31" s="214"/>
      <c r="AB31" s="215"/>
      <c r="AC31" s="216"/>
      <c r="AD31" s="25"/>
      <c r="AE31" s="36"/>
      <c r="AF31" s="36"/>
      <c r="AG31" s="2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IF(B32="","",COUNTA($B$8:B32))</f>
        <v/>
      </c>
      <c r="B32" s="41"/>
      <c r="C32" s="39"/>
      <c r="D32" s="39"/>
      <c r="E32" s="39"/>
      <c r="F32" s="39"/>
      <c r="G32" s="39"/>
      <c r="H32" s="40"/>
      <c r="I32" s="64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2"/>
      <c r="Z32" s="213"/>
      <c r="AA32" s="214"/>
      <c r="AB32" s="215"/>
      <c r="AC32" s="216"/>
      <c r="AD32" s="43"/>
      <c r="AE32" s="27"/>
      <c r="AF32" s="27"/>
      <c r="AG32" s="27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4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2"/>
      <c r="Z33" s="213"/>
      <c r="AA33" s="214"/>
      <c r="AB33" s="215"/>
      <c r="AC33" s="216"/>
      <c r="AD33" s="28"/>
      <c r="AE33" s="27"/>
      <c r="AF33" s="27"/>
      <c r="AG33" s="27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4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212"/>
      <c r="Z34" s="213"/>
      <c r="AA34" s="214"/>
      <c r="AB34" s="215"/>
      <c r="AC34" s="216"/>
      <c r="AD34" s="28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4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212"/>
      <c r="Z35" s="213"/>
      <c r="AA35" s="214"/>
      <c r="AB35" s="215"/>
      <c r="AC35" s="216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3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12"/>
      <c r="Z36" s="213"/>
      <c r="AA36" s="214"/>
      <c r="AB36" s="215"/>
      <c r="AC36" s="216"/>
      <c r="AD36" s="25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3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212"/>
      <c r="Z37" s="213"/>
      <c r="AA37" s="214"/>
      <c r="AB37" s="215"/>
      <c r="AC37" s="216"/>
      <c r="AD37" s="25"/>
      <c r="AE37" s="36"/>
      <c r="AF37" s="36"/>
      <c r="AG37" s="3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3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212"/>
      <c r="Z38" s="213"/>
      <c r="AA38" s="214"/>
      <c r="AB38" s="215"/>
      <c r="AC38" s="216"/>
      <c r="AD38" s="28"/>
      <c r="AE38" s="26"/>
      <c r="AF38" s="26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IF(B39="","",COUNTA($B$8:B39))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IF(B40="","",COUNTA($B$8:B40))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IF(B41="","",COUNTA($B$8:B41))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IF(B42="","",COUNTA($B$8:B42))</f>
        <v/>
      </c>
      <c r="B42" s="29"/>
      <c r="C42" s="39"/>
      <c r="D42" s="39"/>
      <c r="E42" s="39"/>
      <c r="F42" s="39"/>
      <c r="G42" s="39"/>
      <c r="H42" s="40"/>
      <c r="I42" s="64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IF(B43="","",COUNTA($B$8:B43))</f>
        <v/>
      </c>
      <c r="B43" s="41"/>
      <c r="C43" s="39"/>
      <c r="D43" s="39"/>
      <c r="E43" s="39"/>
      <c r="F43" s="39"/>
      <c r="G43" s="39"/>
      <c r="H43" s="40"/>
      <c r="I43" s="64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43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1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 t="str">
        <f>IF(B44="","",COUNTA($B$8:B44))</f>
        <v/>
      </c>
      <c r="B44" s="41"/>
      <c r="C44" s="39"/>
      <c r="D44" s="39"/>
      <c r="E44" s="39"/>
      <c r="F44" s="39"/>
      <c r="G44" s="39"/>
      <c r="H44" s="40"/>
      <c r="I44" s="64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43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1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IF(B45="","",COUNTA($B$8:B45))</f>
        <v/>
      </c>
      <c r="B45" s="41"/>
      <c r="C45" s="39"/>
      <c r="D45" s="39"/>
      <c r="E45" s="39"/>
      <c r="F45" s="39"/>
      <c r="G45" s="39"/>
      <c r="H45" s="40"/>
      <c r="I45" s="64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2"/>
      <c r="Z45" s="213"/>
      <c r="AA45" s="214"/>
      <c r="AB45" s="215"/>
      <c r="AC45" s="216"/>
      <c r="AD45" s="43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IF(B46="","",COUNTA($B$8:B46))</f>
        <v/>
      </c>
      <c r="B46" s="41"/>
      <c r="C46" s="39"/>
      <c r="D46" s="39"/>
      <c r="E46" s="39"/>
      <c r="F46" s="39"/>
      <c r="G46" s="39"/>
      <c r="H46" s="40"/>
      <c r="I46" s="64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2"/>
      <c r="Z46" s="213"/>
      <c r="AA46" s="214"/>
      <c r="AB46" s="215"/>
      <c r="AC46" s="216"/>
      <c r="AD46" s="43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IF(B47="","",COUNTA($B$8:B47))</f>
        <v/>
      </c>
      <c r="B47" s="41"/>
      <c r="C47" s="39"/>
      <c r="D47" s="39"/>
      <c r="E47" s="39"/>
      <c r="F47" s="39"/>
      <c r="G47" s="39"/>
      <c r="H47" s="40"/>
      <c r="I47" s="64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2"/>
      <c r="Z47" s="213"/>
      <c r="AA47" s="214"/>
      <c r="AB47" s="215"/>
      <c r="AC47" s="216"/>
      <c r="AD47" s="43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4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2"/>
      <c r="Z48" s="213"/>
      <c r="AA48" s="214"/>
      <c r="AB48" s="215"/>
      <c r="AC48" s="216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4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212"/>
      <c r="Z49" s="213"/>
      <c r="AA49" s="214"/>
      <c r="AB49" s="215"/>
      <c r="AC49" s="216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60"/>
    </row>
    <row r="50" spans="1:56" ht="15" customHeight="1" x14ac:dyDescent="0.3">
      <c r="A50" s="44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4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212"/>
      <c r="Z50" s="213"/>
      <c r="AA50" s="214"/>
      <c r="AB50" s="215"/>
      <c r="AC50" s="216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60"/>
    </row>
    <row r="51" spans="1:56" ht="15" customHeight="1" x14ac:dyDescent="0.3">
      <c r="A51" s="44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3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212"/>
      <c r="Z51" s="213"/>
      <c r="AA51" s="214"/>
      <c r="AB51" s="215"/>
      <c r="AC51" s="216"/>
      <c r="AD51" s="25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8"/>
    </row>
    <row r="52" spans="1:56" ht="15" customHeight="1" x14ac:dyDescent="0.3">
      <c r="A52" s="44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3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212"/>
      <c r="Z52" s="213"/>
      <c r="AA52" s="214"/>
      <c r="AB52" s="215"/>
      <c r="AC52" s="216"/>
      <c r="AD52" s="25"/>
      <c r="AE52" s="36"/>
      <c r="AF52" s="36"/>
      <c r="AG52" s="36"/>
      <c r="AH52" s="36"/>
      <c r="AI52" s="3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3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212"/>
      <c r="Z53" s="213"/>
      <c r="AA53" s="214"/>
      <c r="AB53" s="215"/>
      <c r="AC53" s="216"/>
      <c r="AD53" s="28"/>
      <c r="AE53" s="26"/>
      <c r="AF53" s="26"/>
      <c r="AG53" s="26"/>
      <c r="AH53" s="26"/>
      <c r="AI53" s="26"/>
      <c r="AJ53" s="26"/>
      <c r="AK53" s="26"/>
      <c r="AL53" s="36"/>
      <c r="AM53" s="36"/>
      <c r="AN53" s="36"/>
      <c r="AO53" s="37"/>
      <c r="AP53" s="37"/>
      <c r="AQ53" s="37"/>
      <c r="AR53" s="37"/>
      <c r="AS53" s="38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3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212"/>
      <c r="Z54" s="213"/>
      <c r="AA54" s="214"/>
      <c r="AB54" s="215"/>
      <c r="AC54" s="216"/>
      <c r="AD54" s="25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7"/>
      <c r="AP54" s="37"/>
      <c r="AQ54" s="37"/>
      <c r="AR54" s="37"/>
      <c r="AS54" s="38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</sheetData>
  <mergeCells count="118"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AA30:AC30"/>
    <mergeCell ref="Y31:Z31"/>
    <mergeCell ref="AA31:AC31"/>
    <mergeCell ref="Y32:Z32"/>
    <mergeCell ref="AA32:AC32"/>
    <mergeCell ref="Y33:Z33"/>
    <mergeCell ref="AA33:AC33"/>
    <mergeCell ref="AA24:AC24"/>
    <mergeCell ref="AA25:AC25"/>
    <mergeCell ref="AA26:AC26"/>
    <mergeCell ref="AA27:AC27"/>
    <mergeCell ref="AA28:AC28"/>
    <mergeCell ref="AA29:AC29"/>
    <mergeCell ref="AA20:AC20"/>
    <mergeCell ref="Y21:Z21"/>
    <mergeCell ref="AA21:AC21"/>
    <mergeCell ref="Y22:Z22"/>
    <mergeCell ref="AA22:AC22"/>
    <mergeCell ref="AA23:AC23"/>
    <mergeCell ref="Y20:Z20"/>
    <mergeCell ref="Y16:Z16"/>
    <mergeCell ref="AA16:AC16"/>
    <mergeCell ref="Y17:Z17"/>
    <mergeCell ref="AA17:AC17"/>
    <mergeCell ref="AA18:AC18"/>
    <mergeCell ref="AA19:AC19"/>
    <mergeCell ref="Y18:Z18"/>
    <mergeCell ref="Y19:Z19"/>
    <mergeCell ref="Y9:Z9"/>
    <mergeCell ref="AA9:AC9"/>
    <mergeCell ref="Y10:Z10"/>
    <mergeCell ref="AA10:AC10"/>
    <mergeCell ref="Y11:Z11"/>
    <mergeCell ref="AA11:AC11"/>
    <mergeCell ref="Y14:Z14"/>
    <mergeCell ref="AA14:AC14"/>
    <mergeCell ref="Y15:Z15"/>
    <mergeCell ref="AA15:AC15"/>
    <mergeCell ref="Y13:Z13"/>
    <mergeCell ref="AA13:AC13"/>
    <mergeCell ref="Y12:Z12"/>
    <mergeCell ref="AA12:AC12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</mergeCells>
  <phoneticPr fontId="5"/>
  <dataValidations count="5"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400-000000000000}"/>
    <dataValidation type="list" allowBlank="1" showInputMessage="1" showErrorMessage="1" sqref="Y14:Z54 Y8:Z12" xr:uid="{00000000-0002-0000-0400-000001000000}">
      <formula1>"文字,数値,日付,時間"</formula1>
    </dataValidation>
    <dataValidation type="list" allowBlank="1" showInputMessage="1" showErrorMessage="1" sqref="AA23:AA54 AA8 AA9:AC10 AA17:AC21 AA14:AC15 AA16 AA11 AA12:AC12" xr:uid="{00000000-0002-0000-0400-000002000000}">
      <formula1>"datetime,int,numeric,varchar,nvarchar"</formula1>
    </dataValidation>
    <dataValidation type="list" allowBlank="1" showInputMessage="1" showErrorMessage="1" sqref="Y13:Z13" xr:uid="{13A36549-6A3D-4460-A673-7AF9466C14FC}">
      <formula1>"文字,数値,日付,時間,バイナリ"</formula1>
    </dataValidation>
    <dataValidation type="list" allowBlank="1" showInputMessage="1" showErrorMessage="1" sqref="AA22:AC22 AA13:AC13" xr:uid="{467630F2-44E8-4F9E-8133-02CD58E23A10}">
      <formula1>"datetime,int,numeric,varchar,nvarchar,VARBINARY(MAX)"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D60"/>
  <sheetViews>
    <sheetView showGridLines="0" zoomScaleNormal="100" zoomScaleSheetLayoutView="100" workbookViewId="0">
      <selection activeCell="B8" sqref="B8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発注情報（ヘッダ）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t_hatchu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1909</v>
      </c>
      <c r="C8" s="19"/>
      <c r="D8" s="19"/>
      <c r="E8" s="19"/>
      <c r="F8" s="19"/>
      <c r="G8" s="19"/>
      <c r="H8" s="22"/>
      <c r="I8" s="64" t="str">
        <f>VLOOKUP(B8,項目一覧2!A:B,2,FALSE)</f>
        <v>hatchu_no</v>
      </c>
      <c r="J8" s="21"/>
      <c r="K8" s="21"/>
      <c r="L8" s="21"/>
      <c r="M8" s="21"/>
      <c r="N8" s="21"/>
      <c r="O8" s="21"/>
      <c r="P8" s="21"/>
      <c r="Q8" s="32"/>
      <c r="R8" s="18" t="s">
        <v>159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154" t="s">
        <v>2043</v>
      </c>
      <c r="C9" s="39"/>
      <c r="D9" s="39"/>
      <c r="E9" s="39"/>
      <c r="F9" s="39"/>
      <c r="G9" s="39"/>
      <c r="H9" s="40"/>
      <c r="I9" s="64" t="str">
        <f>VLOOKUP(B9,項目一覧2!A:B,2,FALSE)</f>
        <v>shonin_jokyo_cd</v>
      </c>
      <c r="J9" s="21"/>
      <c r="K9" s="30"/>
      <c r="L9" s="30"/>
      <c r="M9" s="30"/>
      <c r="N9" s="30"/>
      <c r="O9" s="30"/>
      <c r="P9" s="30"/>
      <c r="Q9" s="31"/>
      <c r="R9" s="154" t="s">
        <v>2043</v>
      </c>
      <c r="S9" s="30"/>
      <c r="T9" s="30"/>
      <c r="U9" s="30"/>
      <c r="V9" s="30"/>
      <c r="W9" s="30"/>
      <c r="X9" s="30"/>
      <c r="Y9" s="212" t="s">
        <v>1891</v>
      </c>
      <c r="Z9" s="217"/>
      <c r="AA9" s="276" t="s">
        <v>1892</v>
      </c>
      <c r="AB9" s="277"/>
      <c r="AC9" s="278"/>
      <c r="AD9" s="84">
        <v>30</v>
      </c>
      <c r="AE9" s="27"/>
      <c r="AF9" s="27"/>
      <c r="AG9" s="26"/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41" t="s">
        <v>1571</v>
      </c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41" t="s">
        <v>1988</v>
      </c>
      <c r="C10" s="39"/>
      <c r="D10" s="39"/>
      <c r="E10" s="39"/>
      <c r="F10" s="39"/>
      <c r="G10" s="39"/>
      <c r="H10" s="40"/>
      <c r="I10" s="64" t="str">
        <f>VLOOKUP(B10,項目一覧2!A:B,2,FALSE)</f>
        <v>hatchu_tantosya_cd</v>
      </c>
      <c r="J10" s="21"/>
      <c r="K10" s="30"/>
      <c r="L10" s="30"/>
      <c r="M10" s="30"/>
      <c r="N10" s="30"/>
      <c r="O10" s="30"/>
      <c r="P10" s="30"/>
      <c r="Q10" s="31"/>
      <c r="R10" s="41" t="s">
        <v>1949</v>
      </c>
      <c r="S10" s="30"/>
      <c r="T10" s="30"/>
      <c r="U10" s="30"/>
      <c r="V10" s="30"/>
      <c r="W10" s="30"/>
      <c r="X10" s="30"/>
      <c r="Y10" s="212" t="s">
        <v>56</v>
      </c>
      <c r="Z10" s="217"/>
      <c r="AA10" s="214" t="s">
        <v>1752</v>
      </c>
      <c r="AB10" s="215"/>
      <c r="AC10" s="216"/>
      <c r="AD10" s="25">
        <v>10</v>
      </c>
      <c r="AE10" s="27"/>
      <c r="AF10" s="27"/>
      <c r="AG10" s="26"/>
      <c r="AH10" s="27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41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18" t="s">
        <v>1811</v>
      </c>
      <c r="C11" s="19"/>
      <c r="D11" s="19"/>
      <c r="E11" s="19"/>
      <c r="F11" s="19"/>
      <c r="G11" s="19"/>
      <c r="H11" s="22"/>
      <c r="I11" s="64" t="str">
        <f>VLOOKUP(B11,項目一覧2!A:B,2,FALSE)</f>
        <v>gyousya_cd</v>
      </c>
      <c r="J11" s="21"/>
      <c r="K11" s="21"/>
      <c r="L11" s="21"/>
      <c r="M11" s="21"/>
      <c r="N11" s="21"/>
      <c r="O11" s="21"/>
      <c r="P11" s="21"/>
      <c r="Q11" s="32"/>
      <c r="R11" s="18" t="s">
        <v>160</v>
      </c>
      <c r="S11" s="21"/>
      <c r="T11" s="21"/>
      <c r="U11" s="21"/>
      <c r="V11" s="21"/>
      <c r="W11" s="19"/>
      <c r="X11" s="22"/>
      <c r="Y11" s="212" t="s">
        <v>1891</v>
      </c>
      <c r="Z11" s="217"/>
      <c r="AA11" s="214" t="s">
        <v>1892</v>
      </c>
      <c r="AB11" s="215"/>
      <c r="AC11" s="216"/>
      <c r="AD11" s="25">
        <v>10</v>
      </c>
      <c r="AE11" s="26" t="s">
        <v>1893</v>
      </c>
      <c r="AF11" s="26"/>
      <c r="AG11" s="26"/>
      <c r="AH11" s="26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9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1812</v>
      </c>
      <c r="C12" s="24"/>
      <c r="D12" s="24"/>
      <c r="E12" s="24"/>
      <c r="F12" s="24"/>
      <c r="G12" s="24"/>
      <c r="H12" s="35"/>
      <c r="I12" s="64" t="str">
        <f>VLOOKUP(B12,項目一覧2!A:B,2,FALSE)</f>
        <v>gyousya_nm</v>
      </c>
      <c r="J12" s="24"/>
      <c r="K12" s="21"/>
      <c r="L12" s="21"/>
      <c r="M12" s="21"/>
      <c r="N12" s="21"/>
      <c r="O12" s="21"/>
      <c r="P12" s="21"/>
      <c r="Q12" s="32"/>
      <c r="R12" s="18" t="s">
        <v>161</v>
      </c>
      <c r="S12" s="21"/>
      <c r="T12" s="21"/>
      <c r="U12" s="21"/>
      <c r="V12" s="21"/>
      <c r="W12" s="19"/>
      <c r="X12" s="22"/>
      <c r="Y12" s="271" t="s">
        <v>1891</v>
      </c>
      <c r="Z12" s="279"/>
      <c r="AA12" s="273" t="s">
        <v>1892</v>
      </c>
      <c r="AB12" s="274"/>
      <c r="AC12" s="275"/>
      <c r="AD12" s="102">
        <v>80</v>
      </c>
      <c r="AE12" s="26" t="s">
        <v>1893</v>
      </c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1813</v>
      </c>
      <c r="C13" s="24"/>
      <c r="D13" s="24"/>
      <c r="E13" s="24"/>
      <c r="F13" s="24"/>
      <c r="G13" s="24"/>
      <c r="H13" s="35"/>
      <c r="I13" s="64" t="str">
        <f>VLOOKUP(B13,項目一覧2!A:B,2,FALSE)</f>
        <v>gyosya_tantosya_nm</v>
      </c>
      <c r="J13" s="24"/>
      <c r="K13" s="21"/>
      <c r="L13" s="21"/>
      <c r="M13" s="21"/>
      <c r="N13" s="21"/>
      <c r="O13" s="21"/>
      <c r="P13" s="21"/>
      <c r="Q13" s="32"/>
      <c r="R13" s="18" t="s">
        <v>218</v>
      </c>
      <c r="S13" s="21"/>
      <c r="T13" s="21"/>
      <c r="U13" s="21"/>
      <c r="V13" s="21"/>
      <c r="W13" s="19"/>
      <c r="X13" s="22"/>
      <c r="Y13" s="212" t="s">
        <v>1891</v>
      </c>
      <c r="Z13" s="217"/>
      <c r="AA13" s="214" t="s">
        <v>1892</v>
      </c>
      <c r="AB13" s="215"/>
      <c r="AC13" s="216"/>
      <c r="AD13" s="25">
        <v>30</v>
      </c>
      <c r="AE13" s="26" t="s">
        <v>1893</v>
      </c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1950</v>
      </c>
      <c r="C14" s="24"/>
      <c r="D14" s="24"/>
      <c r="E14" s="24"/>
      <c r="F14" s="24"/>
      <c r="G14" s="24"/>
      <c r="H14" s="35"/>
      <c r="I14" s="64" t="str">
        <f>VLOOKUP(B14,項目一覧2!A:B,2,FALSE)</f>
        <v>gyosha_busho_nm</v>
      </c>
      <c r="J14" s="24"/>
      <c r="K14" s="21"/>
      <c r="L14" s="21"/>
      <c r="M14" s="21"/>
      <c r="N14" s="21"/>
      <c r="O14" s="21"/>
      <c r="P14" s="21"/>
      <c r="Q14" s="32"/>
      <c r="R14" s="18" t="s">
        <v>1950</v>
      </c>
      <c r="S14" s="21"/>
      <c r="T14" s="21"/>
      <c r="U14" s="21"/>
      <c r="V14" s="21"/>
      <c r="W14" s="19"/>
      <c r="X14" s="22"/>
      <c r="Y14" s="212" t="s">
        <v>56</v>
      </c>
      <c r="Z14" s="217"/>
      <c r="AA14" s="214" t="s">
        <v>1752</v>
      </c>
      <c r="AB14" s="215"/>
      <c r="AC14" s="216"/>
      <c r="AD14" s="25">
        <v>50</v>
      </c>
      <c r="AE14" s="26" t="s">
        <v>1893</v>
      </c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41" t="s">
        <v>1910</v>
      </c>
      <c r="C15" s="39"/>
      <c r="D15" s="39"/>
      <c r="E15" s="39"/>
      <c r="F15" s="39"/>
      <c r="G15" s="39"/>
      <c r="H15" s="40"/>
      <c r="I15" s="64" t="str">
        <f>VLOOKUP(B15,項目一覧2!A:B,2,FALSE)</f>
        <v>hatchu_date</v>
      </c>
      <c r="J15" s="30"/>
      <c r="K15" s="30"/>
      <c r="L15" s="30"/>
      <c r="M15" s="30"/>
      <c r="N15" s="30"/>
      <c r="O15" s="30"/>
      <c r="P15" s="30"/>
      <c r="Q15" s="31"/>
      <c r="R15" s="41" t="s">
        <v>162</v>
      </c>
      <c r="S15" s="30"/>
      <c r="T15" s="30"/>
      <c r="U15" s="30"/>
      <c r="V15" s="30"/>
      <c r="W15" s="30"/>
      <c r="X15" s="30"/>
      <c r="Y15" s="212" t="s">
        <v>1894</v>
      </c>
      <c r="Z15" s="217"/>
      <c r="AA15" s="214" t="s">
        <v>1895</v>
      </c>
      <c r="AB15" s="215"/>
      <c r="AC15" s="216"/>
      <c r="AD15" s="43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41" t="s">
        <v>1815</v>
      </c>
      <c r="C16" s="39"/>
      <c r="D16" s="39"/>
      <c r="E16" s="39"/>
      <c r="F16" s="39"/>
      <c r="G16" s="39"/>
      <c r="H16" s="40"/>
      <c r="I16" s="64" t="str">
        <f>VLOOKUP(B16,項目一覧2!A:B,2,FALSE)</f>
        <v>hatchu_jokyo</v>
      </c>
      <c r="J16" s="30"/>
      <c r="K16" s="30"/>
      <c r="L16" s="30"/>
      <c r="M16" s="30"/>
      <c r="N16" s="30"/>
      <c r="O16" s="30"/>
      <c r="P16" s="30"/>
      <c r="Q16" s="31"/>
      <c r="R16" s="41" t="s">
        <v>163</v>
      </c>
      <c r="S16" s="30"/>
      <c r="T16" s="30"/>
      <c r="U16" s="30"/>
      <c r="V16" s="30"/>
      <c r="W16" s="30"/>
      <c r="X16" s="30"/>
      <c r="Y16" s="212" t="s">
        <v>1891</v>
      </c>
      <c r="Z16" s="217"/>
      <c r="AA16" s="276" t="s">
        <v>1892</v>
      </c>
      <c r="AB16" s="277"/>
      <c r="AC16" s="278"/>
      <c r="AD16" s="84">
        <v>30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 t="s">
        <v>1570</v>
      </c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>
        <f>IF(B17="","",COUNTA($B$8:B17))</f>
        <v>10</v>
      </c>
      <c r="B17" s="18" t="s">
        <v>398</v>
      </c>
      <c r="C17" s="19"/>
      <c r="D17" s="19"/>
      <c r="E17" s="19"/>
      <c r="F17" s="19"/>
      <c r="G17" s="19"/>
      <c r="H17" s="22"/>
      <c r="I17" s="64" t="str">
        <f>VLOOKUP(B17,項目一覧2!A:B,2,FALSE)</f>
        <v>shonin_order</v>
      </c>
      <c r="J17" s="33"/>
      <c r="K17" s="21"/>
      <c r="L17" s="21"/>
      <c r="M17" s="21"/>
      <c r="N17" s="21"/>
      <c r="O17" s="21"/>
      <c r="P17" s="21"/>
      <c r="Q17" s="32"/>
      <c r="R17" s="18" t="s">
        <v>138</v>
      </c>
      <c r="S17" s="21"/>
      <c r="T17" s="33"/>
      <c r="U17" s="21"/>
      <c r="V17" s="21"/>
      <c r="W17" s="21"/>
      <c r="X17" s="22"/>
      <c r="Y17" s="212" t="s">
        <v>1901</v>
      </c>
      <c r="Z17" s="213"/>
      <c r="AA17" s="214" t="s">
        <v>1902</v>
      </c>
      <c r="AB17" s="215"/>
      <c r="AC17" s="216"/>
      <c r="AD17" s="25">
        <v>2</v>
      </c>
      <c r="AE17" s="36" t="s">
        <v>1893</v>
      </c>
      <c r="AF17" s="36"/>
      <c r="AG17" s="26" t="s">
        <v>123</v>
      </c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8" t="s">
        <v>2030</v>
      </c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18" t="s">
        <v>1937</v>
      </c>
      <c r="C18" s="19"/>
      <c r="D18" s="19"/>
      <c r="E18" s="19"/>
      <c r="F18" s="19"/>
      <c r="G18" s="19"/>
      <c r="H18" s="22"/>
      <c r="I18" s="64" t="str">
        <f>VLOOKUP(B18,項目一覧2!A:B,2,FALSE)</f>
        <v>shizai_zaiko_haraidashi_flg</v>
      </c>
      <c r="J18" s="33"/>
      <c r="K18" s="21"/>
      <c r="L18" s="21"/>
      <c r="M18" s="21"/>
      <c r="N18" s="21"/>
      <c r="O18" s="21"/>
      <c r="P18" s="21"/>
      <c r="Q18" s="32"/>
      <c r="R18" s="18" t="s">
        <v>1937</v>
      </c>
      <c r="S18" s="21"/>
      <c r="T18" s="33"/>
      <c r="U18" s="21"/>
      <c r="V18" s="21"/>
      <c r="W18" s="21"/>
      <c r="X18" s="22"/>
      <c r="Y18" s="212" t="s">
        <v>56</v>
      </c>
      <c r="Z18" s="217"/>
      <c r="AA18" s="276" t="s">
        <v>1752</v>
      </c>
      <c r="AB18" s="277"/>
      <c r="AC18" s="278"/>
      <c r="AD18" s="84">
        <v>1</v>
      </c>
      <c r="AE18" s="36" t="s">
        <v>1893</v>
      </c>
      <c r="AF18" s="36"/>
      <c r="AG18" s="26"/>
      <c r="AH18" s="36"/>
      <c r="AI18" s="36"/>
      <c r="AJ18" s="36"/>
      <c r="AK18" s="36"/>
      <c r="AL18" s="36"/>
      <c r="AM18" s="36"/>
      <c r="AN18" s="36"/>
      <c r="AO18" s="37"/>
      <c r="AP18" s="37"/>
      <c r="AQ18" s="37"/>
      <c r="AR18" s="37"/>
      <c r="AS18" s="38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18" t="s">
        <v>1759</v>
      </c>
      <c r="C19" s="39"/>
      <c r="D19" s="39"/>
      <c r="E19" s="39"/>
      <c r="F19" s="39"/>
      <c r="G19" s="39"/>
      <c r="H19" s="40"/>
      <c r="I19" s="64" t="str">
        <f>VLOOKUP(B19,項目一覧2!A:B,2,FALSE)</f>
        <v>shinsei_riyu</v>
      </c>
      <c r="J19" s="30"/>
      <c r="K19" s="30"/>
      <c r="L19" s="30"/>
      <c r="M19" s="30"/>
      <c r="N19" s="30"/>
      <c r="O19" s="30"/>
      <c r="P19" s="30"/>
      <c r="Q19" s="31"/>
      <c r="R19" s="18" t="s">
        <v>147</v>
      </c>
      <c r="S19" s="30"/>
      <c r="T19" s="30"/>
      <c r="U19" s="30"/>
      <c r="V19" s="30"/>
      <c r="W19" s="30"/>
      <c r="X19" s="30"/>
      <c r="Y19" s="212" t="s">
        <v>1891</v>
      </c>
      <c r="Z19" s="217"/>
      <c r="AA19" s="214" t="s">
        <v>1892</v>
      </c>
      <c r="AB19" s="215"/>
      <c r="AC19" s="216"/>
      <c r="AD19" s="62">
        <v>100</v>
      </c>
      <c r="AE19" s="27"/>
      <c r="AF19" s="27"/>
      <c r="AG19" s="26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60"/>
    </row>
    <row r="20" spans="1:56" ht="15" customHeight="1" x14ac:dyDescent="0.3">
      <c r="A20" s="44">
        <f>IF(B20="","",COUNTA($B$8:B20))</f>
        <v>13</v>
      </c>
      <c r="B20" s="18" t="s">
        <v>1971</v>
      </c>
      <c r="C20" s="39"/>
      <c r="D20" s="39"/>
      <c r="E20" s="39"/>
      <c r="F20" s="39"/>
      <c r="G20" s="39"/>
      <c r="H20" s="40"/>
      <c r="I20" s="64" t="str">
        <f>VLOOKUP(B20,項目一覧2!A:B,2,FALSE)</f>
        <v>chumonsho_output_date</v>
      </c>
      <c r="J20" s="30"/>
      <c r="K20" s="30"/>
      <c r="L20" s="30"/>
      <c r="M20" s="30"/>
      <c r="N20" s="30"/>
      <c r="O20" s="30"/>
      <c r="P20" s="30"/>
      <c r="Q20" s="31"/>
      <c r="R20" s="18" t="s">
        <v>177</v>
      </c>
      <c r="S20" s="30"/>
      <c r="T20" s="30"/>
      <c r="U20" s="30"/>
      <c r="V20" s="30"/>
      <c r="W20" s="30"/>
      <c r="X20" s="30"/>
      <c r="Y20" s="212" t="s">
        <v>1894</v>
      </c>
      <c r="Z20" s="217"/>
      <c r="AA20" s="214" t="s">
        <v>1895</v>
      </c>
      <c r="AB20" s="215"/>
      <c r="AC20" s="216"/>
      <c r="AD20" s="62"/>
      <c r="AE20" s="27"/>
      <c r="AF20" s="27"/>
      <c r="AG20" s="26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60"/>
    </row>
    <row r="21" spans="1:56" ht="15" customHeight="1" x14ac:dyDescent="0.3">
      <c r="A21" s="44">
        <f>IF(B21="","",COUNTA($B$8:B21))</f>
        <v>14</v>
      </c>
      <c r="B21" s="18" t="s">
        <v>142</v>
      </c>
      <c r="C21" s="19"/>
      <c r="D21" s="19"/>
      <c r="E21" s="19"/>
      <c r="F21" s="19"/>
      <c r="G21" s="19"/>
      <c r="H21" s="22"/>
      <c r="I21" s="64" t="str">
        <f>VLOOKUP(B21,項目一覧2!A:B,2,FALSE)</f>
        <v>shukan_busho_cd</v>
      </c>
      <c r="J21" s="21"/>
      <c r="K21" s="21"/>
      <c r="L21" s="21"/>
      <c r="M21" s="21"/>
      <c r="N21" s="21"/>
      <c r="O21" s="21"/>
      <c r="P21" s="21"/>
      <c r="Q21" s="32"/>
      <c r="R21" s="18" t="s">
        <v>142</v>
      </c>
      <c r="S21" s="21"/>
      <c r="T21" s="21"/>
      <c r="U21" s="21"/>
      <c r="V21" s="21"/>
      <c r="W21" s="21"/>
      <c r="X21" s="22"/>
      <c r="Y21" s="212" t="s">
        <v>56</v>
      </c>
      <c r="Z21" s="213"/>
      <c r="AA21" s="214" t="s">
        <v>1892</v>
      </c>
      <c r="AB21" s="215"/>
      <c r="AC21" s="216"/>
      <c r="AD21" s="25">
        <v>4</v>
      </c>
      <c r="AE21" s="26" t="s">
        <v>1893</v>
      </c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60"/>
    </row>
    <row r="22" spans="1:56" ht="15" customHeight="1" x14ac:dyDescent="0.3">
      <c r="A22" s="44">
        <f>IF(B22="","",COUNTA($B$8:B22))</f>
        <v>15</v>
      </c>
      <c r="B22" s="18" t="s">
        <v>387</v>
      </c>
      <c r="C22" s="19"/>
      <c r="D22" s="19"/>
      <c r="E22" s="19"/>
      <c r="F22" s="19"/>
      <c r="G22" s="19"/>
      <c r="H22" s="22"/>
      <c r="I22" s="64" t="str">
        <f>VLOOKUP(B22,項目一覧2!A:B,2,FALSE)</f>
        <v>shukan_kotei_cd</v>
      </c>
      <c r="J22" s="21"/>
      <c r="K22" s="21"/>
      <c r="L22" s="21"/>
      <c r="M22" s="21"/>
      <c r="N22" s="21"/>
      <c r="O22" s="21"/>
      <c r="P22" s="21"/>
      <c r="Q22" s="32"/>
      <c r="R22" s="18" t="s">
        <v>143</v>
      </c>
      <c r="S22" s="21"/>
      <c r="T22" s="21"/>
      <c r="U22" s="21"/>
      <c r="V22" s="21"/>
      <c r="W22" s="21"/>
      <c r="X22" s="22"/>
      <c r="Y22" s="212" t="s">
        <v>56</v>
      </c>
      <c r="Z22" s="213"/>
      <c r="AA22" s="214" t="s">
        <v>1892</v>
      </c>
      <c r="AB22" s="215"/>
      <c r="AC22" s="216"/>
      <c r="AD22" s="25">
        <v>4</v>
      </c>
      <c r="AE22" s="26" t="s">
        <v>1893</v>
      </c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60"/>
    </row>
    <row r="23" spans="1:56" ht="15" customHeight="1" x14ac:dyDescent="0.3">
      <c r="A23" s="44">
        <f>IF(B23="","",COUNTA($B$8:B23))</f>
        <v>16</v>
      </c>
      <c r="B23" s="18" t="s">
        <v>1762</v>
      </c>
      <c r="C23" s="19"/>
      <c r="D23" s="19"/>
      <c r="E23" s="19"/>
      <c r="F23" s="19"/>
      <c r="G23" s="19"/>
      <c r="H23" s="22"/>
      <c r="I23" s="64" t="str">
        <f>VLOOKUP(B23,項目一覧2!A:B,2,FALSE)</f>
        <v>insert_func_cd</v>
      </c>
      <c r="J23" s="33"/>
      <c r="K23" s="21"/>
      <c r="L23" s="21"/>
      <c r="M23" s="21"/>
      <c r="N23" s="21"/>
      <c r="O23" s="21"/>
      <c r="P23" s="21"/>
      <c r="Q23" s="32"/>
      <c r="R23" s="18" t="s">
        <v>118</v>
      </c>
      <c r="S23" s="21"/>
      <c r="T23" s="33"/>
      <c r="U23" s="21"/>
      <c r="V23" s="21"/>
      <c r="W23" s="21"/>
      <c r="X23" s="22"/>
      <c r="Y23" s="212" t="s">
        <v>1891</v>
      </c>
      <c r="Z23" s="217"/>
      <c r="AA23" s="214" t="s">
        <v>1892</v>
      </c>
      <c r="AB23" s="215"/>
      <c r="AC23" s="216"/>
      <c r="AD23" s="25">
        <v>10</v>
      </c>
      <c r="AE23" s="27"/>
      <c r="AF23" s="27"/>
      <c r="AG23" s="26" t="s">
        <v>123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>
        <f>IF(B24="","",COUNTA($B$8:B24))</f>
        <v>17</v>
      </c>
      <c r="B24" s="18" t="s">
        <v>1896</v>
      </c>
      <c r="C24" s="19"/>
      <c r="D24" s="19"/>
      <c r="E24" s="19"/>
      <c r="F24" s="19"/>
      <c r="G24" s="19"/>
      <c r="H24" s="22"/>
      <c r="I24" s="64" t="str">
        <f>VLOOKUP(B24,項目一覧2!A:B,2,FALSE)</f>
        <v>insert_user_cd</v>
      </c>
      <c r="J24" s="33"/>
      <c r="K24" s="21"/>
      <c r="L24" s="21"/>
      <c r="M24" s="21"/>
      <c r="N24" s="21"/>
      <c r="O24" s="21"/>
      <c r="P24" s="21"/>
      <c r="Q24" s="32"/>
      <c r="R24" s="18" t="s">
        <v>114</v>
      </c>
      <c r="S24" s="21"/>
      <c r="T24" s="33"/>
      <c r="U24" s="21"/>
      <c r="V24" s="21"/>
      <c r="W24" s="21"/>
      <c r="X24" s="22"/>
      <c r="Y24" s="212" t="s">
        <v>1891</v>
      </c>
      <c r="Z24" s="217"/>
      <c r="AA24" s="214" t="s">
        <v>1892</v>
      </c>
      <c r="AB24" s="215"/>
      <c r="AC24" s="216"/>
      <c r="AD24" s="25">
        <v>10</v>
      </c>
      <c r="AE24" s="27"/>
      <c r="AF24" s="27"/>
      <c r="AG24" s="26" t="s">
        <v>123</v>
      </c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>
        <f>IF(B25="","",COUNTA($B$8:B25))</f>
        <v>18</v>
      </c>
      <c r="B25" s="18" t="s">
        <v>1897</v>
      </c>
      <c r="C25" s="19"/>
      <c r="D25" s="19"/>
      <c r="E25" s="19"/>
      <c r="F25" s="19"/>
      <c r="G25" s="19"/>
      <c r="H25" s="22"/>
      <c r="I25" s="64" t="str">
        <f>VLOOKUP(B25,項目一覧2!A:B,2,FALSE)</f>
        <v>insert_datetime</v>
      </c>
      <c r="J25" s="33"/>
      <c r="K25" s="21"/>
      <c r="L25" s="21"/>
      <c r="M25" s="21"/>
      <c r="N25" s="21"/>
      <c r="O25" s="21"/>
      <c r="P25" s="21"/>
      <c r="Q25" s="32"/>
      <c r="R25" s="18" t="s">
        <v>115</v>
      </c>
      <c r="S25" s="21"/>
      <c r="T25" s="33"/>
      <c r="U25" s="21"/>
      <c r="V25" s="21"/>
      <c r="W25" s="21"/>
      <c r="X25" s="22"/>
      <c r="Y25" s="212" t="s">
        <v>1894</v>
      </c>
      <c r="Z25" s="217"/>
      <c r="AA25" s="214" t="s">
        <v>1895</v>
      </c>
      <c r="AB25" s="215"/>
      <c r="AC25" s="216"/>
      <c r="AD25" s="45"/>
      <c r="AE25" s="27"/>
      <c r="AF25" s="27"/>
      <c r="AG25" s="26" t="s">
        <v>123</v>
      </c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>
        <f>IF(B26="","",COUNTA($B$8:B26))</f>
        <v>19</v>
      </c>
      <c r="B26" s="97" t="s">
        <v>1766</v>
      </c>
      <c r="C26" s="19"/>
      <c r="D26" s="19"/>
      <c r="E26" s="19"/>
      <c r="F26" s="19"/>
      <c r="G26" s="19"/>
      <c r="H26" s="22"/>
      <c r="I26" s="64" t="str">
        <f>VLOOKUP(B26,項目一覧2!A:B,2,FALSE)</f>
        <v>update_func_cd</v>
      </c>
      <c r="J26" s="33"/>
      <c r="K26" s="21"/>
      <c r="L26" s="21"/>
      <c r="M26" s="21"/>
      <c r="N26" s="21"/>
      <c r="O26" s="21"/>
      <c r="P26" s="21"/>
      <c r="Q26" s="32"/>
      <c r="R26" s="18" t="s">
        <v>119</v>
      </c>
      <c r="S26" s="21"/>
      <c r="T26" s="33"/>
      <c r="U26" s="21"/>
      <c r="V26" s="21"/>
      <c r="W26" s="21"/>
      <c r="X26" s="22"/>
      <c r="Y26" s="212" t="s">
        <v>1891</v>
      </c>
      <c r="Z26" s="217"/>
      <c r="AA26" s="214" t="s">
        <v>1892</v>
      </c>
      <c r="AB26" s="215"/>
      <c r="AC26" s="216"/>
      <c r="AD26" s="25">
        <v>10</v>
      </c>
      <c r="AE26" s="27"/>
      <c r="AF26" s="27"/>
      <c r="AG26" s="26" t="s">
        <v>123</v>
      </c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>
        <f>IF(B27="","",COUNTA($B$8:B27))</f>
        <v>20</v>
      </c>
      <c r="B27" s="18" t="s">
        <v>1899</v>
      </c>
      <c r="C27" s="19"/>
      <c r="D27" s="19"/>
      <c r="E27" s="19"/>
      <c r="F27" s="19"/>
      <c r="G27" s="19"/>
      <c r="H27" s="22"/>
      <c r="I27" s="64" t="str">
        <f>VLOOKUP(B27,項目一覧2!A:B,2,FALSE)</f>
        <v>update_user_cd</v>
      </c>
      <c r="J27" s="33"/>
      <c r="K27" s="21"/>
      <c r="L27" s="21"/>
      <c r="M27" s="21"/>
      <c r="N27" s="21"/>
      <c r="O27" s="21"/>
      <c r="P27" s="21"/>
      <c r="Q27" s="32"/>
      <c r="R27" s="18" t="s">
        <v>116</v>
      </c>
      <c r="S27" s="21"/>
      <c r="T27" s="33"/>
      <c r="U27" s="21"/>
      <c r="V27" s="21"/>
      <c r="W27" s="21"/>
      <c r="X27" s="22"/>
      <c r="Y27" s="212" t="s">
        <v>1891</v>
      </c>
      <c r="Z27" s="217"/>
      <c r="AA27" s="214" t="s">
        <v>1892</v>
      </c>
      <c r="AB27" s="215"/>
      <c r="AC27" s="216"/>
      <c r="AD27" s="45">
        <v>10</v>
      </c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>
        <f>IF(B28="","",COUNTA($B$8:B28))</f>
        <v>21</v>
      </c>
      <c r="B28" s="18" t="s">
        <v>1900</v>
      </c>
      <c r="C28" s="19"/>
      <c r="D28" s="19"/>
      <c r="E28" s="19"/>
      <c r="F28" s="19"/>
      <c r="G28" s="19"/>
      <c r="H28" s="22"/>
      <c r="I28" s="64" t="str">
        <f>VLOOKUP(B28,項目一覧2!A:B,2,FALSE)</f>
        <v>update_datetime</v>
      </c>
      <c r="J28" s="33"/>
      <c r="K28" s="21"/>
      <c r="L28" s="21"/>
      <c r="M28" s="21"/>
      <c r="N28" s="21"/>
      <c r="O28" s="21"/>
      <c r="P28" s="21"/>
      <c r="Q28" s="32"/>
      <c r="R28" s="18" t="s">
        <v>117</v>
      </c>
      <c r="S28" s="21"/>
      <c r="T28" s="33"/>
      <c r="U28" s="21"/>
      <c r="V28" s="21"/>
      <c r="W28" s="21"/>
      <c r="X28" s="22"/>
      <c r="Y28" s="212" t="s">
        <v>1894</v>
      </c>
      <c r="Z28" s="217"/>
      <c r="AA28" s="214" t="s">
        <v>1895</v>
      </c>
      <c r="AB28" s="215"/>
      <c r="AC28" s="216"/>
      <c r="AD28" s="45"/>
      <c r="AE28" s="27"/>
      <c r="AF28" s="27"/>
      <c r="AG28" s="26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41"/>
      <c r="C29" s="39"/>
      <c r="D29" s="39"/>
      <c r="E29" s="39"/>
      <c r="F29" s="39"/>
      <c r="G29" s="39"/>
      <c r="H29" s="40"/>
      <c r="I29" s="64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43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41"/>
      <c r="C30" s="39"/>
      <c r="D30" s="39"/>
      <c r="E30" s="39"/>
      <c r="F30" s="39"/>
      <c r="G30" s="39"/>
      <c r="H30" s="40"/>
      <c r="I30" s="64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2"/>
      <c r="Z30" s="213"/>
      <c r="AA30" s="214"/>
      <c r="AB30" s="215"/>
      <c r="AC30" s="216"/>
      <c r="AD30" s="43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41"/>
      <c r="C31" s="39"/>
      <c r="D31" s="39"/>
      <c r="E31" s="39"/>
      <c r="F31" s="39"/>
      <c r="G31" s="39"/>
      <c r="H31" s="40"/>
      <c r="I31" s="64"/>
      <c r="J31" s="30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2"/>
      <c r="Z31" s="213"/>
      <c r="AA31" s="214"/>
      <c r="AB31" s="215"/>
      <c r="AC31" s="216"/>
      <c r="AD31" s="43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IF(B32="","",COUNTA($B$8:B32))</f>
        <v/>
      </c>
      <c r="B32" s="41"/>
      <c r="C32" s="39"/>
      <c r="D32" s="39"/>
      <c r="E32" s="39"/>
      <c r="F32" s="39"/>
      <c r="G32" s="39"/>
      <c r="H32" s="40"/>
      <c r="I32" s="64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2"/>
      <c r="Z32" s="213"/>
      <c r="AA32" s="214"/>
      <c r="AB32" s="215"/>
      <c r="AC32" s="216"/>
      <c r="AD32" s="43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IF(B33="","",COUNTA($B$8:B33))</f>
        <v/>
      </c>
      <c r="B33" s="41"/>
      <c r="C33" s="39"/>
      <c r="D33" s="39"/>
      <c r="E33" s="39"/>
      <c r="F33" s="39"/>
      <c r="G33" s="39"/>
      <c r="H33" s="40"/>
      <c r="I33" s="64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2"/>
      <c r="Z33" s="213"/>
      <c r="AA33" s="214"/>
      <c r="AB33" s="215"/>
      <c r="AC33" s="216"/>
      <c r="AD33" s="43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3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2"/>
      <c r="Z34" s="213"/>
      <c r="AA34" s="214"/>
      <c r="AB34" s="215"/>
      <c r="AC34" s="216"/>
      <c r="AD34" s="2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3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12"/>
      <c r="Z35" s="213"/>
      <c r="AA35" s="214"/>
      <c r="AB35" s="215"/>
      <c r="AC35" s="216"/>
      <c r="AD35" s="25"/>
      <c r="AE35" s="36"/>
      <c r="AF35" s="36"/>
      <c r="AG35" s="36"/>
      <c r="AH35" s="36"/>
      <c r="AI35" s="36"/>
      <c r="AJ35" s="26"/>
      <c r="AK35" s="26"/>
      <c r="AL35" s="26"/>
      <c r="AM35" s="26"/>
      <c r="AN35" s="26"/>
      <c r="AO35" s="27"/>
      <c r="AP35" s="27"/>
      <c r="AQ35" s="27"/>
      <c r="AR35" s="27"/>
      <c r="AS35" s="29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3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12"/>
      <c r="Z36" s="213"/>
      <c r="AA36" s="214"/>
      <c r="AB36" s="215"/>
      <c r="AC36" s="216"/>
      <c r="AD36" s="28"/>
      <c r="AE36" s="26"/>
      <c r="AF36" s="26"/>
      <c r="AG36" s="26"/>
      <c r="AH36" s="26"/>
      <c r="AI36" s="26"/>
      <c r="AJ36" s="26"/>
      <c r="AK36" s="26"/>
      <c r="AL36" s="36"/>
      <c r="AM36" s="36"/>
      <c r="AN36" s="36"/>
      <c r="AO36" s="37"/>
      <c r="AP36" s="37"/>
      <c r="AQ36" s="37"/>
      <c r="AR36" s="37"/>
      <c r="AS36" s="38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3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212"/>
      <c r="Z37" s="213"/>
      <c r="AA37" s="214"/>
      <c r="AB37" s="215"/>
      <c r="AC37" s="216"/>
      <c r="AD37" s="25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7"/>
      <c r="AP37" s="37"/>
      <c r="AQ37" s="37"/>
      <c r="AR37" s="37"/>
      <c r="AS37" s="38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3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212"/>
      <c r="Z38" s="213"/>
      <c r="AA38" s="214"/>
      <c r="AB38" s="215"/>
      <c r="AC38" s="216"/>
      <c r="AD38" s="28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7"/>
      <c r="AP38" s="37"/>
      <c r="AQ38" s="37"/>
      <c r="AR38" s="37"/>
      <c r="AS38" s="38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3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212"/>
      <c r="Z39" s="213"/>
      <c r="AA39" s="214"/>
      <c r="AB39" s="215"/>
      <c r="AC39" s="216"/>
      <c r="AD39" s="2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7"/>
      <c r="AP39" s="27"/>
      <c r="AQ39" s="27"/>
      <c r="AR39" s="27"/>
      <c r="AS39" s="29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IF(B40="","",COUNTA($B$8:B40))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IF(B41="","",COUNTA($B$8:B41))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IF(B42="","",COUNTA($B$8:B42))</f>
        <v/>
      </c>
      <c r="B42" s="41"/>
      <c r="C42" s="39"/>
      <c r="D42" s="39"/>
      <c r="E42" s="39"/>
      <c r="F42" s="39"/>
      <c r="G42" s="39"/>
      <c r="H42" s="40"/>
      <c r="I42" s="64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43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IF(B43="","",COUNTA($B$8:B43))</f>
        <v/>
      </c>
      <c r="B43" s="41"/>
      <c r="C43" s="39"/>
      <c r="D43" s="39"/>
      <c r="E43" s="39"/>
      <c r="F43" s="39"/>
      <c r="G43" s="39"/>
      <c r="H43" s="40"/>
      <c r="I43" s="64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43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1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 t="str">
        <f>IF(B44="","",COUNTA($B$8:B44))</f>
        <v/>
      </c>
      <c r="B44" s="41"/>
      <c r="C44" s="39"/>
      <c r="D44" s="39"/>
      <c r="E44" s="39"/>
      <c r="F44" s="39"/>
      <c r="G44" s="39"/>
      <c r="H44" s="40"/>
      <c r="I44" s="64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43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1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IF(B45="","",COUNTA($B$8:B45))</f>
        <v/>
      </c>
      <c r="B45" s="41"/>
      <c r="C45" s="39"/>
      <c r="D45" s="39"/>
      <c r="E45" s="39"/>
      <c r="F45" s="39"/>
      <c r="G45" s="39"/>
      <c r="H45" s="40"/>
      <c r="I45" s="64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2"/>
      <c r="Z45" s="213"/>
      <c r="AA45" s="214"/>
      <c r="AB45" s="215"/>
      <c r="AC45" s="216"/>
      <c r="AD45" s="43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IF(B46="","",COUNTA($B$8:B46))</f>
        <v/>
      </c>
      <c r="B46" s="41"/>
      <c r="C46" s="39"/>
      <c r="D46" s="39"/>
      <c r="E46" s="39"/>
      <c r="F46" s="39"/>
      <c r="G46" s="39"/>
      <c r="H46" s="40"/>
      <c r="I46" s="64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2"/>
      <c r="Z46" s="213"/>
      <c r="AA46" s="214"/>
      <c r="AB46" s="215"/>
      <c r="AC46" s="216"/>
      <c r="AD46" s="43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IF(B47="","",COUNTA($B$8:B47))</f>
        <v/>
      </c>
      <c r="B47" s="41"/>
      <c r="C47" s="39"/>
      <c r="D47" s="39"/>
      <c r="E47" s="39"/>
      <c r="F47" s="39"/>
      <c r="G47" s="39"/>
      <c r="H47" s="40"/>
      <c r="I47" s="64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2"/>
      <c r="Z47" s="213"/>
      <c r="AA47" s="214"/>
      <c r="AB47" s="215"/>
      <c r="AC47" s="216"/>
      <c r="AD47" s="43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4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2"/>
      <c r="Z48" s="213"/>
      <c r="AA48" s="214"/>
      <c r="AB48" s="215"/>
      <c r="AC48" s="216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41"/>
      <c r="C49" s="39"/>
      <c r="D49" s="39"/>
      <c r="E49" s="39"/>
      <c r="F49" s="39"/>
      <c r="G49" s="39"/>
      <c r="H49" s="40"/>
      <c r="I49" s="64"/>
      <c r="J49" s="30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212"/>
      <c r="Z49" s="213"/>
      <c r="AA49" s="214"/>
      <c r="AB49" s="215"/>
      <c r="AC49" s="216"/>
      <c r="AD49" s="43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1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 t="str">
        <f>IF(B50="","",COUNTA($B$8:B50))</f>
        <v/>
      </c>
      <c r="B50" s="41"/>
      <c r="C50" s="39"/>
      <c r="D50" s="39"/>
      <c r="E50" s="39"/>
      <c r="F50" s="39"/>
      <c r="G50" s="39"/>
      <c r="H50" s="40"/>
      <c r="I50" s="64"/>
      <c r="J50" s="30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212"/>
      <c r="Z50" s="213"/>
      <c r="AA50" s="214"/>
      <c r="AB50" s="215"/>
      <c r="AC50" s="216"/>
      <c r="AD50" s="43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41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  <row r="51" spans="1:56" ht="15" customHeight="1" x14ac:dyDescent="0.3">
      <c r="A51" s="44" t="str">
        <f>IF(B51="","",COUNTA($B$8:B51))</f>
        <v/>
      </c>
      <c r="B51" s="41"/>
      <c r="C51" s="39"/>
      <c r="D51" s="39"/>
      <c r="E51" s="39"/>
      <c r="F51" s="39"/>
      <c r="G51" s="39"/>
      <c r="H51" s="40"/>
      <c r="I51" s="64"/>
      <c r="J51" s="30"/>
      <c r="K51" s="30"/>
      <c r="L51" s="30"/>
      <c r="M51" s="30"/>
      <c r="N51" s="30"/>
      <c r="O51" s="30"/>
      <c r="P51" s="30"/>
      <c r="Q51" s="31"/>
      <c r="R51" s="30"/>
      <c r="S51" s="30"/>
      <c r="T51" s="30"/>
      <c r="U51" s="30"/>
      <c r="V51" s="30"/>
      <c r="W51" s="30"/>
      <c r="X51" s="30"/>
      <c r="Y51" s="212"/>
      <c r="Z51" s="213"/>
      <c r="AA51" s="214"/>
      <c r="AB51" s="215"/>
      <c r="AC51" s="216"/>
      <c r="AD51" s="43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41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8"/>
    </row>
    <row r="52" spans="1:56" ht="15" customHeight="1" x14ac:dyDescent="0.3">
      <c r="A52" s="44" t="str">
        <f>IF(B52="","",COUNTA($B$8:B52))</f>
        <v/>
      </c>
      <c r="B52" s="41"/>
      <c r="C52" s="39"/>
      <c r="D52" s="39"/>
      <c r="E52" s="39"/>
      <c r="F52" s="39"/>
      <c r="G52" s="39"/>
      <c r="H52" s="40"/>
      <c r="I52" s="64"/>
      <c r="J52" s="30"/>
      <c r="K52" s="30"/>
      <c r="L52" s="30"/>
      <c r="M52" s="30"/>
      <c r="N52" s="30"/>
      <c r="O52" s="30"/>
      <c r="P52" s="30"/>
      <c r="Q52" s="31"/>
      <c r="R52" s="30"/>
      <c r="S52" s="30"/>
      <c r="T52" s="30"/>
      <c r="U52" s="30"/>
      <c r="V52" s="30"/>
      <c r="W52" s="30"/>
      <c r="X52" s="30"/>
      <c r="Y52" s="212"/>
      <c r="Z52" s="213"/>
      <c r="AA52" s="214"/>
      <c r="AB52" s="215"/>
      <c r="AC52" s="216"/>
      <c r="AD52" s="43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41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 t="str">
        <f>IF(B53="","",COUNTA($B$8:B53))</f>
        <v/>
      </c>
      <c r="B53" s="41"/>
      <c r="C53" s="39"/>
      <c r="D53" s="39"/>
      <c r="E53" s="39"/>
      <c r="F53" s="39"/>
      <c r="G53" s="39"/>
      <c r="H53" s="40"/>
      <c r="I53" s="64"/>
      <c r="J53" s="30"/>
      <c r="K53" s="30"/>
      <c r="L53" s="30"/>
      <c r="M53" s="30"/>
      <c r="N53" s="30"/>
      <c r="O53" s="30"/>
      <c r="P53" s="30"/>
      <c r="Q53" s="31"/>
      <c r="R53" s="30"/>
      <c r="S53" s="30"/>
      <c r="T53" s="30"/>
      <c r="U53" s="30"/>
      <c r="V53" s="30"/>
      <c r="W53" s="30"/>
      <c r="X53" s="30"/>
      <c r="Y53" s="212"/>
      <c r="Z53" s="213"/>
      <c r="AA53" s="214"/>
      <c r="AB53" s="215"/>
      <c r="AC53" s="216"/>
      <c r="AD53" s="43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41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 t="str">
        <f>IF(B54="","",COUNTA($B$8:B54))</f>
        <v/>
      </c>
      <c r="B54" s="29"/>
      <c r="C54" s="39"/>
      <c r="D54" s="39"/>
      <c r="E54" s="39"/>
      <c r="F54" s="39"/>
      <c r="G54" s="39"/>
      <c r="H54" s="40"/>
      <c r="I54" s="64"/>
      <c r="J54" s="21"/>
      <c r="K54" s="30"/>
      <c r="L54" s="30"/>
      <c r="M54" s="30"/>
      <c r="N54" s="30"/>
      <c r="O54" s="30"/>
      <c r="P54" s="30"/>
      <c r="Q54" s="31"/>
      <c r="R54" s="30"/>
      <c r="S54" s="30"/>
      <c r="T54" s="30"/>
      <c r="U54" s="30"/>
      <c r="V54" s="30"/>
      <c r="W54" s="30"/>
      <c r="X54" s="30"/>
      <c r="Y54" s="212"/>
      <c r="Z54" s="213"/>
      <c r="AA54" s="214"/>
      <c r="AB54" s="215"/>
      <c r="AC54" s="216"/>
      <c r="AD54" s="28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9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  <row r="55" spans="1:56" ht="15" customHeight="1" x14ac:dyDescent="0.3">
      <c r="A55" s="44" t="str">
        <f>IF(B55="","",COUNTA($B$8:B55))</f>
        <v/>
      </c>
      <c r="B55" s="29"/>
      <c r="C55" s="39"/>
      <c r="D55" s="39"/>
      <c r="E55" s="39"/>
      <c r="F55" s="39"/>
      <c r="G55" s="39"/>
      <c r="H55" s="40"/>
      <c r="I55" s="64"/>
      <c r="J55" s="21"/>
      <c r="K55" s="30"/>
      <c r="L55" s="30"/>
      <c r="M55" s="30"/>
      <c r="N55" s="30"/>
      <c r="O55" s="30"/>
      <c r="P55" s="30"/>
      <c r="Q55" s="31"/>
      <c r="R55" s="30"/>
      <c r="S55" s="30"/>
      <c r="T55" s="30"/>
      <c r="U55" s="30"/>
      <c r="V55" s="30"/>
      <c r="W55" s="30"/>
      <c r="X55" s="30"/>
      <c r="Y55" s="212"/>
      <c r="Z55" s="213"/>
      <c r="AA55" s="214"/>
      <c r="AB55" s="215"/>
      <c r="AC55" s="216"/>
      <c r="AD55" s="28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60"/>
    </row>
    <row r="56" spans="1:56" ht="15" customHeight="1" x14ac:dyDescent="0.3">
      <c r="A56" s="44" t="str">
        <f>IF(B56="","",COUNTA($B$8:B56))</f>
        <v/>
      </c>
      <c r="B56" s="29"/>
      <c r="C56" s="39"/>
      <c r="D56" s="39"/>
      <c r="E56" s="39"/>
      <c r="F56" s="39"/>
      <c r="G56" s="39"/>
      <c r="H56" s="40"/>
      <c r="I56" s="64"/>
      <c r="J56" s="21"/>
      <c r="K56" s="30"/>
      <c r="L56" s="30"/>
      <c r="M56" s="30"/>
      <c r="N56" s="30"/>
      <c r="O56" s="30"/>
      <c r="P56" s="30"/>
      <c r="Q56" s="31"/>
      <c r="R56" s="30"/>
      <c r="S56" s="30"/>
      <c r="T56" s="30"/>
      <c r="U56" s="30"/>
      <c r="V56" s="30"/>
      <c r="W56" s="30"/>
      <c r="X56" s="30"/>
      <c r="Y56" s="212"/>
      <c r="Z56" s="213"/>
      <c r="AA56" s="214"/>
      <c r="AB56" s="215"/>
      <c r="AC56" s="216"/>
      <c r="AD56" s="28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60"/>
    </row>
    <row r="57" spans="1:56" ht="15" customHeight="1" x14ac:dyDescent="0.3">
      <c r="A57" s="44" t="str">
        <f>IF(B57="","",COUNTA($B$8:B57))</f>
        <v/>
      </c>
      <c r="B57" s="20"/>
      <c r="C57" s="19"/>
      <c r="D57" s="19"/>
      <c r="E57" s="19"/>
      <c r="F57" s="19"/>
      <c r="G57" s="19"/>
      <c r="H57" s="22"/>
      <c r="I57" s="63"/>
      <c r="J57" s="33"/>
      <c r="K57" s="21"/>
      <c r="L57" s="21"/>
      <c r="M57" s="21"/>
      <c r="N57" s="21"/>
      <c r="O57" s="21"/>
      <c r="P57" s="21"/>
      <c r="Q57" s="32"/>
      <c r="R57" s="21"/>
      <c r="S57" s="21"/>
      <c r="T57" s="33"/>
      <c r="U57" s="21"/>
      <c r="V57" s="21"/>
      <c r="W57" s="21"/>
      <c r="X57" s="22"/>
      <c r="Y57" s="212"/>
      <c r="Z57" s="213"/>
      <c r="AA57" s="214"/>
      <c r="AB57" s="215"/>
      <c r="AC57" s="216"/>
      <c r="AD57" s="25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7"/>
      <c r="AP57" s="27"/>
      <c r="AQ57" s="27"/>
      <c r="AR57" s="27"/>
      <c r="AS57" s="29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58"/>
    </row>
    <row r="58" spans="1:56" ht="15" customHeight="1" x14ac:dyDescent="0.3">
      <c r="A58" s="44" t="str">
        <f>IF(B58="","",COUNTA($B$8:B58))</f>
        <v/>
      </c>
      <c r="B58" s="20"/>
      <c r="C58" s="19"/>
      <c r="D58" s="19"/>
      <c r="E58" s="19"/>
      <c r="F58" s="19"/>
      <c r="G58" s="19"/>
      <c r="H58" s="22"/>
      <c r="I58" s="63"/>
      <c r="J58" s="33"/>
      <c r="K58" s="21"/>
      <c r="L58" s="21"/>
      <c r="M58" s="21"/>
      <c r="N58" s="21"/>
      <c r="O58" s="21"/>
      <c r="P58" s="21"/>
      <c r="Q58" s="32"/>
      <c r="R58" s="21"/>
      <c r="S58" s="21"/>
      <c r="T58" s="33"/>
      <c r="U58" s="21"/>
      <c r="V58" s="21"/>
      <c r="W58" s="21"/>
      <c r="X58" s="22"/>
      <c r="Y58" s="212"/>
      <c r="Z58" s="213"/>
      <c r="AA58" s="214"/>
      <c r="AB58" s="215"/>
      <c r="AC58" s="216"/>
      <c r="AD58" s="25"/>
      <c r="AE58" s="36"/>
      <c r="AF58" s="36"/>
      <c r="AG58" s="36"/>
      <c r="AH58" s="36"/>
      <c r="AI58" s="36"/>
      <c r="AJ58" s="26"/>
      <c r="AK58" s="26"/>
      <c r="AL58" s="26"/>
      <c r="AM58" s="26"/>
      <c r="AN58" s="26"/>
      <c r="AO58" s="27"/>
      <c r="AP58" s="27"/>
      <c r="AQ58" s="27"/>
      <c r="AR58" s="27"/>
      <c r="AS58" s="29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58"/>
    </row>
    <row r="59" spans="1:56" ht="15" customHeight="1" x14ac:dyDescent="0.3">
      <c r="A59" s="44" t="str">
        <f>IF(B59="","",COUNTA($B$8:B59))</f>
        <v/>
      </c>
      <c r="B59" s="20"/>
      <c r="C59" s="19"/>
      <c r="D59" s="19"/>
      <c r="E59" s="19"/>
      <c r="F59" s="19"/>
      <c r="G59" s="19"/>
      <c r="H59" s="22"/>
      <c r="I59" s="63"/>
      <c r="J59" s="33"/>
      <c r="K59" s="21"/>
      <c r="L59" s="21"/>
      <c r="M59" s="21"/>
      <c r="N59" s="21"/>
      <c r="O59" s="21"/>
      <c r="P59" s="21"/>
      <c r="Q59" s="32"/>
      <c r="R59" s="21"/>
      <c r="S59" s="21"/>
      <c r="T59" s="33"/>
      <c r="U59" s="21"/>
      <c r="V59" s="21"/>
      <c r="W59" s="21"/>
      <c r="X59" s="22"/>
      <c r="Y59" s="212"/>
      <c r="Z59" s="213"/>
      <c r="AA59" s="214"/>
      <c r="AB59" s="215"/>
      <c r="AC59" s="216"/>
      <c r="AD59" s="28"/>
      <c r="AE59" s="26"/>
      <c r="AF59" s="26"/>
      <c r="AG59" s="26"/>
      <c r="AH59" s="26"/>
      <c r="AI59" s="26"/>
      <c r="AJ59" s="26"/>
      <c r="AK59" s="26"/>
      <c r="AL59" s="36"/>
      <c r="AM59" s="36"/>
      <c r="AN59" s="36"/>
      <c r="AO59" s="37"/>
      <c r="AP59" s="37"/>
      <c r="AQ59" s="37"/>
      <c r="AR59" s="37"/>
      <c r="AS59" s="38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58"/>
    </row>
    <row r="60" spans="1:56" ht="15" customHeight="1" x14ac:dyDescent="0.3">
      <c r="A60" s="44" t="str">
        <f>IF(B60="","",COUNTA($B$8:B60))</f>
        <v/>
      </c>
      <c r="B60" s="20"/>
      <c r="C60" s="19"/>
      <c r="D60" s="19"/>
      <c r="E60" s="19"/>
      <c r="F60" s="19"/>
      <c r="G60" s="19"/>
      <c r="H60" s="22"/>
      <c r="I60" s="63"/>
      <c r="J60" s="33"/>
      <c r="K60" s="21"/>
      <c r="L60" s="21"/>
      <c r="M60" s="21"/>
      <c r="N60" s="21"/>
      <c r="O60" s="21"/>
      <c r="P60" s="21"/>
      <c r="Q60" s="32"/>
      <c r="R60" s="21"/>
      <c r="S60" s="21"/>
      <c r="T60" s="33"/>
      <c r="U60" s="21"/>
      <c r="V60" s="21"/>
      <c r="W60" s="21"/>
      <c r="X60" s="22"/>
      <c r="Y60" s="212"/>
      <c r="Z60" s="213"/>
      <c r="AA60" s="214"/>
      <c r="AB60" s="215"/>
      <c r="AC60" s="216"/>
      <c r="AD60" s="25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7"/>
      <c r="AP60" s="37"/>
      <c r="AQ60" s="37"/>
      <c r="AR60" s="37"/>
      <c r="AS60" s="38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58"/>
    </row>
  </sheetData>
  <mergeCells count="139"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U2:AY2"/>
    <mergeCell ref="AZ2:BD2"/>
    <mergeCell ref="Y12:Z12"/>
    <mergeCell ref="AA12:AC12"/>
    <mergeCell ref="Y15:Z15"/>
    <mergeCell ref="AA15:AC15"/>
    <mergeCell ref="Y9:Z9"/>
    <mergeCell ref="AA9:AC9"/>
    <mergeCell ref="Y11:Z11"/>
    <mergeCell ref="AA11:AC11"/>
    <mergeCell ref="Y13:Z13"/>
    <mergeCell ref="AA13:AC13"/>
    <mergeCell ref="Y10:Z10"/>
    <mergeCell ref="AA10:AC10"/>
    <mergeCell ref="Y14:Z14"/>
    <mergeCell ref="AA14:AC14"/>
    <mergeCell ref="Y22:Z22"/>
    <mergeCell ref="AA22:AC22"/>
    <mergeCell ref="Y23:Z23"/>
    <mergeCell ref="AA23:AC23"/>
    <mergeCell ref="Y24:Z24"/>
    <mergeCell ref="AA24:AC24"/>
    <mergeCell ref="Y16:Z16"/>
    <mergeCell ref="Y19:Z19"/>
    <mergeCell ref="AA19:AC19"/>
    <mergeCell ref="Y21:Z21"/>
    <mergeCell ref="AA21:AC21"/>
    <mergeCell ref="Y20:Z20"/>
    <mergeCell ref="AA20:AC20"/>
    <mergeCell ref="Y17:Z17"/>
    <mergeCell ref="AA17:AC17"/>
    <mergeCell ref="AA16:AC16"/>
    <mergeCell ref="Y18:Z18"/>
    <mergeCell ref="AA18:AC18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  <mergeCell ref="Y45:Z45"/>
    <mergeCell ref="AA45:AC45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0:Z50"/>
    <mergeCell ref="AA50:AC50"/>
    <mergeCell ref="Y51:Z51"/>
    <mergeCell ref="AA51:AC51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6:Z56"/>
    <mergeCell ref="AA56:AC56"/>
    <mergeCell ref="Y57:Z57"/>
    <mergeCell ref="AA57:AC57"/>
  </mergeCells>
  <phoneticPr fontId="5"/>
  <dataValidations count="3">
    <dataValidation imeMode="hiragana" allowBlank="1" showInputMessage="1" showErrorMessage="1" sqref="JK65531:JV65533 TG65531:TR65533 ADC65531:ADN65533 AMY65531:ANJ65533 AWU65531:AXF65533 BGQ65531:BHB65533 BQM65531:BQX65533 CAI65531:CAT65533 CKE65531:CKP65533 CUA65531:CUL65533 DDW65531:DEH65533 DNS65531:DOD65533 DXO65531:DXZ65533 EHK65531:EHV65533 ERG65531:ERR65533 FBC65531:FBN65533 FKY65531:FLJ65533 FUU65531:FVF65533 GEQ65531:GFB65533 GOM65531:GOX65533 GYI65531:GYT65533 HIE65531:HIP65533 HSA65531:HSL65533 IBW65531:ICH65533 ILS65531:IMD65533 IVO65531:IVZ65533 JFK65531:JFV65533 JPG65531:JPR65533 JZC65531:JZN65533 KIY65531:KJJ65533 KSU65531:KTF65533 LCQ65531:LDB65533 LMM65531:LMX65533 LWI65531:LWT65533 MGE65531:MGP65533 MQA65531:MQL65533 MZW65531:NAH65533 NJS65531:NKD65533 NTO65531:NTZ65533 ODK65531:ODV65533 ONG65531:ONR65533 OXC65531:OXN65533 PGY65531:PHJ65533 PQU65531:PRF65533 QAQ65531:QBB65533 QKM65531:QKX65533 QUI65531:QUT65533 REE65531:REP65533 ROA65531:ROL65533 RXW65531:RYH65533 SHS65531:SID65533 SRO65531:SRZ65533 TBK65531:TBV65533 TLG65531:TLR65533 TVC65531:TVN65533 UEY65531:UFJ65533 UOU65531:UPF65533 UYQ65531:UZB65533 VIM65531:VIX65533 VSI65531:VST65533 WCE65531:WCP65533 WMA65531:WML65533 WVW65531:WWH65533 JK131067:JV131069 TG131067:TR131069 ADC131067:ADN131069 AMY131067:ANJ131069 AWU131067:AXF131069 BGQ131067:BHB131069 BQM131067:BQX131069 CAI131067:CAT131069 CKE131067:CKP131069 CUA131067:CUL131069 DDW131067:DEH131069 DNS131067:DOD131069 DXO131067:DXZ131069 EHK131067:EHV131069 ERG131067:ERR131069 FBC131067:FBN131069 FKY131067:FLJ131069 FUU131067:FVF131069 GEQ131067:GFB131069 GOM131067:GOX131069 GYI131067:GYT131069 HIE131067:HIP131069 HSA131067:HSL131069 IBW131067:ICH131069 ILS131067:IMD131069 IVO131067:IVZ131069 JFK131067:JFV131069 JPG131067:JPR131069 JZC131067:JZN131069 KIY131067:KJJ131069 KSU131067:KTF131069 LCQ131067:LDB131069 LMM131067:LMX131069 LWI131067:LWT131069 MGE131067:MGP131069 MQA131067:MQL131069 MZW131067:NAH131069 NJS131067:NKD131069 NTO131067:NTZ131069 ODK131067:ODV131069 ONG131067:ONR131069 OXC131067:OXN131069 PGY131067:PHJ131069 PQU131067:PRF131069 QAQ131067:QBB131069 QKM131067:QKX131069 QUI131067:QUT131069 REE131067:REP131069 ROA131067:ROL131069 RXW131067:RYH131069 SHS131067:SID131069 SRO131067:SRZ131069 TBK131067:TBV131069 TLG131067:TLR131069 TVC131067:TVN131069 UEY131067:UFJ131069 UOU131067:UPF131069 UYQ131067:UZB131069 VIM131067:VIX131069 VSI131067:VST131069 WCE131067:WCP131069 WMA131067:WML131069 WVW131067:WWH131069 JK196603:JV196605 TG196603:TR196605 ADC196603:ADN196605 AMY196603:ANJ196605 AWU196603:AXF196605 BGQ196603:BHB196605 BQM196603:BQX196605 CAI196603:CAT196605 CKE196603:CKP196605 CUA196603:CUL196605 DDW196603:DEH196605 DNS196603:DOD196605 DXO196603:DXZ196605 EHK196603:EHV196605 ERG196603:ERR196605 FBC196603:FBN196605 FKY196603:FLJ196605 FUU196603:FVF196605 GEQ196603:GFB196605 GOM196603:GOX196605 GYI196603:GYT196605 HIE196603:HIP196605 HSA196603:HSL196605 IBW196603:ICH196605 ILS196603:IMD196605 IVO196603:IVZ196605 JFK196603:JFV196605 JPG196603:JPR196605 JZC196603:JZN196605 KIY196603:KJJ196605 KSU196603:KTF196605 LCQ196603:LDB196605 LMM196603:LMX196605 LWI196603:LWT196605 MGE196603:MGP196605 MQA196603:MQL196605 MZW196603:NAH196605 NJS196603:NKD196605 NTO196603:NTZ196605 ODK196603:ODV196605 ONG196603:ONR196605 OXC196603:OXN196605 PGY196603:PHJ196605 PQU196603:PRF196605 QAQ196603:QBB196605 QKM196603:QKX196605 QUI196603:QUT196605 REE196603:REP196605 ROA196603:ROL196605 RXW196603:RYH196605 SHS196603:SID196605 SRO196603:SRZ196605 TBK196603:TBV196605 TLG196603:TLR196605 TVC196603:TVN196605 UEY196603:UFJ196605 UOU196603:UPF196605 UYQ196603:UZB196605 VIM196603:VIX196605 VSI196603:VST196605 WCE196603:WCP196605 WMA196603:WML196605 WVW196603:WWH196605 JK262139:JV262141 TG262139:TR262141 ADC262139:ADN262141 AMY262139:ANJ262141 AWU262139:AXF262141 BGQ262139:BHB262141 BQM262139:BQX262141 CAI262139:CAT262141 CKE262139:CKP262141 CUA262139:CUL262141 DDW262139:DEH262141 DNS262139:DOD262141 DXO262139:DXZ262141 EHK262139:EHV262141 ERG262139:ERR262141 FBC262139:FBN262141 FKY262139:FLJ262141 FUU262139:FVF262141 GEQ262139:GFB262141 GOM262139:GOX262141 GYI262139:GYT262141 HIE262139:HIP262141 HSA262139:HSL262141 IBW262139:ICH262141 ILS262139:IMD262141 IVO262139:IVZ262141 JFK262139:JFV262141 JPG262139:JPR262141 JZC262139:JZN262141 KIY262139:KJJ262141 KSU262139:KTF262141 LCQ262139:LDB262141 LMM262139:LMX262141 LWI262139:LWT262141 MGE262139:MGP262141 MQA262139:MQL262141 MZW262139:NAH262141 NJS262139:NKD262141 NTO262139:NTZ262141 ODK262139:ODV262141 ONG262139:ONR262141 OXC262139:OXN262141 PGY262139:PHJ262141 PQU262139:PRF262141 QAQ262139:QBB262141 QKM262139:QKX262141 QUI262139:QUT262141 REE262139:REP262141 ROA262139:ROL262141 RXW262139:RYH262141 SHS262139:SID262141 SRO262139:SRZ262141 TBK262139:TBV262141 TLG262139:TLR262141 TVC262139:TVN262141 UEY262139:UFJ262141 UOU262139:UPF262141 UYQ262139:UZB262141 VIM262139:VIX262141 VSI262139:VST262141 WCE262139:WCP262141 WMA262139:WML262141 WVW262139:WWH262141 JK327675:JV327677 TG327675:TR327677 ADC327675:ADN327677 AMY327675:ANJ327677 AWU327675:AXF327677 BGQ327675:BHB327677 BQM327675:BQX327677 CAI327675:CAT327677 CKE327675:CKP327677 CUA327675:CUL327677 DDW327675:DEH327677 DNS327675:DOD327677 DXO327675:DXZ327677 EHK327675:EHV327677 ERG327675:ERR327677 FBC327675:FBN327677 FKY327675:FLJ327677 FUU327675:FVF327677 GEQ327675:GFB327677 GOM327675:GOX327677 GYI327675:GYT327677 HIE327675:HIP327677 HSA327675:HSL327677 IBW327675:ICH327677 ILS327675:IMD327677 IVO327675:IVZ327677 JFK327675:JFV327677 JPG327675:JPR327677 JZC327675:JZN327677 KIY327675:KJJ327677 KSU327675:KTF327677 LCQ327675:LDB327677 LMM327675:LMX327677 LWI327675:LWT327677 MGE327675:MGP327677 MQA327675:MQL327677 MZW327675:NAH327677 NJS327675:NKD327677 NTO327675:NTZ327677 ODK327675:ODV327677 ONG327675:ONR327677 OXC327675:OXN327677 PGY327675:PHJ327677 PQU327675:PRF327677 QAQ327675:QBB327677 QKM327675:QKX327677 QUI327675:QUT327677 REE327675:REP327677 ROA327675:ROL327677 RXW327675:RYH327677 SHS327675:SID327677 SRO327675:SRZ327677 TBK327675:TBV327677 TLG327675:TLR327677 TVC327675:TVN327677 UEY327675:UFJ327677 UOU327675:UPF327677 UYQ327675:UZB327677 VIM327675:VIX327677 VSI327675:VST327677 WCE327675:WCP327677 WMA327675:WML327677 WVW327675:WWH327677 JK393211:JV393213 TG393211:TR393213 ADC393211:ADN393213 AMY393211:ANJ393213 AWU393211:AXF393213 BGQ393211:BHB393213 BQM393211:BQX393213 CAI393211:CAT393213 CKE393211:CKP393213 CUA393211:CUL393213 DDW393211:DEH393213 DNS393211:DOD393213 DXO393211:DXZ393213 EHK393211:EHV393213 ERG393211:ERR393213 FBC393211:FBN393213 FKY393211:FLJ393213 FUU393211:FVF393213 GEQ393211:GFB393213 GOM393211:GOX393213 GYI393211:GYT393213 HIE393211:HIP393213 HSA393211:HSL393213 IBW393211:ICH393213 ILS393211:IMD393213 IVO393211:IVZ393213 JFK393211:JFV393213 JPG393211:JPR393213 JZC393211:JZN393213 KIY393211:KJJ393213 KSU393211:KTF393213 LCQ393211:LDB393213 LMM393211:LMX393213 LWI393211:LWT393213 MGE393211:MGP393213 MQA393211:MQL393213 MZW393211:NAH393213 NJS393211:NKD393213 NTO393211:NTZ393213 ODK393211:ODV393213 ONG393211:ONR393213 OXC393211:OXN393213 PGY393211:PHJ393213 PQU393211:PRF393213 QAQ393211:QBB393213 QKM393211:QKX393213 QUI393211:QUT393213 REE393211:REP393213 ROA393211:ROL393213 RXW393211:RYH393213 SHS393211:SID393213 SRO393211:SRZ393213 TBK393211:TBV393213 TLG393211:TLR393213 TVC393211:TVN393213 UEY393211:UFJ393213 UOU393211:UPF393213 UYQ393211:UZB393213 VIM393211:VIX393213 VSI393211:VST393213 WCE393211:WCP393213 WMA393211:WML393213 WVW393211:WWH393213 JK458747:JV458749 TG458747:TR458749 ADC458747:ADN458749 AMY458747:ANJ458749 AWU458747:AXF458749 BGQ458747:BHB458749 BQM458747:BQX458749 CAI458747:CAT458749 CKE458747:CKP458749 CUA458747:CUL458749 DDW458747:DEH458749 DNS458747:DOD458749 DXO458747:DXZ458749 EHK458747:EHV458749 ERG458747:ERR458749 FBC458747:FBN458749 FKY458747:FLJ458749 FUU458747:FVF458749 GEQ458747:GFB458749 GOM458747:GOX458749 GYI458747:GYT458749 HIE458747:HIP458749 HSA458747:HSL458749 IBW458747:ICH458749 ILS458747:IMD458749 IVO458747:IVZ458749 JFK458747:JFV458749 JPG458747:JPR458749 JZC458747:JZN458749 KIY458747:KJJ458749 KSU458747:KTF458749 LCQ458747:LDB458749 LMM458747:LMX458749 LWI458747:LWT458749 MGE458747:MGP458749 MQA458747:MQL458749 MZW458747:NAH458749 NJS458747:NKD458749 NTO458747:NTZ458749 ODK458747:ODV458749 ONG458747:ONR458749 OXC458747:OXN458749 PGY458747:PHJ458749 PQU458747:PRF458749 QAQ458747:QBB458749 QKM458747:QKX458749 QUI458747:QUT458749 REE458747:REP458749 ROA458747:ROL458749 RXW458747:RYH458749 SHS458747:SID458749 SRO458747:SRZ458749 TBK458747:TBV458749 TLG458747:TLR458749 TVC458747:TVN458749 UEY458747:UFJ458749 UOU458747:UPF458749 UYQ458747:UZB458749 VIM458747:VIX458749 VSI458747:VST458749 WCE458747:WCP458749 WMA458747:WML458749 WVW458747:WWH458749 JK524283:JV524285 TG524283:TR524285 ADC524283:ADN524285 AMY524283:ANJ524285 AWU524283:AXF524285 BGQ524283:BHB524285 BQM524283:BQX524285 CAI524283:CAT524285 CKE524283:CKP524285 CUA524283:CUL524285 DDW524283:DEH524285 DNS524283:DOD524285 DXO524283:DXZ524285 EHK524283:EHV524285 ERG524283:ERR524285 FBC524283:FBN524285 FKY524283:FLJ524285 FUU524283:FVF524285 GEQ524283:GFB524285 GOM524283:GOX524285 GYI524283:GYT524285 HIE524283:HIP524285 HSA524283:HSL524285 IBW524283:ICH524285 ILS524283:IMD524285 IVO524283:IVZ524285 JFK524283:JFV524285 JPG524283:JPR524285 JZC524283:JZN524285 KIY524283:KJJ524285 KSU524283:KTF524285 LCQ524283:LDB524285 LMM524283:LMX524285 LWI524283:LWT524285 MGE524283:MGP524285 MQA524283:MQL524285 MZW524283:NAH524285 NJS524283:NKD524285 NTO524283:NTZ524285 ODK524283:ODV524285 ONG524283:ONR524285 OXC524283:OXN524285 PGY524283:PHJ524285 PQU524283:PRF524285 QAQ524283:QBB524285 QKM524283:QKX524285 QUI524283:QUT524285 REE524283:REP524285 ROA524283:ROL524285 RXW524283:RYH524285 SHS524283:SID524285 SRO524283:SRZ524285 TBK524283:TBV524285 TLG524283:TLR524285 TVC524283:TVN524285 UEY524283:UFJ524285 UOU524283:UPF524285 UYQ524283:UZB524285 VIM524283:VIX524285 VSI524283:VST524285 WCE524283:WCP524285 WMA524283:WML524285 WVW524283:WWH524285 JK589819:JV589821 TG589819:TR589821 ADC589819:ADN589821 AMY589819:ANJ589821 AWU589819:AXF589821 BGQ589819:BHB589821 BQM589819:BQX589821 CAI589819:CAT589821 CKE589819:CKP589821 CUA589819:CUL589821 DDW589819:DEH589821 DNS589819:DOD589821 DXO589819:DXZ589821 EHK589819:EHV589821 ERG589819:ERR589821 FBC589819:FBN589821 FKY589819:FLJ589821 FUU589819:FVF589821 GEQ589819:GFB589821 GOM589819:GOX589821 GYI589819:GYT589821 HIE589819:HIP589821 HSA589819:HSL589821 IBW589819:ICH589821 ILS589819:IMD589821 IVO589819:IVZ589821 JFK589819:JFV589821 JPG589819:JPR589821 JZC589819:JZN589821 KIY589819:KJJ589821 KSU589819:KTF589821 LCQ589819:LDB589821 LMM589819:LMX589821 LWI589819:LWT589821 MGE589819:MGP589821 MQA589819:MQL589821 MZW589819:NAH589821 NJS589819:NKD589821 NTO589819:NTZ589821 ODK589819:ODV589821 ONG589819:ONR589821 OXC589819:OXN589821 PGY589819:PHJ589821 PQU589819:PRF589821 QAQ589819:QBB589821 QKM589819:QKX589821 QUI589819:QUT589821 REE589819:REP589821 ROA589819:ROL589821 RXW589819:RYH589821 SHS589819:SID589821 SRO589819:SRZ589821 TBK589819:TBV589821 TLG589819:TLR589821 TVC589819:TVN589821 UEY589819:UFJ589821 UOU589819:UPF589821 UYQ589819:UZB589821 VIM589819:VIX589821 VSI589819:VST589821 WCE589819:WCP589821 WMA589819:WML589821 WVW589819:WWH589821 JK655355:JV655357 TG655355:TR655357 ADC655355:ADN655357 AMY655355:ANJ655357 AWU655355:AXF655357 BGQ655355:BHB655357 BQM655355:BQX655357 CAI655355:CAT655357 CKE655355:CKP655357 CUA655355:CUL655357 DDW655355:DEH655357 DNS655355:DOD655357 DXO655355:DXZ655357 EHK655355:EHV655357 ERG655355:ERR655357 FBC655355:FBN655357 FKY655355:FLJ655357 FUU655355:FVF655357 GEQ655355:GFB655357 GOM655355:GOX655357 GYI655355:GYT655357 HIE655355:HIP655357 HSA655355:HSL655357 IBW655355:ICH655357 ILS655355:IMD655357 IVO655355:IVZ655357 JFK655355:JFV655357 JPG655355:JPR655357 JZC655355:JZN655357 KIY655355:KJJ655357 KSU655355:KTF655357 LCQ655355:LDB655357 LMM655355:LMX655357 LWI655355:LWT655357 MGE655355:MGP655357 MQA655355:MQL655357 MZW655355:NAH655357 NJS655355:NKD655357 NTO655355:NTZ655357 ODK655355:ODV655357 ONG655355:ONR655357 OXC655355:OXN655357 PGY655355:PHJ655357 PQU655355:PRF655357 QAQ655355:QBB655357 QKM655355:QKX655357 QUI655355:QUT655357 REE655355:REP655357 ROA655355:ROL655357 RXW655355:RYH655357 SHS655355:SID655357 SRO655355:SRZ655357 TBK655355:TBV655357 TLG655355:TLR655357 TVC655355:TVN655357 UEY655355:UFJ655357 UOU655355:UPF655357 UYQ655355:UZB655357 VIM655355:VIX655357 VSI655355:VST655357 WCE655355:WCP655357 WMA655355:WML655357 WVW655355:WWH655357 JK720891:JV720893 TG720891:TR720893 ADC720891:ADN720893 AMY720891:ANJ720893 AWU720891:AXF720893 BGQ720891:BHB720893 BQM720891:BQX720893 CAI720891:CAT720893 CKE720891:CKP720893 CUA720891:CUL720893 DDW720891:DEH720893 DNS720891:DOD720893 DXO720891:DXZ720893 EHK720891:EHV720893 ERG720891:ERR720893 FBC720891:FBN720893 FKY720891:FLJ720893 FUU720891:FVF720893 GEQ720891:GFB720893 GOM720891:GOX720893 GYI720891:GYT720893 HIE720891:HIP720893 HSA720891:HSL720893 IBW720891:ICH720893 ILS720891:IMD720893 IVO720891:IVZ720893 JFK720891:JFV720893 JPG720891:JPR720893 JZC720891:JZN720893 KIY720891:KJJ720893 KSU720891:KTF720893 LCQ720891:LDB720893 LMM720891:LMX720893 LWI720891:LWT720893 MGE720891:MGP720893 MQA720891:MQL720893 MZW720891:NAH720893 NJS720891:NKD720893 NTO720891:NTZ720893 ODK720891:ODV720893 ONG720891:ONR720893 OXC720891:OXN720893 PGY720891:PHJ720893 PQU720891:PRF720893 QAQ720891:QBB720893 QKM720891:QKX720893 QUI720891:QUT720893 REE720891:REP720893 ROA720891:ROL720893 RXW720891:RYH720893 SHS720891:SID720893 SRO720891:SRZ720893 TBK720891:TBV720893 TLG720891:TLR720893 TVC720891:TVN720893 UEY720891:UFJ720893 UOU720891:UPF720893 UYQ720891:UZB720893 VIM720891:VIX720893 VSI720891:VST720893 WCE720891:WCP720893 WMA720891:WML720893 WVW720891:WWH720893 JK786427:JV786429 TG786427:TR786429 ADC786427:ADN786429 AMY786427:ANJ786429 AWU786427:AXF786429 BGQ786427:BHB786429 BQM786427:BQX786429 CAI786427:CAT786429 CKE786427:CKP786429 CUA786427:CUL786429 DDW786427:DEH786429 DNS786427:DOD786429 DXO786427:DXZ786429 EHK786427:EHV786429 ERG786427:ERR786429 FBC786427:FBN786429 FKY786427:FLJ786429 FUU786427:FVF786429 GEQ786427:GFB786429 GOM786427:GOX786429 GYI786427:GYT786429 HIE786427:HIP786429 HSA786427:HSL786429 IBW786427:ICH786429 ILS786427:IMD786429 IVO786427:IVZ786429 JFK786427:JFV786429 JPG786427:JPR786429 JZC786427:JZN786429 KIY786427:KJJ786429 KSU786427:KTF786429 LCQ786427:LDB786429 LMM786427:LMX786429 LWI786427:LWT786429 MGE786427:MGP786429 MQA786427:MQL786429 MZW786427:NAH786429 NJS786427:NKD786429 NTO786427:NTZ786429 ODK786427:ODV786429 ONG786427:ONR786429 OXC786427:OXN786429 PGY786427:PHJ786429 PQU786427:PRF786429 QAQ786427:QBB786429 QKM786427:QKX786429 QUI786427:QUT786429 REE786427:REP786429 ROA786427:ROL786429 RXW786427:RYH786429 SHS786427:SID786429 SRO786427:SRZ786429 TBK786427:TBV786429 TLG786427:TLR786429 TVC786427:TVN786429 UEY786427:UFJ786429 UOU786427:UPF786429 UYQ786427:UZB786429 VIM786427:VIX786429 VSI786427:VST786429 WCE786427:WCP786429 WMA786427:WML786429 WVW786427:WWH786429 JK851963:JV851965 TG851963:TR851965 ADC851963:ADN851965 AMY851963:ANJ851965 AWU851963:AXF851965 BGQ851963:BHB851965 BQM851963:BQX851965 CAI851963:CAT851965 CKE851963:CKP851965 CUA851963:CUL851965 DDW851963:DEH851965 DNS851963:DOD851965 DXO851963:DXZ851965 EHK851963:EHV851965 ERG851963:ERR851965 FBC851963:FBN851965 FKY851963:FLJ851965 FUU851963:FVF851965 GEQ851963:GFB851965 GOM851963:GOX851965 GYI851963:GYT851965 HIE851963:HIP851965 HSA851963:HSL851965 IBW851963:ICH851965 ILS851963:IMD851965 IVO851963:IVZ851965 JFK851963:JFV851965 JPG851963:JPR851965 JZC851963:JZN851965 KIY851963:KJJ851965 KSU851963:KTF851965 LCQ851963:LDB851965 LMM851963:LMX851965 LWI851963:LWT851965 MGE851963:MGP851965 MQA851963:MQL851965 MZW851963:NAH851965 NJS851963:NKD851965 NTO851963:NTZ851965 ODK851963:ODV851965 ONG851963:ONR851965 OXC851963:OXN851965 PGY851963:PHJ851965 PQU851963:PRF851965 QAQ851963:QBB851965 QKM851963:QKX851965 QUI851963:QUT851965 REE851963:REP851965 ROA851963:ROL851965 RXW851963:RYH851965 SHS851963:SID851965 SRO851963:SRZ851965 TBK851963:TBV851965 TLG851963:TLR851965 TVC851963:TVN851965 UEY851963:UFJ851965 UOU851963:UPF851965 UYQ851963:UZB851965 VIM851963:VIX851965 VSI851963:VST851965 WCE851963:WCP851965 WMA851963:WML851965 WVW851963:WWH851965 JK917499:JV917501 TG917499:TR917501 ADC917499:ADN917501 AMY917499:ANJ917501 AWU917499:AXF917501 BGQ917499:BHB917501 BQM917499:BQX917501 CAI917499:CAT917501 CKE917499:CKP917501 CUA917499:CUL917501 DDW917499:DEH917501 DNS917499:DOD917501 DXO917499:DXZ917501 EHK917499:EHV917501 ERG917499:ERR917501 FBC917499:FBN917501 FKY917499:FLJ917501 FUU917499:FVF917501 GEQ917499:GFB917501 GOM917499:GOX917501 GYI917499:GYT917501 HIE917499:HIP917501 HSA917499:HSL917501 IBW917499:ICH917501 ILS917499:IMD917501 IVO917499:IVZ917501 JFK917499:JFV917501 JPG917499:JPR917501 JZC917499:JZN917501 KIY917499:KJJ917501 KSU917499:KTF917501 LCQ917499:LDB917501 LMM917499:LMX917501 LWI917499:LWT917501 MGE917499:MGP917501 MQA917499:MQL917501 MZW917499:NAH917501 NJS917499:NKD917501 NTO917499:NTZ917501 ODK917499:ODV917501 ONG917499:ONR917501 OXC917499:OXN917501 PGY917499:PHJ917501 PQU917499:PRF917501 QAQ917499:QBB917501 QKM917499:QKX917501 QUI917499:QUT917501 REE917499:REP917501 ROA917499:ROL917501 RXW917499:RYH917501 SHS917499:SID917501 SRO917499:SRZ917501 TBK917499:TBV917501 TLG917499:TLR917501 TVC917499:TVN917501 UEY917499:UFJ917501 UOU917499:UPF917501 UYQ917499:UZB917501 VIM917499:VIX917501 VSI917499:VST917501 WCE917499:WCP917501 WMA917499:WML917501 WVW917499:WWH917501 JK983035:JV983037 TG983035:TR983037 ADC983035:ADN983037 AMY983035:ANJ983037 AWU983035:AXF983037 BGQ983035:BHB983037 BQM983035:BQX983037 CAI983035:CAT983037 CKE983035:CKP983037 CUA983035:CUL983037 DDW983035:DEH983037 DNS983035:DOD983037 DXO983035:DXZ983037 EHK983035:EHV983037 ERG983035:ERR983037 FBC983035:FBN983037 FKY983035:FLJ983037 FUU983035:FVF983037 GEQ983035:GFB983037 GOM983035:GOX983037 GYI983035:GYT983037 HIE983035:HIP983037 HSA983035:HSL983037 IBW983035:ICH983037 ILS983035:IMD983037 IVO983035:IVZ983037 JFK983035:JFV983037 JPG983035:JPR983037 JZC983035:JZN983037 KIY983035:KJJ983037 KSU983035:KTF983037 LCQ983035:LDB983037 LMM983035:LMX983037 LWI983035:LWT983037 MGE983035:MGP983037 MQA983035:MQL983037 MZW983035:NAH983037 NJS983035:NKD983037 NTO983035:NTZ983037 ODK983035:ODV983037 ONG983035:ONR983037 OXC983035:OXN983037 PGY983035:PHJ983037 PQU983035:PRF983037 QAQ983035:QBB983037 QKM983035:QKX983037 QUI983035:QUT983037 REE983035:REP983037 ROA983035:ROL983037 RXW983035:RYH983037 SHS983035:SID983037 SRO983035:SRZ983037 TBK983035:TBV983037 TLG983035:TLR983037 TVC983035:TVN983037 UEY983035:UFJ983037 UOU983035:UPF983037 UYQ983035:UZB983037 VIM983035:VIX983037 VSI983035:VST983037 WCE983035:WCP983037 WMA983035:WML983037 WVW983035:WWH983037 WVW983040:WWH983042 JK65536:JV65538 TG65536:TR65538 ADC65536:ADN65538 AMY65536:ANJ65538 AWU65536:AXF65538 BGQ65536:BHB65538 BQM65536:BQX65538 CAI65536:CAT65538 CKE65536:CKP65538 CUA65536:CUL65538 DDW65536:DEH65538 DNS65536:DOD65538 DXO65536:DXZ65538 EHK65536:EHV65538 ERG65536:ERR65538 FBC65536:FBN65538 FKY65536:FLJ65538 FUU65536:FVF65538 GEQ65536:GFB65538 GOM65536:GOX65538 GYI65536:GYT65538 HIE65536:HIP65538 HSA65536:HSL65538 IBW65536:ICH65538 ILS65536:IMD65538 IVO65536:IVZ65538 JFK65536:JFV65538 JPG65536:JPR65538 JZC65536:JZN65538 KIY65536:KJJ65538 KSU65536:KTF65538 LCQ65536:LDB65538 LMM65536:LMX65538 LWI65536:LWT65538 MGE65536:MGP65538 MQA65536:MQL65538 MZW65536:NAH65538 NJS65536:NKD65538 NTO65536:NTZ65538 ODK65536:ODV65538 ONG65536:ONR65538 OXC65536:OXN65538 PGY65536:PHJ65538 PQU65536:PRF65538 QAQ65536:QBB65538 QKM65536:QKX65538 QUI65536:QUT65538 REE65536:REP65538 ROA65536:ROL65538 RXW65536:RYH65538 SHS65536:SID65538 SRO65536:SRZ65538 TBK65536:TBV65538 TLG65536:TLR65538 TVC65536:TVN65538 UEY65536:UFJ65538 UOU65536:UPF65538 UYQ65536:UZB65538 VIM65536:VIX65538 VSI65536:VST65538 WCE65536:WCP65538 WMA65536:WML65538 WVW65536:WWH65538 JK131072:JV131074 TG131072:TR131074 ADC131072:ADN131074 AMY131072:ANJ131074 AWU131072:AXF131074 BGQ131072:BHB131074 BQM131072:BQX131074 CAI131072:CAT131074 CKE131072:CKP131074 CUA131072:CUL131074 DDW131072:DEH131074 DNS131072:DOD131074 DXO131072:DXZ131074 EHK131072:EHV131074 ERG131072:ERR131074 FBC131072:FBN131074 FKY131072:FLJ131074 FUU131072:FVF131074 GEQ131072:GFB131074 GOM131072:GOX131074 GYI131072:GYT131074 HIE131072:HIP131074 HSA131072:HSL131074 IBW131072:ICH131074 ILS131072:IMD131074 IVO131072:IVZ131074 JFK131072:JFV131074 JPG131072:JPR131074 JZC131072:JZN131074 KIY131072:KJJ131074 KSU131072:KTF131074 LCQ131072:LDB131074 LMM131072:LMX131074 LWI131072:LWT131074 MGE131072:MGP131074 MQA131072:MQL131074 MZW131072:NAH131074 NJS131072:NKD131074 NTO131072:NTZ131074 ODK131072:ODV131074 ONG131072:ONR131074 OXC131072:OXN131074 PGY131072:PHJ131074 PQU131072:PRF131074 QAQ131072:QBB131074 QKM131072:QKX131074 QUI131072:QUT131074 REE131072:REP131074 ROA131072:ROL131074 RXW131072:RYH131074 SHS131072:SID131074 SRO131072:SRZ131074 TBK131072:TBV131074 TLG131072:TLR131074 TVC131072:TVN131074 UEY131072:UFJ131074 UOU131072:UPF131074 UYQ131072:UZB131074 VIM131072:VIX131074 VSI131072:VST131074 WCE131072:WCP131074 WMA131072:WML131074 WVW131072:WWH131074 JK196608:JV196610 TG196608:TR196610 ADC196608:ADN196610 AMY196608:ANJ196610 AWU196608:AXF196610 BGQ196608:BHB196610 BQM196608:BQX196610 CAI196608:CAT196610 CKE196608:CKP196610 CUA196608:CUL196610 DDW196608:DEH196610 DNS196608:DOD196610 DXO196608:DXZ196610 EHK196608:EHV196610 ERG196608:ERR196610 FBC196608:FBN196610 FKY196608:FLJ196610 FUU196608:FVF196610 GEQ196608:GFB196610 GOM196608:GOX196610 GYI196608:GYT196610 HIE196608:HIP196610 HSA196608:HSL196610 IBW196608:ICH196610 ILS196608:IMD196610 IVO196608:IVZ196610 JFK196608:JFV196610 JPG196608:JPR196610 JZC196608:JZN196610 KIY196608:KJJ196610 KSU196608:KTF196610 LCQ196608:LDB196610 LMM196608:LMX196610 LWI196608:LWT196610 MGE196608:MGP196610 MQA196608:MQL196610 MZW196608:NAH196610 NJS196608:NKD196610 NTO196608:NTZ196610 ODK196608:ODV196610 ONG196608:ONR196610 OXC196608:OXN196610 PGY196608:PHJ196610 PQU196608:PRF196610 QAQ196608:QBB196610 QKM196608:QKX196610 QUI196608:QUT196610 REE196608:REP196610 ROA196608:ROL196610 RXW196608:RYH196610 SHS196608:SID196610 SRO196608:SRZ196610 TBK196608:TBV196610 TLG196608:TLR196610 TVC196608:TVN196610 UEY196608:UFJ196610 UOU196608:UPF196610 UYQ196608:UZB196610 VIM196608:VIX196610 VSI196608:VST196610 WCE196608:WCP196610 WMA196608:WML196610 WVW196608:WWH196610 JK262144:JV262146 TG262144:TR262146 ADC262144:ADN262146 AMY262144:ANJ262146 AWU262144:AXF262146 BGQ262144:BHB262146 BQM262144:BQX262146 CAI262144:CAT262146 CKE262144:CKP262146 CUA262144:CUL262146 DDW262144:DEH262146 DNS262144:DOD262146 DXO262144:DXZ262146 EHK262144:EHV262146 ERG262144:ERR262146 FBC262144:FBN262146 FKY262144:FLJ262146 FUU262144:FVF262146 GEQ262144:GFB262146 GOM262144:GOX262146 GYI262144:GYT262146 HIE262144:HIP262146 HSA262144:HSL262146 IBW262144:ICH262146 ILS262144:IMD262146 IVO262144:IVZ262146 JFK262144:JFV262146 JPG262144:JPR262146 JZC262144:JZN262146 KIY262144:KJJ262146 KSU262144:KTF262146 LCQ262144:LDB262146 LMM262144:LMX262146 LWI262144:LWT262146 MGE262144:MGP262146 MQA262144:MQL262146 MZW262144:NAH262146 NJS262144:NKD262146 NTO262144:NTZ262146 ODK262144:ODV262146 ONG262144:ONR262146 OXC262144:OXN262146 PGY262144:PHJ262146 PQU262144:PRF262146 QAQ262144:QBB262146 QKM262144:QKX262146 QUI262144:QUT262146 REE262144:REP262146 ROA262144:ROL262146 RXW262144:RYH262146 SHS262144:SID262146 SRO262144:SRZ262146 TBK262144:TBV262146 TLG262144:TLR262146 TVC262144:TVN262146 UEY262144:UFJ262146 UOU262144:UPF262146 UYQ262144:UZB262146 VIM262144:VIX262146 VSI262144:VST262146 WCE262144:WCP262146 WMA262144:WML262146 WVW262144:WWH262146 JK327680:JV327682 TG327680:TR327682 ADC327680:ADN327682 AMY327680:ANJ327682 AWU327680:AXF327682 BGQ327680:BHB327682 BQM327680:BQX327682 CAI327680:CAT327682 CKE327680:CKP327682 CUA327680:CUL327682 DDW327680:DEH327682 DNS327680:DOD327682 DXO327680:DXZ327682 EHK327680:EHV327682 ERG327680:ERR327682 FBC327680:FBN327682 FKY327680:FLJ327682 FUU327680:FVF327682 GEQ327680:GFB327682 GOM327680:GOX327682 GYI327680:GYT327682 HIE327680:HIP327682 HSA327680:HSL327682 IBW327680:ICH327682 ILS327680:IMD327682 IVO327680:IVZ327682 JFK327680:JFV327682 JPG327680:JPR327682 JZC327680:JZN327682 KIY327680:KJJ327682 KSU327680:KTF327682 LCQ327680:LDB327682 LMM327680:LMX327682 LWI327680:LWT327682 MGE327680:MGP327682 MQA327680:MQL327682 MZW327680:NAH327682 NJS327680:NKD327682 NTO327680:NTZ327682 ODK327680:ODV327682 ONG327680:ONR327682 OXC327680:OXN327682 PGY327680:PHJ327682 PQU327680:PRF327682 QAQ327680:QBB327682 QKM327680:QKX327682 QUI327680:QUT327682 REE327680:REP327682 ROA327680:ROL327682 RXW327680:RYH327682 SHS327680:SID327682 SRO327680:SRZ327682 TBK327680:TBV327682 TLG327680:TLR327682 TVC327680:TVN327682 UEY327680:UFJ327682 UOU327680:UPF327682 UYQ327680:UZB327682 VIM327680:VIX327682 VSI327680:VST327682 WCE327680:WCP327682 WMA327680:WML327682 WVW327680:WWH327682 JK393216:JV393218 TG393216:TR393218 ADC393216:ADN393218 AMY393216:ANJ393218 AWU393216:AXF393218 BGQ393216:BHB393218 BQM393216:BQX393218 CAI393216:CAT393218 CKE393216:CKP393218 CUA393216:CUL393218 DDW393216:DEH393218 DNS393216:DOD393218 DXO393216:DXZ393218 EHK393216:EHV393218 ERG393216:ERR393218 FBC393216:FBN393218 FKY393216:FLJ393218 FUU393216:FVF393218 GEQ393216:GFB393218 GOM393216:GOX393218 GYI393216:GYT393218 HIE393216:HIP393218 HSA393216:HSL393218 IBW393216:ICH393218 ILS393216:IMD393218 IVO393216:IVZ393218 JFK393216:JFV393218 JPG393216:JPR393218 JZC393216:JZN393218 KIY393216:KJJ393218 KSU393216:KTF393218 LCQ393216:LDB393218 LMM393216:LMX393218 LWI393216:LWT393218 MGE393216:MGP393218 MQA393216:MQL393218 MZW393216:NAH393218 NJS393216:NKD393218 NTO393216:NTZ393218 ODK393216:ODV393218 ONG393216:ONR393218 OXC393216:OXN393218 PGY393216:PHJ393218 PQU393216:PRF393218 QAQ393216:QBB393218 QKM393216:QKX393218 QUI393216:QUT393218 REE393216:REP393218 ROA393216:ROL393218 RXW393216:RYH393218 SHS393216:SID393218 SRO393216:SRZ393218 TBK393216:TBV393218 TLG393216:TLR393218 TVC393216:TVN393218 UEY393216:UFJ393218 UOU393216:UPF393218 UYQ393216:UZB393218 VIM393216:VIX393218 VSI393216:VST393218 WCE393216:WCP393218 WMA393216:WML393218 WVW393216:WWH393218 JK458752:JV458754 TG458752:TR458754 ADC458752:ADN458754 AMY458752:ANJ458754 AWU458752:AXF458754 BGQ458752:BHB458754 BQM458752:BQX458754 CAI458752:CAT458754 CKE458752:CKP458754 CUA458752:CUL458754 DDW458752:DEH458754 DNS458752:DOD458754 DXO458752:DXZ458754 EHK458752:EHV458754 ERG458752:ERR458754 FBC458752:FBN458754 FKY458752:FLJ458754 FUU458752:FVF458754 GEQ458752:GFB458754 GOM458752:GOX458754 GYI458752:GYT458754 HIE458752:HIP458754 HSA458752:HSL458754 IBW458752:ICH458754 ILS458752:IMD458754 IVO458752:IVZ458754 JFK458752:JFV458754 JPG458752:JPR458754 JZC458752:JZN458754 KIY458752:KJJ458754 KSU458752:KTF458754 LCQ458752:LDB458754 LMM458752:LMX458754 LWI458752:LWT458754 MGE458752:MGP458754 MQA458752:MQL458754 MZW458752:NAH458754 NJS458752:NKD458754 NTO458752:NTZ458754 ODK458752:ODV458754 ONG458752:ONR458754 OXC458752:OXN458754 PGY458752:PHJ458754 PQU458752:PRF458754 QAQ458752:QBB458754 QKM458752:QKX458754 QUI458752:QUT458754 REE458752:REP458754 ROA458752:ROL458754 RXW458752:RYH458754 SHS458752:SID458754 SRO458752:SRZ458754 TBK458752:TBV458754 TLG458752:TLR458754 TVC458752:TVN458754 UEY458752:UFJ458754 UOU458752:UPF458754 UYQ458752:UZB458754 VIM458752:VIX458754 VSI458752:VST458754 WCE458752:WCP458754 WMA458752:WML458754 WVW458752:WWH458754 JK524288:JV524290 TG524288:TR524290 ADC524288:ADN524290 AMY524288:ANJ524290 AWU524288:AXF524290 BGQ524288:BHB524290 BQM524288:BQX524290 CAI524288:CAT524290 CKE524288:CKP524290 CUA524288:CUL524290 DDW524288:DEH524290 DNS524288:DOD524290 DXO524288:DXZ524290 EHK524288:EHV524290 ERG524288:ERR524290 FBC524288:FBN524290 FKY524288:FLJ524290 FUU524288:FVF524290 GEQ524288:GFB524290 GOM524288:GOX524290 GYI524288:GYT524290 HIE524288:HIP524290 HSA524288:HSL524290 IBW524288:ICH524290 ILS524288:IMD524290 IVO524288:IVZ524290 JFK524288:JFV524290 JPG524288:JPR524290 JZC524288:JZN524290 KIY524288:KJJ524290 KSU524288:KTF524290 LCQ524288:LDB524290 LMM524288:LMX524290 LWI524288:LWT524290 MGE524288:MGP524290 MQA524288:MQL524290 MZW524288:NAH524290 NJS524288:NKD524290 NTO524288:NTZ524290 ODK524288:ODV524290 ONG524288:ONR524290 OXC524288:OXN524290 PGY524288:PHJ524290 PQU524288:PRF524290 QAQ524288:QBB524290 QKM524288:QKX524290 QUI524288:QUT524290 REE524288:REP524290 ROA524288:ROL524290 RXW524288:RYH524290 SHS524288:SID524290 SRO524288:SRZ524290 TBK524288:TBV524290 TLG524288:TLR524290 TVC524288:TVN524290 UEY524288:UFJ524290 UOU524288:UPF524290 UYQ524288:UZB524290 VIM524288:VIX524290 VSI524288:VST524290 WCE524288:WCP524290 WMA524288:WML524290 WVW524288:WWH524290 JK589824:JV589826 TG589824:TR589826 ADC589824:ADN589826 AMY589824:ANJ589826 AWU589824:AXF589826 BGQ589824:BHB589826 BQM589824:BQX589826 CAI589824:CAT589826 CKE589824:CKP589826 CUA589824:CUL589826 DDW589824:DEH589826 DNS589824:DOD589826 DXO589824:DXZ589826 EHK589824:EHV589826 ERG589824:ERR589826 FBC589824:FBN589826 FKY589824:FLJ589826 FUU589824:FVF589826 GEQ589824:GFB589826 GOM589824:GOX589826 GYI589824:GYT589826 HIE589824:HIP589826 HSA589824:HSL589826 IBW589824:ICH589826 ILS589824:IMD589826 IVO589824:IVZ589826 JFK589824:JFV589826 JPG589824:JPR589826 JZC589824:JZN589826 KIY589824:KJJ589826 KSU589824:KTF589826 LCQ589824:LDB589826 LMM589824:LMX589826 LWI589824:LWT589826 MGE589824:MGP589826 MQA589824:MQL589826 MZW589824:NAH589826 NJS589824:NKD589826 NTO589824:NTZ589826 ODK589824:ODV589826 ONG589824:ONR589826 OXC589824:OXN589826 PGY589824:PHJ589826 PQU589824:PRF589826 QAQ589824:QBB589826 QKM589824:QKX589826 QUI589824:QUT589826 REE589824:REP589826 ROA589824:ROL589826 RXW589824:RYH589826 SHS589824:SID589826 SRO589824:SRZ589826 TBK589824:TBV589826 TLG589824:TLR589826 TVC589824:TVN589826 UEY589824:UFJ589826 UOU589824:UPF589826 UYQ589824:UZB589826 VIM589824:VIX589826 VSI589824:VST589826 WCE589824:WCP589826 WMA589824:WML589826 WVW589824:WWH589826 JK655360:JV655362 TG655360:TR655362 ADC655360:ADN655362 AMY655360:ANJ655362 AWU655360:AXF655362 BGQ655360:BHB655362 BQM655360:BQX655362 CAI655360:CAT655362 CKE655360:CKP655362 CUA655360:CUL655362 DDW655360:DEH655362 DNS655360:DOD655362 DXO655360:DXZ655362 EHK655360:EHV655362 ERG655360:ERR655362 FBC655360:FBN655362 FKY655360:FLJ655362 FUU655360:FVF655362 GEQ655360:GFB655362 GOM655360:GOX655362 GYI655360:GYT655362 HIE655360:HIP655362 HSA655360:HSL655362 IBW655360:ICH655362 ILS655360:IMD655362 IVO655360:IVZ655362 JFK655360:JFV655362 JPG655360:JPR655362 JZC655360:JZN655362 KIY655360:KJJ655362 KSU655360:KTF655362 LCQ655360:LDB655362 LMM655360:LMX655362 LWI655360:LWT655362 MGE655360:MGP655362 MQA655360:MQL655362 MZW655360:NAH655362 NJS655360:NKD655362 NTO655360:NTZ655362 ODK655360:ODV655362 ONG655360:ONR655362 OXC655360:OXN655362 PGY655360:PHJ655362 PQU655360:PRF655362 QAQ655360:QBB655362 QKM655360:QKX655362 QUI655360:QUT655362 REE655360:REP655362 ROA655360:ROL655362 RXW655360:RYH655362 SHS655360:SID655362 SRO655360:SRZ655362 TBK655360:TBV655362 TLG655360:TLR655362 TVC655360:TVN655362 UEY655360:UFJ655362 UOU655360:UPF655362 UYQ655360:UZB655362 VIM655360:VIX655362 VSI655360:VST655362 WCE655360:WCP655362 WMA655360:WML655362 WVW655360:WWH655362 JK720896:JV720898 TG720896:TR720898 ADC720896:ADN720898 AMY720896:ANJ720898 AWU720896:AXF720898 BGQ720896:BHB720898 BQM720896:BQX720898 CAI720896:CAT720898 CKE720896:CKP720898 CUA720896:CUL720898 DDW720896:DEH720898 DNS720896:DOD720898 DXO720896:DXZ720898 EHK720896:EHV720898 ERG720896:ERR720898 FBC720896:FBN720898 FKY720896:FLJ720898 FUU720896:FVF720898 GEQ720896:GFB720898 GOM720896:GOX720898 GYI720896:GYT720898 HIE720896:HIP720898 HSA720896:HSL720898 IBW720896:ICH720898 ILS720896:IMD720898 IVO720896:IVZ720898 JFK720896:JFV720898 JPG720896:JPR720898 JZC720896:JZN720898 KIY720896:KJJ720898 KSU720896:KTF720898 LCQ720896:LDB720898 LMM720896:LMX720898 LWI720896:LWT720898 MGE720896:MGP720898 MQA720896:MQL720898 MZW720896:NAH720898 NJS720896:NKD720898 NTO720896:NTZ720898 ODK720896:ODV720898 ONG720896:ONR720898 OXC720896:OXN720898 PGY720896:PHJ720898 PQU720896:PRF720898 QAQ720896:QBB720898 QKM720896:QKX720898 QUI720896:QUT720898 REE720896:REP720898 ROA720896:ROL720898 RXW720896:RYH720898 SHS720896:SID720898 SRO720896:SRZ720898 TBK720896:TBV720898 TLG720896:TLR720898 TVC720896:TVN720898 UEY720896:UFJ720898 UOU720896:UPF720898 UYQ720896:UZB720898 VIM720896:VIX720898 VSI720896:VST720898 WCE720896:WCP720898 WMA720896:WML720898 WVW720896:WWH720898 JK786432:JV786434 TG786432:TR786434 ADC786432:ADN786434 AMY786432:ANJ786434 AWU786432:AXF786434 BGQ786432:BHB786434 BQM786432:BQX786434 CAI786432:CAT786434 CKE786432:CKP786434 CUA786432:CUL786434 DDW786432:DEH786434 DNS786432:DOD786434 DXO786432:DXZ786434 EHK786432:EHV786434 ERG786432:ERR786434 FBC786432:FBN786434 FKY786432:FLJ786434 FUU786432:FVF786434 GEQ786432:GFB786434 GOM786432:GOX786434 GYI786432:GYT786434 HIE786432:HIP786434 HSA786432:HSL786434 IBW786432:ICH786434 ILS786432:IMD786434 IVO786432:IVZ786434 JFK786432:JFV786434 JPG786432:JPR786434 JZC786432:JZN786434 KIY786432:KJJ786434 KSU786432:KTF786434 LCQ786432:LDB786434 LMM786432:LMX786434 LWI786432:LWT786434 MGE786432:MGP786434 MQA786432:MQL786434 MZW786432:NAH786434 NJS786432:NKD786434 NTO786432:NTZ786434 ODK786432:ODV786434 ONG786432:ONR786434 OXC786432:OXN786434 PGY786432:PHJ786434 PQU786432:PRF786434 QAQ786432:QBB786434 QKM786432:QKX786434 QUI786432:QUT786434 REE786432:REP786434 ROA786432:ROL786434 RXW786432:RYH786434 SHS786432:SID786434 SRO786432:SRZ786434 TBK786432:TBV786434 TLG786432:TLR786434 TVC786432:TVN786434 UEY786432:UFJ786434 UOU786432:UPF786434 UYQ786432:UZB786434 VIM786432:VIX786434 VSI786432:VST786434 WCE786432:WCP786434 WMA786432:WML786434 WVW786432:WWH786434 JK851968:JV851970 TG851968:TR851970 ADC851968:ADN851970 AMY851968:ANJ851970 AWU851968:AXF851970 BGQ851968:BHB851970 BQM851968:BQX851970 CAI851968:CAT851970 CKE851968:CKP851970 CUA851968:CUL851970 DDW851968:DEH851970 DNS851968:DOD851970 DXO851968:DXZ851970 EHK851968:EHV851970 ERG851968:ERR851970 FBC851968:FBN851970 FKY851968:FLJ851970 FUU851968:FVF851970 GEQ851968:GFB851970 GOM851968:GOX851970 GYI851968:GYT851970 HIE851968:HIP851970 HSA851968:HSL851970 IBW851968:ICH851970 ILS851968:IMD851970 IVO851968:IVZ851970 JFK851968:JFV851970 JPG851968:JPR851970 JZC851968:JZN851970 KIY851968:KJJ851970 KSU851968:KTF851970 LCQ851968:LDB851970 LMM851968:LMX851970 LWI851968:LWT851970 MGE851968:MGP851970 MQA851968:MQL851970 MZW851968:NAH851970 NJS851968:NKD851970 NTO851968:NTZ851970 ODK851968:ODV851970 ONG851968:ONR851970 OXC851968:OXN851970 PGY851968:PHJ851970 PQU851968:PRF851970 QAQ851968:QBB851970 QKM851968:QKX851970 QUI851968:QUT851970 REE851968:REP851970 ROA851968:ROL851970 RXW851968:RYH851970 SHS851968:SID851970 SRO851968:SRZ851970 TBK851968:TBV851970 TLG851968:TLR851970 TVC851968:TVN851970 UEY851968:UFJ851970 UOU851968:UPF851970 UYQ851968:UZB851970 VIM851968:VIX851970 VSI851968:VST851970 WCE851968:WCP851970 WMA851968:WML851970 WVW851968:WWH851970 JK917504:JV917506 TG917504:TR917506 ADC917504:ADN917506 AMY917504:ANJ917506 AWU917504:AXF917506 BGQ917504:BHB917506 BQM917504:BQX917506 CAI917504:CAT917506 CKE917504:CKP917506 CUA917504:CUL917506 DDW917504:DEH917506 DNS917504:DOD917506 DXO917504:DXZ917506 EHK917504:EHV917506 ERG917504:ERR917506 FBC917504:FBN917506 FKY917504:FLJ917506 FUU917504:FVF917506 GEQ917504:GFB917506 GOM917504:GOX917506 GYI917504:GYT917506 HIE917504:HIP917506 HSA917504:HSL917506 IBW917504:ICH917506 ILS917504:IMD917506 IVO917504:IVZ917506 JFK917504:JFV917506 JPG917504:JPR917506 JZC917504:JZN917506 KIY917504:KJJ917506 KSU917504:KTF917506 LCQ917504:LDB917506 LMM917504:LMX917506 LWI917504:LWT917506 MGE917504:MGP917506 MQA917504:MQL917506 MZW917504:NAH917506 NJS917504:NKD917506 NTO917504:NTZ917506 ODK917504:ODV917506 ONG917504:ONR917506 OXC917504:OXN917506 PGY917504:PHJ917506 PQU917504:PRF917506 QAQ917504:QBB917506 QKM917504:QKX917506 QUI917504:QUT917506 REE917504:REP917506 ROA917504:ROL917506 RXW917504:RYH917506 SHS917504:SID917506 SRO917504:SRZ917506 TBK917504:TBV917506 TLG917504:TLR917506 TVC917504:TVN917506 UEY917504:UFJ917506 UOU917504:UPF917506 UYQ917504:UZB917506 VIM917504:VIX917506 VSI917504:VST917506 WCE917504:WCP917506 WMA917504:WML917506 WVW917504:WWH917506 JK983040:JV983042 TG983040:TR983042 ADC983040:ADN983042 AMY983040:ANJ983042 AWU983040:AXF983042 BGQ983040:BHB983042 BQM983040:BQX983042 CAI983040:CAT983042 CKE983040:CKP983042 CUA983040:CUL983042 DDW983040:DEH983042 DNS983040:DOD983042 DXO983040:DXZ983042 EHK983040:EHV983042 ERG983040:ERR983042 FBC983040:FBN983042 FKY983040:FLJ983042 FUU983040:FVF983042 GEQ983040:GFB983042 GOM983040:GOX983042 GYI983040:GYT983042 HIE983040:HIP983042 HSA983040:HSL983042 IBW983040:ICH983042 ILS983040:IMD983042 IVO983040:IVZ983042 JFK983040:JFV983042 JPG983040:JPR983042 JZC983040:JZN983042 KIY983040:KJJ983042 KSU983040:KTF983042 LCQ983040:LDB983042 LMM983040:LMX983042 LWI983040:LWT983042 MGE983040:MGP983042 MQA983040:MQL983042 MZW983040:NAH983042 NJS983040:NKD983042 NTO983040:NTZ983042 ODK983040:ODV983042 ONG983040:ONR983042 OXC983040:OXN983042 PGY983040:PHJ983042 PQU983040:PRF983042 QAQ983040:QBB983042 QKM983040:QKX983042 QUI983040:QUT983042 REE983040:REP983042 ROA983040:ROL983042 RXW983040:RYH983042 SHS983040:SID983042 SRO983040:SRZ983042 TBK983040:TBV983042 TLG983040:TLR983042 TVC983040:TVN983042 UEY983040:UFJ983042 UOU983040:UPF983042 UYQ983040:UZB983042 VIM983040:VIX983042 VSI983040:VST983042 WCE983040:WCP983042 WMA983040:WML983042 Z262139:AJ262141 Z196603:AJ196605 Z131067:AJ131069 Z65531:AJ65533 Z983040:AJ983042 Z917504:AJ917506 Z851968:AJ851970 Z786432:AJ786434 Z720896:AJ720898 Z655360:AJ655362 Z589824:AJ589826 Z524288:AJ524290 Z458752:AJ458754 Z393216:AJ393218 Z327680:AJ327682 Z262144:AJ262146 Z196608:AJ196610 Z131072:AJ131074 Z65536:AJ65538 Z983035:AJ983037 Z917499:AJ917501 Z851963:AJ851965 Z786427:AJ786429 Z720891:AJ720893 Z655355:AJ655357 Z589819:AJ589821 Z524283:AJ524285 Z458747:AJ458749 Z393211:AJ393213 Z327675:AJ327677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500-000000000000}"/>
    <dataValidation type="list" allowBlank="1" showInputMessage="1" showErrorMessage="1" sqref="AA23:AA60 AA21:AC22 AA8:AA20" xr:uid="{00000000-0002-0000-0500-000001000000}">
      <formula1>"datetime,int,numeric,varchar,nvarchar"</formula1>
    </dataValidation>
    <dataValidation type="list" allowBlank="1" showInputMessage="1" showErrorMessage="1" sqref="Y8:Z60" xr:uid="{00000000-0002-0000-05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BD87"/>
  <sheetViews>
    <sheetView showGridLines="0" topLeftCell="A28" zoomScaleNormal="100" zoomScaleSheetLayoutView="100" workbookViewId="0">
      <selection activeCell="K48" sqref="K48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発注明細情報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t_hatchu_meisai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1909</v>
      </c>
      <c r="C8" s="19"/>
      <c r="D8" s="19"/>
      <c r="E8" s="19"/>
      <c r="F8" s="19"/>
      <c r="G8" s="19"/>
      <c r="H8" s="22"/>
      <c r="I8" s="64" t="str">
        <f>VLOOKUP(B8,項目一覧2!A:B,2,FALSE)</f>
        <v>hatchu_no</v>
      </c>
      <c r="J8" s="21"/>
      <c r="K8" s="21"/>
      <c r="L8" s="21"/>
      <c r="M8" s="21"/>
      <c r="N8" s="21"/>
      <c r="O8" s="21"/>
      <c r="P8" s="21"/>
      <c r="Q8" s="32"/>
      <c r="R8" s="18" t="s">
        <v>159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1997</v>
      </c>
      <c r="C9" s="39"/>
      <c r="D9" s="39"/>
      <c r="E9" s="39"/>
      <c r="F9" s="39"/>
      <c r="G9" s="39"/>
      <c r="H9" s="40"/>
      <c r="I9" s="64" t="str">
        <f>VLOOKUP(B9,項目一覧2!A:B,2,FALSE)</f>
        <v>bunrui_cd</v>
      </c>
      <c r="J9" s="30"/>
      <c r="K9" s="30"/>
      <c r="L9" s="30"/>
      <c r="M9" s="30"/>
      <c r="N9" s="30"/>
      <c r="O9" s="30"/>
      <c r="P9" s="30"/>
      <c r="Q9" s="31"/>
      <c r="R9" s="41" t="s">
        <v>1997</v>
      </c>
      <c r="S9" s="21"/>
      <c r="T9" s="33"/>
      <c r="U9" s="21"/>
      <c r="V9" s="21"/>
      <c r="W9" s="21"/>
      <c r="X9" s="22"/>
      <c r="Y9" s="212" t="s">
        <v>1891</v>
      </c>
      <c r="Z9" s="213"/>
      <c r="AA9" s="214" t="s">
        <v>1892</v>
      </c>
      <c r="AB9" s="215"/>
      <c r="AC9" s="216"/>
      <c r="AD9" s="25">
        <v>30</v>
      </c>
      <c r="AE9" s="27"/>
      <c r="AF9" s="110">
        <v>2</v>
      </c>
      <c r="AG9" s="26" t="s">
        <v>123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1" t="s">
        <v>1569</v>
      </c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41" t="s">
        <v>210</v>
      </c>
      <c r="C10" s="39"/>
      <c r="D10" s="39"/>
      <c r="E10" s="39"/>
      <c r="F10" s="39"/>
      <c r="G10" s="39"/>
      <c r="H10" s="39"/>
      <c r="I10" s="64" t="str">
        <f>VLOOKUP(B10,項目一覧2!A:B,2,FALSE)</f>
        <v>meisai_seq</v>
      </c>
      <c r="J10" s="30"/>
      <c r="K10" s="30"/>
      <c r="L10" s="30"/>
      <c r="M10" s="30"/>
      <c r="N10" s="30"/>
      <c r="O10" s="30"/>
      <c r="P10" s="30"/>
      <c r="Q10" s="30"/>
      <c r="R10" s="41" t="s">
        <v>185</v>
      </c>
      <c r="S10" s="30"/>
      <c r="T10" s="30"/>
      <c r="U10" s="30"/>
      <c r="V10" s="30"/>
      <c r="W10" s="30"/>
      <c r="X10" s="30"/>
      <c r="Y10" s="212" t="s">
        <v>1901</v>
      </c>
      <c r="Z10" s="213"/>
      <c r="AA10" s="214" t="s">
        <v>1902</v>
      </c>
      <c r="AB10" s="215"/>
      <c r="AC10" s="216"/>
      <c r="AD10" s="25">
        <v>5</v>
      </c>
      <c r="AE10" s="27"/>
      <c r="AF10" s="27">
        <v>3</v>
      </c>
      <c r="AG10" s="26" t="s">
        <v>123</v>
      </c>
      <c r="AH10" s="27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18" t="s">
        <v>1818</v>
      </c>
      <c r="C11" s="19"/>
      <c r="D11" s="19"/>
      <c r="E11" s="19"/>
      <c r="F11" s="19"/>
      <c r="G11" s="19"/>
      <c r="H11" s="22"/>
      <c r="I11" s="64" t="str">
        <f>VLOOKUP(B11,項目一覧2!A:B,2,FALSE)</f>
        <v>setsubi_flg</v>
      </c>
      <c r="J11" s="33"/>
      <c r="K11" s="21"/>
      <c r="L11" s="21"/>
      <c r="M11" s="21"/>
      <c r="N11" s="21"/>
      <c r="O11" s="21"/>
      <c r="P11" s="21"/>
      <c r="Q11" s="32"/>
      <c r="R11" s="18" t="s">
        <v>216</v>
      </c>
      <c r="S11" s="21"/>
      <c r="T11" s="33"/>
      <c r="U11" s="21"/>
      <c r="V11" s="21"/>
      <c r="W11" s="21"/>
      <c r="X11" s="22"/>
      <c r="Y11" s="212" t="s">
        <v>1891</v>
      </c>
      <c r="Z11" s="213"/>
      <c r="AA11" s="214" t="s">
        <v>1892</v>
      </c>
      <c r="AB11" s="215"/>
      <c r="AC11" s="216"/>
      <c r="AD11" s="25">
        <v>1</v>
      </c>
      <c r="AE11" s="36" t="s">
        <v>1893</v>
      </c>
      <c r="AF11" s="36"/>
      <c r="AG11" s="26"/>
      <c r="AH11" s="36"/>
      <c r="AI11" s="36"/>
      <c r="AJ11" s="36"/>
      <c r="AK11" s="36"/>
      <c r="AL11" s="36"/>
      <c r="AM11" s="36"/>
      <c r="AN11" s="36"/>
      <c r="AO11" s="37"/>
      <c r="AP11" s="37"/>
      <c r="AQ11" s="37"/>
      <c r="AR11" s="37"/>
      <c r="AS11" s="38" t="s">
        <v>1973</v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145</v>
      </c>
      <c r="C12" s="19"/>
      <c r="D12" s="19"/>
      <c r="E12" s="19"/>
      <c r="F12" s="19"/>
      <c r="G12" s="19"/>
      <c r="H12" s="22"/>
      <c r="I12" s="64" t="str">
        <f>VLOOKUP(B12,項目一覧2!A:B,2,FALSE)</f>
        <v>shizai_seikyu_no</v>
      </c>
      <c r="J12" s="21"/>
      <c r="K12" s="21"/>
      <c r="L12" s="21"/>
      <c r="M12" s="21"/>
      <c r="N12" s="21"/>
      <c r="O12" s="21"/>
      <c r="P12" s="21"/>
      <c r="Q12" s="32"/>
      <c r="R12" s="18" t="s">
        <v>148</v>
      </c>
      <c r="S12" s="21"/>
      <c r="T12" s="21"/>
      <c r="U12" s="21"/>
      <c r="V12" s="21"/>
      <c r="W12" s="19"/>
      <c r="X12" s="22"/>
      <c r="Y12" s="212" t="s">
        <v>1891</v>
      </c>
      <c r="Z12" s="217"/>
      <c r="AA12" s="214" t="s">
        <v>1892</v>
      </c>
      <c r="AB12" s="215"/>
      <c r="AC12" s="216"/>
      <c r="AD12" s="25">
        <v>10</v>
      </c>
      <c r="AE12" s="26" t="s">
        <v>1893</v>
      </c>
      <c r="AF12" s="26"/>
      <c r="AG12" s="26"/>
      <c r="AH12" s="27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41" t="s">
        <v>179</v>
      </c>
      <c r="C13" s="39"/>
      <c r="D13" s="39"/>
      <c r="E13" s="39"/>
      <c r="F13" s="39"/>
      <c r="G13" s="39"/>
      <c r="H13" s="40"/>
      <c r="I13" s="64" t="str">
        <f>VLOOKUP(B13,項目一覧2!A:B,2,FALSE)</f>
        <v>shizai_meisai_seq</v>
      </c>
      <c r="J13" s="21"/>
      <c r="K13" s="30"/>
      <c r="L13" s="30"/>
      <c r="M13" s="30"/>
      <c r="N13" s="30"/>
      <c r="O13" s="30"/>
      <c r="P13" s="30"/>
      <c r="Q13" s="31"/>
      <c r="R13" s="41" t="s">
        <v>179</v>
      </c>
      <c r="S13" s="30"/>
      <c r="T13" s="30"/>
      <c r="U13" s="30"/>
      <c r="V13" s="30"/>
      <c r="W13" s="30"/>
      <c r="X13" s="30"/>
      <c r="Y13" s="212" t="s">
        <v>1901</v>
      </c>
      <c r="Z13" s="213"/>
      <c r="AA13" s="214" t="s">
        <v>1902</v>
      </c>
      <c r="AB13" s="215"/>
      <c r="AC13" s="216"/>
      <c r="AD13" s="25">
        <v>5</v>
      </c>
      <c r="AE13" s="27"/>
      <c r="AF13" s="27"/>
      <c r="AG13" s="26"/>
      <c r="AH13" s="27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41" t="s">
        <v>529</v>
      </c>
      <c r="C14" s="39"/>
      <c r="D14" s="39"/>
      <c r="E14" s="39"/>
      <c r="F14" s="39"/>
      <c r="G14" s="39"/>
      <c r="H14" s="40"/>
      <c r="I14" s="64" t="str">
        <f>VLOOKUP(B14,項目一覧2!A:B,2,FALSE)</f>
        <v>disp_order</v>
      </c>
      <c r="J14" s="21"/>
      <c r="K14" s="30"/>
      <c r="L14" s="30"/>
      <c r="M14" s="30"/>
      <c r="N14" s="30"/>
      <c r="O14" s="30"/>
      <c r="P14" s="30"/>
      <c r="Q14" s="31"/>
      <c r="R14" s="41" t="s">
        <v>222</v>
      </c>
      <c r="S14" s="30"/>
      <c r="T14" s="30"/>
      <c r="U14" s="30"/>
      <c r="V14" s="30"/>
      <c r="W14" s="30"/>
      <c r="X14" s="30"/>
      <c r="Y14" s="212" t="s">
        <v>1901</v>
      </c>
      <c r="Z14" s="213"/>
      <c r="AA14" s="214" t="s">
        <v>1902</v>
      </c>
      <c r="AB14" s="215"/>
      <c r="AC14" s="216"/>
      <c r="AD14" s="25">
        <v>3</v>
      </c>
      <c r="AE14" s="27"/>
      <c r="AF14" s="27"/>
      <c r="AG14" s="26" t="s">
        <v>123</v>
      </c>
      <c r="AH14" s="27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 t="s">
        <v>223</v>
      </c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1903</v>
      </c>
      <c r="C15" s="19"/>
      <c r="D15" s="19"/>
      <c r="E15" s="19"/>
      <c r="F15" s="19"/>
      <c r="G15" s="19"/>
      <c r="H15" s="22"/>
      <c r="I15" s="64" t="str">
        <f>VLOOKUP(B15,項目一覧2!A:B,2,FALSE)</f>
        <v>seihin_no</v>
      </c>
      <c r="J15" s="21"/>
      <c r="K15" s="21"/>
      <c r="L15" s="21"/>
      <c r="M15" s="21"/>
      <c r="N15" s="21"/>
      <c r="O15" s="21"/>
      <c r="P15" s="21"/>
      <c r="Q15" s="32"/>
      <c r="R15" s="18" t="s">
        <v>1560</v>
      </c>
      <c r="S15" s="21"/>
      <c r="T15" s="21"/>
      <c r="U15" s="21"/>
      <c r="V15" s="21"/>
      <c r="W15" s="21"/>
      <c r="X15" s="22"/>
      <c r="Y15" s="212" t="s">
        <v>1891</v>
      </c>
      <c r="Z15" s="213"/>
      <c r="AA15" s="214" t="s">
        <v>1892</v>
      </c>
      <c r="AB15" s="215"/>
      <c r="AC15" s="216"/>
      <c r="AD15" s="25">
        <v>5</v>
      </c>
      <c r="AE15" s="27"/>
      <c r="AF15" s="27"/>
      <c r="AG15" s="26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1904</v>
      </c>
      <c r="C16" s="19"/>
      <c r="D16" s="19"/>
      <c r="E16" s="19"/>
      <c r="F16" s="19"/>
      <c r="G16" s="19"/>
      <c r="H16" s="22"/>
      <c r="I16" s="64" t="str">
        <f>VLOOKUP(B16,項目一覧2!A:B,2,FALSE)</f>
        <v>hinshu_cd</v>
      </c>
      <c r="J16" s="21"/>
      <c r="K16" s="21"/>
      <c r="L16" s="21"/>
      <c r="M16" s="21"/>
      <c r="N16" s="21"/>
      <c r="O16" s="21"/>
      <c r="P16" s="21"/>
      <c r="Q16" s="32"/>
      <c r="R16" s="18" t="s">
        <v>156</v>
      </c>
      <c r="S16" s="21"/>
      <c r="T16" s="21"/>
      <c r="U16" s="21"/>
      <c r="V16" s="21"/>
      <c r="W16" s="21"/>
      <c r="X16" s="22"/>
      <c r="Y16" s="212" t="s">
        <v>1891</v>
      </c>
      <c r="Z16" s="213"/>
      <c r="AA16" s="214" t="s">
        <v>1892</v>
      </c>
      <c r="AB16" s="215"/>
      <c r="AC16" s="216"/>
      <c r="AD16" s="25">
        <v>20</v>
      </c>
      <c r="AE16" s="27"/>
      <c r="AF16" s="27"/>
      <c r="AG16" s="26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>
        <f>IF(B17="","",COUNTA($B$8:B17))</f>
        <v>10</v>
      </c>
      <c r="B17" s="18" t="s">
        <v>1905</v>
      </c>
      <c r="C17" s="19"/>
      <c r="D17" s="19"/>
      <c r="E17" s="19"/>
      <c r="F17" s="19"/>
      <c r="G17" s="19"/>
      <c r="H17" s="22"/>
      <c r="I17" s="64" t="str">
        <f>VLOOKUP(B17,項目一覧2!A:B,2,FALSE)</f>
        <v>hinmei</v>
      </c>
      <c r="J17" s="21"/>
      <c r="K17" s="21"/>
      <c r="L17" s="21"/>
      <c r="M17" s="21"/>
      <c r="N17" s="21"/>
      <c r="O17" s="21"/>
      <c r="P17" s="21"/>
      <c r="Q17" s="32"/>
      <c r="R17" s="18" t="s">
        <v>1561</v>
      </c>
      <c r="S17" s="21"/>
      <c r="T17" s="21"/>
      <c r="U17" s="21"/>
      <c r="V17" s="21"/>
      <c r="W17" s="21"/>
      <c r="X17" s="22"/>
      <c r="Y17" s="212" t="s">
        <v>1891</v>
      </c>
      <c r="Z17" s="213"/>
      <c r="AA17" s="214" t="s">
        <v>1892</v>
      </c>
      <c r="AB17" s="215"/>
      <c r="AC17" s="216"/>
      <c r="AD17" s="25">
        <v>30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18" t="s">
        <v>1956</v>
      </c>
      <c r="C18" s="19"/>
      <c r="D18" s="19"/>
      <c r="E18" s="19"/>
      <c r="F18" s="19"/>
      <c r="G18" s="19"/>
      <c r="H18" s="22"/>
      <c r="I18" s="64" t="str">
        <f>VLOOKUP(B18,項目一覧2!A:B,2,FALSE)</f>
        <v>shiire_hinmei</v>
      </c>
      <c r="J18" s="21"/>
      <c r="K18" s="21"/>
      <c r="L18" s="21"/>
      <c r="M18" s="21"/>
      <c r="N18" s="21"/>
      <c r="O18" s="21"/>
      <c r="P18" s="21"/>
      <c r="Q18" s="32"/>
      <c r="R18" s="18" t="s">
        <v>1956</v>
      </c>
      <c r="S18" s="21"/>
      <c r="T18" s="21"/>
      <c r="U18" s="21"/>
      <c r="V18" s="21"/>
      <c r="W18" s="21"/>
      <c r="X18" s="22"/>
      <c r="Y18" s="212" t="s">
        <v>56</v>
      </c>
      <c r="Z18" s="213"/>
      <c r="AA18" s="214" t="s">
        <v>1752</v>
      </c>
      <c r="AB18" s="215"/>
      <c r="AC18" s="216"/>
      <c r="AD18" s="25">
        <v>30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18" t="s">
        <v>1776</v>
      </c>
      <c r="C19" s="19"/>
      <c r="D19" s="19"/>
      <c r="E19" s="19"/>
      <c r="F19" s="19"/>
      <c r="G19" s="19"/>
      <c r="H19" s="22"/>
      <c r="I19" s="64" t="str">
        <f>VLOOKUP(B19,項目一覧2!A:B,2,FALSE)</f>
        <v>kibo_noki</v>
      </c>
      <c r="J19" s="33"/>
      <c r="K19" s="21"/>
      <c r="L19" s="21"/>
      <c r="M19" s="21"/>
      <c r="N19" s="21"/>
      <c r="O19" s="21"/>
      <c r="P19" s="21"/>
      <c r="Q19" s="32"/>
      <c r="R19" s="18" t="s">
        <v>133</v>
      </c>
      <c r="S19" s="21"/>
      <c r="T19" s="33"/>
      <c r="U19" s="21"/>
      <c r="V19" s="21"/>
      <c r="W19" s="21"/>
      <c r="X19" s="22"/>
      <c r="Y19" s="212" t="s">
        <v>1894</v>
      </c>
      <c r="Z19" s="213"/>
      <c r="AA19" s="214" t="s">
        <v>1895</v>
      </c>
      <c r="AB19" s="215"/>
      <c r="AC19" s="216"/>
      <c r="AD19" s="25"/>
      <c r="AE19" s="27"/>
      <c r="AF19" s="27"/>
      <c r="AG19" s="26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 t="s">
        <v>221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>
        <f>IF(B20="","",COUNTA($B$8:B20))</f>
        <v>13</v>
      </c>
      <c r="B20" s="18" t="s">
        <v>1777</v>
      </c>
      <c r="C20" s="19"/>
      <c r="D20" s="19"/>
      <c r="E20" s="19"/>
      <c r="F20" s="19"/>
      <c r="G20" s="19"/>
      <c r="H20" s="22"/>
      <c r="I20" s="64" t="str">
        <f>VLOOKUP(B20,項目一覧2!A:B,2,FALSE)</f>
        <v>saitan_noki_flg</v>
      </c>
      <c r="J20" s="33"/>
      <c r="K20" s="21"/>
      <c r="L20" s="21"/>
      <c r="M20" s="21"/>
      <c r="N20" s="21"/>
      <c r="O20" s="21"/>
      <c r="P20" s="21"/>
      <c r="Q20" s="32"/>
      <c r="R20" s="18" t="s">
        <v>219</v>
      </c>
      <c r="S20" s="21"/>
      <c r="T20" s="33"/>
      <c r="U20" s="21"/>
      <c r="V20" s="21"/>
      <c r="W20" s="21"/>
      <c r="X20" s="19"/>
      <c r="Y20" s="212" t="s">
        <v>56</v>
      </c>
      <c r="Z20" s="213"/>
      <c r="AA20" s="214" t="s">
        <v>1892</v>
      </c>
      <c r="AB20" s="215"/>
      <c r="AC20" s="216"/>
      <c r="AD20" s="66">
        <v>1</v>
      </c>
      <c r="AE20" s="27"/>
      <c r="AF20" s="27"/>
      <c r="AG20" s="26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 t="s">
        <v>220</v>
      </c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149" t="s">
        <v>2020</v>
      </c>
      <c r="C21" s="158"/>
      <c r="D21" s="158"/>
      <c r="E21" s="158"/>
      <c r="F21" s="19"/>
      <c r="G21" s="19"/>
      <c r="H21" s="22"/>
      <c r="I21" s="156" t="str">
        <f>VLOOKUP(B21,項目一覧2!A:B,2,FALSE)</f>
        <v>nonyuyotei_date</v>
      </c>
      <c r="J21" s="155"/>
      <c r="K21" s="157"/>
      <c r="L21" s="157"/>
      <c r="M21" s="157"/>
      <c r="N21" s="21"/>
      <c r="O21" s="21"/>
      <c r="P21" s="21"/>
      <c r="Q21" s="32"/>
      <c r="R21" s="18" t="s">
        <v>2020</v>
      </c>
      <c r="S21" s="21"/>
      <c r="T21" s="33"/>
      <c r="U21" s="21"/>
      <c r="V21" s="21"/>
      <c r="W21" s="21"/>
      <c r="X21" s="22"/>
      <c r="Y21" s="212" t="s">
        <v>1757</v>
      </c>
      <c r="Z21" s="213"/>
      <c r="AA21" s="214" t="s">
        <v>1758</v>
      </c>
      <c r="AB21" s="215"/>
      <c r="AC21" s="216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>
        <f>IF(B22="","",COUNTA($B$8:B22))</f>
        <v>15</v>
      </c>
      <c r="B22" s="151" t="s">
        <v>2037</v>
      </c>
      <c r="C22" s="152"/>
      <c r="D22" s="152"/>
      <c r="E22" s="152"/>
      <c r="F22" s="39"/>
      <c r="G22" s="39"/>
      <c r="H22" s="40"/>
      <c r="I22" s="64" t="str">
        <f>VLOOKUP(B22,項目一覧2!A:B,2,FALSE)</f>
        <v>nonyu_jotai_cd</v>
      </c>
      <c r="J22" s="30"/>
      <c r="K22" s="30"/>
      <c r="L22" s="30"/>
      <c r="M22" s="30"/>
      <c r="N22" s="30"/>
      <c r="O22" s="30"/>
      <c r="P22" s="30"/>
      <c r="Q22" s="31"/>
      <c r="R22" s="41" t="s">
        <v>189</v>
      </c>
      <c r="S22" s="30"/>
      <c r="T22" s="30"/>
      <c r="U22" s="30"/>
      <c r="V22" s="30"/>
      <c r="W22" s="30"/>
      <c r="X22" s="30"/>
      <c r="Y22" s="212" t="s">
        <v>56</v>
      </c>
      <c r="Z22" s="213"/>
      <c r="AA22" s="214" t="s">
        <v>1752</v>
      </c>
      <c r="AB22" s="215"/>
      <c r="AC22" s="216"/>
      <c r="AD22" s="25">
        <v>30</v>
      </c>
      <c r="AE22" s="27"/>
      <c r="AF22" s="27"/>
      <c r="AG22" s="26" t="s">
        <v>123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 t="s">
        <v>1992</v>
      </c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>
        <f>IF(B23="","",COUNTA($B$8:B23))</f>
        <v>16</v>
      </c>
      <c r="B23" s="18" t="s">
        <v>1822</v>
      </c>
      <c r="C23" s="19"/>
      <c r="D23" s="19"/>
      <c r="E23" s="19"/>
      <c r="F23" s="19"/>
      <c r="G23" s="19"/>
      <c r="H23" s="22"/>
      <c r="I23" s="64" t="str">
        <f>VLOOKUP(B23,項目一覧2!A:B,2,FALSE)</f>
        <v>hatchu_zan</v>
      </c>
      <c r="J23" s="33"/>
      <c r="K23" s="21"/>
      <c r="L23" s="21"/>
      <c r="M23" s="21"/>
      <c r="N23" s="21"/>
      <c r="O23" s="21"/>
      <c r="P23" s="21"/>
      <c r="Q23" s="32"/>
      <c r="R23" s="18" t="s">
        <v>235</v>
      </c>
      <c r="S23" s="21"/>
      <c r="T23" s="33"/>
      <c r="U23" s="21"/>
      <c r="V23" s="21"/>
      <c r="W23" s="21"/>
      <c r="X23" s="19"/>
      <c r="Y23" s="212" t="s">
        <v>56</v>
      </c>
      <c r="Z23" s="213"/>
      <c r="AA23" s="214" t="s">
        <v>1771</v>
      </c>
      <c r="AB23" s="215"/>
      <c r="AC23" s="216"/>
      <c r="AD23" s="62">
        <v>7</v>
      </c>
      <c r="AE23" s="27"/>
      <c r="AF23" s="27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 t="s">
        <v>236</v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>
        <f>IF(B24="","",COUNTA($B$8:B24))</f>
        <v>17</v>
      </c>
      <c r="B24" s="23" t="s">
        <v>1772</v>
      </c>
      <c r="C24" s="39"/>
      <c r="D24" s="39"/>
      <c r="E24" s="39"/>
      <c r="F24" s="39"/>
      <c r="G24" s="39"/>
      <c r="H24" s="40"/>
      <c r="I24" s="64" t="str">
        <f>VLOOKUP(B24,項目一覧2!A:B,2,FALSE)</f>
        <v>nonyusaki_cd</v>
      </c>
      <c r="J24" s="30"/>
      <c r="K24" s="30"/>
      <c r="L24" s="30"/>
      <c r="M24" s="30"/>
      <c r="N24" s="30"/>
      <c r="O24" s="30"/>
      <c r="P24" s="30"/>
      <c r="Q24" s="31"/>
      <c r="R24" s="23" t="s">
        <v>131</v>
      </c>
      <c r="S24" s="30"/>
      <c r="T24" s="30"/>
      <c r="U24" s="30"/>
      <c r="V24" s="30"/>
      <c r="W24" s="30"/>
      <c r="X24" s="30"/>
      <c r="Y24" s="212" t="s">
        <v>1891</v>
      </c>
      <c r="Z24" s="217"/>
      <c r="AA24" s="214" t="s">
        <v>1892</v>
      </c>
      <c r="AB24" s="215"/>
      <c r="AC24" s="216"/>
      <c r="AD24" s="62">
        <v>3</v>
      </c>
      <c r="AE24" s="27"/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60"/>
    </row>
    <row r="25" spans="1:56" ht="15" customHeight="1" x14ac:dyDescent="0.3">
      <c r="A25" s="44">
        <f>IF(B25="","",COUNTA($B$8:B25))</f>
        <v>18</v>
      </c>
      <c r="B25" s="23" t="s">
        <v>1774</v>
      </c>
      <c r="C25" s="19"/>
      <c r="D25" s="19"/>
      <c r="E25" s="19"/>
      <c r="F25" s="19"/>
      <c r="G25" s="19"/>
      <c r="H25" s="22"/>
      <c r="I25" s="64" t="str">
        <f>VLOOKUP(B25,項目一覧2!A:B,2,FALSE)</f>
        <v>nounyusaki_nm</v>
      </c>
      <c r="J25" s="33"/>
      <c r="K25" s="21"/>
      <c r="L25" s="21"/>
      <c r="M25" s="21"/>
      <c r="N25" s="21"/>
      <c r="O25" s="21"/>
      <c r="P25" s="21"/>
      <c r="Q25" s="32"/>
      <c r="R25" s="23" t="s">
        <v>132</v>
      </c>
      <c r="S25" s="21"/>
      <c r="T25" s="33"/>
      <c r="U25" s="21"/>
      <c r="V25" s="21"/>
      <c r="W25" s="21"/>
      <c r="X25" s="22"/>
      <c r="Y25" s="212" t="s">
        <v>1891</v>
      </c>
      <c r="Z25" s="213"/>
      <c r="AA25" s="214" t="s">
        <v>1892</v>
      </c>
      <c r="AB25" s="215"/>
      <c r="AC25" s="216"/>
      <c r="AD25" s="25">
        <v>30</v>
      </c>
      <c r="AE25" s="27"/>
      <c r="AF25" s="27"/>
      <c r="AG25" s="26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>
        <f>IF(B26="","",COUNTA($B$8:B26))</f>
        <v>19</v>
      </c>
      <c r="B26" s="41" t="s">
        <v>198</v>
      </c>
      <c r="C26" s="39"/>
      <c r="D26" s="39"/>
      <c r="E26" s="39"/>
      <c r="F26" s="39"/>
      <c r="G26" s="39"/>
      <c r="H26" s="40"/>
      <c r="I26" s="64" t="str">
        <f>VLOOKUP(B26,項目一覧2!A:B,2,FALSE)</f>
        <v>kosu</v>
      </c>
      <c r="J26" s="30"/>
      <c r="K26" s="30"/>
      <c r="L26" s="30"/>
      <c r="M26" s="30"/>
      <c r="N26" s="30"/>
      <c r="O26" s="30"/>
      <c r="P26" s="30"/>
      <c r="Q26" s="31"/>
      <c r="R26" s="41" t="s">
        <v>164</v>
      </c>
      <c r="S26" s="30"/>
      <c r="T26" s="30"/>
      <c r="U26" s="30"/>
      <c r="V26" s="30"/>
      <c r="W26" s="30"/>
      <c r="X26" s="30"/>
      <c r="Y26" s="212" t="s">
        <v>1891</v>
      </c>
      <c r="Z26" s="213"/>
      <c r="AA26" s="214" t="s">
        <v>1902</v>
      </c>
      <c r="AB26" s="215"/>
      <c r="AC26" s="216"/>
      <c r="AD26" s="62">
        <v>3</v>
      </c>
      <c r="AE26" s="27"/>
      <c r="AF26" s="27"/>
      <c r="AG26" s="26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 t="s">
        <v>2021</v>
      </c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>
        <f>IF(B27="","",COUNTA($B$8:B27))</f>
        <v>20</v>
      </c>
      <c r="B27" s="41" t="s">
        <v>1823</v>
      </c>
      <c r="C27" s="39"/>
      <c r="D27" s="39"/>
      <c r="E27" s="39"/>
      <c r="F27" s="39"/>
      <c r="G27" s="39"/>
      <c r="H27" s="40"/>
      <c r="I27" s="64" t="str">
        <f>VLOOKUP(B27,項目一覧2!A:B,2,FALSE)</f>
        <v>yoki</v>
      </c>
      <c r="J27" s="30"/>
      <c r="K27" s="30"/>
      <c r="L27" s="30"/>
      <c r="M27" s="30"/>
      <c r="N27" s="30"/>
      <c r="O27" s="30"/>
      <c r="P27" s="30"/>
      <c r="Q27" s="31"/>
      <c r="R27" s="41" t="s">
        <v>165</v>
      </c>
      <c r="S27" s="30"/>
      <c r="T27" s="30"/>
      <c r="U27" s="30"/>
      <c r="V27" s="30"/>
      <c r="W27" s="30"/>
      <c r="X27" s="30"/>
      <c r="Y27" s="212" t="s">
        <v>1891</v>
      </c>
      <c r="Z27" s="213"/>
      <c r="AA27" s="214" t="s">
        <v>107</v>
      </c>
      <c r="AB27" s="215"/>
      <c r="AC27" s="216"/>
      <c r="AD27" s="105">
        <v>5</v>
      </c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>
        <f>IF(B28="","",COUNTA($B$8:B28))</f>
        <v>21</v>
      </c>
      <c r="B28" s="41" t="s">
        <v>1824</v>
      </c>
      <c r="C28" s="39"/>
      <c r="D28" s="39"/>
      <c r="E28" s="39"/>
      <c r="F28" s="39"/>
      <c r="G28" s="39"/>
      <c r="H28" s="40"/>
      <c r="I28" s="64" t="str">
        <f>VLOOKUP(B28,項目一覧2!A:B,2,FALSE)</f>
        <v>yoryo_kg</v>
      </c>
      <c r="J28" s="30"/>
      <c r="K28" s="30"/>
      <c r="L28" s="30"/>
      <c r="M28" s="30"/>
      <c r="N28" s="30"/>
      <c r="O28" s="30"/>
      <c r="P28" s="30"/>
      <c r="Q28" s="31"/>
      <c r="R28" s="41" t="s">
        <v>166</v>
      </c>
      <c r="S28" s="30"/>
      <c r="T28" s="30"/>
      <c r="U28" s="30"/>
      <c r="V28" s="30"/>
      <c r="W28" s="30"/>
      <c r="X28" s="30"/>
      <c r="Y28" s="212" t="s">
        <v>1891</v>
      </c>
      <c r="Z28" s="213"/>
      <c r="AA28" s="214" t="s">
        <v>1902</v>
      </c>
      <c r="AB28" s="215"/>
      <c r="AC28" s="216"/>
      <c r="AD28" s="62">
        <v>5</v>
      </c>
      <c r="AE28" s="27"/>
      <c r="AF28" s="27"/>
      <c r="AG28" s="26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>
        <f>IF(B29="","",COUNTA($B$8:B29))</f>
        <v>22</v>
      </c>
      <c r="B29" s="41" t="s">
        <v>1789</v>
      </c>
      <c r="C29" s="39"/>
      <c r="D29" s="39"/>
      <c r="E29" s="39"/>
      <c r="F29" s="39"/>
      <c r="G29" s="39"/>
      <c r="H29" s="40"/>
      <c r="I29" s="64" t="str">
        <f>VLOOKUP(B29,項目一覧2!A:B,2,FALSE)</f>
        <v>suryo</v>
      </c>
      <c r="J29" s="30"/>
      <c r="K29" s="30"/>
      <c r="L29" s="30"/>
      <c r="M29" s="30"/>
      <c r="N29" s="30"/>
      <c r="O29" s="30"/>
      <c r="P29" s="30"/>
      <c r="Q29" s="31"/>
      <c r="R29" s="41" t="s">
        <v>112</v>
      </c>
      <c r="S29" s="30"/>
      <c r="T29" s="30"/>
      <c r="U29" s="30"/>
      <c r="V29" s="30"/>
      <c r="W29" s="30"/>
      <c r="X29" s="30"/>
      <c r="Y29" s="212" t="s">
        <v>1901</v>
      </c>
      <c r="Z29" s="213"/>
      <c r="AA29" s="214" t="s">
        <v>1902</v>
      </c>
      <c r="AB29" s="215"/>
      <c r="AC29" s="216"/>
      <c r="AD29" s="62">
        <v>7</v>
      </c>
      <c r="AE29" s="27"/>
      <c r="AF29" s="27"/>
      <c r="AG29" s="26" t="s">
        <v>123</v>
      </c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 t="s">
        <v>1959</v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>
        <f>IF(B30="","",COUNTA($B$8:B30))</f>
        <v>23</v>
      </c>
      <c r="B30" s="151" t="s">
        <v>1825</v>
      </c>
      <c r="C30" s="152"/>
      <c r="D30" s="152"/>
      <c r="E30" s="152"/>
      <c r="F30" s="152"/>
      <c r="G30" s="39"/>
      <c r="H30" s="40"/>
      <c r="I30" s="156" t="str">
        <f>VLOOKUP(B30,項目一覧2!A:B,2,FALSE)</f>
        <v>qty_unit_cd</v>
      </c>
      <c r="J30" s="153"/>
      <c r="K30" s="153"/>
      <c r="L30" s="153"/>
      <c r="M30" s="30"/>
      <c r="N30" s="30"/>
      <c r="O30" s="30"/>
      <c r="P30" s="30"/>
      <c r="Q30" s="31"/>
      <c r="R30" s="41" t="s">
        <v>167</v>
      </c>
      <c r="S30" s="30"/>
      <c r="T30" s="30"/>
      <c r="U30" s="30"/>
      <c r="V30" s="30"/>
      <c r="W30" s="30"/>
      <c r="X30" s="30"/>
      <c r="Y30" s="212" t="s">
        <v>1891</v>
      </c>
      <c r="Z30" s="213"/>
      <c r="AA30" s="214" t="s">
        <v>1892</v>
      </c>
      <c r="AB30" s="215"/>
      <c r="AC30" s="216"/>
      <c r="AD30" s="25">
        <v>4</v>
      </c>
      <c r="AE30" s="27"/>
      <c r="AF30" s="27"/>
      <c r="AG30" s="26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>
        <f>IF(B31="","",COUNTA($B$8:B31))</f>
        <v>24</v>
      </c>
      <c r="B31" s="41" t="s">
        <v>1826</v>
      </c>
      <c r="C31" s="39"/>
      <c r="D31" s="39"/>
      <c r="E31" s="39"/>
      <c r="F31" s="39"/>
      <c r="G31" s="39"/>
      <c r="H31" s="40"/>
      <c r="I31" s="64" t="str">
        <f>VLOOKUP(B31,項目一覧2!A:B,2,FALSE)</f>
        <v>unit_price</v>
      </c>
      <c r="J31" s="30"/>
      <c r="K31" s="30"/>
      <c r="L31" s="30"/>
      <c r="M31" s="30"/>
      <c r="N31" s="30"/>
      <c r="O31" s="30"/>
      <c r="P31" s="30"/>
      <c r="Q31" s="31"/>
      <c r="R31" s="41" t="s">
        <v>168</v>
      </c>
      <c r="S31" s="30"/>
      <c r="T31" s="30"/>
      <c r="U31" s="30"/>
      <c r="V31" s="30"/>
      <c r="W31" s="30"/>
      <c r="X31" s="30"/>
      <c r="Y31" s="212" t="s">
        <v>1901</v>
      </c>
      <c r="Z31" s="217"/>
      <c r="AA31" s="214" t="s">
        <v>1902</v>
      </c>
      <c r="AB31" s="215"/>
      <c r="AC31" s="216"/>
      <c r="AD31" s="62">
        <v>9</v>
      </c>
      <c r="AE31" s="27">
        <v>2</v>
      </c>
      <c r="AF31" s="27"/>
      <c r="AG31" s="26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>
        <f>IF(B32="","",COUNTA($B$8:B32))</f>
        <v>25</v>
      </c>
      <c r="B32" s="151" t="s">
        <v>2035</v>
      </c>
      <c r="C32" s="152"/>
      <c r="D32" s="152"/>
      <c r="E32" s="152"/>
      <c r="F32" s="152"/>
      <c r="G32" s="39"/>
      <c r="H32" s="40"/>
      <c r="I32" s="156" t="str">
        <f>VLOOKUP(B32,項目一覧2!A:B,2,FALSE)</f>
        <v>unit_price_unit_cd</v>
      </c>
      <c r="J32" s="153"/>
      <c r="K32" s="153"/>
      <c r="L32" s="153"/>
      <c r="M32" s="153"/>
      <c r="N32" s="153"/>
      <c r="O32" s="30"/>
      <c r="P32" s="30"/>
      <c r="Q32" s="31"/>
      <c r="R32" s="41" t="s">
        <v>2034</v>
      </c>
      <c r="S32" s="30"/>
      <c r="T32" s="30"/>
      <c r="U32" s="30"/>
      <c r="V32" s="30"/>
      <c r="W32" s="30"/>
      <c r="X32" s="30"/>
      <c r="Y32" s="212" t="s">
        <v>1891</v>
      </c>
      <c r="Z32" s="213"/>
      <c r="AA32" s="56" t="s">
        <v>1892</v>
      </c>
      <c r="AB32" s="106"/>
      <c r="AC32" s="107"/>
      <c r="AD32" s="108">
        <v>2</v>
      </c>
      <c r="AE32" s="27"/>
      <c r="AF32" s="27"/>
      <c r="AG32" s="2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 t="s">
        <v>240</v>
      </c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>
        <f>IF(B33="","",COUNTA($B$8:B33))</f>
        <v>26</v>
      </c>
      <c r="B33" s="18" t="s">
        <v>1821</v>
      </c>
      <c r="C33" s="19"/>
      <c r="D33" s="19"/>
      <c r="E33" s="19"/>
      <c r="F33" s="19"/>
      <c r="G33" s="19"/>
      <c r="H33" s="22"/>
      <c r="I33" s="64" t="str">
        <f>VLOOKUP(B33,項目一覧2!A:B,2,FALSE)</f>
        <v>hatchu_zenryo_flg</v>
      </c>
      <c r="J33" s="33"/>
      <c r="K33" s="21"/>
      <c r="L33" s="21"/>
      <c r="M33" s="21"/>
      <c r="N33" s="21"/>
      <c r="O33" s="21"/>
      <c r="P33" s="21"/>
      <c r="Q33" s="32"/>
      <c r="R33" s="18" t="s">
        <v>226</v>
      </c>
      <c r="S33" s="21"/>
      <c r="T33" s="33"/>
      <c r="U33" s="21"/>
      <c r="V33" s="21"/>
      <c r="W33" s="21"/>
      <c r="X33" s="19"/>
      <c r="Y33" s="212" t="s">
        <v>56</v>
      </c>
      <c r="Z33" s="213"/>
      <c r="AA33" s="214" t="s">
        <v>1892</v>
      </c>
      <c r="AB33" s="215"/>
      <c r="AC33" s="216"/>
      <c r="AD33" s="109">
        <v>1</v>
      </c>
      <c r="AE33" s="27"/>
      <c r="AF33" s="27"/>
      <c r="AG33" s="26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 t="s">
        <v>234</v>
      </c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>
        <f>IF(B34="","",COUNTA($B$8:B34))</f>
        <v>27</v>
      </c>
      <c r="B34" s="41" t="s">
        <v>492</v>
      </c>
      <c r="C34" s="39"/>
      <c r="D34" s="39"/>
      <c r="E34" s="39"/>
      <c r="F34" s="39"/>
      <c r="G34" s="39"/>
      <c r="H34" s="40"/>
      <c r="I34" s="64" t="str">
        <f>VLOOKUP(B34,項目一覧2!A:B,2,FALSE)</f>
        <v>currency_cd</v>
      </c>
      <c r="J34" s="30"/>
      <c r="K34" s="30"/>
      <c r="L34" s="30"/>
      <c r="M34" s="30"/>
      <c r="N34" s="30"/>
      <c r="O34" s="30"/>
      <c r="P34" s="30"/>
      <c r="Q34" s="31"/>
      <c r="R34" s="41" t="s">
        <v>1567</v>
      </c>
      <c r="S34" s="30"/>
      <c r="T34" s="30"/>
      <c r="U34" s="30"/>
      <c r="V34" s="30"/>
      <c r="W34" s="30"/>
      <c r="X34" s="30"/>
      <c r="Y34" s="212" t="s">
        <v>1891</v>
      </c>
      <c r="Z34" s="213"/>
      <c r="AA34" s="214" t="s">
        <v>1892</v>
      </c>
      <c r="AB34" s="215"/>
      <c r="AC34" s="216"/>
      <c r="AD34" s="25">
        <v>4</v>
      </c>
      <c r="AE34" s="27"/>
      <c r="AF34" s="27"/>
      <c r="AG34" s="26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 t="s">
        <v>1958</v>
      </c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>
        <f>IF(B35="","",COUNTA($B$8:B35))</f>
        <v>28</v>
      </c>
      <c r="B35" s="41" t="s">
        <v>1783</v>
      </c>
      <c r="C35" s="39"/>
      <c r="D35" s="39"/>
      <c r="E35" s="39"/>
      <c r="F35" s="39"/>
      <c r="G35" s="39"/>
      <c r="H35" s="40"/>
      <c r="I35" s="64" t="str">
        <f>VLOOKUP(B35,項目一覧2!A:B,2,FALSE)</f>
        <v>sumpo</v>
      </c>
      <c r="J35" s="30"/>
      <c r="K35" s="30"/>
      <c r="L35" s="30"/>
      <c r="M35" s="30"/>
      <c r="N35" s="30"/>
      <c r="O35" s="30"/>
      <c r="P35" s="30"/>
      <c r="Q35" s="31"/>
      <c r="R35" s="41" t="s">
        <v>135</v>
      </c>
      <c r="S35" s="30"/>
      <c r="T35" s="30"/>
      <c r="U35" s="30"/>
      <c r="V35" s="30"/>
      <c r="W35" s="30"/>
      <c r="X35" s="30"/>
      <c r="Y35" s="212" t="s">
        <v>1770</v>
      </c>
      <c r="Z35" s="213"/>
      <c r="AA35" s="214" t="s">
        <v>1771</v>
      </c>
      <c r="AB35" s="215"/>
      <c r="AC35" s="216"/>
      <c r="AD35" s="25">
        <v>5</v>
      </c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>
        <f>IF(B36="","",COUNTA($B$8:B36))</f>
        <v>29</v>
      </c>
      <c r="B36" s="41" t="s">
        <v>1784</v>
      </c>
      <c r="C36" s="39"/>
      <c r="D36" s="39"/>
      <c r="E36" s="39"/>
      <c r="F36" s="39"/>
      <c r="G36" s="39"/>
      <c r="H36" s="40"/>
      <c r="I36" s="64" t="str">
        <f>VLOOKUP(B36,項目一覧2!A:B,2,FALSE)</f>
        <v>chodori_group</v>
      </c>
      <c r="J36" s="30"/>
      <c r="K36" s="30"/>
      <c r="L36" s="30"/>
      <c r="M36" s="30"/>
      <c r="N36" s="30"/>
      <c r="O36" s="30"/>
      <c r="P36" s="30"/>
      <c r="Q36" s="31"/>
      <c r="R36" s="41" t="s">
        <v>169</v>
      </c>
      <c r="S36" s="30"/>
      <c r="T36" s="30"/>
      <c r="U36" s="30"/>
      <c r="V36" s="30"/>
      <c r="W36" s="30"/>
      <c r="X36" s="30"/>
      <c r="Y36" s="212" t="s">
        <v>56</v>
      </c>
      <c r="Z36" s="213"/>
      <c r="AA36" s="214" t="s">
        <v>1752</v>
      </c>
      <c r="AB36" s="215"/>
      <c r="AC36" s="216"/>
      <c r="AD36" s="25">
        <v>3</v>
      </c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>
        <f>IF(B37="","",COUNTA($B$8:B37))</f>
        <v>30</v>
      </c>
      <c r="B37" s="41" t="s">
        <v>1785</v>
      </c>
      <c r="C37" s="39"/>
      <c r="D37" s="39"/>
      <c r="E37" s="39"/>
      <c r="F37" s="39"/>
      <c r="G37" s="39"/>
      <c r="H37" s="40"/>
      <c r="I37" s="64" t="str">
        <f>VLOOKUP(B37,項目一覧2!A:B,2,FALSE)</f>
        <v xml:space="preserve">spec </v>
      </c>
      <c r="J37" s="30"/>
      <c r="K37" s="30"/>
      <c r="L37" s="30"/>
      <c r="M37" s="30"/>
      <c r="N37" s="30"/>
      <c r="O37" s="30"/>
      <c r="P37" s="30"/>
      <c r="Q37" s="31"/>
      <c r="R37" s="41" t="s">
        <v>136</v>
      </c>
      <c r="S37" s="30"/>
      <c r="T37" s="30"/>
      <c r="U37" s="30"/>
      <c r="V37" s="30"/>
      <c r="W37" s="30"/>
      <c r="X37" s="30"/>
      <c r="Y37" s="212" t="s">
        <v>56</v>
      </c>
      <c r="Z37" s="213"/>
      <c r="AA37" s="214" t="s">
        <v>1752</v>
      </c>
      <c r="AB37" s="215"/>
      <c r="AC37" s="216"/>
      <c r="AD37" s="25">
        <v>30</v>
      </c>
      <c r="AE37" s="27"/>
      <c r="AF37" s="27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 t="s">
        <v>1958</v>
      </c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>
        <f>IF(B38="","",COUNTA($B$8:B38))</f>
        <v>31</v>
      </c>
      <c r="B38" s="41" t="s">
        <v>1912</v>
      </c>
      <c r="C38" s="39"/>
      <c r="D38" s="39"/>
      <c r="E38" s="39"/>
      <c r="F38" s="39"/>
      <c r="G38" s="39"/>
      <c r="H38" s="39"/>
      <c r="I38" s="64" t="str">
        <f>VLOOKUP(B38,項目一覧2!A:B,2,FALSE)</f>
        <v>paper_weight</v>
      </c>
      <c r="J38" s="30"/>
      <c r="K38" s="30"/>
      <c r="L38" s="30"/>
      <c r="M38" s="30"/>
      <c r="N38" s="30"/>
      <c r="O38" s="30"/>
      <c r="P38" s="30"/>
      <c r="Q38" s="30"/>
      <c r="R38" s="41" t="s">
        <v>170</v>
      </c>
      <c r="S38" s="39"/>
      <c r="T38" s="39"/>
      <c r="U38" s="39"/>
      <c r="V38" s="39"/>
      <c r="W38" s="39"/>
      <c r="X38" s="39"/>
      <c r="Y38" s="212" t="s">
        <v>1901</v>
      </c>
      <c r="Z38" s="217"/>
      <c r="AA38" s="214" t="s">
        <v>1902</v>
      </c>
      <c r="AB38" s="215"/>
      <c r="AC38" s="216"/>
      <c r="AD38" s="62">
        <v>5</v>
      </c>
      <c r="AE38" s="27">
        <v>2</v>
      </c>
      <c r="AF38" s="26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 t="s">
        <v>1958</v>
      </c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>
        <f>IF(B39="","",COUNTA($B$8:B39))</f>
        <v>32</v>
      </c>
      <c r="B39" s="41" t="s">
        <v>1913</v>
      </c>
      <c r="C39" s="39"/>
      <c r="D39" s="39"/>
      <c r="E39" s="39"/>
      <c r="F39" s="39"/>
      <c r="G39" s="39"/>
      <c r="H39" s="39"/>
      <c r="I39" s="64" t="str">
        <f>VLOOKUP(B39,項目一覧2!A:B,2,FALSE)</f>
        <v>width</v>
      </c>
      <c r="J39" s="30"/>
      <c r="K39" s="30"/>
      <c r="L39" s="30"/>
      <c r="M39" s="30"/>
      <c r="N39" s="30"/>
      <c r="O39" s="30"/>
      <c r="P39" s="30"/>
      <c r="Q39" s="30"/>
      <c r="R39" s="41" t="s">
        <v>171</v>
      </c>
      <c r="S39" s="39"/>
      <c r="T39" s="39"/>
      <c r="U39" s="39"/>
      <c r="V39" s="39"/>
      <c r="W39" s="39"/>
      <c r="X39" s="39"/>
      <c r="Y39" s="212" t="s">
        <v>1901</v>
      </c>
      <c r="Z39" s="217"/>
      <c r="AA39" s="214" t="s">
        <v>1902</v>
      </c>
      <c r="AB39" s="215"/>
      <c r="AC39" s="216"/>
      <c r="AD39" s="62">
        <v>5</v>
      </c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 t="s">
        <v>1958</v>
      </c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>
        <f>IF(B40="","",COUNTA($B$8:B40))</f>
        <v>33</v>
      </c>
      <c r="B40" s="41" t="s">
        <v>1914</v>
      </c>
      <c r="C40" s="39"/>
      <c r="D40" s="39"/>
      <c r="E40" s="39"/>
      <c r="F40" s="39"/>
      <c r="G40" s="39"/>
      <c r="H40" s="39"/>
      <c r="I40" s="64" t="str">
        <f>VLOOKUP(B40,項目一覧2!A:B,2,FALSE)</f>
        <v>length</v>
      </c>
      <c r="J40" s="30"/>
      <c r="K40" s="30"/>
      <c r="L40" s="30"/>
      <c r="M40" s="30"/>
      <c r="N40" s="30"/>
      <c r="O40" s="30"/>
      <c r="P40" s="30"/>
      <c r="Q40" s="30"/>
      <c r="R40" s="41" t="s">
        <v>172</v>
      </c>
      <c r="S40" s="39"/>
      <c r="T40" s="39"/>
      <c r="U40" s="39"/>
      <c r="V40" s="39"/>
      <c r="W40" s="39"/>
      <c r="X40" s="39"/>
      <c r="Y40" s="212" t="s">
        <v>1901</v>
      </c>
      <c r="Z40" s="217"/>
      <c r="AA40" s="214" t="s">
        <v>1902</v>
      </c>
      <c r="AB40" s="215"/>
      <c r="AC40" s="216"/>
      <c r="AD40" s="62">
        <v>5</v>
      </c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 t="s">
        <v>1958</v>
      </c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>
        <f>IF(B41="","",COUNTA($B$8:B41))</f>
        <v>34</v>
      </c>
      <c r="B41" s="41" t="s">
        <v>1915</v>
      </c>
      <c r="C41" s="39"/>
      <c r="D41" s="39"/>
      <c r="E41" s="39"/>
      <c r="F41" s="39"/>
      <c r="G41" s="39"/>
      <c r="H41" s="39"/>
      <c r="I41" s="64" t="str">
        <f>VLOOKUP(B41,項目一覧2!A:B,2,FALSE)</f>
        <v>renryo</v>
      </c>
      <c r="J41" s="30"/>
      <c r="K41" s="30"/>
      <c r="L41" s="30"/>
      <c r="M41" s="30"/>
      <c r="N41" s="30"/>
      <c r="O41" s="30"/>
      <c r="P41" s="30"/>
      <c r="Q41" s="30"/>
      <c r="R41" s="41" t="s">
        <v>173</v>
      </c>
      <c r="S41" s="39"/>
      <c r="T41" s="39"/>
      <c r="U41" s="39"/>
      <c r="V41" s="39"/>
      <c r="W41" s="39"/>
      <c r="X41" s="39"/>
      <c r="Y41" s="212" t="s">
        <v>1901</v>
      </c>
      <c r="Z41" s="217"/>
      <c r="AA41" s="214" t="s">
        <v>1902</v>
      </c>
      <c r="AB41" s="215"/>
      <c r="AC41" s="216"/>
      <c r="AD41" s="62">
        <v>7</v>
      </c>
      <c r="AE41" s="27">
        <v>2</v>
      </c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 t="s">
        <v>1958</v>
      </c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>
        <f>IF(B42="","",COUNTA($B$8:B42))</f>
        <v>35</v>
      </c>
      <c r="B42" s="29" t="s">
        <v>1835</v>
      </c>
      <c r="C42" s="39"/>
      <c r="D42" s="39"/>
      <c r="E42" s="39"/>
      <c r="F42" s="39"/>
      <c r="G42" s="39"/>
      <c r="H42" s="40"/>
      <c r="I42" s="64" t="str">
        <f>VLOOKUP(B42,項目一覧2!A:B,2,FALSE)</f>
        <v>irisu</v>
      </c>
      <c r="J42" s="21"/>
      <c r="K42" s="30"/>
      <c r="L42" s="30"/>
      <c r="M42" s="30"/>
      <c r="N42" s="30"/>
      <c r="O42" s="30"/>
      <c r="P42" s="30"/>
      <c r="Q42" s="31"/>
      <c r="R42" s="29" t="s">
        <v>174</v>
      </c>
      <c r="S42" s="30"/>
      <c r="T42" s="30"/>
      <c r="U42" s="30"/>
      <c r="V42" s="30"/>
      <c r="W42" s="30"/>
      <c r="X42" s="30"/>
      <c r="Y42" s="212" t="s">
        <v>1901</v>
      </c>
      <c r="Z42" s="217"/>
      <c r="AA42" s="214" t="s">
        <v>1902</v>
      </c>
      <c r="AB42" s="215"/>
      <c r="AC42" s="216"/>
      <c r="AD42" s="62">
        <v>5</v>
      </c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 t="s">
        <v>1958</v>
      </c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>
        <f>IF(B43="","",COUNTA($B$8:B43))</f>
        <v>36</v>
      </c>
      <c r="B43" s="151" t="s">
        <v>2038</v>
      </c>
      <c r="C43" s="152"/>
      <c r="D43" s="152"/>
      <c r="E43" s="152"/>
      <c r="F43" s="39"/>
      <c r="G43" s="39"/>
      <c r="H43" s="40"/>
      <c r="I43" s="156" t="str">
        <f>VLOOKUP(B43,項目一覧2!A:B,2,FALSE)</f>
        <v>kosu_unit_cd</v>
      </c>
      <c r="J43" s="153"/>
      <c r="K43" s="153"/>
      <c r="L43" s="153"/>
      <c r="M43" s="153"/>
      <c r="N43" s="30"/>
      <c r="O43" s="30"/>
      <c r="P43" s="30"/>
      <c r="Q43" s="31"/>
      <c r="R43" s="41" t="s">
        <v>2038</v>
      </c>
      <c r="S43" s="30"/>
      <c r="T43" s="30"/>
      <c r="U43" s="30"/>
      <c r="V43" s="30"/>
      <c r="W43" s="30"/>
      <c r="X43" s="30"/>
      <c r="Y43" s="212" t="s">
        <v>56</v>
      </c>
      <c r="Z43" s="213"/>
      <c r="AA43" s="56" t="s">
        <v>107</v>
      </c>
      <c r="AB43" s="106"/>
      <c r="AC43" s="107"/>
      <c r="AD43" s="108">
        <v>2</v>
      </c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1" t="s">
        <v>1958</v>
      </c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>
        <f>IF(B44="","",COUNTA($B$8:B44))</f>
        <v>37</v>
      </c>
      <c r="B44" s="41" t="s">
        <v>1979</v>
      </c>
      <c r="C44" s="39"/>
      <c r="D44" s="39"/>
      <c r="E44" s="39"/>
      <c r="F44" s="39"/>
      <c r="G44" s="39"/>
      <c r="H44" s="40"/>
      <c r="I44" s="64" t="str">
        <f>VLOOKUP(B44,項目一覧2!A:B,2,FALSE)</f>
        <v>juryo</v>
      </c>
      <c r="J44" s="30"/>
      <c r="K44" s="30"/>
      <c r="L44" s="30"/>
      <c r="M44" s="30"/>
      <c r="N44" s="30"/>
      <c r="O44" s="30"/>
      <c r="P44" s="30"/>
      <c r="Q44" s="31"/>
      <c r="R44" s="41" t="s">
        <v>1979</v>
      </c>
      <c r="S44" s="30"/>
      <c r="T44" s="30"/>
      <c r="U44" s="30"/>
      <c r="V44" s="30"/>
      <c r="W44" s="30"/>
      <c r="X44" s="30"/>
      <c r="Y44" s="212" t="s">
        <v>1770</v>
      </c>
      <c r="Z44" s="213"/>
      <c r="AA44" s="214" t="s">
        <v>1771</v>
      </c>
      <c r="AB44" s="215"/>
      <c r="AC44" s="216"/>
      <c r="AD44" s="62">
        <v>11</v>
      </c>
      <c r="AE44" s="27">
        <v>2</v>
      </c>
      <c r="AF44" s="27"/>
      <c r="AG44" s="26" t="s">
        <v>123</v>
      </c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1" t="s">
        <v>1959</v>
      </c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>
        <f>IF(B45="","",COUNTA($B$8:B45))</f>
        <v>38</v>
      </c>
      <c r="B45" s="41" t="s">
        <v>1840</v>
      </c>
      <c r="C45" s="39"/>
      <c r="D45" s="39"/>
      <c r="E45" s="39"/>
      <c r="F45" s="39"/>
      <c r="G45" s="39"/>
      <c r="H45" s="40"/>
      <c r="I45" s="64" t="str">
        <f>VLOOKUP(B45,項目一覧2!A:B,2,FALSE)</f>
        <v>amount</v>
      </c>
      <c r="J45" s="30"/>
      <c r="K45" s="30"/>
      <c r="L45" s="30"/>
      <c r="M45" s="30"/>
      <c r="N45" s="30"/>
      <c r="O45" s="30"/>
      <c r="P45" s="30"/>
      <c r="Q45" s="31"/>
      <c r="R45" s="41" t="s">
        <v>1568</v>
      </c>
      <c r="S45" s="30"/>
      <c r="T45" s="30"/>
      <c r="U45" s="30"/>
      <c r="V45" s="30"/>
      <c r="W45" s="30"/>
      <c r="X45" s="30"/>
      <c r="Y45" s="212" t="s">
        <v>1770</v>
      </c>
      <c r="Z45" s="213"/>
      <c r="AA45" s="214" t="s">
        <v>1771</v>
      </c>
      <c r="AB45" s="215"/>
      <c r="AC45" s="216"/>
      <c r="AD45" s="25">
        <v>9</v>
      </c>
      <c r="AE45" s="27">
        <v>2</v>
      </c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>
        <f>IF(B46="","",COUNTA($B$8:B46))</f>
        <v>39</v>
      </c>
      <c r="B46" s="41" t="s">
        <v>1791</v>
      </c>
      <c r="C46" s="19"/>
      <c r="D46" s="19"/>
      <c r="E46" s="19"/>
      <c r="F46" s="19"/>
      <c r="G46" s="19"/>
      <c r="H46" s="22"/>
      <c r="I46" s="64" t="str">
        <f>VLOOKUP(B46,項目一覧2!A:B,2,FALSE)</f>
        <v>biko</v>
      </c>
      <c r="J46" s="33"/>
      <c r="K46" s="21"/>
      <c r="L46" s="21"/>
      <c r="M46" s="21"/>
      <c r="N46" s="21"/>
      <c r="O46" s="21"/>
      <c r="P46" s="21"/>
      <c r="Q46" s="32"/>
      <c r="R46" s="41" t="s">
        <v>111</v>
      </c>
      <c r="S46" s="21"/>
      <c r="T46" s="33"/>
      <c r="U46" s="21"/>
      <c r="V46" s="21"/>
      <c r="W46" s="21"/>
      <c r="X46" s="22"/>
      <c r="Y46" s="212" t="s">
        <v>1891</v>
      </c>
      <c r="Z46" s="213"/>
      <c r="AA46" s="214" t="s">
        <v>1892</v>
      </c>
      <c r="AB46" s="215"/>
      <c r="AC46" s="216"/>
      <c r="AD46" s="25">
        <v>80</v>
      </c>
      <c r="AE46" s="26" t="s">
        <v>1893</v>
      </c>
      <c r="AF46" s="26"/>
      <c r="AG46" s="26"/>
      <c r="AH46" s="26"/>
      <c r="AI46" s="26"/>
      <c r="AJ46" s="26"/>
      <c r="AK46" s="26"/>
      <c r="AL46" s="26"/>
      <c r="AM46" s="26"/>
      <c r="AN46" s="26"/>
      <c r="AO46" s="27"/>
      <c r="AP46" s="27"/>
      <c r="AQ46" s="27"/>
      <c r="AR46" s="27"/>
      <c r="AS46" s="29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>
        <f>IF(B47="","",COUNTA($B$8:B47))</f>
        <v>40</v>
      </c>
      <c r="B47" s="41" t="s">
        <v>1793</v>
      </c>
      <c r="C47" s="19"/>
      <c r="D47" s="19"/>
      <c r="E47" s="19"/>
      <c r="F47" s="19"/>
      <c r="G47" s="19"/>
      <c r="H47" s="22"/>
      <c r="I47" s="64" t="str">
        <f>VLOOKUP(B47,項目一覧2!A:B,2,FALSE)</f>
        <v>renraku_jiko</v>
      </c>
      <c r="J47" s="33"/>
      <c r="K47" s="21"/>
      <c r="L47" s="21"/>
      <c r="M47" s="21"/>
      <c r="N47" s="21"/>
      <c r="O47" s="21"/>
      <c r="P47" s="21"/>
      <c r="Q47" s="32"/>
      <c r="R47" s="41" t="s">
        <v>137</v>
      </c>
      <c r="S47" s="21"/>
      <c r="T47" s="33"/>
      <c r="U47" s="21"/>
      <c r="V47" s="21"/>
      <c r="W47" s="21"/>
      <c r="X47" s="22"/>
      <c r="Y47" s="212" t="s">
        <v>1891</v>
      </c>
      <c r="Z47" s="213"/>
      <c r="AA47" s="214" t="s">
        <v>1892</v>
      </c>
      <c r="AB47" s="215"/>
      <c r="AC47" s="216"/>
      <c r="AD47" s="25">
        <v>50</v>
      </c>
      <c r="AE47" s="36" t="s">
        <v>1893</v>
      </c>
      <c r="AF47" s="36"/>
      <c r="AG47" s="36"/>
      <c r="AH47" s="36"/>
      <c r="AI47" s="3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>
        <f>IF(B48="","",COUNTA($B$8:B48))</f>
        <v>41</v>
      </c>
      <c r="B48" s="41" t="s">
        <v>1968</v>
      </c>
      <c r="C48" s="19"/>
      <c r="D48" s="19"/>
      <c r="E48" s="19"/>
      <c r="F48" s="19"/>
      <c r="G48" s="19"/>
      <c r="H48" s="22"/>
      <c r="I48" s="64" t="str">
        <f>VLOOKUP(B48,項目一覧2!A:B,2,FALSE)</f>
        <v>shiharai_jyoken</v>
      </c>
      <c r="J48" s="33"/>
      <c r="K48" s="21"/>
      <c r="L48" s="21"/>
      <c r="M48" s="21"/>
      <c r="N48" s="21"/>
      <c r="O48" s="21"/>
      <c r="P48" s="21"/>
      <c r="Q48" s="32"/>
      <c r="R48" s="41" t="s">
        <v>1968</v>
      </c>
      <c r="S48" s="21"/>
      <c r="T48" s="33"/>
      <c r="U48" s="21"/>
      <c r="V48" s="21"/>
      <c r="W48" s="21"/>
      <c r="X48" s="19"/>
      <c r="Y48" s="212" t="s">
        <v>56</v>
      </c>
      <c r="Z48" s="213"/>
      <c r="AA48" s="214" t="s">
        <v>1752</v>
      </c>
      <c r="AB48" s="215"/>
      <c r="AC48" s="216"/>
      <c r="AD48" s="25">
        <v>100</v>
      </c>
      <c r="AE48" s="36"/>
      <c r="AF48" s="36"/>
      <c r="AG48" s="36"/>
      <c r="AH48" s="36"/>
      <c r="AI48" s="36"/>
      <c r="AJ48" s="26"/>
      <c r="AK48" s="26"/>
      <c r="AL48" s="26"/>
      <c r="AM48" s="26"/>
      <c r="AN48" s="26"/>
      <c r="AO48" s="27"/>
      <c r="AP48" s="27"/>
      <c r="AQ48" s="27"/>
      <c r="AR48" s="27"/>
      <c r="AS48" s="29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>
        <f>IF(B49="","",COUNTA($B$8:B49))</f>
        <v>42</v>
      </c>
      <c r="B49" s="41" t="s">
        <v>1753</v>
      </c>
      <c r="C49" s="39"/>
      <c r="D49" s="39"/>
      <c r="E49" s="39"/>
      <c r="F49" s="39"/>
      <c r="G49" s="39"/>
      <c r="H49" s="40"/>
      <c r="I49" s="64" t="str">
        <f>VLOOKUP(B49,項目一覧2!A:B,2,FALSE)</f>
        <v>seikyu_busho_cd</v>
      </c>
      <c r="J49" s="21"/>
      <c r="K49" s="30"/>
      <c r="L49" s="30"/>
      <c r="M49" s="30"/>
      <c r="N49" s="30"/>
      <c r="O49" s="30"/>
      <c r="P49" s="30"/>
      <c r="Q49" s="31"/>
      <c r="R49" s="41" t="s">
        <v>125</v>
      </c>
      <c r="S49" s="30"/>
      <c r="T49" s="30"/>
      <c r="U49" s="30"/>
      <c r="V49" s="30"/>
      <c r="W49" s="30"/>
      <c r="X49" s="30"/>
      <c r="Y49" s="212" t="s">
        <v>1891</v>
      </c>
      <c r="Z49" s="217"/>
      <c r="AA49" s="214" t="s">
        <v>1892</v>
      </c>
      <c r="AB49" s="215"/>
      <c r="AC49" s="216"/>
      <c r="AD49" s="62">
        <v>4</v>
      </c>
      <c r="AE49" s="27"/>
      <c r="AF49" s="27"/>
      <c r="AG49" s="26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1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>
        <f>IF(B50="","",COUNTA($B$8:B50))</f>
        <v>43</v>
      </c>
      <c r="B50" s="41" t="s">
        <v>1754</v>
      </c>
      <c r="C50" s="39"/>
      <c r="D50" s="39"/>
      <c r="E50" s="39"/>
      <c r="F50" s="39"/>
      <c r="G50" s="39"/>
      <c r="H50" s="40"/>
      <c r="I50" s="64" t="str">
        <f>VLOOKUP(B50,項目一覧2!A:B,2,FALSE)</f>
        <v>seikyu_kotei_cd</v>
      </c>
      <c r="J50" s="21"/>
      <c r="K50" s="30"/>
      <c r="L50" s="30"/>
      <c r="M50" s="30"/>
      <c r="N50" s="30"/>
      <c r="O50" s="30"/>
      <c r="P50" s="30"/>
      <c r="Q50" s="31"/>
      <c r="R50" s="18" t="s">
        <v>178</v>
      </c>
      <c r="S50" s="21"/>
      <c r="T50" s="21"/>
      <c r="U50" s="21"/>
      <c r="V50" s="21"/>
      <c r="W50" s="21"/>
      <c r="X50" s="22"/>
      <c r="Y50" s="212" t="s">
        <v>56</v>
      </c>
      <c r="Z50" s="213"/>
      <c r="AA50" s="214" t="s">
        <v>1892</v>
      </c>
      <c r="AB50" s="215"/>
      <c r="AC50" s="216"/>
      <c r="AD50" s="25">
        <v>4</v>
      </c>
      <c r="AE50" s="27"/>
      <c r="AF50" s="27"/>
      <c r="AG50" s="26"/>
      <c r="AH50" s="27"/>
      <c r="AI50" s="2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  <row r="51" spans="1:56" ht="15" customHeight="1" x14ac:dyDescent="0.3">
      <c r="A51" s="44">
        <f>IF(B51="","",COUNTA($B$8:B51))</f>
        <v>44</v>
      </c>
      <c r="B51" s="18" t="s">
        <v>1755</v>
      </c>
      <c r="C51" s="19"/>
      <c r="D51" s="19"/>
      <c r="E51" s="19"/>
      <c r="F51" s="19"/>
      <c r="G51" s="19"/>
      <c r="H51" s="22"/>
      <c r="I51" s="64" t="str">
        <f>VLOOKUP(B51,項目一覧2!A:B,2,FALSE)</f>
        <v>seikyu_tantosya_nm</v>
      </c>
      <c r="J51" s="21"/>
      <c r="K51" s="21"/>
      <c r="L51" s="21"/>
      <c r="M51" s="21"/>
      <c r="N51" s="21"/>
      <c r="O51" s="21"/>
      <c r="P51" s="21"/>
      <c r="Q51" s="32"/>
      <c r="R51" s="18" t="s">
        <v>126</v>
      </c>
      <c r="S51" s="21"/>
      <c r="T51" s="21"/>
      <c r="U51" s="21"/>
      <c r="V51" s="21"/>
      <c r="W51" s="19"/>
      <c r="X51" s="22"/>
      <c r="Y51" s="212" t="s">
        <v>1891</v>
      </c>
      <c r="Z51" s="217"/>
      <c r="AA51" s="214" t="s">
        <v>1892</v>
      </c>
      <c r="AB51" s="215"/>
      <c r="AC51" s="216"/>
      <c r="AD51" s="25">
        <v>20</v>
      </c>
      <c r="AE51" s="26" t="s">
        <v>1893</v>
      </c>
      <c r="AF51" s="26"/>
      <c r="AG51" s="26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41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8"/>
    </row>
    <row r="52" spans="1:56" ht="15" customHeight="1" x14ac:dyDescent="0.3">
      <c r="A52" s="44">
        <f>IF(B52="","",COUNTA($B$8:B52))</f>
        <v>45</v>
      </c>
      <c r="B52" s="41" t="s">
        <v>2025</v>
      </c>
      <c r="C52" s="39"/>
      <c r="D52" s="39"/>
      <c r="E52" s="39"/>
      <c r="F52" s="39"/>
      <c r="G52" s="39"/>
      <c r="H52" s="40"/>
      <c r="I52" s="64" t="str">
        <f>VLOOKUP(B52,項目一覧2!A:B,2,FALSE)</f>
        <v>henko_komoku_cd</v>
      </c>
      <c r="J52" s="30"/>
      <c r="K52" s="30"/>
      <c r="L52" s="30"/>
      <c r="M52" s="30"/>
      <c r="N52" s="30"/>
      <c r="O52" s="30"/>
      <c r="P52" s="30"/>
      <c r="Q52" s="31"/>
      <c r="R52" s="41" t="s">
        <v>2026</v>
      </c>
      <c r="S52" s="30"/>
      <c r="T52" s="30"/>
      <c r="U52" s="30"/>
      <c r="V52" s="30"/>
      <c r="W52" s="30"/>
      <c r="X52" s="30"/>
      <c r="Y52" s="212" t="s">
        <v>1891</v>
      </c>
      <c r="Z52" s="213"/>
      <c r="AA52" s="214" t="s">
        <v>1892</v>
      </c>
      <c r="AB52" s="215"/>
      <c r="AC52" s="216"/>
      <c r="AD52" s="25">
        <v>30</v>
      </c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41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>
        <f>IF(B53="","",COUNTA($B$8:B53))</f>
        <v>46</v>
      </c>
      <c r="B53" s="41" t="s">
        <v>1797</v>
      </c>
      <c r="C53" s="39"/>
      <c r="D53" s="39"/>
      <c r="E53" s="39"/>
      <c r="F53" s="39"/>
      <c r="G53" s="39"/>
      <c r="H53" s="40"/>
      <c r="I53" s="64" t="str">
        <f>VLOOKUP(B53,項目一覧2!A:B,2,FALSE)</f>
        <v>henko_naiyo</v>
      </c>
      <c r="J53" s="30"/>
      <c r="K53" s="30"/>
      <c r="L53" s="30"/>
      <c r="M53" s="30"/>
      <c r="N53" s="30"/>
      <c r="O53" s="30"/>
      <c r="P53" s="30"/>
      <c r="Q53" s="31"/>
      <c r="R53" s="41" t="s">
        <v>1797</v>
      </c>
      <c r="S53" s="30"/>
      <c r="T53" s="30"/>
      <c r="U53" s="30"/>
      <c r="V53" s="30"/>
      <c r="W53" s="30"/>
      <c r="X53" s="30"/>
      <c r="Y53" s="212" t="s">
        <v>1891</v>
      </c>
      <c r="Z53" s="213"/>
      <c r="AA53" s="214" t="s">
        <v>1892</v>
      </c>
      <c r="AB53" s="215"/>
      <c r="AC53" s="216"/>
      <c r="AD53" s="25">
        <v>100</v>
      </c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41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>
        <f>IF(B54="","",COUNTA($B$8:B54))</f>
        <v>47</v>
      </c>
      <c r="B54" s="41" t="s">
        <v>1798</v>
      </c>
      <c r="C54" s="39"/>
      <c r="D54" s="39"/>
      <c r="E54" s="39"/>
      <c r="F54" s="39"/>
      <c r="G54" s="39"/>
      <c r="H54" s="40"/>
      <c r="I54" s="64" t="str">
        <f>VLOOKUP(B54,項目一覧2!A:B,2,FALSE)</f>
        <v>henko_flg</v>
      </c>
      <c r="J54" s="30"/>
      <c r="K54" s="30"/>
      <c r="L54" s="30"/>
      <c r="M54" s="30"/>
      <c r="N54" s="30"/>
      <c r="O54" s="30"/>
      <c r="P54" s="30"/>
      <c r="Q54" s="31"/>
      <c r="R54" s="41" t="s">
        <v>175</v>
      </c>
      <c r="S54" s="30"/>
      <c r="T54" s="30"/>
      <c r="U54" s="30"/>
      <c r="V54" s="30"/>
      <c r="W54" s="30"/>
      <c r="X54" s="30"/>
      <c r="Y54" s="212" t="s">
        <v>1891</v>
      </c>
      <c r="Z54" s="213"/>
      <c r="AA54" s="214" t="s">
        <v>1892</v>
      </c>
      <c r="AB54" s="215"/>
      <c r="AC54" s="216"/>
      <c r="AD54" s="25">
        <v>1</v>
      </c>
      <c r="AE54" s="36" t="s">
        <v>1893</v>
      </c>
      <c r="AF54" s="36"/>
      <c r="AG54" s="26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41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  <row r="55" spans="1:56" ht="15" customHeight="1" x14ac:dyDescent="0.3">
      <c r="A55" s="44">
        <f>IF(B55="","",COUNTA($B$8:B55))</f>
        <v>48</v>
      </c>
      <c r="B55" s="18" t="s">
        <v>1940</v>
      </c>
      <c r="C55" s="19"/>
      <c r="D55" s="19"/>
      <c r="E55" s="19"/>
      <c r="F55" s="19"/>
      <c r="G55" s="19"/>
      <c r="H55" s="22"/>
      <c r="I55" s="64" t="str">
        <f>VLOOKUP(B55,項目一覧2!A:B,2,FALSE)</f>
        <v>after_kibo_noki</v>
      </c>
      <c r="J55" s="33"/>
      <c r="K55" s="21"/>
      <c r="L55" s="21"/>
      <c r="M55" s="21"/>
      <c r="N55" s="21"/>
      <c r="O55" s="21"/>
      <c r="P55" s="21"/>
      <c r="Q55" s="32"/>
      <c r="R55" s="18" t="s">
        <v>176</v>
      </c>
      <c r="S55" s="21"/>
      <c r="T55" s="33"/>
      <c r="U55" s="21"/>
      <c r="V55" s="21"/>
      <c r="W55" s="21"/>
      <c r="X55" s="22"/>
      <c r="Y55" s="212" t="s">
        <v>1757</v>
      </c>
      <c r="Z55" s="213"/>
      <c r="AA55" s="214" t="s">
        <v>1758</v>
      </c>
      <c r="AB55" s="215"/>
      <c r="AC55" s="216"/>
      <c r="AD55" s="25"/>
      <c r="AE55" s="27"/>
      <c r="AF55" s="27"/>
      <c r="AG55" s="26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41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58"/>
    </row>
    <row r="56" spans="1:56" ht="15" customHeight="1" x14ac:dyDescent="0.3">
      <c r="A56" s="44">
        <f>IF(B56="","",COUNTA($B$8:B56))</f>
        <v>49</v>
      </c>
      <c r="B56" s="41" t="s">
        <v>1941</v>
      </c>
      <c r="C56" s="39"/>
      <c r="D56" s="39"/>
      <c r="E56" s="39"/>
      <c r="F56" s="39"/>
      <c r="G56" s="39"/>
      <c r="H56" s="40"/>
      <c r="I56" s="64" t="str">
        <f>VLOOKUP(B56,項目一覧2!A:B,2,FALSE)</f>
        <v>after_qty</v>
      </c>
      <c r="J56" s="30"/>
      <c r="K56" s="30"/>
      <c r="L56" s="30"/>
      <c r="M56" s="30"/>
      <c r="N56" s="30"/>
      <c r="O56" s="30"/>
      <c r="P56" s="30"/>
      <c r="Q56" s="31"/>
      <c r="R56" s="41" t="s">
        <v>112</v>
      </c>
      <c r="S56" s="30"/>
      <c r="T56" s="30"/>
      <c r="U56" s="30"/>
      <c r="V56" s="30"/>
      <c r="W56" s="30"/>
      <c r="X56" s="30"/>
      <c r="Y56" s="212" t="s">
        <v>56</v>
      </c>
      <c r="Z56" s="213"/>
      <c r="AA56" s="214" t="s">
        <v>1771</v>
      </c>
      <c r="AB56" s="215"/>
      <c r="AC56" s="216"/>
      <c r="AD56" s="62">
        <v>5</v>
      </c>
      <c r="AE56" s="27"/>
      <c r="AF56" s="27"/>
      <c r="AG56" s="26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41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58"/>
    </row>
    <row r="57" spans="1:56" ht="15" customHeight="1" x14ac:dyDescent="0.3">
      <c r="A57" s="44">
        <f>IF(B57="","",COUNTA($B$8:B57))</f>
        <v>50</v>
      </c>
      <c r="B57" s="41" t="s">
        <v>1942</v>
      </c>
      <c r="C57" s="39"/>
      <c r="D57" s="39"/>
      <c r="E57" s="39"/>
      <c r="F57" s="39"/>
      <c r="G57" s="39"/>
      <c r="H57" s="40"/>
      <c r="I57" s="64" t="str">
        <f>VLOOKUP(B57,項目一覧2!A:B,2,FALSE)</f>
        <v>after_qty_unit</v>
      </c>
      <c r="J57" s="30"/>
      <c r="K57" s="30"/>
      <c r="L57" s="30"/>
      <c r="M57" s="30"/>
      <c r="N57" s="30"/>
      <c r="O57" s="30"/>
      <c r="P57" s="30"/>
      <c r="Q57" s="31"/>
      <c r="R57" s="41" t="s">
        <v>167</v>
      </c>
      <c r="S57" s="30"/>
      <c r="T57" s="30"/>
      <c r="U57" s="30"/>
      <c r="V57" s="30"/>
      <c r="W57" s="30"/>
      <c r="X57" s="30"/>
      <c r="Y57" s="212" t="s">
        <v>56</v>
      </c>
      <c r="Z57" s="213"/>
      <c r="AA57" s="214" t="s">
        <v>1752</v>
      </c>
      <c r="AB57" s="215"/>
      <c r="AC57" s="216"/>
      <c r="AD57" s="25">
        <v>4</v>
      </c>
      <c r="AE57" s="27"/>
      <c r="AF57" s="27"/>
      <c r="AG57" s="26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41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58"/>
    </row>
    <row r="58" spans="1:56" ht="15" customHeight="1" x14ac:dyDescent="0.3">
      <c r="A58" s="44">
        <f>IF(B58="","",COUNTA($B$8:B58))</f>
        <v>51</v>
      </c>
      <c r="B58" s="41" t="s">
        <v>227</v>
      </c>
      <c r="C58" s="39"/>
      <c r="D58" s="39"/>
      <c r="E58" s="39"/>
      <c r="F58" s="39"/>
      <c r="G58" s="39"/>
      <c r="H58" s="40"/>
      <c r="I58" s="64" t="str">
        <f>VLOOKUP(B58,項目一覧2!A:B,2,FALSE)</f>
        <v>shipping_mark</v>
      </c>
      <c r="J58" s="30"/>
      <c r="K58" s="30"/>
      <c r="L58" s="30"/>
      <c r="M58" s="30"/>
      <c r="N58" s="30"/>
      <c r="O58" s="30"/>
      <c r="P58" s="30"/>
      <c r="Q58" s="31"/>
      <c r="R58" s="41" t="s">
        <v>227</v>
      </c>
      <c r="S58" s="30"/>
      <c r="T58" s="30"/>
      <c r="U58" s="30"/>
      <c r="V58" s="30"/>
      <c r="W58" s="30"/>
      <c r="X58" s="30"/>
      <c r="Y58" s="212" t="s">
        <v>1891</v>
      </c>
      <c r="Z58" s="213"/>
      <c r="AA58" s="214" t="s">
        <v>1892</v>
      </c>
      <c r="AB58" s="215"/>
      <c r="AC58" s="216"/>
      <c r="AD58" s="25">
        <v>200</v>
      </c>
      <c r="AE58" s="36" t="s">
        <v>1893</v>
      </c>
      <c r="AF58" s="36"/>
      <c r="AG58" s="26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41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58"/>
    </row>
    <row r="59" spans="1:56" ht="15" customHeight="1" x14ac:dyDescent="0.3">
      <c r="A59" s="61">
        <f>IF(B59="","",COUNTA($B$8:B59))</f>
        <v>52</v>
      </c>
      <c r="B59" s="20" t="s">
        <v>1841</v>
      </c>
      <c r="C59" s="19"/>
      <c r="D59" s="19"/>
      <c r="E59" s="19"/>
      <c r="F59" s="19"/>
      <c r="G59" s="19"/>
      <c r="H59" s="22"/>
      <c r="I59" s="64" t="str">
        <f>VLOOKUP(B59,項目一覧2!A:B,2,FALSE)</f>
        <v>genshi_notice</v>
      </c>
      <c r="J59" s="21"/>
      <c r="K59" s="21"/>
      <c r="L59" s="21"/>
      <c r="M59" s="21"/>
      <c r="N59" s="21"/>
      <c r="O59" s="21"/>
      <c r="P59" s="21"/>
      <c r="Q59" s="32"/>
      <c r="R59" s="20" t="s">
        <v>228</v>
      </c>
      <c r="S59" s="21"/>
      <c r="T59" s="21"/>
      <c r="U59" s="21"/>
      <c r="V59" s="21"/>
      <c r="W59" s="21"/>
      <c r="X59" s="19"/>
      <c r="Y59" s="212" t="s">
        <v>1891</v>
      </c>
      <c r="Z59" s="213"/>
      <c r="AA59" s="214" t="s">
        <v>1892</v>
      </c>
      <c r="AB59" s="215"/>
      <c r="AC59" s="216"/>
      <c r="AD59" s="25">
        <v>1000</v>
      </c>
      <c r="AE59" s="26" t="s">
        <v>1893</v>
      </c>
      <c r="AF59" s="26"/>
      <c r="AG59" s="26"/>
      <c r="AH59" s="26"/>
      <c r="AI59" s="26"/>
      <c r="AJ59" s="26"/>
      <c r="AK59" s="26"/>
      <c r="AL59" s="26"/>
      <c r="AM59" s="26"/>
      <c r="AN59" s="26"/>
      <c r="AO59" s="27"/>
      <c r="AP59" s="27"/>
      <c r="AQ59" s="27"/>
      <c r="AR59" s="27"/>
      <c r="AS59" s="29" t="s">
        <v>229</v>
      </c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60"/>
    </row>
    <row r="60" spans="1:56" ht="15" customHeight="1" x14ac:dyDescent="0.3">
      <c r="A60" s="61">
        <f>IF(B60="","",COUNTA($B$8:B60))</f>
        <v>53</v>
      </c>
      <c r="B60" s="20" t="s">
        <v>2004</v>
      </c>
      <c r="C60" s="19"/>
      <c r="D60" s="19"/>
      <c r="E60" s="19"/>
      <c r="F60" s="19"/>
      <c r="G60" s="19"/>
      <c r="H60" s="22"/>
      <c r="I60" s="64" t="str">
        <f>VLOOKUP(B60,項目一覧2!A:B,2,FALSE)</f>
        <v>notice</v>
      </c>
      <c r="J60" s="21"/>
      <c r="K60" s="21"/>
      <c r="L60" s="21"/>
      <c r="M60" s="21"/>
      <c r="N60" s="21"/>
      <c r="O60" s="21"/>
      <c r="P60" s="21"/>
      <c r="Q60" s="32"/>
      <c r="R60" s="20" t="s">
        <v>2004</v>
      </c>
      <c r="S60" s="21"/>
      <c r="T60" s="21"/>
      <c r="U60" s="21"/>
      <c r="V60" s="21"/>
      <c r="W60" s="21"/>
      <c r="X60" s="19"/>
      <c r="Y60" s="212" t="s">
        <v>1891</v>
      </c>
      <c r="Z60" s="213"/>
      <c r="AA60" s="214" t="s">
        <v>1892</v>
      </c>
      <c r="AB60" s="215"/>
      <c r="AC60" s="216"/>
      <c r="AD60" s="25">
        <v>30</v>
      </c>
      <c r="AE60" s="26" t="s">
        <v>1893</v>
      </c>
      <c r="AF60" s="26"/>
      <c r="AG60" s="26"/>
      <c r="AH60" s="26"/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0" t="s">
        <v>1842</v>
      </c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60"/>
    </row>
    <row r="61" spans="1:56" ht="15" customHeight="1" x14ac:dyDescent="0.3">
      <c r="A61" s="61">
        <f>IF(B61="","",COUNTA($B$8:B61))</f>
        <v>54</v>
      </c>
      <c r="B61" s="20" t="s">
        <v>2005</v>
      </c>
      <c r="C61" s="19"/>
      <c r="D61" s="19"/>
      <c r="E61" s="19"/>
      <c r="F61" s="19"/>
      <c r="G61" s="19"/>
      <c r="H61" s="22"/>
      <c r="I61" s="64" t="str">
        <f>VLOOKUP(B61,項目一覧2!A:B,2,FALSE)</f>
        <v>notice2</v>
      </c>
      <c r="J61" s="21"/>
      <c r="K61" s="21"/>
      <c r="L61" s="21"/>
      <c r="M61" s="21"/>
      <c r="N61" s="21"/>
      <c r="O61" s="21"/>
      <c r="P61" s="21"/>
      <c r="Q61" s="32"/>
      <c r="R61" s="20" t="s">
        <v>2005</v>
      </c>
      <c r="S61" s="21"/>
      <c r="T61" s="21"/>
      <c r="U61" s="21"/>
      <c r="V61" s="21"/>
      <c r="W61" s="21"/>
      <c r="X61" s="19"/>
      <c r="Y61" s="212" t="s">
        <v>1891</v>
      </c>
      <c r="Z61" s="213"/>
      <c r="AA61" s="214" t="s">
        <v>1892</v>
      </c>
      <c r="AB61" s="215"/>
      <c r="AC61" s="216"/>
      <c r="AD61" s="25">
        <v>30</v>
      </c>
      <c r="AE61" s="26" t="s">
        <v>1893</v>
      </c>
      <c r="AF61" s="26"/>
      <c r="AG61" s="26"/>
      <c r="AH61" s="26"/>
      <c r="AI61" s="26"/>
      <c r="AJ61" s="26"/>
      <c r="AK61" s="26"/>
      <c r="AL61" s="26"/>
      <c r="AM61" s="26"/>
      <c r="AN61" s="26"/>
      <c r="AO61" s="27"/>
      <c r="AP61" s="27"/>
      <c r="AQ61" s="27"/>
      <c r="AR61" s="27"/>
      <c r="AS61" s="20" t="s">
        <v>1843</v>
      </c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60"/>
    </row>
    <row r="62" spans="1:56" ht="15" customHeight="1" x14ac:dyDescent="0.3">
      <c r="A62" s="61">
        <f>IF(B62="","",COUNTA($B$8:B62))</f>
        <v>55</v>
      </c>
      <c r="B62" s="20" t="s">
        <v>1953</v>
      </c>
      <c r="C62" s="19"/>
      <c r="D62" s="19"/>
      <c r="E62" s="19"/>
      <c r="F62" s="19"/>
      <c r="G62" s="19"/>
      <c r="H62" s="22"/>
      <c r="I62" s="64" t="s">
        <v>1954</v>
      </c>
      <c r="J62" s="21"/>
      <c r="K62" s="21"/>
      <c r="L62" s="21"/>
      <c r="M62" s="21"/>
      <c r="N62" s="21"/>
      <c r="O62" s="21"/>
      <c r="P62" s="21"/>
      <c r="Q62" s="32"/>
      <c r="R62" s="20" t="s">
        <v>1953</v>
      </c>
      <c r="S62" s="21"/>
      <c r="T62" s="21"/>
      <c r="U62" s="21"/>
      <c r="V62" s="21"/>
      <c r="W62" s="21"/>
      <c r="X62" s="19"/>
      <c r="Y62" s="212" t="s">
        <v>56</v>
      </c>
      <c r="Z62" s="213"/>
      <c r="AA62" s="214" t="s">
        <v>1752</v>
      </c>
      <c r="AB62" s="215"/>
      <c r="AC62" s="216"/>
      <c r="AD62" s="25">
        <v>1</v>
      </c>
      <c r="AE62" s="26" t="s">
        <v>1893</v>
      </c>
      <c r="AF62" s="26"/>
      <c r="AG62" s="26"/>
      <c r="AH62" s="26"/>
      <c r="AI62" s="26"/>
      <c r="AJ62" s="26"/>
      <c r="AK62" s="26"/>
      <c r="AL62" s="26"/>
      <c r="AM62" s="26"/>
      <c r="AN62" s="26"/>
      <c r="AO62" s="27"/>
      <c r="AP62" s="27"/>
      <c r="AQ62" s="27"/>
      <c r="AR62" s="27"/>
      <c r="AS62" s="29" t="s">
        <v>1955</v>
      </c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60"/>
    </row>
    <row r="63" spans="1:56" ht="15" customHeight="1" x14ac:dyDescent="0.3">
      <c r="A63" s="44">
        <f>IF(B63="","",COUNTA($B$8:B63))</f>
        <v>56</v>
      </c>
      <c r="B63" s="18" t="s">
        <v>142</v>
      </c>
      <c r="C63" s="19"/>
      <c r="D63" s="19"/>
      <c r="E63" s="19"/>
      <c r="F63" s="19"/>
      <c r="G63" s="19"/>
      <c r="H63" s="22"/>
      <c r="I63" s="64" t="s">
        <v>389</v>
      </c>
      <c r="J63" s="21"/>
      <c r="K63" s="21"/>
      <c r="L63" s="21"/>
      <c r="M63" s="21"/>
      <c r="N63" s="21"/>
      <c r="O63" s="21"/>
      <c r="P63" s="21"/>
      <c r="Q63" s="32"/>
      <c r="R63" s="18" t="s">
        <v>144</v>
      </c>
      <c r="S63" s="21"/>
      <c r="T63" s="21"/>
      <c r="U63" s="21"/>
      <c r="V63" s="21"/>
      <c r="W63" s="21"/>
      <c r="X63" s="22"/>
      <c r="Y63" s="212" t="s">
        <v>56</v>
      </c>
      <c r="Z63" s="213"/>
      <c r="AA63" s="214" t="s">
        <v>1892</v>
      </c>
      <c r="AB63" s="215"/>
      <c r="AC63" s="216"/>
      <c r="AD63" s="25">
        <v>4</v>
      </c>
      <c r="AE63" s="26" t="s">
        <v>1893</v>
      </c>
      <c r="AF63" s="26"/>
      <c r="AG63" s="26"/>
      <c r="AH63" s="26"/>
      <c r="AI63" s="26"/>
      <c r="AJ63" s="26"/>
      <c r="AK63" s="26"/>
      <c r="AL63" s="26"/>
      <c r="AM63" s="26"/>
      <c r="AN63" s="26"/>
      <c r="AO63" s="27"/>
      <c r="AP63" s="27"/>
      <c r="AQ63" s="27"/>
      <c r="AR63" s="27"/>
      <c r="AS63" s="2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60"/>
    </row>
    <row r="64" spans="1:56" ht="15" customHeight="1" x14ac:dyDescent="0.3">
      <c r="A64" s="44">
        <f>IF(B64="","",COUNTA($B$8:B64))</f>
        <v>57</v>
      </c>
      <c r="B64" s="18" t="s">
        <v>387</v>
      </c>
      <c r="C64" s="19"/>
      <c r="D64" s="19"/>
      <c r="E64" s="19"/>
      <c r="F64" s="19"/>
      <c r="G64" s="19"/>
      <c r="H64" s="22"/>
      <c r="I64" s="64" t="s">
        <v>388</v>
      </c>
      <c r="J64" s="21"/>
      <c r="K64" s="21"/>
      <c r="L64" s="21"/>
      <c r="M64" s="21"/>
      <c r="N64" s="21"/>
      <c r="O64" s="21"/>
      <c r="P64" s="21"/>
      <c r="Q64" s="32"/>
      <c r="R64" s="18" t="s">
        <v>143</v>
      </c>
      <c r="S64" s="21"/>
      <c r="T64" s="21"/>
      <c r="U64" s="21"/>
      <c r="V64" s="21"/>
      <c r="W64" s="21"/>
      <c r="X64" s="22"/>
      <c r="Y64" s="212" t="s">
        <v>56</v>
      </c>
      <c r="Z64" s="213"/>
      <c r="AA64" s="214" t="s">
        <v>1892</v>
      </c>
      <c r="AB64" s="215"/>
      <c r="AC64" s="216"/>
      <c r="AD64" s="25">
        <v>4</v>
      </c>
      <c r="AE64" s="26" t="s">
        <v>1893</v>
      </c>
      <c r="AF64" s="26"/>
      <c r="AG64" s="26"/>
      <c r="AH64" s="26"/>
      <c r="AI64" s="26"/>
      <c r="AJ64" s="26"/>
      <c r="AK64" s="26"/>
      <c r="AL64" s="26"/>
      <c r="AM64" s="26"/>
      <c r="AN64" s="26"/>
      <c r="AO64" s="27"/>
      <c r="AP64" s="27"/>
      <c r="AQ64" s="27"/>
      <c r="AR64" s="27"/>
      <c r="AS64" s="2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60"/>
    </row>
    <row r="65" spans="1:56" ht="15" customHeight="1" x14ac:dyDescent="0.3">
      <c r="A65" s="44">
        <f>IF(B65="","",COUNTA($B$8:B65))</f>
        <v>58</v>
      </c>
      <c r="B65" s="18" t="s">
        <v>1762</v>
      </c>
      <c r="C65" s="19"/>
      <c r="D65" s="19"/>
      <c r="E65" s="19"/>
      <c r="F65" s="19"/>
      <c r="G65" s="19"/>
      <c r="H65" s="22"/>
      <c r="I65" s="64" t="s">
        <v>581</v>
      </c>
      <c r="J65" s="33"/>
      <c r="K65" s="21"/>
      <c r="L65" s="21"/>
      <c r="M65" s="21"/>
      <c r="N65" s="21"/>
      <c r="O65" s="21"/>
      <c r="P65" s="21"/>
      <c r="Q65" s="32"/>
      <c r="R65" s="18" t="s">
        <v>118</v>
      </c>
      <c r="S65" s="21"/>
      <c r="T65" s="33"/>
      <c r="U65" s="21"/>
      <c r="V65" s="21"/>
      <c r="W65" s="21"/>
      <c r="X65" s="22"/>
      <c r="Y65" s="212" t="s">
        <v>1891</v>
      </c>
      <c r="Z65" s="217"/>
      <c r="AA65" s="214" t="s">
        <v>1892</v>
      </c>
      <c r="AB65" s="215"/>
      <c r="AC65" s="216"/>
      <c r="AD65" s="25">
        <v>10</v>
      </c>
      <c r="AE65" s="27"/>
      <c r="AF65" s="27"/>
      <c r="AG65" s="26" t="s">
        <v>123</v>
      </c>
      <c r="AH65" s="36"/>
      <c r="AI65" s="36"/>
      <c r="AJ65" s="36"/>
      <c r="AK65" s="36"/>
      <c r="AL65" s="36"/>
      <c r="AM65" s="36"/>
      <c r="AN65" s="36"/>
      <c r="AO65" s="37"/>
      <c r="AP65" s="37"/>
      <c r="AQ65" s="37"/>
      <c r="AR65" s="37"/>
      <c r="AS65" s="38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58"/>
    </row>
    <row r="66" spans="1:56" ht="15" customHeight="1" x14ac:dyDescent="0.3">
      <c r="A66" s="44">
        <f>IF(B66="","",COUNTA($B$8:B66))</f>
        <v>59</v>
      </c>
      <c r="B66" s="18" t="s">
        <v>1896</v>
      </c>
      <c r="C66" s="19"/>
      <c r="D66" s="19"/>
      <c r="E66" s="19"/>
      <c r="F66" s="19"/>
      <c r="G66" s="19"/>
      <c r="H66" s="22"/>
      <c r="I66" s="64" t="s">
        <v>509</v>
      </c>
      <c r="J66" s="33"/>
      <c r="K66" s="21"/>
      <c r="L66" s="21"/>
      <c r="M66" s="21"/>
      <c r="N66" s="21"/>
      <c r="O66" s="21"/>
      <c r="P66" s="21"/>
      <c r="Q66" s="32"/>
      <c r="R66" s="18" t="s">
        <v>114</v>
      </c>
      <c r="S66" s="21"/>
      <c r="T66" s="33"/>
      <c r="U66" s="21"/>
      <c r="V66" s="21"/>
      <c r="W66" s="21"/>
      <c r="X66" s="22"/>
      <c r="Y66" s="212" t="s">
        <v>1891</v>
      </c>
      <c r="Z66" s="217"/>
      <c r="AA66" s="214" t="s">
        <v>1892</v>
      </c>
      <c r="AB66" s="215"/>
      <c r="AC66" s="216"/>
      <c r="AD66" s="25">
        <v>10</v>
      </c>
      <c r="AE66" s="27"/>
      <c r="AF66" s="27"/>
      <c r="AG66" s="26" t="s">
        <v>123</v>
      </c>
      <c r="AH66" s="26"/>
      <c r="AI66" s="26"/>
      <c r="AJ66" s="26"/>
      <c r="AK66" s="26"/>
      <c r="AL66" s="26"/>
      <c r="AM66" s="26"/>
      <c r="AN66" s="26"/>
      <c r="AO66" s="27"/>
      <c r="AP66" s="27"/>
      <c r="AQ66" s="27"/>
      <c r="AR66" s="27"/>
      <c r="AS66" s="29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58"/>
    </row>
    <row r="67" spans="1:56" ht="15" customHeight="1" x14ac:dyDescent="0.3">
      <c r="A67" s="44">
        <f>IF(B67="","",COUNTA($B$8:B67))</f>
        <v>60</v>
      </c>
      <c r="B67" s="18" t="s">
        <v>1897</v>
      </c>
      <c r="C67" s="19"/>
      <c r="D67" s="19"/>
      <c r="E67" s="19"/>
      <c r="F67" s="19"/>
      <c r="G67" s="19"/>
      <c r="H67" s="22"/>
      <c r="I67" s="64" t="s">
        <v>513</v>
      </c>
      <c r="J67" s="33"/>
      <c r="K67" s="21"/>
      <c r="L67" s="21"/>
      <c r="M67" s="21"/>
      <c r="N67" s="21"/>
      <c r="O67" s="21"/>
      <c r="P67" s="21"/>
      <c r="Q67" s="32"/>
      <c r="R67" s="18" t="s">
        <v>115</v>
      </c>
      <c r="S67" s="21"/>
      <c r="T67" s="33"/>
      <c r="U67" s="21"/>
      <c r="V67" s="21"/>
      <c r="W67" s="21"/>
      <c r="X67" s="22"/>
      <c r="Y67" s="212" t="s">
        <v>1894</v>
      </c>
      <c r="Z67" s="217"/>
      <c r="AA67" s="214" t="s">
        <v>1895</v>
      </c>
      <c r="AB67" s="215"/>
      <c r="AC67" s="216"/>
      <c r="AD67" s="45"/>
      <c r="AE67" s="27"/>
      <c r="AF67" s="27"/>
      <c r="AG67" s="26" t="s">
        <v>123</v>
      </c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41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58"/>
    </row>
    <row r="68" spans="1:56" ht="15" customHeight="1" x14ac:dyDescent="0.3">
      <c r="A68" s="61">
        <f>IF(B68="","",COUNTA($B$8:B68))</f>
        <v>61</v>
      </c>
      <c r="B68" t="s">
        <v>1898</v>
      </c>
      <c r="C68" s="19"/>
      <c r="D68" s="19"/>
      <c r="E68" s="19"/>
      <c r="F68" s="19"/>
      <c r="G68" s="19"/>
      <c r="H68" s="22"/>
      <c r="I68" s="64" t="s">
        <v>583</v>
      </c>
      <c r="J68" s="33"/>
      <c r="K68" s="21"/>
      <c r="L68" s="21"/>
      <c r="M68" s="21"/>
      <c r="N68" s="21"/>
      <c r="O68" s="21"/>
      <c r="P68" s="21"/>
      <c r="Q68" s="32"/>
      <c r="R68" s="18" t="s">
        <v>119</v>
      </c>
      <c r="S68" s="21"/>
      <c r="T68" s="33"/>
      <c r="U68" s="21"/>
      <c r="V68" s="21"/>
      <c r="W68" s="21"/>
      <c r="X68" s="22"/>
      <c r="Y68" s="212" t="s">
        <v>1891</v>
      </c>
      <c r="Z68" s="217"/>
      <c r="AA68" s="214" t="s">
        <v>1892</v>
      </c>
      <c r="AB68" s="215"/>
      <c r="AC68" s="216"/>
      <c r="AD68" s="25">
        <v>10</v>
      </c>
      <c r="AE68" s="27"/>
      <c r="AF68" s="27"/>
      <c r="AG68" s="26" t="s">
        <v>123</v>
      </c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41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58"/>
    </row>
    <row r="69" spans="1:56" ht="15" customHeight="1" x14ac:dyDescent="0.3">
      <c r="A69" s="44">
        <f>IF(B69="","",COUNTA($B$8:B69))</f>
        <v>62</v>
      </c>
      <c r="B69" s="18" t="s">
        <v>1899</v>
      </c>
      <c r="C69" s="19"/>
      <c r="D69" s="19"/>
      <c r="E69" s="19"/>
      <c r="F69" s="19"/>
      <c r="G69" s="19"/>
      <c r="H69" s="22"/>
      <c r="I69" s="64" t="s">
        <v>355</v>
      </c>
      <c r="J69" s="33"/>
      <c r="K69" s="21"/>
      <c r="L69" s="21"/>
      <c r="M69" s="21"/>
      <c r="N69" s="21"/>
      <c r="O69" s="21"/>
      <c r="P69" s="21"/>
      <c r="Q69" s="32"/>
      <c r="R69" s="18" t="s">
        <v>116</v>
      </c>
      <c r="S69" s="21"/>
      <c r="T69" s="33"/>
      <c r="U69" s="21"/>
      <c r="V69" s="21"/>
      <c r="W69" s="21"/>
      <c r="X69" s="22"/>
      <c r="Y69" s="212" t="s">
        <v>1891</v>
      </c>
      <c r="Z69" s="217"/>
      <c r="AA69" s="214" t="s">
        <v>1892</v>
      </c>
      <c r="AB69" s="215"/>
      <c r="AC69" s="216"/>
      <c r="AD69" s="45">
        <v>10</v>
      </c>
      <c r="AE69" s="27"/>
      <c r="AF69" s="27"/>
      <c r="AG69" s="26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41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58"/>
    </row>
    <row r="70" spans="1:56" ht="15" customHeight="1" x14ac:dyDescent="0.3">
      <c r="A70" s="44">
        <f>IF(B70="","",COUNTA($B$8:B70))</f>
        <v>63</v>
      </c>
      <c r="B70" s="18" t="s">
        <v>1900</v>
      </c>
      <c r="C70" s="19"/>
      <c r="D70" s="19"/>
      <c r="E70" s="19"/>
      <c r="F70" s="19"/>
      <c r="G70" s="19"/>
      <c r="H70" s="22"/>
      <c r="I70" s="64" t="s">
        <v>1769</v>
      </c>
      <c r="J70" s="33"/>
      <c r="K70" s="21"/>
      <c r="L70" s="21"/>
      <c r="M70" s="21"/>
      <c r="N70" s="21"/>
      <c r="O70" s="21"/>
      <c r="P70" s="21"/>
      <c r="Q70" s="32"/>
      <c r="R70" s="18" t="s">
        <v>117</v>
      </c>
      <c r="S70" s="21"/>
      <c r="T70" s="33"/>
      <c r="U70" s="21"/>
      <c r="V70" s="21"/>
      <c r="W70" s="21"/>
      <c r="X70" s="22"/>
      <c r="Y70" s="212" t="s">
        <v>1894</v>
      </c>
      <c r="Z70" s="217"/>
      <c r="AA70" s="214" t="s">
        <v>1895</v>
      </c>
      <c r="AB70" s="215"/>
      <c r="AC70" s="216"/>
      <c r="AD70" s="45"/>
      <c r="AE70" s="27"/>
      <c r="AF70" s="27"/>
      <c r="AG70" s="26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41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58"/>
    </row>
    <row r="71" spans="1:56" ht="15" customHeight="1" x14ac:dyDescent="0.3">
      <c r="A71" s="44" t="str">
        <f>IF(B71="","",COUNTA($B$8:B71))</f>
        <v/>
      </c>
      <c r="B71" s="20"/>
      <c r="C71" s="19"/>
      <c r="D71" s="19"/>
      <c r="E71" s="19"/>
      <c r="F71" s="19"/>
      <c r="G71" s="19"/>
      <c r="H71" s="22"/>
      <c r="I71" s="63"/>
      <c r="J71" s="33"/>
      <c r="K71" s="21"/>
      <c r="L71" s="21"/>
      <c r="M71" s="21"/>
      <c r="N71" s="21"/>
      <c r="O71" s="21"/>
      <c r="P71" s="21"/>
      <c r="Q71" s="32"/>
      <c r="R71" s="21"/>
      <c r="S71" s="21"/>
      <c r="T71" s="33"/>
      <c r="U71" s="21"/>
      <c r="V71" s="21"/>
      <c r="W71" s="21"/>
      <c r="X71" s="22"/>
      <c r="Y71" s="212"/>
      <c r="Z71" s="213"/>
      <c r="AA71" s="214"/>
      <c r="AB71" s="215"/>
      <c r="AC71" s="216"/>
      <c r="AD71" s="28"/>
      <c r="AE71" s="26"/>
      <c r="AF71" s="26"/>
      <c r="AG71" s="26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41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58"/>
    </row>
    <row r="72" spans="1:56" ht="15" customHeight="1" x14ac:dyDescent="0.3">
      <c r="A72" s="44" t="str">
        <f>IF(B72="","",COUNTA($B$8:B72))</f>
        <v/>
      </c>
      <c r="B72" s="41"/>
      <c r="C72" s="39"/>
      <c r="D72" s="39"/>
      <c r="E72" s="39"/>
      <c r="F72" s="39"/>
      <c r="G72" s="39"/>
      <c r="H72" s="40"/>
      <c r="I72" s="64"/>
      <c r="J72" s="30"/>
      <c r="K72" s="30"/>
      <c r="L72" s="30"/>
      <c r="M72" s="30"/>
      <c r="N72" s="30"/>
      <c r="O72" s="30"/>
      <c r="P72" s="30"/>
      <c r="Q72" s="31"/>
      <c r="R72" s="30"/>
      <c r="S72" s="30"/>
      <c r="T72" s="30"/>
      <c r="U72" s="30"/>
      <c r="V72" s="30"/>
      <c r="W72" s="30"/>
      <c r="X72" s="30"/>
      <c r="Y72" s="212"/>
      <c r="Z72" s="213"/>
      <c r="AA72" s="214"/>
      <c r="AB72" s="215"/>
      <c r="AC72" s="216"/>
      <c r="AD72" s="43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41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58"/>
    </row>
    <row r="73" spans="1:56" ht="15" customHeight="1" x14ac:dyDescent="0.3">
      <c r="A73" s="44" t="str">
        <f>IF(B73="","",COUNTA($B$8:B73))</f>
        <v/>
      </c>
      <c r="B73" s="41"/>
      <c r="C73" s="39"/>
      <c r="D73" s="39"/>
      <c r="E73" s="39"/>
      <c r="F73" s="39"/>
      <c r="G73" s="39"/>
      <c r="H73" s="40"/>
      <c r="I73" s="64"/>
      <c r="J73" s="30"/>
      <c r="K73" s="30"/>
      <c r="L73" s="30"/>
      <c r="M73" s="30"/>
      <c r="N73" s="30"/>
      <c r="O73" s="30"/>
      <c r="P73" s="30"/>
      <c r="Q73" s="31"/>
      <c r="R73" s="30"/>
      <c r="S73" s="30"/>
      <c r="T73" s="30"/>
      <c r="U73" s="30"/>
      <c r="V73" s="30"/>
      <c r="W73" s="30"/>
      <c r="X73" s="30"/>
      <c r="Y73" s="212"/>
      <c r="Z73" s="213"/>
      <c r="AA73" s="214"/>
      <c r="AB73" s="215"/>
      <c r="AC73" s="216"/>
      <c r="AD73" s="43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41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58"/>
    </row>
    <row r="74" spans="1:56" ht="15" customHeight="1" x14ac:dyDescent="0.3">
      <c r="A74" s="44" t="str">
        <f>IF(B74="","",COUNTA($B$8:B74))</f>
        <v/>
      </c>
      <c r="B74" s="41"/>
      <c r="C74" s="39"/>
      <c r="D74" s="39"/>
      <c r="E74" s="39"/>
      <c r="F74" s="39"/>
      <c r="G74" s="39"/>
      <c r="H74" s="40"/>
      <c r="I74" s="64"/>
      <c r="J74" s="30"/>
      <c r="K74" s="30"/>
      <c r="L74" s="30"/>
      <c r="M74" s="30"/>
      <c r="N74" s="30"/>
      <c r="O74" s="30"/>
      <c r="P74" s="30"/>
      <c r="Q74" s="31"/>
      <c r="R74" s="30"/>
      <c r="S74" s="30"/>
      <c r="T74" s="30"/>
      <c r="U74" s="30"/>
      <c r="V74" s="30"/>
      <c r="W74" s="30"/>
      <c r="X74" s="30"/>
      <c r="Y74" s="212"/>
      <c r="Z74" s="213"/>
      <c r="AA74" s="214"/>
      <c r="AB74" s="215"/>
      <c r="AC74" s="216"/>
      <c r="AD74" s="43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41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58"/>
    </row>
    <row r="75" spans="1:56" ht="15" customHeight="1" x14ac:dyDescent="0.3">
      <c r="A75" s="44" t="str">
        <f>IF(B75="","",COUNTA($B$8:B75))</f>
        <v/>
      </c>
      <c r="B75" s="29"/>
      <c r="C75" s="39"/>
      <c r="D75" s="39"/>
      <c r="E75" s="39"/>
      <c r="F75" s="39"/>
      <c r="G75" s="39"/>
      <c r="H75" s="40"/>
      <c r="I75" s="64"/>
      <c r="J75" s="21"/>
      <c r="K75" s="30"/>
      <c r="L75" s="30"/>
      <c r="M75" s="30"/>
      <c r="N75" s="30"/>
      <c r="O75" s="30"/>
      <c r="P75" s="30"/>
      <c r="Q75" s="31"/>
      <c r="R75" s="30"/>
      <c r="S75" s="30"/>
      <c r="T75" s="30"/>
      <c r="U75" s="30"/>
      <c r="V75" s="30"/>
      <c r="W75" s="30"/>
      <c r="X75" s="30"/>
      <c r="Y75" s="212"/>
      <c r="Z75" s="213"/>
      <c r="AA75" s="214"/>
      <c r="AB75" s="215"/>
      <c r="AC75" s="216"/>
      <c r="AD75" s="28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9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58"/>
    </row>
    <row r="76" spans="1:56" ht="15" customHeight="1" x14ac:dyDescent="0.3">
      <c r="A76" s="44" t="str">
        <f>IF(B76="","",COUNTA($B$8:B76))</f>
        <v/>
      </c>
      <c r="B76" s="41"/>
      <c r="C76" s="39"/>
      <c r="D76" s="39"/>
      <c r="E76" s="39"/>
      <c r="F76" s="39"/>
      <c r="G76" s="39"/>
      <c r="H76" s="40"/>
      <c r="I76" s="64"/>
      <c r="J76" s="30"/>
      <c r="K76" s="30"/>
      <c r="L76" s="30"/>
      <c r="M76" s="30"/>
      <c r="N76" s="30"/>
      <c r="O76" s="30"/>
      <c r="P76" s="30"/>
      <c r="Q76" s="31"/>
      <c r="R76" s="30"/>
      <c r="S76" s="30"/>
      <c r="T76" s="30"/>
      <c r="U76" s="30"/>
      <c r="V76" s="30"/>
      <c r="W76" s="30"/>
      <c r="X76" s="30"/>
      <c r="Y76" s="212"/>
      <c r="Z76" s="213"/>
      <c r="AA76" s="214"/>
      <c r="AB76" s="215"/>
      <c r="AC76" s="216"/>
      <c r="AD76" s="43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41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58"/>
    </row>
    <row r="77" spans="1:56" ht="15" customHeight="1" x14ac:dyDescent="0.3">
      <c r="A77" s="44" t="str">
        <f>IF(B77="","",COUNTA($B$8:B77))</f>
        <v/>
      </c>
      <c r="B77" s="41"/>
      <c r="C77" s="39"/>
      <c r="D77" s="39"/>
      <c r="E77" s="39"/>
      <c r="F77" s="39"/>
      <c r="G77" s="39"/>
      <c r="H77" s="40"/>
      <c r="I77" s="64"/>
      <c r="J77" s="30"/>
      <c r="K77" s="30"/>
      <c r="L77" s="30"/>
      <c r="M77" s="30"/>
      <c r="N77" s="30"/>
      <c r="O77" s="30"/>
      <c r="P77" s="30"/>
      <c r="Q77" s="31"/>
      <c r="R77" s="30"/>
      <c r="S77" s="30"/>
      <c r="T77" s="30"/>
      <c r="U77" s="30"/>
      <c r="V77" s="30"/>
      <c r="W77" s="30"/>
      <c r="X77" s="30"/>
      <c r="Y77" s="212"/>
      <c r="Z77" s="213"/>
      <c r="AA77" s="214"/>
      <c r="AB77" s="215"/>
      <c r="AC77" s="216"/>
      <c r="AD77" s="43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41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58"/>
    </row>
    <row r="78" spans="1:56" ht="15" customHeight="1" x14ac:dyDescent="0.3">
      <c r="A78" s="44" t="str">
        <f>IF(B78="","",COUNTA($B$8:B78))</f>
        <v/>
      </c>
      <c r="B78" s="41"/>
      <c r="C78" s="39"/>
      <c r="D78" s="39"/>
      <c r="E78" s="39"/>
      <c r="F78" s="39"/>
      <c r="G78" s="39"/>
      <c r="H78" s="40"/>
      <c r="I78" s="64"/>
      <c r="J78" s="30"/>
      <c r="K78" s="30"/>
      <c r="L78" s="30"/>
      <c r="M78" s="30"/>
      <c r="N78" s="30"/>
      <c r="O78" s="30"/>
      <c r="P78" s="30"/>
      <c r="Q78" s="31"/>
      <c r="R78" s="30"/>
      <c r="S78" s="30"/>
      <c r="T78" s="30"/>
      <c r="U78" s="30"/>
      <c r="V78" s="30"/>
      <c r="W78" s="30"/>
      <c r="X78" s="30"/>
      <c r="Y78" s="212"/>
      <c r="Z78" s="213"/>
      <c r="AA78" s="214"/>
      <c r="AB78" s="215"/>
      <c r="AC78" s="216"/>
      <c r="AD78" s="43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41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58"/>
    </row>
    <row r="79" spans="1:56" ht="15" customHeight="1" x14ac:dyDescent="0.3">
      <c r="A79" s="44" t="str">
        <f>IF(B79="","",COUNTA($B$8:B79))</f>
        <v/>
      </c>
      <c r="B79" s="41"/>
      <c r="C79" s="39"/>
      <c r="D79" s="39"/>
      <c r="E79" s="39"/>
      <c r="F79" s="39"/>
      <c r="G79" s="39"/>
      <c r="H79" s="40"/>
      <c r="I79" s="64"/>
      <c r="J79" s="30"/>
      <c r="K79" s="30"/>
      <c r="L79" s="30"/>
      <c r="M79" s="30"/>
      <c r="N79" s="30"/>
      <c r="O79" s="30"/>
      <c r="P79" s="30"/>
      <c r="Q79" s="31"/>
      <c r="R79" s="30"/>
      <c r="S79" s="30"/>
      <c r="T79" s="30"/>
      <c r="U79" s="30"/>
      <c r="V79" s="30"/>
      <c r="W79" s="30"/>
      <c r="X79" s="30"/>
      <c r="Y79" s="212"/>
      <c r="Z79" s="213"/>
      <c r="AA79" s="214"/>
      <c r="AB79" s="215"/>
      <c r="AC79" s="216"/>
      <c r="AD79" s="43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41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58"/>
    </row>
    <row r="80" spans="1:56" ht="15" customHeight="1" x14ac:dyDescent="0.3">
      <c r="A80" s="44" t="str">
        <f>IF(B80="","",COUNTA($B$8:B80))</f>
        <v/>
      </c>
      <c r="B80" s="41"/>
      <c r="C80" s="39"/>
      <c r="D80" s="39"/>
      <c r="E80" s="39"/>
      <c r="F80" s="39"/>
      <c r="G80" s="39"/>
      <c r="H80" s="40"/>
      <c r="I80" s="64"/>
      <c r="J80" s="30"/>
      <c r="K80" s="30"/>
      <c r="L80" s="30"/>
      <c r="M80" s="30"/>
      <c r="N80" s="30"/>
      <c r="O80" s="30"/>
      <c r="P80" s="30"/>
      <c r="Q80" s="31"/>
      <c r="R80" s="30"/>
      <c r="S80" s="30"/>
      <c r="T80" s="30"/>
      <c r="U80" s="30"/>
      <c r="V80" s="30"/>
      <c r="W80" s="30"/>
      <c r="X80" s="30"/>
      <c r="Y80" s="212"/>
      <c r="Z80" s="213"/>
      <c r="AA80" s="214"/>
      <c r="AB80" s="215"/>
      <c r="AC80" s="216"/>
      <c r="AD80" s="43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41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58"/>
    </row>
    <row r="81" spans="1:56" ht="15" customHeight="1" x14ac:dyDescent="0.3">
      <c r="A81" s="44" t="str">
        <f>IF(B81="","",COUNTA($B$8:B81))</f>
        <v/>
      </c>
      <c r="B81" s="29"/>
      <c r="C81" s="39"/>
      <c r="D81" s="39"/>
      <c r="E81" s="39"/>
      <c r="F81" s="39"/>
      <c r="G81" s="39"/>
      <c r="H81" s="40"/>
      <c r="I81" s="64"/>
      <c r="J81" s="21"/>
      <c r="K81" s="30"/>
      <c r="L81" s="30"/>
      <c r="M81" s="30"/>
      <c r="N81" s="30"/>
      <c r="O81" s="30"/>
      <c r="P81" s="30"/>
      <c r="Q81" s="31"/>
      <c r="R81" s="30"/>
      <c r="S81" s="30"/>
      <c r="T81" s="30"/>
      <c r="U81" s="30"/>
      <c r="V81" s="30"/>
      <c r="W81" s="30"/>
      <c r="X81" s="30"/>
      <c r="Y81" s="212"/>
      <c r="Z81" s="213"/>
      <c r="AA81" s="214"/>
      <c r="AB81" s="215"/>
      <c r="AC81" s="216"/>
      <c r="AD81" s="28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9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58"/>
    </row>
    <row r="82" spans="1:56" ht="15" customHeight="1" x14ac:dyDescent="0.3">
      <c r="A82" s="44" t="str">
        <f>IF(B82="","",COUNTA($B$8:B82))</f>
        <v/>
      </c>
      <c r="B82" s="29"/>
      <c r="C82" s="39"/>
      <c r="D82" s="39"/>
      <c r="E82" s="39"/>
      <c r="F82" s="39"/>
      <c r="G82" s="39"/>
      <c r="H82" s="40"/>
      <c r="I82" s="64"/>
      <c r="J82" s="21"/>
      <c r="K82" s="30"/>
      <c r="L82" s="30"/>
      <c r="M82" s="30"/>
      <c r="N82" s="30"/>
      <c r="O82" s="30"/>
      <c r="P82" s="30"/>
      <c r="Q82" s="31"/>
      <c r="R82" s="30"/>
      <c r="S82" s="30"/>
      <c r="T82" s="30"/>
      <c r="U82" s="30"/>
      <c r="V82" s="30"/>
      <c r="W82" s="30"/>
      <c r="X82" s="30"/>
      <c r="Y82" s="212"/>
      <c r="Z82" s="213"/>
      <c r="AA82" s="214"/>
      <c r="AB82" s="215"/>
      <c r="AC82" s="216"/>
      <c r="AD82" s="28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60"/>
    </row>
    <row r="83" spans="1:56" ht="15" customHeight="1" x14ac:dyDescent="0.3">
      <c r="A83" s="44" t="str">
        <f>IF(B83="","",COUNTA($B$8:B83))</f>
        <v/>
      </c>
      <c r="B83" s="29"/>
      <c r="C83" s="39"/>
      <c r="D83" s="39"/>
      <c r="E83" s="39"/>
      <c r="F83" s="39"/>
      <c r="G83" s="39"/>
      <c r="H83" s="40"/>
      <c r="I83" s="64"/>
      <c r="J83" s="21"/>
      <c r="K83" s="30"/>
      <c r="L83" s="30"/>
      <c r="M83" s="30"/>
      <c r="N83" s="30"/>
      <c r="O83" s="30"/>
      <c r="P83" s="30"/>
      <c r="Q83" s="31"/>
      <c r="R83" s="30"/>
      <c r="S83" s="30"/>
      <c r="T83" s="30"/>
      <c r="U83" s="30"/>
      <c r="V83" s="30"/>
      <c r="W83" s="30"/>
      <c r="X83" s="30"/>
      <c r="Y83" s="212"/>
      <c r="Z83" s="213"/>
      <c r="AA83" s="214"/>
      <c r="AB83" s="215"/>
      <c r="AC83" s="216"/>
      <c r="AD83" s="28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9"/>
      <c r="AT83" s="59"/>
      <c r="AU83" s="59"/>
      <c r="AV83" s="59"/>
      <c r="AW83" s="59"/>
      <c r="AX83" s="59"/>
      <c r="AY83" s="59"/>
      <c r="AZ83" s="59"/>
      <c r="BA83" s="59"/>
      <c r="BB83" s="59"/>
      <c r="BC83" s="59"/>
      <c r="BD83" s="60"/>
    </row>
    <row r="84" spans="1:56" ht="15" customHeight="1" x14ac:dyDescent="0.3">
      <c r="A84" s="44" t="str">
        <f>IF(B84="","",COUNTA($B$8:B84))</f>
        <v/>
      </c>
      <c r="B84" s="20"/>
      <c r="C84" s="19"/>
      <c r="D84" s="19"/>
      <c r="E84" s="19"/>
      <c r="F84" s="19"/>
      <c r="G84" s="19"/>
      <c r="H84" s="22"/>
      <c r="I84" s="63"/>
      <c r="J84" s="33"/>
      <c r="K84" s="21"/>
      <c r="L84" s="21"/>
      <c r="M84" s="21"/>
      <c r="N84" s="21"/>
      <c r="O84" s="21"/>
      <c r="P84" s="21"/>
      <c r="Q84" s="32"/>
      <c r="R84" s="21"/>
      <c r="S84" s="21"/>
      <c r="T84" s="33"/>
      <c r="U84" s="21"/>
      <c r="V84" s="21"/>
      <c r="W84" s="21"/>
      <c r="X84" s="22"/>
      <c r="Y84" s="212"/>
      <c r="Z84" s="213"/>
      <c r="AA84" s="214"/>
      <c r="AB84" s="215"/>
      <c r="AC84" s="216"/>
      <c r="AD84" s="25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7"/>
      <c r="AP84" s="27"/>
      <c r="AQ84" s="27"/>
      <c r="AR84" s="27"/>
      <c r="AS84" s="29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58"/>
    </row>
    <row r="85" spans="1:56" ht="15" customHeight="1" x14ac:dyDescent="0.3">
      <c r="A85" s="44" t="str">
        <f>IF(B85="","",COUNTA($B$8:B85))</f>
        <v/>
      </c>
      <c r="B85" s="20"/>
      <c r="C85" s="19"/>
      <c r="D85" s="19"/>
      <c r="E85" s="19"/>
      <c r="F85" s="19"/>
      <c r="G85" s="19"/>
      <c r="H85" s="22"/>
      <c r="I85" s="63"/>
      <c r="J85" s="33"/>
      <c r="K85" s="21"/>
      <c r="L85" s="21"/>
      <c r="M85" s="21"/>
      <c r="N85" s="21"/>
      <c r="O85" s="21"/>
      <c r="P85" s="21"/>
      <c r="Q85" s="32"/>
      <c r="R85" s="21"/>
      <c r="S85" s="21"/>
      <c r="T85" s="33"/>
      <c r="U85" s="21"/>
      <c r="V85" s="21"/>
      <c r="W85" s="21"/>
      <c r="X85" s="22"/>
      <c r="Y85" s="212"/>
      <c r="Z85" s="213"/>
      <c r="AA85" s="214"/>
      <c r="AB85" s="215"/>
      <c r="AC85" s="216"/>
      <c r="AD85" s="25"/>
      <c r="AE85" s="36"/>
      <c r="AF85" s="36"/>
      <c r="AG85" s="36"/>
      <c r="AH85" s="36"/>
      <c r="AI85" s="36"/>
      <c r="AJ85" s="26"/>
      <c r="AK85" s="26"/>
      <c r="AL85" s="26"/>
      <c r="AM85" s="26"/>
      <c r="AN85" s="26"/>
      <c r="AO85" s="27"/>
      <c r="AP85" s="27"/>
      <c r="AQ85" s="27"/>
      <c r="AR85" s="27"/>
      <c r="AS85" s="29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58"/>
    </row>
    <row r="86" spans="1:56" ht="15" customHeight="1" x14ac:dyDescent="0.3">
      <c r="A86" s="44" t="str">
        <f>IF(B86="","",COUNTA($B$8:B86))</f>
        <v/>
      </c>
      <c r="B86" s="20"/>
      <c r="C86" s="19"/>
      <c r="D86" s="19"/>
      <c r="E86" s="19"/>
      <c r="F86" s="19"/>
      <c r="G86" s="19"/>
      <c r="H86" s="22"/>
      <c r="I86" s="63"/>
      <c r="J86" s="33"/>
      <c r="K86" s="21"/>
      <c r="L86" s="21"/>
      <c r="M86" s="21"/>
      <c r="N86" s="21"/>
      <c r="O86" s="21"/>
      <c r="P86" s="21"/>
      <c r="Q86" s="32"/>
      <c r="R86" s="21"/>
      <c r="S86" s="21"/>
      <c r="T86" s="33"/>
      <c r="U86" s="21"/>
      <c r="V86" s="21"/>
      <c r="W86" s="21"/>
      <c r="X86" s="22"/>
      <c r="Y86" s="212"/>
      <c r="Z86" s="213"/>
      <c r="AA86" s="214"/>
      <c r="AB86" s="215"/>
      <c r="AC86" s="216"/>
      <c r="AD86" s="28"/>
      <c r="AE86" s="26"/>
      <c r="AF86" s="26"/>
      <c r="AG86" s="26"/>
      <c r="AH86" s="26"/>
      <c r="AI86" s="26"/>
      <c r="AJ86" s="26"/>
      <c r="AK86" s="26"/>
      <c r="AL86" s="36"/>
      <c r="AM86" s="36"/>
      <c r="AN86" s="36"/>
      <c r="AO86" s="37"/>
      <c r="AP86" s="37"/>
      <c r="AQ86" s="37"/>
      <c r="AR86" s="37"/>
      <c r="AS86" s="38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58"/>
    </row>
    <row r="87" spans="1:56" ht="15" customHeight="1" x14ac:dyDescent="0.3">
      <c r="A87" s="44" t="str">
        <f>IF(B87="","",COUNTA($B$8:B87))</f>
        <v/>
      </c>
      <c r="B87" s="20"/>
      <c r="C87" s="19"/>
      <c r="D87" s="19"/>
      <c r="E87" s="19"/>
      <c r="F87" s="19"/>
      <c r="G87" s="19"/>
      <c r="H87" s="22"/>
      <c r="I87" s="63"/>
      <c r="J87" s="33"/>
      <c r="K87" s="21"/>
      <c r="L87" s="21"/>
      <c r="M87" s="21"/>
      <c r="N87" s="21"/>
      <c r="O87" s="21"/>
      <c r="P87" s="21"/>
      <c r="Q87" s="32"/>
      <c r="R87" s="21"/>
      <c r="S87" s="21"/>
      <c r="T87" s="33"/>
      <c r="U87" s="21"/>
      <c r="V87" s="21"/>
      <c r="W87" s="21"/>
      <c r="X87" s="22"/>
      <c r="Y87" s="212"/>
      <c r="Z87" s="213"/>
      <c r="AA87" s="214"/>
      <c r="AB87" s="215"/>
      <c r="AC87" s="216"/>
      <c r="AD87" s="25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7"/>
      <c r="AP87" s="37"/>
      <c r="AQ87" s="37"/>
      <c r="AR87" s="37"/>
      <c r="AS87" s="38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58"/>
    </row>
  </sheetData>
  <mergeCells count="191">
    <mergeCell ref="R1:X1"/>
    <mergeCell ref="Y1:AO1"/>
    <mergeCell ref="Y20:Z20"/>
    <mergeCell ref="AA20:AC20"/>
    <mergeCell ref="Y14:Z14"/>
    <mergeCell ref="AA14:AC14"/>
    <mergeCell ref="Y19:Z19"/>
    <mergeCell ref="AA19:AC19"/>
    <mergeCell ref="Y24:Z24"/>
    <mergeCell ref="AA24:AC24"/>
    <mergeCell ref="Y13:Z13"/>
    <mergeCell ref="AA13:AC13"/>
    <mergeCell ref="Y18:Z18"/>
    <mergeCell ref="AA18:AC18"/>
    <mergeCell ref="AA15:AC15"/>
    <mergeCell ref="Y15:Z15"/>
    <mergeCell ref="Y22:Z22"/>
    <mergeCell ref="AA22:AC22"/>
    <mergeCell ref="AP1:AT1"/>
    <mergeCell ref="AU1:AY1"/>
    <mergeCell ref="Y4:AO4"/>
    <mergeCell ref="AP4:AT4"/>
    <mergeCell ref="AU4:AY4"/>
    <mergeCell ref="AS6:BD7"/>
    <mergeCell ref="AZ4:BD4"/>
    <mergeCell ref="Y12:Z12"/>
    <mergeCell ref="AA12:AC12"/>
    <mergeCell ref="Y8:Z8"/>
    <mergeCell ref="AA8:AC8"/>
    <mergeCell ref="Y9:Z9"/>
    <mergeCell ref="AA9:AC9"/>
    <mergeCell ref="Y10:Z10"/>
    <mergeCell ref="AA10:AC10"/>
    <mergeCell ref="Y11:Z11"/>
    <mergeCell ref="AA11:AC11"/>
    <mergeCell ref="A1:H4"/>
    <mergeCell ref="AZ1:BD1"/>
    <mergeCell ref="I2:Q4"/>
    <mergeCell ref="R2:X4"/>
    <mergeCell ref="Y2:AO3"/>
    <mergeCell ref="AP2:AT2"/>
    <mergeCell ref="AU2:AY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G6:AG7"/>
    <mergeCell ref="AH6:AH7"/>
    <mergeCell ref="AI6:AR6"/>
    <mergeCell ref="AP3:AT3"/>
    <mergeCell ref="AU3:AY3"/>
    <mergeCell ref="AZ3:BD3"/>
    <mergeCell ref="I1:Q1"/>
    <mergeCell ref="Y27:Z27"/>
    <mergeCell ref="AA27:AC27"/>
    <mergeCell ref="AA16:AC16"/>
    <mergeCell ref="AA17:AC1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3:Z23"/>
    <mergeCell ref="AA23:AC23"/>
    <mergeCell ref="Y17:Z17"/>
    <mergeCell ref="Y16:Z16"/>
    <mergeCell ref="Y21:Z21"/>
    <mergeCell ref="AA21:AC21"/>
    <mergeCell ref="Y30:Z30"/>
    <mergeCell ref="AA30:AC30"/>
    <mergeCell ref="Y31:Z31"/>
    <mergeCell ref="AA31:AC31"/>
    <mergeCell ref="Y35:Z35"/>
    <mergeCell ref="AA35:AC35"/>
    <mergeCell ref="Y32:Z32"/>
    <mergeCell ref="Y34:Z34"/>
    <mergeCell ref="AA34:AC34"/>
    <mergeCell ref="Y33:Z33"/>
    <mergeCell ref="AA33:AC3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Y46:Z46"/>
    <mergeCell ref="AA46:AC46"/>
    <mergeCell ref="Y42:Z42"/>
    <mergeCell ref="AA42:AC42"/>
    <mergeCell ref="Y43:Z43"/>
    <mergeCell ref="Y52:Z52"/>
    <mergeCell ref="AA52:AC52"/>
    <mergeCell ref="Y48:Z48"/>
    <mergeCell ref="AA48:AC48"/>
    <mergeCell ref="Y47:Z47"/>
    <mergeCell ref="AA47:AC47"/>
    <mergeCell ref="Y49:Z49"/>
    <mergeCell ref="AA49:AC49"/>
    <mergeCell ref="Y51:Z51"/>
    <mergeCell ref="AA51:AC51"/>
    <mergeCell ref="Y50:Z50"/>
    <mergeCell ref="AA50:AC50"/>
    <mergeCell ref="Y44:Z44"/>
    <mergeCell ref="AA44:AC44"/>
    <mergeCell ref="AA45:AC45"/>
    <mergeCell ref="Y55:Z55"/>
    <mergeCell ref="AA55:AC55"/>
    <mergeCell ref="Y59:Z59"/>
    <mergeCell ref="AA59:AC59"/>
    <mergeCell ref="Y53:Z53"/>
    <mergeCell ref="AA53:AC53"/>
    <mergeCell ref="Y54:Z54"/>
    <mergeCell ref="AA54:AC54"/>
    <mergeCell ref="Y63:Z63"/>
    <mergeCell ref="AA63:AC63"/>
    <mergeCell ref="Y56:Z56"/>
    <mergeCell ref="AA56:AC56"/>
    <mergeCell ref="Y57:Z57"/>
    <mergeCell ref="AA57:AC57"/>
    <mergeCell ref="Y64:Z64"/>
    <mergeCell ref="AA64:AC64"/>
    <mergeCell ref="Y61:Z61"/>
    <mergeCell ref="AA61:AC61"/>
    <mergeCell ref="Y60:Z60"/>
    <mergeCell ref="AA60:AC60"/>
    <mergeCell ref="Y62:Z62"/>
    <mergeCell ref="AA62:AC62"/>
    <mergeCell ref="Y58:Z58"/>
    <mergeCell ref="AA58:AC58"/>
    <mergeCell ref="Y68:Z68"/>
    <mergeCell ref="AA68:AC68"/>
    <mergeCell ref="Y69:Z69"/>
    <mergeCell ref="AA69:AC69"/>
    <mergeCell ref="Y70:Z70"/>
    <mergeCell ref="AA70:AC70"/>
    <mergeCell ref="Y65:Z65"/>
    <mergeCell ref="AA65:AC65"/>
    <mergeCell ref="Y66:Z66"/>
    <mergeCell ref="AA66:AC66"/>
    <mergeCell ref="Y67:Z67"/>
    <mergeCell ref="AA67:AC67"/>
    <mergeCell ref="Y74:Z74"/>
    <mergeCell ref="AA74:AC74"/>
    <mergeCell ref="Y75:Z75"/>
    <mergeCell ref="AA75:AC75"/>
    <mergeCell ref="Y76:Z76"/>
    <mergeCell ref="AA76:AC76"/>
    <mergeCell ref="Y71:Z71"/>
    <mergeCell ref="AA71:AC71"/>
    <mergeCell ref="Y72:Z72"/>
    <mergeCell ref="AA72:AC72"/>
    <mergeCell ref="Y73:Z73"/>
    <mergeCell ref="AA73:AC73"/>
    <mergeCell ref="Y86:Z86"/>
    <mergeCell ref="AA86:AC86"/>
    <mergeCell ref="Y87:Z87"/>
    <mergeCell ref="AA87:AC87"/>
    <mergeCell ref="Y83:Z83"/>
    <mergeCell ref="AA83:AC83"/>
    <mergeCell ref="Y84:Z84"/>
    <mergeCell ref="AA84:AC84"/>
    <mergeCell ref="Y85:Z85"/>
    <mergeCell ref="AA85:AC85"/>
    <mergeCell ref="Y80:Z80"/>
    <mergeCell ref="AA80:AC80"/>
    <mergeCell ref="Y81:Z81"/>
    <mergeCell ref="AA81:AC81"/>
    <mergeCell ref="Y82:Z82"/>
    <mergeCell ref="AA82:AC82"/>
    <mergeCell ref="Y77:Z77"/>
    <mergeCell ref="AA77:AC77"/>
    <mergeCell ref="Y78:Z78"/>
    <mergeCell ref="AA78:AC78"/>
    <mergeCell ref="Y79:Z79"/>
    <mergeCell ref="AA79:AC79"/>
  </mergeCells>
  <phoneticPr fontId="5"/>
  <dataValidations count="4">
    <dataValidation type="list" allowBlank="1" showInputMessage="1" showErrorMessage="1" sqref="AA65:AA87 AB32:AC33 AA10:AC10 AA50:AC50 AA63:AC64 AA8:AA12 AA51:AA62 AA13:AC18 AA46:AA49 AA33:AA42 AA44 AB43:AC43 AA18:AA31 AA45:AC45" xr:uid="{00000000-0002-0000-0600-000000000000}">
      <formula1>"datetime,int,numeric,varchar,nvarchar"</formula1>
    </dataValidation>
    <dataValidation imeMode="hiragana" allowBlank="1" showInputMessage="1" showErrorMessage="1" sqref="JK65558:JV65560 TG65558:TR65560 ADC65558:ADN65560 AMY65558:ANJ65560 AWU65558:AXF65560 BGQ65558:BHB65560 BQM65558:BQX65560 CAI65558:CAT65560 CKE65558:CKP65560 CUA65558:CUL65560 DDW65558:DEH65560 DNS65558:DOD65560 DXO65558:DXZ65560 EHK65558:EHV65560 ERG65558:ERR65560 FBC65558:FBN65560 FKY65558:FLJ65560 FUU65558:FVF65560 GEQ65558:GFB65560 GOM65558:GOX65560 GYI65558:GYT65560 HIE65558:HIP65560 HSA65558:HSL65560 IBW65558:ICH65560 ILS65558:IMD65560 IVO65558:IVZ65560 JFK65558:JFV65560 JPG65558:JPR65560 JZC65558:JZN65560 KIY65558:KJJ65560 KSU65558:KTF65560 LCQ65558:LDB65560 LMM65558:LMX65560 LWI65558:LWT65560 MGE65558:MGP65560 MQA65558:MQL65560 MZW65558:NAH65560 NJS65558:NKD65560 NTO65558:NTZ65560 ODK65558:ODV65560 ONG65558:ONR65560 OXC65558:OXN65560 PGY65558:PHJ65560 PQU65558:PRF65560 QAQ65558:QBB65560 QKM65558:QKX65560 QUI65558:QUT65560 REE65558:REP65560 ROA65558:ROL65560 RXW65558:RYH65560 SHS65558:SID65560 SRO65558:SRZ65560 TBK65558:TBV65560 TLG65558:TLR65560 TVC65558:TVN65560 UEY65558:UFJ65560 UOU65558:UPF65560 UYQ65558:UZB65560 VIM65558:VIX65560 VSI65558:VST65560 WCE65558:WCP65560 WMA65558:WML65560 WVW65558:WWH65560 JK131094:JV131096 TG131094:TR131096 ADC131094:ADN131096 AMY131094:ANJ131096 AWU131094:AXF131096 BGQ131094:BHB131096 BQM131094:BQX131096 CAI131094:CAT131096 CKE131094:CKP131096 CUA131094:CUL131096 DDW131094:DEH131096 DNS131094:DOD131096 DXO131094:DXZ131096 EHK131094:EHV131096 ERG131094:ERR131096 FBC131094:FBN131096 FKY131094:FLJ131096 FUU131094:FVF131096 GEQ131094:GFB131096 GOM131094:GOX131096 GYI131094:GYT131096 HIE131094:HIP131096 HSA131094:HSL131096 IBW131094:ICH131096 ILS131094:IMD131096 IVO131094:IVZ131096 JFK131094:JFV131096 JPG131094:JPR131096 JZC131094:JZN131096 KIY131094:KJJ131096 KSU131094:KTF131096 LCQ131094:LDB131096 LMM131094:LMX131096 LWI131094:LWT131096 MGE131094:MGP131096 MQA131094:MQL131096 MZW131094:NAH131096 NJS131094:NKD131096 NTO131094:NTZ131096 ODK131094:ODV131096 ONG131094:ONR131096 OXC131094:OXN131096 PGY131094:PHJ131096 PQU131094:PRF131096 QAQ131094:QBB131096 QKM131094:QKX131096 QUI131094:QUT131096 REE131094:REP131096 ROA131094:ROL131096 RXW131094:RYH131096 SHS131094:SID131096 SRO131094:SRZ131096 TBK131094:TBV131096 TLG131094:TLR131096 TVC131094:TVN131096 UEY131094:UFJ131096 UOU131094:UPF131096 UYQ131094:UZB131096 VIM131094:VIX131096 VSI131094:VST131096 WCE131094:WCP131096 WMA131094:WML131096 WVW131094:WWH131096 JK196630:JV196632 TG196630:TR196632 ADC196630:ADN196632 AMY196630:ANJ196632 AWU196630:AXF196632 BGQ196630:BHB196632 BQM196630:BQX196632 CAI196630:CAT196632 CKE196630:CKP196632 CUA196630:CUL196632 DDW196630:DEH196632 DNS196630:DOD196632 DXO196630:DXZ196632 EHK196630:EHV196632 ERG196630:ERR196632 FBC196630:FBN196632 FKY196630:FLJ196632 FUU196630:FVF196632 GEQ196630:GFB196632 GOM196630:GOX196632 GYI196630:GYT196632 HIE196630:HIP196632 HSA196630:HSL196632 IBW196630:ICH196632 ILS196630:IMD196632 IVO196630:IVZ196632 JFK196630:JFV196632 JPG196630:JPR196632 JZC196630:JZN196632 KIY196630:KJJ196632 KSU196630:KTF196632 LCQ196630:LDB196632 LMM196630:LMX196632 LWI196630:LWT196632 MGE196630:MGP196632 MQA196630:MQL196632 MZW196630:NAH196632 NJS196630:NKD196632 NTO196630:NTZ196632 ODK196630:ODV196632 ONG196630:ONR196632 OXC196630:OXN196632 PGY196630:PHJ196632 PQU196630:PRF196632 QAQ196630:QBB196632 QKM196630:QKX196632 QUI196630:QUT196632 REE196630:REP196632 ROA196630:ROL196632 RXW196630:RYH196632 SHS196630:SID196632 SRO196630:SRZ196632 TBK196630:TBV196632 TLG196630:TLR196632 TVC196630:TVN196632 UEY196630:UFJ196632 UOU196630:UPF196632 UYQ196630:UZB196632 VIM196630:VIX196632 VSI196630:VST196632 WCE196630:WCP196632 WMA196630:WML196632 WVW196630:WWH196632 JK262166:JV262168 TG262166:TR262168 ADC262166:ADN262168 AMY262166:ANJ262168 AWU262166:AXF262168 BGQ262166:BHB262168 BQM262166:BQX262168 CAI262166:CAT262168 CKE262166:CKP262168 CUA262166:CUL262168 DDW262166:DEH262168 DNS262166:DOD262168 DXO262166:DXZ262168 EHK262166:EHV262168 ERG262166:ERR262168 FBC262166:FBN262168 FKY262166:FLJ262168 FUU262166:FVF262168 GEQ262166:GFB262168 GOM262166:GOX262168 GYI262166:GYT262168 HIE262166:HIP262168 HSA262166:HSL262168 IBW262166:ICH262168 ILS262166:IMD262168 IVO262166:IVZ262168 JFK262166:JFV262168 JPG262166:JPR262168 JZC262166:JZN262168 KIY262166:KJJ262168 KSU262166:KTF262168 LCQ262166:LDB262168 LMM262166:LMX262168 LWI262166:LWT262168 MGE262166:MGP262168 MQA262166:MQL262168 MZW262166:NAH262168 NJS262166:NKD262168 NTO262166:NTZ262168 ODK262166:ODV262168 ONG262166:ONR262168 OXC262166:OXN262168 PGY262166:PHJ262168 PQU262166:PRF262168 QAQ262166:QBB262168 QKM262166:QKX262168 QUI262166:QUT262168 REE262166:REP262168 ROA262166:ROL262168 RXW262166:RYH262168 SHS262166:SID262168 SRO262166:SRZ262168 TBK262166:TBV262168 TLG262166:TLR262168 TVC262166:TVN262168 UEY262166:UFJ262168 UOU262166:UPF262168 UYQ262166:UZB262168 VIM262166:VIX262168 VSI262166:VST262168 WCE262166:WCP262168 WMA262166:WML262168 WVW262166:WWH262168 JK327702:JV327704 TG327702:TR327704 ADC327702:ADN327704 AMY327702:ANJ327704 AWU327702:AXF327704 BGQ327702:BHB327704 BQM327702:BQX327704 CAI327702:CAT327704 CKE327702:CKP327704 CUA327702:CUL327704 DDW327702:DEH327704 DNS327702:DOD327704 DXO327702:DXZ327704 EHK327702:EHV327704 ERG327702:ERR327704 FBC327702:FBN327704 FKY327702:FLJ327704 FUU327702:FVF327704 GEQ327702:GFB327704 GOM327702:GOX327704 GYI327702:GYT327704 HIE327702:HIP327704 HSA327702:HSL327704 IBW327702:ICH327704 ILS327702:IMD327704 IVO327702:IVZ327704 JFK327702:JFV327704 JPG327702:JPR327704 JZC327702:JZN327704 KIY327702:KJJ327704 KSU327702:KTF327704 LCQ327702:LDB327704 LMM327702:LMX327704 LWI327702:LWT327704 MGE327702:MGP327704 MQA327702:MQL327704 MZW327702:NAH327704 NJS327702:NKD327704 NTO327702:NTZ327704 ODK327702:ODV327704 ONG327702:ONR327704 OXC327702:OXN327704 PGY327702:PHJ327704 PQU327702:PRF327704 QAQ327702:QBB327704 QKM327702:QKX327704 QUI327702:QUT327704 REE327702:REP327704 ROA327702:ROL327704 RXW327702:RYH327704 SHS327702:SID327704 SRO327702:SRZ327704 TBK327702:TBV327704 TLG327702:TLR327704 TVC327702:TVN327704 UEY327702:UFJ327704 UOU327702:UPF327704 UYQ327702:UZB327704 VIM327702:VIX327704 VSI327702:VST327704 WCE327702:WCP327704 WMA327702:WML327704 WVW327702:WWH327704 JK393238:JV393240 TG393238:TR393240 ADC393238:ADN393240 AMY393238:ANJ393240 AWU393238:AXF393240 BGQ393238:BHB393240 BQM393238:BQX393240 CAI393238:CAT393240 CKE393238:CKP393240 CUA393238:CUL393240 DDW393238:DEH393240 DNS393238:DOD393240 DXO393238:DXZ393240 EHK393238:EHV393240 ERG393238:ERR393240 FBC393238:FBN393240 FKY393238:FLJ393240 FUU393238:FVF393240 GEQ393238:GFB393240 GOM393238:GOX393240 GYI393238:GYT393240 HIE393238:HIP393240 HSA393238:HSL393240 IBW393238:ICH393240 ILS393238:IMD393240 IVO393238:IVZ393240 JFK393238:JFV393240 JPG393238:JPR393240 JZC393238:JZN393240 KIY393238:KJJ393240 KSU393238:KTF393240 LCQ393238:LDB393240 LMM393238:LMX393240 LWI393238:LWT393240 MGE393238:MGP393240 MQA393238:MQL393240 MZW393238:NAH393240 NJS393238:NKD393240 NTO393238:NTZ393240 ODK393238:ODV393240 ONG393238:ONR393240 OXC393238:OXN393240 PGY393238:PHJ393240 PQU393238:PRF393240 QAQ393238:QBB393240 QKM393238:QKX393240 QUI393238:QUT393240 REE393238:REP393240 ROA393238:ROL393240 RXW393238:RYH393240 SHS393238:SID393240 SRO393238:SRZ393240 TBK393238:TBV393240 TLG393238:TLR393240 TVC393238:TVN393240 UEY393238:UFJ393240 UOU393238:UPF393240 UYQ393238:UZB393240 VIM393238:VIX393240 VSI393238:VST393240 WCE393238:WCP393240 WMA393238:WML393240 WVW393238:WWH393240 JK458774:JV458776 TG458774:TR458776 ADC458774:ADN458776 AMY458774:ANJ458776 AWU458774:AXF458776 BGQ458774:BHB458776 BQM458774:BQX458776 CAI458774:CAT458776 CKE458774:CKP458776 CUA458774:CUL458776 DDW458774:DEH458776 DNS458774:DOD458776 DXO458774:DXZ458776 EHK458774:EHV458776 ERG458774:ERR458776 FBC458774:FBN458776 FKY458774:FLJ458776 FUU458774:FVF458776 GEQ458774:GFB458776 GOM458774:GOX458776 GYI458774:GYT458776 HIE458774:HIP458776 HSA458774:HSL458776 IBW458774:ICH458776 ILS458774:IMD458776 IVO458774:IVZ458776 JFK458774:JFV458776 JPG458774:JPR458776 JZC458774:JZN458776 KIY458774:KJJ458776 KSU458774:KTF458776 LCQ458774:LDB458776 LMM458774:LMX458776 LWI458774:LWT458776 MGE458774:MGP458776 MQA458774:MQL458776 MZW458774:NAH458776 NJS458774:NKD458776 NTO458774:NTZ458776 ODK458774:ODV458776 ONG458774:ONR458776 OXC458774:OXN458776 PGY458774:PHJ458776 PQU458774:PRF458776 QAQ458774:QBB458776 QKM458774:QKX458776 QUI458774:QUT458776 REE458774:REP458776 ROA458774:ROL458776 RXW458774:RYH458776 SHS458774:SID458776 SRO458774:SRZ458776 TBK458774:TBV458776 TLG458774:TLR458776 TVC458774:TVN458776 UEY458774:UFJ458776 UOU458774:UPF458776 UYQ458774:UZB458776 VIM458774:VIX458776 VSI458774:VST458776 WCE458774:WCP458776 WMA458774:WML458776 WVW458774:WWH458776 JK524310:JV524312 TG524310:TR524312 ADC524310:ADN524312 AMY524310:ANJ524312 AWU524310:AXF524312 BGQ524310:BHB524312 BQM524310:BQX524312 CAI524310:CAT524312 CKE524310:CKP524312 CUA524310:CUL524312 DDW524310:DEH524312 DNS524310:DOD524312 DXO524310:DXZ524312 EHK524310:EHV524312 ERG524310:ERR524312 FBC524310:FBN524312 FKY524310:FLJ524312 FUU524310:FVF524312 GEQ524310:GFB524312 GOM524310:GOX524312 GYI524310:GYT524312 HIE524310:HIP524312 HSA524310:HSL524312 IBW524310:ICH524312 ILS524310:IMD524312 IVO524310:IVZ524312 JFK524310:JFV524312 JPG524310:JPR524312 JZC524310:JZN524312 KIY524310:KJJ524312 KSU524310:KTF524312 LCQ524310:LDB524312 LMM524310:LMX524312 LWI524310:LWT524312 MGE524310:MGP524312 MQA524310:MQL524312 MZW524310:NAH524312 NJS524310:NKD524312 NTO524310:NTZ524312 ODK524310:ODV524312 ONG524310:ONR524312 OXC524310:OXN524312 PGY524310:PHJ524312 PQU524310:PRF524312 QAQ524310:QBB524312 QKM524310:QKX524312 QUI524310:QUT524312 REE524310:REP524312 ROA524310:ROL524312 RXW524310:RYH524312 SHS524310:SID524312 SRO524310:SRZ524312 TBK524310:TBV524312 TLG524310:TLR524312 TVC524310:TVN524312 UEY524310:UFJ524312 UOU524310:UPF524312 UYQ524310:UZB524312 VIM524310:VIX524312 VSI524310:VST524312 WCE524310:WCP524312 WMA524310:WML524312 WVW524310:WWH524312 JK589846:JV589848 TG589846:TR589848 ADC589846:ADN589848 AMY589846:ANJ589848 AWU589846:AXF589848 BGQ589846:BHB589848 BQM589846:BQX589848 CAI589846:CAT589848 CKE589846:CKP589848 CUA589846:CUL589848 DDW589846:DEH589848 DNS589846:DOD589848 DXO589846:DXZ589848 EHK589846:EHV589848 ERG589846:ERR589848 FBC589846:FBN589848 FKY589846:FLJ589848 FUU589846:FVF589848 GEQ589846:GFB589848 GOM589846:GOX589848 GYI589846:GYT589848 HIE589846:HIP589848 HSA589846:HSL589848 IBW589846:ICH589848 ILS589846:IMD589848 IVO589846:IVZ589848 JFK589846:JFV589848 JPG589846:JPR589848 JZC589846:JZN589848 KIY589846:KJJ589848 KSU589846:KTF589848 LCQ589846:LDB589848 LMM589846:LMX589848 LWI589846:LWT589848 MGE589846:MGP589848 MQA589846:MQL589848 MZW589846:NAH589848 NJS589846:NKD589848 NTO589846:NTZ589848 ODK589846:ODV589848 ONG589846:ONR589848 OXC589846:OXN589848 PGY589846:PHJ589848 PQU589846:PRF589848 QAQ589846:QBB589848 QKM589846:QKX589848 QUI589846:QUT589848 REE589846:REP589848 ROA589846:ROL589848 RXW589846:RYH589848 SHS589846:SID589848 SRO589846:SRZ589848 TBK589846:TBV589848 TLG589846:TLR589848 TVC589846:TVN589848 UEY589846:UFJ589848 UOU589846:UPF589848 UYQ589846:UZB589848 VIM589846:VIX589848 VSI589846:VST589848 WCE589846:WCP589848 WMA589846:WML589848 WVW589846:WWH589848 JK655382:JV655384 TG655382:TR655384 ADC655382:ADN655384 AMY655382:ANJ655384 AWU655382:AXF655384 BGQ655382:BHB655384 BQM655382:BQX655384 CAI655382:CAT655384 CKE655382:CKP655384 CUA655382:CUL655384 DDW655382:DEH655384 DNS655382:DOD655384 DXO655382:DXZ655384 EHK655382:EHV655384 ERG655382:ERR655384 FBC655382:FBN655384 FKY655382:FLJ655384 FUU655382:FVF655384 GEQ655382:GFB655384 GOM655382:GOX655384 GYI655382:GYT655384 HIE655382:HIP655384 HSA655382:HSL655384 IBW655382:ICH655384 ILS655382:IMD655384 IVO655382:IVZ655384 JFK655382:JFV655384 JPG655382:JPR655384 JZC655382:JZN655384 KIY655382:KJJ655384 KSU655382:KTF655384 LCQ655382:LDB655384 LMM655382:LMX655384 LWI655382:LWT655384 MGE655382:MGP655384 MQA655382:MQL655384 MZW655382:NAH655384 NJS655382:NKD655384 NTO655382:NTZ655384 ODK655382:ODV655384 ONG655382:ONR655384 OXC655382:OXN655384 PGY655382:PHJ655384 PQU655382:PRF655384 QAQ655382:QBB655384 QKM655382:QKX655384 QUI655382:QUT655384 REE655382:REP655384 ROA655382:ROL655384 RXW655382:RYH655384 SHS655382:SID655384 SRO655382:SRZ655384 TBK655382:TBV655384 TLG655382:TLR655384 TVC655382:TVN655384 UEY655382:UFJ655384 UOU655382:UPF655384 UYQ655382:UZB655384 VIM655382:VIX655384 VSI655382:VST655384 WCE655382:WCP655384 WMA655382:WML655384 WVW655382:WWH655384 JK720918:JV720920 TG720918:TR720920 ADC720918:ADN720920 AMY720918:ANJ720920 AWU720918:AXF720920 BGQ720918:BHB720920 BQM720918:BQX720920 CAI720918:CAT720920 CKE720918:CKP720920 CUA720918:CUL720920 DDW720918:DEH720920 DNS720918:DOD720920 DXO720918:DXZ720920 EHK720918:EHV720920 ERG720918:ERR720920 FBC720918:FBN720920 FKY720918:FLJ720920 FUU720918:FVF720920 GEQ720918:GFB720920 GOM720918:GOX720920 GYI720918:GYT720920 HIE720918:HIP720920 HSA720918:HSL720920 IBW720918:ICH720920 ILS720918:IMD720920 IVO720918:IVZ720920 JFK720918:JFV720920 JPG720918:JPR720920 JZC720918:JZN720920 KIY720918:KJJ720920 KSU720918:KTF720920 LCQ720918:LDB720920 LMM720918:LMX720920 LWI720918:LWT720920 MGE720918:MGP720920 MQA720918:MQL720920 MZW720918:NAH720920 NJS720918:NKD720920 NTO720918:NTZ720920 ODK720918:ODV720920 ONG720918:ONR720920 OXC720918:OXN720920 PGY720918:PHJ720920 PQU720918:PRF720920 QAQ720918:QBB720920 QKM720918:QKX720920 QUI720918:QUT720920 REE720918:REP720920 ROA720918:ROL720920 RXW720918:RYH720920 SHS720918:SID720920 SRO720918:SRZ720920 TBK720918:TBV720920 TLG720918:TLR720920 TVC720918:TVN720920 UEY720918:UFJ720920 UOU720918:UPF720920 UYQ720918:UZB720920 VIM720918:VIX720920 VSI720918:VST720920 WCE720918:WCP720920 WMA720918:WML720920 WVW720918:WWH720920 JK786454:JV786456 TG786454:TR786456 ADC786454:ADN786456 AMY786454:ANJ786456 AWU786454:AXF786456 BGQ786454:BHB786456 BQM786454:BQX786456 CAI786454:CAT786456 CKE786454:CKP786456 CUA786454:CUL786456 DDW786454:DEH786456 DNS786454:DOD786456 DXO786454:DXZ786456 EHK786454:EHV786456 ERG786454:ERR786456 FBC786454:FBN786456 FKY786454:FLJ786456 FUU786454:FVF786456 GEQ786454:GFB786456 GOM786454:GOX786456 GYI786454:GYT786456 HIE786454:HIP786456 HSA786454:HSL786456 IBW786454:ICH786456 ILS786454:IMD786456 IVO786454:IVZ786456 JFK786454:JFV786456 JPG786454:JPR786456 JZC786454:JZN786456 KIY786454:KJJ786456 KSU786454:KTF786456 LCQ786454:LDB786456 LMM786454:LMX786456 LWI786454:LWT786456 MGE786454:MGP786456 MQA786454:MQL786456 MZW786454:NAH786456 NJS786454:NKD786456 NTO786454:NTZ786456 ODK786454:ODV786456 ONG786454:ONR786456 OXC786454:OXN786456 PGY786454:PHJ786456 PQU786454:PRF786456 QAQ786454:QBB786456 QKM786454:QKX786456 QUI786454:QUT786456 REE786454:REP786456 ROA786454:ROL786456 RXW786454:RYH786456 SHS786454:SID786456 SRO786454:SRZ786456 TBK786454:TBV786456 TLG786454:TLR786456 TVC786454:TVN786456 UEY786454:UFJ786456 UOU786454:UPF786456 UYQ786454:UZB786456 VIM786454:VIX786456 VSI786454:VST786456 WCE786454:WCP786456 WMA786454:WML786456 WVW786454:WWH786456 JK851990:JV851992 TG851990:TR851992 ADC851990:ADN851992 AMY851990:ANJ851992 AWU851990:AXF851992 BGQ851990:BHB851992 BQM851990:BQX851992 CAI851990:CAT851992 CKE851990:CKP851992 CUA851990:CUL851992 DDW851990:DEH851992 DNS851990:DOD851992 DXO851990:DXZ851992 EHK851990:EHV851992 ERG851990:ERR851992 FBC851990:FBN851992 FKY851990:FLJ851992 FUU851990:FVF851992 GEQ851990:GFB851992 GOM851990:GOX851992 GYI851990:GYT851992 HIE851990:HIP851992 HSA851990:HSL851992 IBW851990:ICH851992 ILS851990:IMD851992 IVO851990:IVZ851992 JFK851990:JFV851992 JPG851990:JPR851992 JZC851990:JZN851992 KIY851990:KJJ851992 KSU851990:KTF851992 LCQ851990:LDB851992 LMM851990:LMX851992 LWI851990:LWT851992 MGE851990:MGP851992 MQA851990:MQL851992 MZW851990:NAH851992 NJS851990:NKD851992 NTO851990:NTZ851992 ODK851990:ODV851992 ONG851990:ONR851992 OXC851990:OXN851992 PGY851990:PHJ851992 PQU851990:PRF851992 QAQ851990:QBB851992 QKM851990:QKX851992 QUI851990:QUT851992 REE851990:REP851992 ROA851990:ROL851992 RXW851990:RYH851992 SHS851990:SID851992 SRO851990:SRZ851992 TBK851990:TBV851992 TLG851990:TLR851992 TVC851990:TVN851992 UEY851990:UFJ851992 UOU851990:UPF851992 UYQ851990:UZB851992 VIM851990:VIX851992 VSI851990:VST851992 WCE851990:WCP851992 WMA851990:WML851992 WVW851990:WWH851992 JK917526:JV917528 TG917526:TR917528 ADC917526:ADN917528 AMY917526:ANJ917528 AWU917526:AXF917528 BGQ917526:BHB917528 BQM917526:BQX917528 CAI917526:CAT917528 CKE917526:CKP917528 CUA917526:CUL917528 DDW917526:DEH917528 DNS917526:DOD917528 DXO917526:DXZ917528 EHK917526:EHV917528 ERG917526:ERR917528 FBC917526:FBN917528 FKY917526:FLJ917528 FUU917526:FVF917528 GEQ917526:GFB917528 GOM917526:GOX917528 GYI917526:GYT917528 HIE917526:HIP917528 HSA917526:HSL917528 IBW917526:ICH917528 ILS917526:IMD917528 IVO917526:IVZ917528 JFK917526:JFV917528 JPG917526:JPR917528 JZC917526:JZN917528 KIY917526:KJJ917528 KSU917526:KTF917528 LCQ917526:LDB917528 LMM917526:LMX917528 LWI917526:LWT917528 MGE917526:MGP917528 MQA917526:MQL917528 MZW917526:NAH917528 NJS917526:NKD917528 NTO917526:NTZ917528 ODK917526:ODV917528 ONG917526:ONR917528 OXC917526:OXN917528 PGY917526:PHJ917528 PQU917526:PRF917528 QAQ917526:QBB917528 QKM917526:QKX917528 QUI917526:QUT917528 REE917526:REP917528 ROA917526:ROL917528 RXW917526:RYH917528 SHS917526:SID917528 SRO917526:SRZ917528 TBK917526:TBV917528 TLG917526:TLR917528 TVC917526:TVN917528 UEY917526:UFJ917528 UOU917526:UPF917528 UYQ917526:UZB917528 VIM917526:VIX917528 VSI917526:VST917528 WCE917526:WCP917528 WMA917526:WML917528 WVW917526:WWH917528 JK983062:JV983064 TG983062:TR983064 ADC983062:ADN983064 AMY983062:ANJ983064 AWU983062:AXF983064 BGQ983062:BHB983064 BQM983062:BQX983064 CAI983062:CAT983064 CKE983062:CKP983064 CUA983062:CUL983064 DDW983062:DEH983064 DNS983062:DOD983064 DXO983062:DXZ983064 EHK983062:EHV983064 ERG983062:ERR983064 FBC983062:FBN983064 FKY983062:FLJ983064 FUU983062:FVF983064 GEQ983062:GFB983064 GOM983062:GOX983064 GYI983062:GYT983064 HIE983062:HIP983064 HSA983062:HSL983064 IBW983062:ICH983064 ILS983062:IMD983064 IVO983062:IVZ983064 JFK983062:JFV983064 JPG983062:JPR983064 JZC983062:JZN983064 KIY983062:KJJ983064 KSU983062:KTF983064 LCQ983062:LDB983064 LMM983062:LMX983064 LWI983062:LWT983064 MGE983062:MGP983064 MQA983062:MQL983064 MZW983062:NAH983064 NJS983062:NKD983064 NTO983062:NTZ983064 ODK983062:ODV983064 ONG983062:ONR983064 OXC983062:OXN983064 PGY983062:PHJ983064 PQU983062:PRF983064 QAQ983062:QBB983064 QKM983062:QKX983064 QUI983062:QUT983064 REE983062:REP983064 ROA983062:ROL983064 RXW983062:RYH983064 SHS983062:SID983064 SRO983062:SRZ983064 TBK983062:TBV983064 TLG983062:TLR983064 TVC983062:TVN983064 UEY983062:UFJ983064 UOU983062:UPF983064 UYQ983062:UZB983064 VIM983062:VIX983064 VSI983062:VST983064 WCE983062:WCP983064 WMA983062:WML983064 WVW983062:WWH983064 WVW983067:WWH983069 JK65563:JV65565 TG65563:TR65565 ADC65563:ADN65565 AMY65563:ANJ65565 AWU65563:AXF65565 BGQ65563:BHB65565 BQM65563:BQX65565 CAI65563:CAT65565 CKE65563:CKP65565 CUA65563:CUL65565 DDW65563:DEH65565 DNS65563:DOD65565 DXO65563:DXZ65565 EHK65563:EHV65565 ERG65563:ERR65565 FBC65563:FBN65565 FKY65563:FLJ65565 FUU65563:FVF65565 GEQ65563:GFB65565 GOM65563:GOX65565 GYI65563:GYT65565 HIE65563:HIP65565 HSA65563:HSL65565 IBW65563:ICH65565 ILS65563:IMD65565 IVO65563:IVZ65565 JFK65563:JFV65565 JPG65563:JPR65565 JZC65563:JZN65565 KIY65563:KJJ65565 KSU65563:KTF65565 LCQ65563:LDB65565 LMM65563:LMX65565 LWI65563:LWT65565 MGE65563:MGP65565 MQA65563:MQL65565 MZW65563:NAH65565 NJS65563:NKD65565 NTO65563:NTZ65565 ODK65563:ODV65565 ONG65563:ONR65565 OXC65563:OXN65565 PGY65563:PHJ65565 PQU65563:PRF65565 QAQ65563:QBB65565 QKM65563:QKX65565 QUI65563:QUT65565 REE65563:REP65565 ROA65563:ROL65565 RXW65563:RYH65565 SHS65563:SID65565 SRO65563:SRZ65565 TBK65563:TBV65565 TLG65563:TLR65565 TVC65563:TVN65565 UEY65563:UFJ65565 UOU65563:UPF65565 UYQ65563:UZB65565 VIM65563:VIX65565 VSI65563:VST65565 WCE65563:WCP65565 WMA65563:WML65565 WVW65563:WWH65565 JK131099:JV131101 TG131099:TR131101 ADC131099:ADN131101 AMY131099:ANJ131101 AWU131099:AXF131101 BGQ131099:BHB131101 BQM131099:BQX131101 CAI131099:CAT131101 CKE131099:CKP131101 CUA131099:CUL131101 DDW131099:DEH131101 DNS131099:DOD131101 DXO131099:DXZ131101 EHK131099:EHV131101 ERG131099:ERR131101 FBC131099:FBN131101 FKY131099:FLJ131101 FUU131099:FVF131101 GEQ131099:GFB131101 GOM131099:GOX131101 GYI131099:GYT131101 HIE131099:HIP131101 HSA131099:HSL131101 IBW131099:ICH131101 ILS131099:IMD131101 IVO131099:IVZ131101 JFK131099:JFV131101 JPG131099:JPR131101 JZC131099:JZN131101 KIY131099:KJJ131101 KSU131099:KTF131101 LCQ131099:LDB131101 LMM131099:LMX131101 LWI131099:LWT131101 MGE131099:MGP131101 MQA131099:MQL131101 MZW131099:NAH131101 NJS131099:NKD131101 NTO131099:NTZ131101 ODK131099:ODV131101 ONG131099:ONR131101 OXC131099:OXN131101 PGY131099:PHJ131101 PQU131099:PRF131101 QAQ131099:QBB131101 QKM131099:QKX131101 QUI131099:QUT131101 REE131099:REP131101 ROA131099:ROL131101 RXW131099:RYH131101 SHS131099:SID131101 SRO131099:SRZ131101 TBK131099:TBV131101 TLG131099:TLR131101 TVC131099:TVN131101 UEY131099:UFJ131101 UOU131099:UPF131101 UYQ131099:UZB131101 VIM131099:VIX131101 VSI131099:VST131101 WCE131099:WCP131101 WMA131099:WML131101 WVW131099:WWH131101 JK196635:JV196637 TG196635:TR196637 ADC196635:ADN196637 AMY196635:ANJ196637 AWU196635:AXF196637 BGQ196635:BHB196637 BQM196635:BQX196637 CAI196635:CAT196637 CKE196635:CKP196637 CUA196635:CUL196637 DDW196635:DEH196637 DNS196635:DOD196637 DXO196635:DXZ196637 EHK196635:EHV196637 ERG196635:ERR196637 FBC196635:FBN196637 FKY196635:FLJ196637 FUU196635:FVF196637 GEQ196635:GFB196637 GOM196635:GOX196637 GYI196635:GYT196637 HIE196635:HIP196637 HSA196635:HSL196637 IBW196635:ICH196637 ILS196635:IMD196637 IVO196635:IVZ196637 JFK196635:JFV196637 JPG196635:JPR196637 JZC196635:JZN196637 KIY196635:KJJ196637 KSU196635:KTF196637 LCQ196635:LDB196637 LMM196635:LMX196637 LWI196635:LWT196637 MGE196635:MGP196637 MQA196635:MQL196637 MZW196635:NAH196637 NJS196635:NKD196637 NTO196635:NTZ196637 ODK196635:ODV196637 ONG196635:ONR196637 OXC196635:OXN196637 PGY196635:PHJ196637 PQU196635:PRF196637 QAQ196635:QBB196637 QKM196635:QKX196637 QUI196635:QUT196637 REE196635:REP196637 ROA196635:ROL196637 RXW196635:RYH196637 SHS196635:SID196637 SRO196635:SRZ196637 TBK196635:TBV196637 TLG196635:TLR196637 TVC196635:TVN196637 UEY196635:UFJ196637 UOU196635:UPF196637 UYQ196635:UZB196637 VIM196635:VIX196637 VSI196635:VST196637 WCE196635:WCP196637 WMA196635:WML196637 WVW196635:WWH196637 JK262171:JV262173 TG262171:TR262173 ADC262171:ADN262173 AMY262171:ANJ262173 AWU262171:AXF262173 BGQ262171:BHB262173 BQM262171:BQX262173 CAI262171:CAT262173 CKE262171:CKP262173 CUA262171:CUL262173 DDW262171:DEH262173 DNS262171:DOD262173 DXO262171:DXZ262173 EHK262171:EHV262173 ERG262171:ERR262173 FBC262171:FBN262173 FKY262171:FLJ262173 FUU262171:FVF262173 GEQ262171:GFB262173 GOM262171:GOX262173 GYI262171:GYT262173 HIE262171:HIP262173 HSA262171:HSL262173 IBW262171:ICH262173 ILS262171:IMD262173 IVO262171:IVZ262173 JFK262171:JFV262173 JPG262171:JPR262173 JZC262171:JZN262173 KIY262171:KJJ262173 KSU262171:KTF262173 LCQ262171:LDB262173 LMM262171:LMX262173 LWI262171:LWT262173 MGE262171:MGP262173 MQA262171:MQL262173 MZW262171:NAH262173 NJS262171:NKD262173 NTO262171:NTZ262173 ODK262171:ODV262173 ONG262171:ONR262173 OXC262171:OXN262173 PGY262171:PHJ262173 PQU262171:PRF262173 QAQ262171:QBB262173 QKM262171:QKX262173 QUI262171:QUT262173 REE262171:REP262173 ROA262171:ROL262173 RXW262171:RYH262173 SHS262171:SID262173 SRO262171:SRZ262173 TBK262171:TBV262173 TLG262171:TLR262173 TVC262171:TVN262173 UEY262171:UFJ262173 UOU262171:UPF262173 UYQ262171:UZB262173 VIM262171:VIX262173 VSI262171:VST262173 WCE262171:WCP262173 WMA262171:WML262173 WVW262171:WWH262173 JK327707:JV327709 TG327707:TR327709 ADC327707:ADN327709 AMY327707:ANJ327709 AWU327707:AXF327709 BGQ327707:BHB327709 BQM327707:BQX327709 CAI327707:CAT327709 CKE327707:CKP327709 CUA327707:CUL327709 DDW327707:DEH327709 DNS327707:DOD327709 DXO327707:DXZ327709 EHK327707:EHV327709 ERG327707:ERR327709 FBC327707:FBN327709 FKY327707:FLJ327709 FUU327707:FVF327709 GEQ327707:GFB327709 GOM327707:GOX327709 GYI327707:GYT327709 HIE327707:HIP327709 HSA327707:HSL327709 IBW327707:ICH327709 ILS327707:IMD327709 IVO327707:IVZ327709 JFK327707:JFV327709 JPG327707:JPR327709 JZC327707:JZN327709 KIY327707:KJJ327709 KSU327707:KTF327709 LCQ327707:LDB327709 LMM327707:LMX327709 LWI327707:LWT327709 MGE327707:MGP327709 MQA327707:MQL327709 MZW327707:NAH327709 NJS327707:NKD327709 NTO327707:NTZ327709 ODK327707:ODV327709 ONG327707:ONR327709 OXC327707:OXN327709 PGY327707:PHJ327709 PQU327707:PRF327709 QAQ327707:QBB327709 QKM327707:QKX327709 QUI327707:QUT327709 REE327707:REP327709 ROA327707:ROL327709 RXW327707:RYH327709 SHS327707:SID327709 SRO327707:SRZ327709 TBK327707:TBV327709 TLG327707:TLR327709 TVC327707:TVN327709 UEY327707:UFJ327709 UOU327707:UPF327709 UYQ327707:UZB327709 VIM327707:VIX327709 VSI327707:VST327709 WCE327707:WCP327709 WMA327707:WML327709 WVW327707:WWH327709 JK393243:JV393245 TG393243:TR393245 ADC393243:ADN393245 AMY393243:ANJ393245 AWU393243:AXF393245 BGQ393243:BHB393245 BQM393243:BQX393245 CAI393243:CAT393245 CKE393243:CKP393245 CUA393243:CUL393245 DDW393243:DEH393245 DNS393243:DOD393245 DXO393243:DXZ393245 EHK393243:EHV393245 ERG393243:ERR393245 FBC393243:FBN393245 FKY393243:FLJ393245 FUU393243:FVF393245 GEQ393243:GFB393245 GOM393243:GOX393245 GYI393243:GYT393245 HIE393243:HIP393245 HSA393243:HSL393245 IBW393243:ICH393245 ILS393243:IMD393245 IVO393243:IVZ393245 JFK393243:JFV393245 JPG393243:JPR393245 JZC393243:JZN393245 KIY393243:KJJ393245 KSU393243:KTF393245 LCQ393243:LDB393245 LMM393243:LMX393245 LWI393243:LWT393245 MGE393243:MGP393245 MQA393243:MQL393245 MZW393243:NAH393245 NJS393243:NKD393245 NTO393243:NTZ393245 ODK393243:ODV393245 ONG393243:ONR393245 OXC393243:OXN393245 PGY393243:PHJ393245 PQU393243:PRF393245 QAQ393243:QBB393245 QKM393243:QKX393245 QUI393243:QUT393245 REE393243:REP393245 ROA393243:ROL393245 RXW393243:RYH393245 SHS393243:SID393245 SRO393243:SRZ393245 TBK393243:TBV393245 TLG393243:TLR393245 TVC393243:TVN393245 UEY393243:UFJ393245 UOU393243:UPF393245 UYQ393243:UZB393245 VIM393243:VIX393245 VSI393243:VST393245 WCE393243:WCP393245 WMA393243:WML393245 WVW393243:WWH393245 JK458779:JV458781 TG458779:TR458781 ADC458779:ADN458781 AMY458779:ANJ458781 AWU458779:AXF458781 BGQ458779:BHB458781 BQM458779:BQX458781 CAI458779:CAT458781 CKE458779:CKP458781 CUA458779:CUL458781 DDW458779:DEH458781 DNS458779:DOD458781 DXO458779:DXZ458781 EHK458779:EHV458781 ERG458779:ERR458781 FBC458779:FBN458781 FKY458779:FLJ458781 FUU458779:FVF458781 GEQ458779:GFB458781 GOM458779:GOX458781 GYI458779:GYT458781 HIE458779:HIP458781 HSA458779:HSL458781 IBW458779:ICH458781 ILS458779:IMD458781 IVO458779:IVZ458781 JFK458779:JFV458781 JPG458779:JPR458781 JZC458779:JZN458781 KIY458779:KJJ458781 KSU458779:KTF458781 LCQ458779:LDB458781 LMM458779:LMX458781 LWI458779:LWT458781 MGE458779:MGP458781 MQA458779:MQL458781 MZW458779:NAH458781 NJS458779:NKD458781 NTO458779:NTZ458781 ODK458779:ODV458781 ONG458779:ONR458781 OXC458779:OXN458781 PGY458779:PHJ458781 PQU458779:PRF458781 QAQ458779:QBB458781 QKM458779:QKX458781 QUI458779:QUT458781 REE458779:REP458781 ROA458779:ROL458781 RXW458779:RYH458781 SHS458779:SID458781 SRO458779:SRZ458781 TBK458779:TBV458781 TLG458779:TLR458781 TVC458779:TVN458781 UEY458779:UFJ458781 UOU458779:UPF458781 UYQ458779:UZB458781 VIM458779:VIX458781 VSI458779:VST458781 WCE458779:WCP458781 WMA458779:WML458781 WVW458779:WWH458781 JK524315:JV524317 TG524315:TR524317 ADC524315:ADN524317 AMY524315:ANJ524317 AWU524315:AXF524317 BGQ524315:BHB524317 BQM524315:BQX524317 CAI524315:CAT524317 CKE524315:CKP524317 CUA524315:CUL524317 DDW524315:DEH524317 DNS524315:DOD524317 DXO524315:DXZ524317 EHK524315:EHV524317 ERG524315:ERR524317 FBC524315:FBN524317 FKY524315:FLJ524317 FUU524315:FVF524317 GEQ524315:GFB524317 GOM524315:GOX524317 GYI524315:GYT524317 HIE524315:HIP524317 HSA524315:HSL524317 IBW524315:ICH524317 ILS524315:IMD524317 IVO524315:IVZ524317 JFK524315:JFV524317 JPG524315:JPR524317 JZC524315:JZN524317 KIY524315:KJJ524317 KSU524315:KTF524317 LCQ524315:LDB524317 LMM524315:LMX524317 LWI524315:LWT524317 MGE524315:MGP524317 MQA524315:MQL524317 MZW524315:NAH524317 NJS524315:NKD524317 NTO524315:NTZ524317 ODK524315:ODV524317 ONG524315:ONR524317 OXC524315:OXN524317 PGY524315:PHJ524317 PQU524315:PRF524317 QAQ524315:QBB524317 QKM524315:QKX524317 QUI524315:QUT524317 REE524315:REP524317 ROA524315:ROL524317 RXW524315:RYH524317 SHS524315:SID524317 SRO524315:SRZ524317 TBK524315:TBV524317 TLG524315:TLR524317 TVC524315:TVN524317 UEY524315:UFJ524317 UOU524315:UPF524317 UYQ524315:UZB524317 VIM524315:VIX524317 VSI524315:VST524317 WCE524315:WCP524317 WMA524315:WML524317 WVW524315:WWH524317 JK589851:JV589853 TG589851:TR589853 ADC589851:ADN589853 AMY589851:ANJ589853 AWU589851:AXF589853 BGQ589851:BHB589853 BQM589851:BQX589853 CAI589851:CAT589853 CKE589851:CKP589853 CUA589851:CUL589853 DDW589851:DEH589853 DNS589851:DOD589853 DXO589851:DXZ589853 EHK589851:EHV589853 ERG589851:ERR589853 FBC589851:FBN589853 FKY589851:FLJ589853 FUU589851:FVF589853 GEQ589851:GFB589853 GOM589851:GOX589853 GYI589851:GYT589853 HIE589851:HIP589853 HSA589851:HSL589853 IBW589851:ICH589853 ILS589851:IMD589853 IVO589851:IVZ589853 JFK589851:JFV589853 JPG589851:JPR589853 JZC589851:JZN589853 KIY589851:KJJ589853 KSU589851:KTF589853 LCQ589851:LDB589853 LMM589851:LMX589853 LWI589851:LWT589853 MGE589851:MGP589853 MQA589851:MQL589853 MZW589851:NAH589853 NJS589851:NKD589853 NTO589851:NTZ589853 ODK589851:ODV589853 ONG589851:ONR589853 OXC589851:OXN589853 PGY589851:PHJ589853 PQU589851:PRF589853 QAQ589851:QBB589853 QKM589851:QKX589853 QUI589851:QUT589853 REE589851:REP589853 ROA589851:ROL589853 RXW589851:RYH589853 SHS589851:SID589853 SRO589851:SRZ589853 TBK589851:TBV589853 TLG589851:TLR589853 TVC589851:TVN589853 UEY589851:UFJ589853 UOU589851:UPF589853 UYQ589851:UZB589853 VIM589851:VIX589853 VSI589851:VST589853 WCE589851:WCP589853 WMA589851:WML589853 WVW589851:WWH589853 JK655387:JV655389 TG655387:TR655389 ADC655387:ADN655389 AMY655387:ANJ655389 AWU655387:AXF655389 BGQ655387:BHB655389 BQM655387:BQX655389 CAI655387:CAT655389 CKE655387:CKP655389 CUA655387:CUL655389 DDW655387:DEH655389 DNS655387:DOD655389 DXO655387:DXZ655389 EHK655387:EHV655389 ERG655387:ERR655389 FBC655387:FBN655389 FKY655387:FLJ655389 FUU655387:FVF655389 GEQ655387:GFB655389 GOM655387:GOX655389 GYI655387:GYT655389 HIE655387:HIP655389 HSA655387:HSL655389 IBW655387:ICH655389 ILS655387:IMD655389 IVO655387:IVZ655389 JFK655387:JFV655389 JPG655387:JPR655389 JZC655387:JZN655389 KIY655387:KJJ655389 KSU655387:KTF655389 LCQ655387:LDB655389 LMM655387:LMX655389 LWI655387:LWT655389 MGE655387:MGP655389 MQA655387:MQL655389 MZW655387:NAH655389 NJS655387:NKD655389 NTO655387:NTZ655389 ODK655387:ODV655389 ONG655387:ONR655389 OXC655387:OXN655389 PGY655387:PHJ655389 PQU655387:PRF655389 QAQ655387:QBB655389 QKM655387:QKX655389 QUI655387:QUT655389 REE655387:REP655389 ROA655387:ROL655389 RXW655387:RYH655389 SHS655387:SID655389 SRO655387:SRZ655389 TBK655387:TBV655389 TLG655387:TLR655389 TVC655387:TVN655389 UEY655387:UFJ655389 UOU655387:UPF655389 UYQ655387:UZB655389 VIM655387:VIX655389 VSI655387:VST655389 WCE655387:WCP655389 WMA655387:WML655389 WVW655387:WWH655389 JK720923:JV720925 TG720923:TR720925 ADC720923:ADN720925 AMY720923:ANJ720925 AWU720923:AXF720925 BGQ720923:BHB720925 BQM720923:BQX720925 CAI720923:CAT720925 CKE720923:CKP720925 CUA720923:CUL720925 DDW720923:DEH720925 DNS720923:DOD720925 DXO720923:DXZ720925 EHK720923:EHV720925 ERG720923:ERR720925 FBC720923:FBN720925 FKY720923:FLJ720925 FUU720923:FVF720925 GEQ720923:GFB720925 GOM720923:GOX720925 GYI720923:GYT720925 HIE720923:HIP720925 HSA720923:HSL720925 IBW720923:ICH720925 ILS720923:IMD720925 IVO720923:IVZ720925 JFK720923:JFV720925 JPG720923:JPR720925 JZC720923:JZN720925 KIY720923:KJJ720925 KSU720923:KTF720925 LCQ720923:LDB720925 LMM720923:LMX720925 LWI720923:LWT720925 MGE720923:MGP720925 MQA720923:MQL720925 MZW720923:NAH720925 NJS720923:NKD720925 NTO720923:NTZ720925 ODK720923:ODV720925 ONG720923:ONR720925 OXC720923:OXN720925 PGY720923:PHJ720925 PQU720923:PRF720925 QAQ720923:QBB720925 QKM720923:QKX720925 QUI720923:QUT720925 REE720923:REP720925 ROA720923:ROL720925 RXW720923:RYH720925 SHS720923:SID720925 SRO720923:SRZ720925 TBK720923:TBV720925 TLG720923:TLR720925 TVC720923:TVN720925 UEY720923:UFJ720925 UOU720923:UPF720925 UYQ720923:UZB720925 VIM720923:VIX720925 VSI720923:VST720925 WCE720923:WCP720925 WMA720923:WML720925 WVW720923:WWH720925 JK786459:JV786461 TG786459:TR786461 ADC786459:ADN786461 AMY786459:ANJ786461 AWU786459:AXF786461 BGQ786459:BHB786461 BQM786459:BQX786461 CAI786459:CAT786461 CKE786459:CKP786461 CUA786459:CUL786461 DDW786459:DEH786461 DNS786459:DOD786461 DXO786459:DXZ786461 EHK786459:EHV786461 ERG786459:ERR786461 FBC786459:FBN786461 FKY786459:FLJ786461 FUU786459:FVF786461 GEQ786459:GFB786461 GOM786459:GOX786461 GYI786459:GYT786461 HIE786459:HIP786461 HSA786459:HSL786461 IBW786459:ICH786461 ILS786459:IMD786461 IVO786459:IVZ786461 JFK786459:JFV786461 JPG786459:JPR786461 JZC786459:JZN786461 KIY786459:KJJ786461 KSU786459:KTF786461 LCQ786459:LDB786461 LMM786459:LMX786461 LWI786459:LWT786461 MGE786459:MGP786461 MQA786459:MQL786461 MZW786459:NAH786461 NJS786459:NKD786461 NTO786459:NTZ786461 ODK786459:ODV786461 ONG786459:ONR786461 OXC786459:OXN786461 PGY786459:PHJ786461 PQU786459:PRF786461 QAQ786459:QBB786461 QKM786459:QKX786461 QUI786459:QUT786461 REE786459:REP786461 ROA786459:ROL786461 RXW786459:RYH786461 SHS786459:SID786461 SRO786459:SRZ786461 TBK786459:TBV786461 TLG786459:TLR786461 TVC786459:TVN786461 UEY786459:UFJ786461 UOU786459:UPF786461 UYQ786459:UZB786461 VIM786459:VIX786461 VSI786459:VST786461 WCE786459:WCP786461 WMA786459:WML786461 WVW786459:WWH786461 JK851995:JV851997 TG851995:TR851997 ADC851995:ADN851997 AMY851995:ANJ851997 AWU851995:AXF851997 BGQ851995:BHB851997 BQM851995:BQX851997 CAI851995:CAT851997 CKE851995:CKP851997 CUA851995:CUL851997 DDW851995:DEH851997 DNS851995:DOD851997 DXO851995:DXZ851997 EHK851995:EHV851997 ERG851995:ERR851997 FBC851995:FBN851997 FKY851995:FLJ851997 FUU851995:FVF851997 GEQ851995:GFB851997 GOM851995:GOX851997 GYI851995:GYT851997 HIE851995:HIP851997 HSA851995:HSL851997 IBW851995:ICH851997 ILS851995:IMD851997 IVO851995:IVZ851997 JFK851995:JFV851997 JPG851995:JPR851997 JZC851995:JZN851997 KIY851995:KJJ851997 KSU851995:KTF851997 LCQ851995:LDB851997 LMM851995:LMX851997 LWI851995:LWT851997 MGE851995:MGP851997 MQA851995:MQL851997 MZW851995:NAH851997 NJS851995:NKD851997 NTO851995:NTZ851997 ODK851995:ODV851997 ONG851995:ONR851997 OXC851995:OXN851997 PGY851995:PHJ851997 PQU851995:PRF851997 QAQ851995:QBB851997 QKM851995:QKX851997 QUI851995:QUT851997 REE851995:REP851997 ROA851995:ROL851997 RXW851995:RYH851997 SHS851995:SID851997 SRO851995:SRZ851997 TBK851995:TBV851997 TLG851995:TLR851997 TVC851995:TVN851997 UEY851995:UFJ851997 UOU851995:UPF851997 UYQ851995:UZB851997 VIM851995:VIX851997 VSI851995:VST851997 WCE851995:WCP851997 WMA851995:WML851997 WVW851995:WWH851997 JK917531:JV917533 TG917531:TR917533 ADC917531:ADN917533 AMY917531:ANJ917533 AWU917531:AXF917533 BGQ917531:BHB917533 BQM917531:BQX917533 CAI917531:CAT917533 CKE917531:CKP917533 CUA917531:CUL917533 DDW917531:DEH917533 DNS917531:DOD917533 DXO917531:DXZ917533 EHK917531:EHV917533 ERG917531:ERR917533 FBC917531:FBN917533 FKY917531:FLJ917533 FUU917531:FVF917533 GEQ917531:GFB917533 GOM917531:GOX917533 GYI917531:GYT917533 HIE917531:HIP917533 HSA917531:HSL917533 IBW917531:ICH917533 ILS917531:IMD917533 IVO917531:IVZ917533 JFK917531:JFV917533 JPG917531:JPR917533 JZC917531:JZN917533 KIY917531:KJJ917533 KSU917531:KTF917533 LCQ917531:LDB917533 LMM917531:LMX917533 LWI917531:LWT917533 MGE917531:MGP917533 MQA917531:MQL917533 MZW917531:NAH917533 NJS917531:NKD917533 NTO917531:NTZ917533 ODK917531:ODV917533 ONG917531:ONR917533 OXC917531:OXN917533 PGY917531:PHJ917533 PQU917531:PRF917533 QAQ917531:QBB917533 QKM917531:QKX917533 QUI917531:QUT917533 REE917531:REP917533 ROA917531:ROL917533 RXW917531:RYH917533 SHS917531:SID917533 SRO917531:SRZ917533 TBK917531:TBV917533 TLG917531:TLR917533 TVC917531:TVN917533 UEY917531:UFJ917533 UOU917531:UPF917533 UYQ917531:UZB917533 VIM917531:VIX917533 VSI917531:VST917533 WCE917531:WCP917533 WMA917531:WML917533 WVW917531:WWH917533 JK983067:JV983069 TG983067:TR983069 ADC983067:ADN983069 AMY983067:ANJ983069 AWU983067:AXF983069 BGQ983067:BHB983069 BQM983067:BQX983069 CAI983067:CAT983069 CKE983067:CKP983069 CUA983067:CUL983069 DDW983067:DEH983069 DNS983067:DOD983069 DXO983067:DXZ983069 EHK983067:EHV983069 ERG983067:ERR983069 FBC983067:FBN983069 FKY983067:FLJ983069 FUU983067:FVF983069 GEQ983067:GFB983069 GOM983067:GOX983069 GYI983067:GYT983069 HIE983067:HIP983069 HSA983067:HSL983069 IBW983067:ICH983069 ILS983067:IMD983069 IVO983067:IVZ983069 JFK983067:JFV983069 JPG983067:JPR983069 JZC983067:JZN983069 KIY983067:KJJ983069 KSU983067:KTF983069 LCQ983067:LDB983069 LMM983067:LMX983069 LWI983067:LWT983069 MGE983067:MGP983069 MQA983067:MQL983069 MZW983067:NAH983069 NJS983067:NKD983069 NTO983067:NTZ983069 ODK983067:ODV983069 ONG983067:ONR983069 OXC983067:OXN983069 PGY983067:PHJ983069 PQU983067:PRF983069 QAQ983067:QBB983069 QKM983067:QKX983069 QUI983067:QUT983069 REE983067:REP983069 ROA983067:ROL983069 RXW983067:RYH983069 SHS983067:SID983069 SRO983067:SRZ983069 TBK983067:TBV983069 TLG983067:TLR983069 TVC983067:TVN983069 UEY983067:UFJ983069 UOU983067:UPF983069 UYQ983067:UZB983069 VIM983067:VIX983069 VSI983067:VST983069 WCE983067:WCP983069 WMA983067:WML983069 Z262166:AJ262168 Z196630:AJ196632 Z131094:AJ131096 Z65558:AJ65560 Z983067:AJ983069 Z917531:AJ917533 Z851995:AJ851997 Z786459:AJ786461 Z720923:AJ720925 Z655387:AJ655389 Z589851:AJ589853 Z524315:AJ524317 Z458779:AJ458781 Z393243:AJ393245 Z327707:AJ327709 Z262171:AJ262173 Z196635:AJ196637 Z131099:AJ131101 Z65563:AJ65565 Z983062:AJ983064 Z917526:AJ917528 Z851990:AJ851992 Z786454:AJ786456 Z720918:AJ720920 Z655382:AJ655384 Z589846:AJ589848 Z524310:AJ524312 Z458774:AJ458776 Z393238:AJ393240 Z327702:AJ32770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600-000001000000}"/>
    <dataValidation type="list" allowBlank="1" showInputMessage="1" showErrorMessage="1" sqref="AA32:AA33 AA43" xr:uid="{2106975D-00AF-4AAA-BDA5-648A85A3AA94}">
      <formula1>"datetime,int,numeric,varchar,nvarchar,datetime2"</formula1>
    </dataValidation>
    <dataValidation type="list" allowBlank="1" showInputMessage="1" showErrorMessage="1" sqref="Y8:Z87" xr:uid="{00000000-0002-0000-06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D36"/>
  <sheetViews>
    <sheetView showGridLines="0" zoomScaleNormal="100" zoomScaleSheetLayoutView="100" workbookViewId="0">
      <selection activeCell="M26" sqref="M26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str">
        <f ca="1">IF(VLOOKUP(RIGHT(CELL("filename",A2),LEN(CELL("filename",A2))-FIND("]",CELL("filename",A2))),テーブル一覧!B:AD,29,FALSE)=0,"",VLOOKUP(RIGHT(CELL("filename",A2),LEN(CELL("filename",A2))-FIND("]",CELL("filename",A2))),テーブル一覧!B:AD,29,FALSE))</f>
        <v/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発注摘要.連絡情報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t_hachu_renraku_jiko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1909</v>
      </c>
      <c r="C8" s="19"/>
      <c r="D8" s="19"/>
      <c r="E8" s="19"/>
      <c r="F8" s="19"/>
      <c r="G8" s="19"/>
      <c r="H8" s="22"/>
      <c r="I8" s="64" t="str">
        <f>VLOOKUP(B8,項目一覧2!A:B,2,FALSE)</f>
        <v>hatchu_no</v>
      </c>
      <c r="J8" s="21"/>
      <c r="K8" s="21"/>
      <c r="L8" s="21"/>
      <c r="M8" s="21"/>
      <c r="N8" s="21"/>
      <c r="O8" s="21"/>
      <c r="P8" s="21"/>
      <c r="Q8" s="32"/>
      <c r="R8" s="18" t="s">
        <v>159</v>
      </c>
      <c r="S8" s="21"/>
      <c r="T8" s="21"/>
      <c r="U8" s="21"/>
      <c r="V8" s="21"/>
      <c r="W8" s="19"/>
      <c r="X8" s="22"/>
      <c r="Y8" s="212" t="s">
        <v>56</v>
      </c>
      <c r="Z8" s="217"/>
      <c r="AA8" s="214" t="s">
        <v>1752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1778</v>
      </c>
      <c r="C9" s="39"/>
      <c r="D9" s="39"/>
      <c r="E9" s="39"/>
      <c r="F9" s="39"/>
      <c r="G9" s="39"/>
      <c r="H9" s="40"/>
      <c r="I9" s="64" t="str">
        <f>VLOOKUP(B9,項目一覧2!A:B,2,FALSE)</f>
        <v>bunrui</v>
      </c>
      <c r="J9" s="30"/>
      <c r="K9" s="30"/>
      <c r="L9" s="30"/>
      <c r="M9" s="30"/>
      <c r="N9" s="30"/>
      <c r="O9" s="30"/>
      <c r="P9" s="30"/>
      <c r="Q9" s="31"/>
      <c r="R9" s="41" t="s">
        <v>134</v>
      </c>
      <c r="S9" s="21"/>
      <c r="T9" s="33"/>
      <c r="U9" s="21"/>
      <c r="V9" s="21"/>
      <c r="W9" s="21"/>
      <c r="X9" s="22"/>
      <c r="Y9" s="212" t="s">
        <v>56</v>
      </c>
      <c r="Z9" s="213"/>
      <c r="AA9" s="214" t="s">
        <v>1752</v>
      </c>
      <c r="AB9" s="215"/>
      <c r="AC9" s="216"/>
      <c r="AD9" s="25">
        <v>30</v>
      </c>
      <c r="AE9" s="25"/>
      <c r="AF9" s="27">
        <v>2</v>
      </c>
      <c r="AG9" s="26" t="s">
        <v>123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1" t="s">
        <v>1569</v>
      </c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41" t="s">
        <v>1984</v>
      </c>
      <c r="C10" s="39"/>
      <c r="D10" s="39"/>
      <c r="E10" s="39"/>
      <c r="F10" s="39"/>
      <c r="G10" s="39"/>
      <c r="H10" s="40"/>
      <c r="I10" s="64" t="s">
        <v>1985</v>
      </c>
      <c r="J10" s="30"/>
      <c r="K10" s="30"/>
      <c r="L10" s="30"/>
      <c r="M10" s="30"/>
      <c r="N10" s="30"/>
      <c r="O10" s="30"/>
      <c r="P10" s="30"/>
      <c r="Q10" s="31"/>
      <c r="R10" s="41" t="s">
        <v>139</v>
      </c>
      <c r="S10" s="21"/>
      <c r="T10" s="33"/>
      <c r="U10" s="21"/>
      <c r="V10" s="21"/>
      <c r="W10" s="21"/>
      <c r="X10" s="19"/>
      <c r="Y10" s="212" t="s">
        <v>108</v>
      </c>
      <c r="Z10" s="213"/>
      <c r="AA10" s="214" t="s">
        <v>110</v>
      </c>
      <c r="AB10" s="215"/>
      <c r="AC10" s="216"/>
      <c r="AD10" s="25">
        <v>2</v>
      </c>
      <c r="AE10" s="25"/>
      <c r="AF10" s="27">
        <v>3</v>
      </c>
      <c r="AG10" s="26" t="s">
        <v>123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1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61">
        <f>IF(B11="","",COUNTA($B$8:B11))</f>
        <v>4</v>
      </c>
      <c r="B11" s="20" t="s">
        <v>1986</v>
      </c>
      <c r="C11" s="19"/>
      <c r="D11" s="19"/>
      <c r="E11" s="19"/>
      <c r="F11" s="19"/>
      <c r="G11" s="19"/>
      <c r="H11" s="22"/>
      <c r="I11" s="64" t="str">
        <f>VLOOKUP(B11,項目一覧2!A:B,2,FALSE)</f>
        <v>tekiyo</v>
      </c>
      <c r="J11" s="21"/>
      <c r="K11" s="21"/>
      <c r="L11" s="21"/>
      <c r="M11" s="21"/>
      <c r="N11" s="21"/>
      <c r="O11" s="21"/>
      <c r="P11" s="21"/>
      <c r="Q11" s="32"/>
      <c r="R11" s="20" t="s">
        <v>1987</v>
      </c>
      <c r="S11" s="21"/>
      <c r="T11" s="21"/>
      <c r="U11" s="21"/>
      <c r="V11" s="21"/>
      <c r="W11" s="21"/>
      <c r="X11" s="19"/>
      <c r="Y11" s="212" t="s">
        <v>56</v>
      </c>
      <c r="Z11" s="213"/>
      <c r="AA11" s="214" t="s">
        <v>1752</v>
      </c>
      <c r="AB11" s="215"/>
      <c r="AC11" s="216"/>
      <c r="AD11" s="25">
        <v>100</v>
      </c>
      <c r="AE11" s="26" t="s">
        <v>1893</v>
      </c>
      <c r="AF11" s="26"/>
      <c r="AG11" s="26"/>
      <c r="AH11" s="26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60"/>
    </row>
    <row r="12" spans="1:56" ht="15" customHeight="1" x14ac:dyDescent="0.3">
      <c r="A12" s="44">
        <f>IF(B12="","",COUNTA($B$8:B12))</f>
        <v>5</v>
      </c>
      <c r="B12" s="18" t="s">
        <v>142</v>
      </c>
      <c r="C12" s="19"/>
      <c r="D12" s="19"/>
      <c r="E12" s="19"/>
      <c r="F12" s="19"/>
      <c r="G12" s="19"/>
      <c r="H12" s="22"/>
      <c r="I12" s="64" t="str">
        <f>VLOOKUP(B12,項目一覧2!A:B,2,FALSE)</f>
        <v>shukan_busho_cd</v>
      </c>
      <c r="J12" s="21"/>
      <c r="K12" s="21"/>
      <c r="L12" s="21"/>
      <c r="M12" s="21"/>
      <c r="N12" s="21"/>
      <c r="O12" s="21"/>
      <c r="P12" s="21"/>
      <c r="Q12" s="32"/>
      <c r="R12" s="18" t="s">
        <v>144</v>
      </c>
      <c r="S12" s="21"/>
      <c r="T12" s="21"/>
      <c r="U12" s="21"/>
      <c r="V12" s="21"/>
      <c r="W12" s="21"/>
      <c r="X12" s="22"/>
      <c r="Y12" s="212" t="s">
        <v>56</v>
      </c>
      <c r="Z12" s="213"/>
      <c r="AA12" s="214" t="s">
        <v>1752</v>
      </c>
      <c r="AB12" s="215"/>
      <c r="AC12" s="216"/>
      <c r="AD12" s="25">
        <v>4</v>
      </c>
      <c r="AE12" s="26" t="s">
        <v>1893</v>
      </c>
      <c r="AF12" s="26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60"/>
    </row>
    <row r="13" spans="1:56" ht="15" customHeight="1" x14ac:dyDescent="0.3">
      <c r="A13" s="44">
        <f>IF(B13="","",COUNTA($B$8:B13))</f>
        <v>6</v>
      </c>
      <c r="B13" s="18" t="s">
        <v>387</v>
      </c>
      <c r="C13" s="19"/>
      <c r="D13" s="19"/>
      <c r="E13" s="19"/>
      <c r="F13" s="19"/>
      <c r="G13" s="19"/>
      <c r="H13" s="22"/>
      <c r="I13" s="64" t="str">
        <f>VLOOKUP(B13,項目一覧2!A:B,2,FALSE)</f>
        <v>shukan_kotei_cd</v>
      </c>
      <c r="J13" s="21"/>
      <c r="K13" s="21"/>
      <c r="L13" s="21"/>
      <c r="M13" s="21"/>
      <c r="N13" s="21"/>
      <c r="O13" s="21"/>
      <c r="P13" s="21"/>
      <c r="Q13" s="32"/>
      <c r="R13" s="18" t="s">
        <v>143</v>
      </c>
      <c r="S13" s="21"/>
      <c r="T13" s="21"/>
      <c r="U13" s="21"/>
      <c r="V13" s="21"/>
      <c r="W13" s="21"/>
      <c r="X13" s="22"/>
      <c r="Y13" s="212" t="s">
        <v>56</v>
      </c>
      <c r="Z13" s="213"/>
      <c r="AA13" s="214" t="s">
        <v>1752</v>
      </c>
      <c r="AB13" s="215"/>
      <c r="AC13" s="216"/>
      <c r="AD13" s="25">
        <v>4</v>
      </c>
      <c r="AE13" s="26" t="s">
        <v>1893</v>
      </c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60"/>
    </row>
    <row r="14" spans="1:56" ht="15" customHeight="1" x14ac:dyDescent="0.3">
      <c r="A14" s="44">
        <f>IF(B14="","",COUNTA($B$8:B14))</f>
        <v>7</v>
      </c>
      <c r="B14" s="18" t="s">
        <v>1762</v>
      </c>
      <c r="C14" s="19"/>
      <c r="D14" s="19"/>
      <c r="E14" s="19"/>
      <c r="F14" s="19"/>
      <c r="G14" s="19"/>
      <c r="H14" s="22"/>
      <c r="I14" s="64" t="str">
        <f>VLOOKUP(B14,項目一覧2!A:B,2,FALSE)</f>
        <v>insert_func_cd</v>
      </c>
      <c r="J14" s="33"/>
      <c r="K14" s="21"/>
      <c r="L14" s="21"/>
      <c r="M14" s="21"/>
      <c r="N14" s="21"/>
      <c r="O14" s="21"/>
      <c r="P14" s="21"/>
      <c r="Q14" s="32"/>
      <c r="R14" s="18" t="s">
        <v>118</v>
      </c>
      <c r="S14" s="21"/>
      <c r="T14" s="33"/>
      <c r="U14" s="21"/>
      <c r="V14" s="21"/>
      <c r="W14" s="21"/>
      <c r="X14" s="22"/>
      <c r="Y14" s="212" t="s">
        <v>56</v>
      </c>
      <c r="Z14" s="217"/>
      <c r="AA14" s="214" t="s">
        <v>1752</v>
      </c>
      <c r="AB14" s="215"/>
      <c r="AC14" s="216"/>
      <c r="AD14" s="25">
        <v>10</v>
      </c>
      <c r="AE14" s="27"/>
      <c r="AF14" s="27"/>
      <c r="AG14" s="26" t="s">
        <v>123</v>
      </c>
      <c r="AH14" s="36"/>
      <c r="AI14" s="36"/>
      <c r="AJ14" s="36"/>
      <c r="AK14" s="36"/>
      <c r="AL14" s="36"/>
      <c r="AM14" s="36"/>
      <c r="AN14" s="36"/>
      <c r="AO14" s="37"/>
      <c r="AP14" s="37"/>
      <c r="AQ14" s="37"/>
      <c r="AR14" s="37"/>
      <c r="AS14" s="38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508</v>
      </c>
      <c r="C15" s="19"/>
      <c r="D15" s="19"/>
      <c r="E15" s="19"/>
      <c r="F15" s="19"/>
      <c r="G15" s="19"/>
      <c r="H15" s="22"/>
      <c r="I15" s="64" t="str">
        <f>VLOOKUP(B15,項目一覧2!A:B,2,FALSE)</f>
        <v>insert_user_cd</v>
      </c>
      <c r="J15" s="33"/>
      <c r="K15" s="21"/>
      <c r="L15" s="21"/>
      <c r="M15" s="21"/>
      <c r="N15" s="21"/>
      <c r="O15" s="21"/>
      <c r="P15" s="21"/>
      <c r="Q15" s="32"/>
      <c r="R15" s="18" t="s">
        <v>114</v>
      </c>
      <c r="S15" s="21"/>
      <c r="T15" s="33"/>
      <c r="U15" s="21"/>
      <c r="V15" s="21"/>
      <c r="W15" s="21"/>
      <c r="X15" s="22"/>
      <c r="Y15" s="212" t="s">
        <v>56</v>
      </c>
      <c r="Z15" s="217"/>
      <c r="AA15" s="214" t="s">
        <v>1752</v>
      </c>
      <c r="AB15" s="215"/>
      <c r="AC15" s="216"/>
      <c r="AD15" s="25">
        <v>10</v>
      </c>
      <c r="AE15" s="27"/>
      <c r="AF15" s="27"/>
      <c r="AG15" s="26" t="s">
        <v>123</v>
      </c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512</v>
      </c>
      <c r="C16" s="19"/>
      <c r="D16" s="19"/>
      <c r="E16" s="19"/>
      <c r="F16" s="19"/>
      <c r="G16" s="19"/>
      <c r="H16" s="22"/>
      <c r="I16" s="64" t="str">
        <f>VLOOKUP(B16,項目一覧2!A:B,2,FALSE)</f>
        <v>insert_datetime</v>
      </c>
      <c r="J16" s="33"/>
      <c r="K16" s="21"/>
      <c r="L16" s="21"/>
      <c r="M16" s="21"/>
      <c r="N16" s="21"/>
      <c r="O16" s="21"/>
      <c r="P16" s="21"/>
      <c r="Q16" s="32"/>
      <c r="R16" s="18" t="s">
        <v>115</v>
      </c>
      <c r="S16" s="21"/>
      <c r="T16" s="33"/>
      <c r="U16" s="21"/>
      <c r="V16" s="21"/>
      <c r="W16" s="21"/>
      <c r="X16" s="22"/>
      <c r="Y16" s="212" t="s">
        <v>1757</v>
      </c>
      <c r="Z16" s="217"/>
      <c r="AA16" s="214" t="s">
        <v>1758</v>
      </c>
      <c r="AB16" s="215"/>
      <c r="AC16" s="216"/>
      <c r="AD16" s="45"/>
      <c r="AE16" s="27"/>
      <c r="AF16" s="27"/>
      <c r="AG16" s="26" t="s">
        <v>123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>
        <f>IF(B17="","",COUNTA($B$8:B17))</f>
        <v>10</v>
      </c>
      <c r="B17" s="97" t="s">
        <v>1766</v>
      </c>
      <c r="C17" s="19"/>
      <c r="D17" s="19"/>
      <c r="E17" s="19"/>
      <c r="F17" s="19"/>
      <c r="G17" s="19"/>
      <c r="H17" s="22"/>
      <c r="I17" s="64" t="str">
        <f>VLOOKUP(B17,項目一覧2!A:B,2,FALSE)</f>
        <v>update_func_cd</v>
      </c>
      <c r="J17" s="33"/>
      <c r="K17" s="21"/>
      <c r="L17" s="21"/>
      <c r="M17" s="21"/>
      <c r="N17" s="21"/>
      <c r="O17" s="21"/>
      <c r="P17" s="21"/>
      <c r="Q17" s="32"/>
      <c r="R17" s="18" t="s">
        <v>119</v>
      </c>
      <c r="S17" s="21"/>
      <c r="T17" s="33"/>
      <c r="U17" s="21"/>
      <c r="V17" s="21"/>
      <c r="W17" s="21"/>
      <c r="X17" s="22"/>
      <c r="Y17" s="212" t="s">
        <v>56</v>
      </c>
      <c r="Z17" s="217"/>
      <c r="AA17" s="214" t="s">
        <v>1752</v>
      </c>
      <c r="AB17" s="215"/>
      <c r="AC17" s="216"/>
      <c r="AD17" s="25">
        <v>10</v>
      </c>
      <c r="AE17" s="27"/>
      <c r="AF17" s="27"/>
      <c r="AG17" s="26" t="s">
        <v>123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18" t="s">
        <v>354</v>
      </c>
      <c r="C18" s="19"/>
      <c r="D18" s="19"/>
      <c r="E18" s="19"/>
      <c r="F18" s="19"/>
      <c r="G18" s="19"/>
      <c r="H18" s="22"/>
      <c r="I18" s="64" t="str">
        <f>VLOOKUP(B18,項目一覧2!A:B,2,FALSE)</f>
        <v>update_user_cd</v>
      </c>
      <c r="J18" s="33"/>
      <c r="K18" s="21"/>
      <c r="L18" s="21"/>
      <c r="M18" s="21"/>
      <c r="N18" s="21"/>
      <c r="O18" s="21"/>
      <c r="P18" s="21"/>
      <c r="Q18" s="32"/>
      <c r="R18" s="18" t="s">
        <v>116</v>
      </c>
      <c r="S18" s="21"/>
      <c r="T18" s="33"/>
      <c r="U18" s="21"/>
      <c r="V18" s="21"/>
      <c r="W18" s="21"/>
      <c r="X18" s="22"/>
      <c r="Y18" s="212" t="s">
        <v>56</v>
      </c>
      <c r="Z18" s="217"/>
      <c r="AA18" s="214" t="s">
        <v>1752</v>
      </c>
      <c r="AB18" s="215"/>
      <c r="AC18" s="216"/>
      <c r="AD18" s="45">
        <v>10</v>
      </c>
      <c r="AE18" s="27"/>
      <c r="AF18" s="27"/>
      <c r="AG18" s="26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18" t="s">
        <v>358</v>
      </c>
      <c r="C19" s="19"/>
      <c r="D19" s="19"/>
      <c r="E19" s="19"/>
      <c r="F19" s="19"/>
      <c r="G19" s="19"/>
      <c r="H19" s="22"/>
      <c r="I19" s="64" t="str">
        <f>VLOOKUP(B19,項目一覧2!A:B,2,FALSE)</f>
        <v>update_datetime</v>
      </c>
      <c r="J19" s="33"/>
      <c r="K19" s="21"/>
      <c r="L19" s="21"/>
      <c r="M19" s="21"/>
      <c r="N19" s="21"/>
      <c r="O19" s="21"/>
      <c r="P19" s="21"/>
      <c r="Q19" s="32"/>
      <c r="R19" s="18" t="s">
        <v>117</v>
      </c>
      <c r="S19" s="21"/>
      <c r="T19" s="33"/>
      <c r="U19" s="21"/>
      <c r="V19" s="21"/>
      <c r="W19" s="21"/>
      <c r="X19" s="22"/>
      <c r="Y19" s="212" t="s">
        <v>1757</v>
      </c>
      <c r="Z19" s="217"/>
      <c r="AA19" s="214" t="s">
        <v>1758</v>
      </c>
      <c r="AB19" s="215"/>
      <c r="AC19" s="216"/>
      <c r="AD19" s="45"/>
      <c r="AE19" s="27"/>
      <c r="AF19" s="27"/>
      <c r="AG19" s="26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/>
      <c r="B20" s="20"/>
      <c r="C20" s="19"/>
      <c r="D20" s="19"/>
      <c r="E20" s="19"/>
      <c r="F20" s="19"/>
      <c r="G20" s="19"/>
      <c r="H20" s="22"/>
      <c r="I20" s="63"/>
      <c r="J20" s="33"/>
      <c r="K20" s="21"/>
      <c r="L20" s="21"/>
      <c r="M20" s="21"/>
      <c r="N20" s="21"/>
      <c r="O20" s="21"/>
      <c r="P20" s="21"/>
      <c r="Q20" s="32"/>
      <c r="R20" s="21"/>
      <c r="S20" s="21"/>
      <c r="T20" s="33"/>
      <c r="U20" s="21"/>
      <c r="V20" s="21"/>
      <c r="W20" s="21"/>
      <c r="X20" s="22"/>
      <c r="Y20" s="212"/>
      <c r="Z20" s="213"/>
      <c r="AA20" s="214"/>
      <c r="AB20" s="215"/>
      <c r="AC20" s="216"/>
      <c r="AD20" s="28"/>
      <c r="AE20" s="26"/>
      <c r="AF20" s="26"/>
      <c r="AG20" s="26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 t="str">
        <f>IF(B21="","",COUNTA($B$8:B21))</f>
        <v/>
      </c>
      <c r="B21" s="41"/>
      <c r="C21" s="39"/>
      <c r="D21" s="39"/>
      <c r="E21" s="39"/>
      <c r="F21" s="39"/>
      <c r="G21" s="39"/>
      <c r="H21" s="40"/>
      <c r="I21" s="64"/>
      <c r="J21" s="30"/>
      <c r="K21" s="30"/>
      <c r="L21" s="30"/>
      <c r="M21" s="30"/>
      <c r="N21" s="30"/>
      <c r="O21" s="30"/>
      <c r="P21" s="30"/>
      <c r="Q21" s="31"/>
      <c r="R21" s="30"/>
      <c r="S21" s="30"/>
      <c r="T21" s="30"/>
      <c r="U21" s="30"/>
      <c r="V21" s="30"/>
      <c r="W21" s="30"/>
      <c r="X21" s="30"/>
      <c r="Y21" s="212"/>
      <c r="Z21" s="213"/>
      <c r="AA21" s="214"/>
      <c r="AB21" s="215"/>
      <c r="AC21" s="216"/>
      <c r="AD21" s="43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 t="str">
        <f>IF(B22="","",COUNTA($B$8:B22))</f>
        <v/>
      </c>
      <c r="B22" s="41"/>
      <c r="C22" s="39"/>
      <c r="D22" s="39"/>
      <c r="E22" s="39"/>
      <c r="F22" s="39"/>
      <c r="G22" s="39"/>
      <c r="H22" s="40"/>
      <c r="I22" s="64"/>
      <c r="J22" s="30"/>
      <c r="K22" s="30"/>
      <c r="L22" s="30"/>
      <c r="M22" s="30"/>
      <c r="N22" s="30"/>
      <c r="O22" s="30"/>
      <c r="P22" s="30"/>
      <c r="Q22" s="31"/>
      <c r="R22" s="30"/>
      <c r="S22" s="30"/>
      <c r="T22" s="30"/>
      <c r="U22" s="30"/>
      <c r="V22" s="30"/>
      <c r="W22" s="30"/>
      <c r="X22" s="30"/>
      <c r="Y22" s="212"/>
      <c r="Z22" s="213"/>
      <c r="AA22" s="214"/>
      <c r="AB22" s="215"/>
      <c r="AC22" s="216"/>
      <c r="AD22" s="43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 t="str">
        <f>IF(B23="","",COUNTA($B$8:B23))</f>
        <v/>
      </c>
      <c r="B23" s="41"/>
      <c r="C23" s="39"/>
      <c r="D23" s="39"/>
      <c r="E23" s="39"/>
      <c r="F23" s="39"/>
      <c r="G23" s="39"/>
      <c r="H23" s="40"/>
      <c r="I23" s="64"/>
      <c r="J23" s="30"/>
      <c r="K23" s="30"/>
      <c r="L23" s="30"/>
      <c r="M23" s="30"/>
      <c r="N23" s="30"/>
      <c r="O23" s="30"/>
      <c r="P23" s="30"/>
      <c r="Q23" s="31"/>
      <c r="R23" s="30"/>
      <c r="S23" s="30"/>
      <c r="T23" s="30"/>
      <c r="U23" s="30"/>
      <c r="V23" s="30"/>
      <c r="W23" s="30"/>
      <c r="X23" s="30"/>
      <c r="Y23" s="212"/>
      <c r="Z23" s="213"/>
      <c r="AA23" s="214"/>
      <c r="AB23" s="215"/>
      <c r="AC23" s="216"/>
      <c r="AD23" s="43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 t="str">
        <f>IF(B24="","",COUNTA($B$8:B24))</f>
        <v/>
      </c>
      <c r="B24" s="29"/>
      <c r="C24" s="39"/>
      <c r="D24" s="39"/>
      <c r="E24" s="39"/>
      <c r="F24" s="39"/>
      <c r="G24" s="39"/>
      <c r="H24" s="40"/>
      <c r="I24" s="64"/>
      <c r="J24" s="21"/>
      <c r="K24" s="30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0"/>
      <c r="W24" s="30"/>
      <c r="X24" s="30"/>
      <c r="Y24" s="212"/>
      <c r="Z24" s="213"/>
      <c r="AA24" s="214"/>
      <c r="AB24" s="215"/>
      <c r="AC24" s="216"/>
      <c r="AD24" s="28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9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IF(B25="","",COUNTA($B$8:B25))</f>
        <v/>
      </c>
      <c r="B25" s="41"/>
      <c r="C25" s="39"/>
      <c r="D25" s="39"/>
      <c r="E25" s="39"/>
      <c r="F25" s="39"/>
      <c r="G25" s="39"/>
      <c r="H25" s="40"/>
      <c r="I25" s="64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212"/>
      <c r="Z25" s="213"/>
      <c r="AA25" s="214"/>
      <c r="AB25" s="215"/>
      <c r="AC25" s="216"/>
      <c r="AD25" s="43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IF(B26="","",COUNTA($B$8:B26))</f>
        <v/>
      </c>
      <c r="B26" s="41"/>
      <c r="C26" s="39"/>
      <c r="D26" s="39"/>
      <c r="E26" s="39"/>
      <c r="F26" s="39"/>
      <c r="G26" s="39"/>
      <c r="H26" s="40"/>
      <c r="I26" s="64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212"/>
      <c r="Z26" s="213"/>
      <c r="AA26" s="214"/>
      <c r="AB26" s="215"/>
      <c r="AC26" s="216"/>
      <c r="AD26" s="43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IF(B27="","",COUNTA($B$8:B27))</f>
        <v/>
      </c>
      <c r="B27" s="41"/>
      <c r="C27" s="39"/>
      <c r="D27" s="39"/>
      <c r="E27" s="39"/>
      <c r="F27" s="39"/>
      <c r="G27" s="39"/>
      <c r="H27" s="40"/>
      <c r="I27" s="64"/>
      <c r="J27" s="30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212"/>
      <c r="Z27" s="213"/>
      <c r="AA27" s="214"/>
      <c r="AB27" s="215"/>
      <c r="AC27" s="216"/>
      <c r="AD27" s="43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IF(B28="","",COUNTA($B$8:B28))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41"/>
      <c r="C29" s="39"/>
      <c r="D29" s="39"/>
      <c r="E29" s="39"/>
      <c r="F29" s="39"/>
      <c r="G29" s="39"/>
      <c r="H29" s="40"/>
      <c r="I29" s="64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43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29"/>
      <c r="C30" s="39"/>
      <c r="D30" s="39"/>
      <c r="E30" s="39"/>
      <c r="F30" s="39"/>
      <c r="G30" s="39"/>
      <c r="H30" s="40"/>
      <c r="I30" s="64"/>
      <c r="J30" s="21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2"/>
      <c r="Z30" s="213"/>
      <c r="AA30" s="214"/>
      <c r="AB30" s="215"/>
      <c r="AC30" s="216"/>
      <c r="AD30" s="28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9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29"/>
      <c r="C31" s="39"/>
      <c r="D31" s="39"/>
      <c r="E31" s="39"/>
      <c r="F31" s="39"/>
      <c r="G31" s="39"/>
      <c r="H31" s="40"/>
      <c r="I31" s="64"/>
      <c r="J31" s="21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2"/>
      <c r="Z31" s="213"/>
      <c r="AA31" s="214"/>
      <c r="AB31" s="215"/>
      <c r="AC31" s="216"/>
      <c r="AD31" s="28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60"/>
    </row>
    <row r="32" spans="1:56" ht="15" customHeight="1" x14ac:dyDescent="0.3">
      <c r="A32" s="44" t="str">
        <f>IF(B32="","",COUNTA($B$8:B32))</f>
        <v/>
      </c>
      <c r="B32" s="29"/>
      <c r="C32" s="39"/>
      <c r="D32" s="39"/>
      <c r="E32" s="39"/>
      <c r="F32" s="39"/>
      <c r="G32" s="39"/>
      <c r="H32" s="40"/>
      <c r="I32" s="64"/>
      <c r="J32" s="21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2"/>
      <c r="Z32" s="213"/>
      <c r="AA32" s="214"/>
      <c r="AB32" s="215"/>
      <c r="AC32" s="216"/>
      <c r="AD32" s="28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60"/>
    </row>
    <row r="33" spans="1:56" ht="15" customHeight="1" x14ac:dyDescent="0.3">
      <c r="A33" s="44" t="str">
        <f>IF(B33="","",COUNTA($B$8:B33))</f>
        <v/>
      </c>
      <c r="B33" s="20"/>
      <c r="C33" s="19"/>
      <c r="D33" s="19"/>
      <c r="E33" s="19"/>
      <c r="F33" s="19"/>
      <c r="G33" s="19"/>
      <c r="H33" s="22"/>
      <c r="I33" s="63"/>
      <c r="J33" s="33"/>
      <c r="K33" s="21"/>
      <c r="L33" s="21"/>
      <c r="M33" s="21"/>
      <c r="N33" s="21"/>
      <c r="O33" s="21"/>
      <c r="P33" s="21"/>
      <c r="Q33" s="32"/>
      <c r="R33" s="21"/>
      <c r="S33" s="21"/>
      <c r="T33" s="33"/>
      <c r="U33" s="21"/>
      <c r="V33" s="21"/>
      <c r="W33" s="21"/>
      <c r="X33" s="22"/>
      <c r="Y33" s="212"/>
      <c r="Z33" s="213"/>
      <c r="AA33" s="214"/>
      <c r="AB33" s="215"/>
      <c r="AC33" s="216"/>
      <c r="AD33" s="25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3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2"/>
      <c r="Z34" s="213"/>
      <c r="AA34" s="214"/>
      <c r="AB34" s="215"/>
      <c r="AC34" s="216"/>
      <c r="AD34" s="25"/>
      <c r="AE34" s="36"/>
      <c r="AF34" s="36"/>
      <c r="AG34" s="36"/>
      <c r="AH34" s="36"/>
      <c r="AI34" s="3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3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12"/>
      <c r="Z35" s="213"/>
      <c r="AA35" s="214"/>
      <c r="AB35" s="215"/>
      <c r="AC35" s="216"/>
      <c r="AD35" s="28"/>
      <c r="AE35" s="26"/>
      <c r="AF35" s="26"/>
      <c r="AG35" s="26"/>
      <c r="AH35" s="26"/>
      <c r="AI35" s="26"/>
      <c r="AJ35" s="26"/>
      <c r="AK35" s="26"/>
      <c r="AL35" s="36"/>
      <c r="AM35" s="36"/>
      <c r="AN35" s="36"/>
      <c r="AO35" s="37"/>
      <c r="AP35" s="37"/>
      <c r="AQ35" s="37"/>
      <c r="AR35" s="37"/>
      <c r="AS35" s="38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3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12"/>
      <c r="Z36" s="213"/>
      <c r="AA36" s="214"/>
      <c r="AB36" s="215"/>
      <c r="AC36" s="216"/>
      <c r="AD36" s="25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7"/>
      <c r="AP36" s="37"/>
      <c r="AQ36" s="37"/>
      <c r="AR36" s="37"/>
      <c r="AS36" s="38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</sheetData>
  <mergeCells count="91"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Y26:Z26"/>
    <mergeCell ref="AA26:AC26"/>
    <mergeCell ref="Y27:Z27"/>
    <mergeCell ref="AA27:AC27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Y17:Z17"/>
    <mergeCell ref="AA17:AC17"/>
    <mergeCell ref="Y8:Z8"/>
    <mergeCell ref="AA8:AC8"/>
    <mergeCell ref="AZ4:BD4"/>
    <mergeCell ref="Y11:Z11"/>
    <mergeCell ref="AA11:AC11"/>
    <mergeCell ref="AA9:AC9"/>
    <mergeCell ref="AG6:AG7"/>
    <mergeCell ref="AH6:AH7"/>
    <mergeCell ref="AI6:AR6"/>
    <mergeCell ref="AS6:BD7"/>
    <mergeCell ref="Y10:Z10"/>
    <mergeCell ref="AA10:AC10"/>
    <mergeCell ref="Y9:Z9"/>
    <mergeCell ref="AZ1:BD1"/>
    <mergeCell ref="I2:Q4"/>
    <mergeCell ref="R2:X4"/>
    <mergeCell ref="Y2:AO3"/>
    <mergeCell ref="AP2:AT2"/>
    <mergeCell ref="AU2:AY2"/>
    <mergeCell ref="AZ2:BD2"/>
    <mergeCell ref="AP3:AT3"/>
    <mergeCell ref="AU3:AY3"/>
    <mergeCell ref="AZ3:BD3"/>
    <mergeCell ref="AP1:AT1"/>
    <mergeCell ref="AU1:AY1"/>
    <mergeCell ref="Y4:AO4"/>
    <mergeCell ref="AP4:AT4"/>
    <mergeCell ref="AU4:AY4"/>
    <mergeCell ref="A1:H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5"/>
  <dataValidations count="3">
    <dataValidation imeMode="hiragana" allowBlank="1" showInputMessage="1" showErrorMessage="1" sqref="JK65507:JV65509 TG65507:TR65509 ADC65507:ADN65509 AMY65507:ANJ65509 AWU65507:AXF65509 BGQ65507:BHB65509 BQM65507:BQX65509 CAI65507:CAT65509 CKE65507:CKP65509 CUA65507:CUL65509 DDW65507:DEH65509 DNS65507:DOD65509 DXO65507:DXZ65509 EHK65507:EHV65509 ERG65507:ERR65509 FBC65507:FBN65509 FKY65507:FLJ65509 FUU65507:FVF65509 GEQ65507:GFB65509 GOM65507:GOX65509 GYI65507:GYT65509 HIE65507:HIP65509 HSA65507:HSL65509 IBW65507:ICH65509 ILS65507:IMD65509 IVO65507:IVZ65509 JFK65507:JFV65509 JPG65507:JPR65509 JZC65507:JZN65509 KIY65507:KJJ65509 KSU65507:KTF65509 LCQ65507:LDB65509 LMM65507:LMX65509 LWI65507:LWT65509 MGE65507:MGP65509 MQA65507:MQL65509 MZW65507:NAH65509 NJS65507:NKD65509 NTO65507:NTZ65509 ODK65507:ODV65509 ONG65507:ONR65509 OXC65507:OXN65509 PGY65507:PHJ65509 PQU65507:PRF65509 QAQ65507:QBB65509 QKM65507:QKX65509 QUI65507:QUT65509 REE65507:REP65509 ROA65507:ROL65509 RXW65507:RYH65509 SHS65507:SID65509 SRO65507:SRZ65509 TBK65507:TBV65509 TLG65507:TLR65509 TVC65507:TVN65509 UEY65507:UFJ65509 UOU65507:UPF65509 UYQ65507:UZB65509 VIM65507:VIX65509 VSI65507:VST65509 WCE65507:WCP65509 WMA65507:WML65509 WVW65507:WWH65509 JK131043:JV131045 TG131043:TR131045 ADC131043:ADN131045 AMY131043:ANJ131045 AWU131043:AXF131045 BGQ131043:BHB131045 BQM131043:BQX131045 CAI131043:CAT131045 CKE131043:CKP131045 CUA131043:CUL131045 DDW131043:DEH131045 DNS131043:DOD131045 DXO131043:DXZ131045 EHK131043:EHV131045 ERG131043:ERR131045 FBC131043:FBN131045 FKY131043:FLJ131045 FUU131043:FVF131045 GEQ131043:GFB131045 GOM131043:GOX131045 GYI131043:GYT131045 HIE131043:HIP131045 HSA131043:HSL131045 IBW131043:ICH131045 ILS131043:IMD131045 IVO131043:IVZ131045 JFK131043:JFV131045 JPG131043:JPR131045 JZC131043:JZN131045 KIY131043:KJJ131045 KSU131043:KTF131045 LCQ131043:LDB131045 LMM131043:LMX131045 LWI131043:LWT131045 MGE131043:MGP131045 MQA131043:MQL131045 MZW131043:NAH131045 NJS131043:NKD131045 NTO131043:NTZ131045 ODK131043:ODV131045 ONG131043:ONR131045 OXC131043:OXN131045 PGY131043:PHJ131045 PQU131043:PRF131045 QAQ131043:QBB131045 QKM131043:QKX131045 QUI131043:QUT131045 REE131043:REP131045 ROA131043:ROL131045 RXW131043:RYH131045 SHS131043:SID131045 SRO131043:SRZ131045 TBK131043:TBV131045 TLG131043:TLR131045 TVC131043:TVN131045 UEY131043:UFJ131045 UOU131043:UPF131045 UYQ131043:UZB131045 VIM131043:VIX131045 VSI131043:VST131045 WCE131043:WCP131045 WMA131043:WML131045 WVW131043:WWH131045 JK196579:JV196581 TG196579:TR196581 ADC196579:ADN196581 AMY196579:ANJ196581 AWU196579:AXF196581 BGQ196579:BHB196581 BQM196579:BQX196581 CAI196579:CAT196581 CKE196579:CKP196581 CUA196579:CUL196581 DDW196579:DEH196581 DNS196579:DOD196581 DXO196579:DXZ196581 EHK196579:EHV196581 ERG196579:ERR196581 FBC196579:FBN196581 FKY196579:FLJ196581 FUU196579:FVF196581 GEQ196579:GFB196581 GOM196579:GOX196581 GYI196579:GYT196581 HIE196579:HIP196581 HSA196579:HSL196581 IBW196579:ICH196581 ILS196579:IMD196581 IVO196579:IVZ196581 JFK196579:JFV196581 JPG196579:JPR196581 JZC196579:JZN196581 KIY196579:KJJ196581 KSU196579:KTF196581 LCQ196579:LDB196581 LMM196579:LMX196581 LWI196579:LWT196581 MGE196579:MGP196581 MQA196579:MQL196581 MZW196579:NAH196581 NJS196579:NKD196581 NTO196579:NTZ196581 ODK196579:ODV196581 ONG196579:ONR196581 OXC196579:OXN196581 PGY196579:PHJ196581 PQU196579:PRF196581 QAQ196579:QBB196581 QKM196579:QKX196581 QUI196579:QUT196581 REE196579:REP196581 ROA196579:ROL196581 RXW196579:RYH196581 SHS196579:SID196581 SRO196579:SRZ196581 TBK196579:TBV196581 TLG196579:TLR196581 TVC196579:TVN196581 UEY196579:UFJ196581 UOU196579:UPF196581 UYQ196579:UZB196581 VIM196579:VIX196581 VSI196579:VST196581 WCE196579:WCP196581 WMA196579:WML196581 WVW196579:WWH196581 JK262115:JV262117 TG262115:TR262117 ADC262115:ADN262117 AMY262115:ANJ262117 AWU262115:AXF262117 BGQ262115:BHB262117 BQM262115:BQX262117 CAI262115:CAT262117 CKE262115:CKP262117 CUA262115:CUL262117 DDW262115:DEH262117 DNS262115:DOD262117 DXO262115:DXZ262117 EHK262115:EHV262117 ERG262115:ERR262117 FBC262115:FBN262117 FKY262115:FLJ262117 FUU262115:FVF262117 GEQ262115:GFB262117 GOM262115:GOX262117 GYI262115:GYT262117 HIE262115:HIP262117 HSA262115:HSL262117 IBW262115:ICH262117 ILS262115:IMD262117 IVO262115:IVZ262117 JFK262115:JFV262117 JPG262115:JPR262117 JZC262115:JZN262117 KIY262115:KJJ262117 KSU262115:KTF262117 LCQ262115:LDB262117 LMM262115:LMX262117 LWI262115:LWT262117 MGE262115:MGP262117 MQA262115:MQL262117 MZW262115:NAH262117 NJS262115:NKD262117 NTO262115:NTZ262117 ODK262115:ODV262117 ONG262115:ONR262117 OXC262115:OXN262117 PGY262115:PHJ262117 PQU262115:PRF262117 QAQ262115:QBB262117 QKM262115:QKX262117 QUI262115:QUT262117 REE262115:REP262117 ROA262115:ROL262117 RXW262115:RYH262117 SHS262115:SID262117 SRO262115:SRZ262117 TBK262115:TBV262117 TLG262115:TLR262117 TVC262115:TVN262117 UEY262115:UFJ262117 UOU262115:UPF262117 UYQ262115:UZB262117 VIM262115:VIX262117 VSI262115:VST262117 WCE262115:WCP262117 WMA262115:WML262117 WVW262115:WWH262117 JK327651:JV327653 TG327651:TR327653 ADC327651:ADN327653 AMY327651:ANJ327653 AWU327651:AXF327653 BGQ327651:BHB327653 BQM327651:BQX327653 CAI327651:CAT327653 CKE327651:CKP327653 CUA327651:CUL327653 DDW327651:DEH327653 DNS327651:DOD327653 DXO327651:DXZ327653 EHK327651:EHV327653 ERG327651:ERR327653 FBC327651:FBN327653 FKY327651:FLJ327653 FUU327651:FVF327653 GEQ327651:GFB327653 GOM327651:GOX327653 GYI327651:GYT327653 HIE327651:HIP327653 HSA327651:HSL327653 IBW327651:ICH327653 ILS327651:IMD327653 IVO327651:IVZ327653 JFK327651:JFV327653 JPG327651:JPR327653 JZC327651:JZN327653 KIY327651:KJJ327653 KSU327651:KTF327653 LCQ327651:LDB327653 LMM327651:LMX327653 LWI327651:LWT327653 MGE327651:MGP327653 MQA327651:MQL327653 MZW327651:NAH327653 NJS327651:NKD327653 NTO327651:NTZ327653 ODK327651:ODV327653 ONG327651:ONR327653 OXC327651:OXN327653 PGY327651:PHJ327653 PQU327651:PRF327653 QAQ327651:QBB327653 QKM327651:QKX327653 QUI327651:QUT327653 REE327651:REP327653 ROA327651:ROL327653 RXW327651:RYH327653 SHS327651:SID327653 SRO327651:SRZ327653 TBK327651:TBV327653 TLG327651:TLR327653 TVC327651:TVN327653 UEY327651:UFJ327653 UOU327651:UPF327653 UYQ327651:UZB327653 VIM327651:VIX327653 VSI327651:VST327653 WCE327651:WCP327653 WMA327651:WML327653 WVW327651:WWH327653 JK393187:JV393189 TG393187:TR393189 ADC393187:ADN393189 AMY393187:ANJ393189 AWU393187:AXF393189 BGQ393187:BHB393189 BQM393187:BQX393189 CAI393187:CAT393189 CKE393187:CKP393189 CUA393187:CUL393189 DDW393187:DEH393189 DNS393187:DOD393189 DXO393187:DXZ393189 EHK393187:EHV393189 ERG393187:ERR393189 FBC393187:FBN393189 FKY393187:FLJ393189 FUU393187:FVF393189 GEQ393187:GFB393189 GOM393187:GOX393189 GYI393187:GYT393189 HIE393187:HIP393189 HSA393187:HSL393189 IBW393187:ICH393189 ILS393187:IMD393189 IVO393187:IVZ393189 JFK393187:JFV393189 JPG393187:JPR393189 JZC393187:JZN393189 KIY393187:KJJ393189 KSU393187:KTF393189 LCQ393187:LDB393189 LMM393187:LMX393189 LWI393187:LWT393189 MGE393187:MGP393189 MQA393187:MQL393189 MZW393187:NAH393189 NJS393187:NKD393189 NTO393187:NTZ393189 ODK393187:ODV393189 ONG393187:ONR393189 OXC393187:OXN393189 PGY393187:PHJ393189 PQU393187:PRF393189 QAQ393187:QBB393189 QKM393187:QKX393189 QUI393187:QUT393189 REE393187:REP393189 ROA393187:ROL393189 RXW393187:RYH393189 SHS393187:SID393189 SRO393187:SRZ393189 TBK393187:TBV393189 TLG393187:TLR393189 TVC393187:TVN393189 UEY393187:UFJ393189 UOU393187:UPF393189 UYQ393187:UZB393189 VIM393187:VIX393189 VSI393187:VST393189 WCE393187:WCP393189 WMA393187:WML393189 WVW393187:WWH393189 JK458723:JV458725 TG458723:TR458725 ADC458723:ADN458725 AMY458723:ANJ458725 AWU458723:AXF458725 BGQ458723:BHB458725 BQM458723:BQX458725 CAI458723:CAT458725 CKE458723:CKP458725 CUA458723:CUL458725 DDW458723:DEH458725 DNS458723:DOD458725 DXO458723:DXZ458725 EHK458723:EHV458725 ERG458723:ERR458725 FBC458723:FBN458725 FKY458723:FLJ458725 FUU458723:FVF458725 GEQ458723:GFB458725 GOM458723:GOX458725 GYI458723:GYT458725 HIE458723:HIP458725 HSA458723:HSL458725 IBW458723:ICH458725 ILS458723:IMD458725 IVO458723:IVZ458725 JFK458723:JFV458725 JPG458723:JPR458725 JZC458723:JZN458725 KIY458723:KJJ458725 KSU458723:KTF458725 LCQ458723:LDB458725 LMM458723:LMX458725 LWI458723:LWT458725 MGE458723:MGP458725 MQA458723:MQL458725 MZW458723:NAH458725 NJS458723:NKD458725 NTO458723:NTZ458725 ODK458723:ODV458725 ONG458723:ONR458725 OXC458723:OXN458725 PGY458723:PHJ458725 PQU458723:PRF458725 QAQ458723:QBB458725 QKM458723:QKX458725 QUI458723:QUT458725 REE458723:REP458725 ROA458723:ROL458725 RXW458723:RYH458725 SHS458723:SID458725 SRO458723:SRZ458725 TBK458723:TBV458725 TLG458723:TLR458725 TVC458723:TVN458725 UEY458723:UFJ458725 UOU458723:UPF458725 UYQ458723:UZB458725 VIM458723:VIX458725 VSI458723:VST458725 WCE458723:WCP458725 WMA458723:WML458725 WVW458723:WWH458725 JK524259:JV524261 TG524259:TR524261 ADC524259:ADN524261 AMY524259:ANJ524261 AWU524259:AXF524261 BGQ524259:BHB524261 BQM524259:BQX524261 CAI524259:CAT524261 CKE524259:CKP524261 CUA524259:CUL524261 DDW524259:DEH524261 DNS524259:DOD524261 DXO524259:DXZ524261 EHK524259:EHV524261 ERG524259:ERR524261 FBC524259:FBN524261 FKY524259:FLJ524261 FUU524259:FVF524261 GEQ524259:GFB524261 GOM524259:GOX524261 GYI524259:GYT524261 HIE524259:HIP524261 HSA524259:HSL524261 IBW524259:ICH524261 ILS524259:IMD524261 IVO524259:IVZ524261 JFK524259:JFV524261 JPG524259:JPR524261 JZC524259:JZN524261 KIY524259:KJJ524261 KSU524259:KTF524261 LCQ524259:LDB524261 LMM524259:LMX524261 LWI524259:LWT524261 MGE524259:MGP524261 MQA524259:MQL524261 MZW524259:NAH524261 NJS524259:NKD524261 NTO524259:NTZ524261 ODK524259:ODV524261 ONG524259:ONR524261 OXC524259:OXN524261 PGY524259:PHJ524261 PQU524259:PRF524261 QAQ524259:QBB524261 QKM524259:QKX524261 QUI524259:QUT524261 REE524259:REP524261 ROA524259:ROL524261 RXW524259:RYH524261 SHS524259:SID524261 SRO524259:SRZ524261 TBK524259:TBV524261 TLG524259:TLR524261 TVC524259:TVN524261 UEY524259:UFJ524261 UOU524259:UPF524261 UYQ524259:UZB524261 VIM524259:VIX524261 VSI524259:VST524261 WCE524259:WCP524261 WMA524259:WML524261 WVW524259:WWH524261 JK589795:JV589797 TG589795:TR589797 ADC589795:ADN589797 AMY589795:ANJ589797 AWU589795:AXF589797 BGQ589795:BHB589797 BQM589795:BQX589797 CAI589795:CAT589797 CKE589795:CKP589797 CUA589795:CUL589797 DDW589795:DEH589797 DNS589795:DOD589797 DXO589795:DXZ589797 EHK589795:EHV589797 ERG589795:ERR589797 FBC589795:FBN589797 FKY589795:FLJ589797 FUU589795:FVF589797 GEQ589795:GFB589797 GOM589795:GOX589797 GYI589795:GYT589797 HIE589795:HIP589797 HSA589795:HSL589797 IBW589795:ICH589797 ILS589795:IMD589797 IVO589795:IVZ589797 JFK589795:JFV589797 JPG589795:JPR589797 JZC589795:JZN589797 KIY589795:KJJ589797 KSU589795:KTF589797 LCQ589795:LDB589797 LMM589795:LMX589797 LWI589795:LWT589797 MGE589795:MGP589797 MQA589795:MQL589797 MZW589795:NAH589797 NJS589795:NKD589797 NTO589795:NTZ589797 ODK589795:ODV589797 ONG589795:ONR589797 OXC589795:OXN589797 PGY589795:PHJ589797 PQU589795:PRF589797 QAQ589795:QBB589797 QKM589795:QKX589797 QUI589795:QUT589797 REE589795:REP589797 ROA589795:ROL589797 RXW589795:RYH589797 SHS589795:SID589797 SRO589795:SRZ589797 TBK589795:TBV589797 TLG589795:TLR589797 TVC589795:TVN589797 UEY589795:UFJ589797 UOU589795:UPF589797 UYQ589795:UZB589797 VIM589795:VIX589797 VSI589795:VST589797 WCE589795:WCP589797 WMA589795:WML589797 WVW589795:WWH589797 JK655331:JV655333 TG655331:TR655333 ADC655331:ADN655333 AMY655331:ANJ655333 AWU655331:AXF655333 BGQ655331:BHB655333 BQM655331:BQX655333 CAI655331:CAT655333 CKE655331:CKP655333 CUA655331:CUL655333 DDW655331:DEH655333 DNS655331:DOD655333 DXO655331:DXZ655333 EHK655331:EHV655333 ERG655331:ERR655333 FBC655331:FBN655333 FKY655331:FLJ655333 FUU655331:FVF655333 GEQ655331:GFB655333 GOM655331:GOX655333 GYI655331:GYT655333 HIE655331:HIP655333 HSA655331:HSL655333 IBW655331:ICH655333 ILS655331:IMD655333 IVO655331:IVZ655333 JFK655331:JFV655333 JPG655331:JPR655333 JZC655331:JZN655333 KIY655331:KJJ655333 KSU655331:KTF655333 LCQ655331:LDB655333 LMM655331:LMX655333 LWI655331:LWT655333 MGE655331:MGP655333 MQA655331:MQL655333 MZW655331:NAH655333 NJS655331:NKD655333 NTO655331:NTZ655333 ODK655331:ODV655333 ONG655331:ONR655333 OXC655331:OXN655333 PGY655331:PHJ655333 PQU655331:PRF655333 QAQ655331:QBB655333 QKM655331:QKX655333 QUI655331:QUT655333 REE655331:REP655333 ROA655331:ROL655333 RXW655331:RYH655333 SHS655331:SID655333 SRO655331:SRZ655333 TBK655331:TBV655333 TLG655331:TLR655333 TVC655331:TVN655333 UEY655331:UFJ655333 UOU655331:UPF655333 UYQ655331:UZB655333 VIM655331:VIX655333 VSI655331:VST655333 WCE655331:WCP655333 WMA655331:WML655333 WVW655331:WWH655333 JK720867:JV720869 TG720867:TR720869 ADC720867:ADN720869 AMY720867:ANJ720869 AWU720867:AXF720869 BGQ720867:BHB720869 BQM720867:BQX720869 CAI720867:CAT720869 CKE720867:CKP720869 CUA720867:CUL720869 DDW720867:DEH720869 DNS720867:DOD720869 DXO720867:DXZ720869 EHK720867:EHV720869 ERG720867:ERR720869 FBC720867:FBN720869 FKY720867:FLJ720869 FUU720867:FVF720869 GEQ720867:GFB720869 GOM720867:GOX720869 GYI720867:GYT720869 HIE720867:HIP720869 HSA720867:HSL720869 IBW720867:ICH720869 ILS720867:IMD720869 IVO720867:IVZ720869 JFK720867:JFV720869 JPG720867:JPR720869 JZC720867:JZN720869 KIY720867:KJJ720869 KSU720867:KTF720869 LCQ720867:LDB720869 LMM720867:LMX720869 LWI720867:LWT720869 MGE720867:MGP720869 MQA720867:MQL720869 MZW720867:NAH720869 NJS720867:NKD720869 NTO720867:NTZ720869 ODK720867:ODV720869 ONG720867:ONR720869 OXC720867:OXN720869 PGY720867:PHJ720869 PQU720867:PRF720869 QAQ720867:QBB720869 QKM720867:QKX720869 QUI720867:QUT720869 REE720867:REP720869 ROA720867:ROL720869 RXW720867:RYH720869 SHS720867:SID720869 SRO720867:SRZ720869 TBK720867:TBV720869 TLG720867:TLR720869 TVC720867:TVN720869 UEY720867:UFJ720869 UOU720867:UPF720869 UYQ720867:UZB720869 VIM720867:VIX720869 VSI720867:VST720869 WCE720867:WCP720869 WMA720867:WML720869 WVW720867:WWH720869 JK786403:JV786405 TG786403:TR786405 ADC786403:ADN786405 AMY786403:ANJ786405 AWU786403:AXF786405 BGQ786403:BHB786405 BQM786403:BQX786405 CAI786403:CAT786405 CKE786403:CKP786405 CUA786403:CUL786405 DDW786403:DEH786405 DNS786403:DOD786405 DXO786403:DXZ786405 EHK786403:EHV786405 ERG786403:ERR786405 FBC786403:FBN786405 FKY786403:FLJ786405 FUU786403:FVF786405 GEQ786403:GFB786405 GOM786403:GOX786405 GYI786403:GYT786405 HIE786403:HIP786405 HSA786403:HSL786405 IBW786403:ICH786405 ILS786403:IMD786405 IVO786403:IVZ786405 JFK786403:JFV786405 JPG786403:JPR786405 JZC786403:JZN786405 KIY786403:KJJ786405 KSU786403:KTF786405 LCQ786403:LDB786405 LMM786403:LMX786405 LWI786403:LWT786405 MGE786403:MGP786405 MQA786403:MQL786405 MZW786403:NAH786405 NJS786403:NKD786405 NTO786403:NTZ786405 ODK786403:ODV786405 ONG786403:ONR786405 OXC786403:OXN786405 PGY786403:PHJ786405 PQU786403:PRF786405 QAQ786403:QBB786405 QKM786403:QKX786405 QUI786403:QUT786405 REE786403:REP786405 ROA786403:ROL786405 RXW786403:RYH786405 SHS786403:SID786405 SRO786403:SRZ786405 TBK786403:TBV786405 TLG786403:TLR786405 TVC786403:TVN786405 UEY786403:UFJ786405 UOU786403:UPF786405 UYQ786403:UZB786405 VIM786403:VIX786405 VSI786403:VST786405 WCE786403:WCP786405 WMA786403:WML786405 WVW786403:WWH786405 JK851939:JV851941 TG851939:TR851941 ADC851939:ADN851941 AMY851939:ANJ851941 AWU851939:AXF851941 BGQ851939:BHB851941 BQM851939:BQX851941 CAI851939:CAT851941 CKE851939:CKP851941 CUA851939:CUL851941 DDW851939:DEH851941 DNS851939:DOD851941 DXO851939:DXZ851941 EHK851939:EHV851941 ERG851939:ERR851941 FBC851939:FBN851941 FKY851939:FLJ851941 FUU851939:FVF851941 GEQ851939:GFB851941 GOM851939:GOX851941 GYI851939:GYT851941 HIE851939:HIP851941 HSA851939:HSL851941 IBW851939:ICH851941 ILS851939:IMD851941 IVO851939:IVZ851941 JFK851939:JFV851941 JPG851939:JPR851941 JZC851939:JZN851941 KIY851939:KJJ851941 KSU851939:KTF851941 LCQ851939:LDB851941 LMM851939:LMX851941 LWI851939:LWT851941 MGE851939:MGP851941 MQA851939:MQL851941 MZW851939:NAH851941 NJS851939:NKD851941 NTO851939:NTZ851941 ODK851939:ODV851941 ONG851939:ONR851941 OXC851939:OXN851941 PGY851939:PHJ851941 PQU851939:PRF851941 QAQ851939:QBB851941 QKM851939:QKX851941 QUI851939:QUT851941 REE851939:REP851941 ROA851939:ROL851941 RXW851939:RYH851941 SHS851939:SID851941 SRO851939:SRZ851941 TBK851939:TBV851941 TLG851939:TLR851941 TVC851939:TVN851941 UEY851939:UFJ851941 UOU851939:UPF851941 UYQ851939:UZB851941 VIM851939:VIX851941 VSI851939:VST851941 WCE851939:WCP851941 WMA851939:WML851941 WVW851939:WWH851941 JK917475:JV917477 TG917475:TR917477 ADC917475:ADN917477 AMY917475:ANJ917477 AWU917475:AXF917477 BGQ917475:BHB917477 BQM917475:BQX917477 CAI917475:CAT917477 CKE917475:CKP917477 CUA917475:CUL917477 DDW917475:DEH917477 DNS917475:DOD917477 DXO917475:DXZ917477 EHK917475:EHV917477 ERG917475:ERR917477 FBC917475:FBN917477 FKY917475:FLJ917477 FUU917475:FVF917477 GEQ917475:GFB917477 GOM917475:GOX917477 GYI917475:GYT917477 HIE917475:HIP917477 HSA917475:HSL917477 IBW917475:ICH917477 ILS917475:IMD917477 IVO917475:IVZ917477 JFK917475:JFV917477 JPG917475:JPR917477 JZC917475:JZN917477 KIY917475:KJJ917477 KSU917475:KTF917477 LCQ917475:LDB917477 LMM917475:LMX917477 LWI917475:LWT917477 MGE917475:MGP917477 MQA917475:MQL917477 MZW917475:NAH917477 NJS917475:NKD917477 NTO917475:NTZ917477 ODK917475:ODV917477 ONG917475:ONR917477 OXC917475:OXN917477 PGY917475:PHJ917477 PQU917475:PRF917477 QAQ917475:QBB917477 QKM917475:QKX917477 QUI917475:QUT917477 REE917475:REP917477 ROA917475:ROL917477 RXW917475:RYH917477 SHS917475:SID917477 SRO917475:SRZ917477 TBK917475:TBV917477 TLG917475:TLR917477 TVC917475:TVN917477 UEY917475:UFJ917477 UOU917475:UPF917477 UYQ917475:UZB917477 VIM917475:VIX917477 VSI917475:VST917477 WCE917475:WCP917477 WMA917475:WML917477 WVW917475:WWH917477 JK983011:JV983013 TG983011:TR983013 ADC983011:ADN983013 AMY983011:ANJ983013 AWU983011:AXF983013 BGQ983011:BHB983013 BQM983011:BQX983013 CAI983011:CAT983013 CKE983011:CKP983013 CUA983011:CUL983013 DDW983011:DEH983013 DNS983011:DOD983013 DXO983011:DXZ983013 EHK983011:EHV983013 ERG983011:ERR983013 FBC983011:FBN983013 FKY983011:FLJ983013 FUU983011:FVF983013 GEQ983011:GFB983013 GOM983011:GOX983013 GYI983011:GYT983013 HIE983011:HIP983013 HSA983011:HSL983013 IBW983011:ICH983013 ILS983011:IMD983013 IVO983011:IVZ983013 JFK983011:JFV983013 JPG983011:JPR983013 JZC983011:JZN983013 KIY983011:KJJ983013 KSU983011:KTF983013 LCQ983011:LDB983013 LMM983011:LMX983013 LWI983011:LWT983013 MGE983011:MGP983013 MQA983011:MQL983013 MZW983011:NAH983013 NJS983011:NKD983013 NTO983011:NTZ983013 ODK983011:ODV983013 ONG983011:ONR983013 OXC983011:OXN983013 PGY983011:PHJ983013 PQU983011:PRF983013 QAQ983011:QBB983013 QKM983011:QKX983013 QUI983011:QUT983013 REE983011:REP983013 ROA983011:ROL983013 RXW983011:RYH983013 SHS983011:SID983013 SRO983011:SRZ983013 TBK983011:TBV983013 TLG983011:TLR983013 TVC983011:TVN983013 UEY983011:UFJ983013 UOU983011:UPF983013 UYQ983011:UZB983013 VIM983011:VIX983013 VSI983011:VST983013 WCE983011:WCP983013 WMA983011:WML983013 WVW983011:WWH983013 WVW983016:WWH983018 JK65512:JV65514 TG65512:TR65514 ADC65512:ADN65514 AMY65512:ANJ65514 AWU65512:AXF65514 BGQ65512:BHB65514 BQM65512:BQX65514 CAI65512:CAT65514 CKE65512:CKP65514 CUA65512:CUL65514 DDW65512:DEH65514 DNS65512:DOD65514 DXO65512:DXZ65514 EHK65512:EHV65514 ERG65512:ERR65514 FBC65512:FBN65514 FKY65512:FLJ65514 FUU65512:FVF65514 GEQ65512:GFB65514 GOM65512:GOX65514 GYI65512:GYT65514 HIE65512:HIP65514 HSA65512:HSL65514 IBW65512:ICH65514 ILS65512:IMD65514 IVO65512:IVZ65514 JFK65512:JFV65514 JPG65512:JPR65514 JZC65512:JZN65514 KIY65512:KJJ65514 KSU65512:KTF65514 LCQ65512:LDB65514 LMM65512:LMX65514 LWI65512:LWT65514 MGE65512:MGP65514 MQA65512:MQL65514 MZW65512:NAH65514 NJS65512:NKD65514 NTO65512:NTZ65514 ODK65512:ODV65514 ONG65512:ONR65514 OXC65512:OXN65514 PGY65512:PHJ65514 PQU65512:PRF65514 QAQ65512:QBB65514 QKM65512:QKX65514 QUI65512:QUT65514 REE65512:REP65514 ROA65512:ROL65514 RXW65512:RYH65514 SHS65512:SID65514 SRO65512:SRZ65514 TBK65512:TBV65514 TLG65512:TLR65514 TVC65512:TVN65514 UEY65512:UFJ65514 UOU65512:UPF65514 UYQ65512:UZB65514 VIM65512:VIX65514 VSI65512:VST65514 WCE65512:WCP65514 WMA65512:WML65514 WVW65512:WWH65514 JK131048:JV131050 TG131048:TR131050 ADC131048:ADN131050 AMY131048:ANJ131050 AWU131048:AXF131050 BGQ131048:BHB131050 BQM131048:BQX131050 CAI131048:CAT131050 CKE131048:CKP131050 CUA131048:CUL131050 DDW131048:DEH131050 DNS131048:DOD131050 DXO131048:DXZ131050 EHK131048:EHV131050 ERG131048:ERR131050 FBC131048:FBN131050 FKY131048:FLJ131050 FUU131048:FVF131050 GEQ131048:GFB131050 GOM131048:GOX131050 GYI131048:GYT131050 HIE131048:HIP131050 HSA131048:HSL131050 IBW131048:ICH131050 ILS131048:IMD131050 IVO131048:IVZ131050 JFK131048:JFV131050 JPG131048:JPR131050 JZC131048:JZN131050 KIY131048:KJJ131050 KSU131048:KTF131050 LCQ131048:LDB131050 LMM131048:LMX131050 LWI131048:LWT131050 MGE131048:MGP131050 MQA131048:MQL131050 MZW131048:NAH131050 NJS131048:NKD131050 NTO131048:NTZ131050 ODK131048:ODV131050 ONG131048:ONR131050 OXC131048:OXN131050 PGY131048:PHJ131050 PQU131048:PRF131050 QAQ131048:QBB131050 QKM131048:QKX131050 QUI131048:QUT131050 REE131048:REP131050 ROA131048:ROL131050 RXW131048:RYH131050 SHS131048:SID131050 SRO131048:SRZ131050 TBK131048:TBV131050 TLG131048:TLR131050 TVC131048:TVN131050 UEY131048:UFJ131050 UOU131048:UPF131050 UYQ131048:UZB131050 VIM131048:VIX131050 VSI131048:VST131050 WCE131048:WCP131050 WMA131048:WML131050 WVW131048:WWH131050 JK196584:JV196586 TG196584:TR196586 ADC196584:ADN196586 AMY196584:ANJ196586 AWU196584:AXF196586 BGQ196584:BHB196586 BQM196584:BQX196586 CAI196584:CAT196586 CKE196584:CKP196586 CUA196584:CUL196586 DDW196584:DEH196586 DNS196584:DOD196586 DXO196584:DXZ196586 EHK196584:EHV196586 ERG196584:ERR196586 FBC196584:FBN196586 FKY196584:FLJ196586 FUU196584:FVF196586 GEQ196584:GFB196586 GOM196584:GOX196586 GYI196584:GYT196586 HIE196584:HIP196586 HSA196584:HSL196586 IBW196584:ICH196586 ILS196584:IMD196586 IVO196584:IVZ196586 JFK196584:JFV196586 JPG196584:JPR196586 JZC196584:JZN196586 KIY196584:KJJ196586 KSU196584:KTF196586 LCQ196584:LDB196586 LMM196584:LMX196586 LWI196584:LWT196586 MGE196584:MGP196586 MQA196584:MQL196586 MZW196584:NAH196586 NJS196584:NKD196586 NTO196584:NTZ196586 ODK196584:ODV196586 ONG196584:ONR196586 OXC196584:OXN196586 PGY196584:PHJ196586 PQU196584:PRF196586 QAQ196584:QBB196586 QKM196584:QKX196586 QUI196584:QUT196586 REE196584:REP196586 ROA196584:ROL196586 RXW196584:RYH196586 SHS196584:SID196586 SRO196584:SRZ196586 TBK196584:TBV196586 TLG196584:TLR196586 TVC196584:TVN196586 UEY196584:UFJ196586 UOU196584:UPF196586 UYQ196584:UZB196586 VIM196584:VIX196586 VSI196584:VST196586 WCE196584:WCP196586 WMA196584:WML196586 WVW196584:WWH196586 JK262120:JV262122 TG262120:TR262122 ADC262120:ADN262122 AMY262120:ANJ262122 AWU262120:AXF262122 BGQ262120:BHB262122 BQM262120:BQX262122 CAI262120:CAT262122 CKE262120:CKP262122 CUA262120:CUL262122 DDW262120:DEH262122 DNS262120:DOD262122 DXO262120:DXZ262122 EHK262120:EHV262122 ERG262120:ERR262122 FBC262120:FBN262122 FKY262120:FLJ262122 FUU262120:FVF262122 GEQ262120:GFB262122 GOM262120:GOX262122 GYI262120:GYT262122 HIE262120:HIP262122 HSA262120:HSL262122 IBW262120:ICH262122 ILS262120:IMD262122 IVO262120:IVZ262122 JFK262120:JFV262122 JPG262120:JPR262122 JZC262120:JZN262122 KIY262120:KJJ262122 KSU262120:KTF262122 LCQ262120:LDB262122 LMM262120:LMX262122 LWI262120:LWT262122 MGE262120:MGP262122 MQA262120:MQL262122 MZW262120:NAH262122 NJS262120:NKD262122 NTO262120:NTZ262122 ODK262120:ODV262122 ONG262120:ONR262122 OXC262120:OXN262122 PGY262120:PHJ262122 PQU262120:PRF262122 QAQ262120:QBB262122 QKM262120:QKX262122 QUI262120:QUT262122 REE262120:REP262122 ROA262120:ROL262122 RXW262120:RYH262122 SHS262120:SID262122 SRO262120:SRZ262122 TBK262120:TBV262122 TLG262120:TLR262122 TVC262120:TVN262122 UEY262120:UFJ262122 UOU262120:UPF262122 UYQ262120:UZB262122 VIM262120:VIX262122 VSI262120:VST262122 WCE262120:WCP262122 WMA262120:WML262122 WVW262120:WWH262122 JK327656:JV327658 TG327656:TR327658 ADC327656:ADN327658 AMY327656:ANJ327658 AWU327656:AXF327658 BGQ327656:BHB327658 BQM327656:BQX327658 CAI327656:CAT327658 CKE327656:CKP327658 CUA327656:CUL327658 DDW327656:DEH327658 DNS327656:DOD327658 DXO327656:DXZ327658 EHK327656:EHV327658 ERG327656:ERR327658 FBC327656:FBN327658 FKY327656:FLJ327658 FUU327656:FVF327658 GEQ327656:GFB327658 GOM327656:GOX327658 GYI327656:GYT327658 HIE327656:HIP327658 HSA327656:HSL327658 IBW327656:ICH327658 ILS327656:IMD327658 IVO327656:IVZ327658 JFK327656:JFV327658 JPG327656:JPR327658 JZC327656:JZN327658 KIY327656:KJJ327658 KSU327656:KTF327658 LCQ327656:LDB327658 LMM327656:LMX327658 LWI327656:LWT327658 MGE327656:MGP327658 MQA327656:MQL327658 MZW327656:NAH327658 NJS327656:NKD327658 NTO327656:NTZ327658 ODK327656:ODV327658 ONG327656:ONR327658 OXC327656:OXN327658 PGY327656:PHJ327658 PQU327656:PRF327658 QAQ327656:QBB327658 QKM327656:QKX327658 QUI327656:QUT327658 REE327656:REP327658 ROA327656:ROL327658 RXW327656:RYH327658 SHS327656:SID327658 SRO327656:SRZ327658 TBK327656:TBV327658 TLG327656:TLR327658 TVC327656:TVN327658 UEY327656:UFJ327658 UOU327656:UPF327658 UYQ327656:UZB327658 VIM327656:VIX327658 VSI327656:VST327658 WCE327656:WCP327658 WMA327656:WML327658 WVW327656:WWH327658 JK393192:JV393194 TG393192:TR393194 ADC393192:ADN393194 AMY393192:ANJ393194 AWU393192:AXF393194 BGQ393192:BHB393194 BQM393192:BQX393194 CAI393192:CAT393194 CKE393192:CKP393194 CUA393192:CUL393194 DDW393192:DEH393194 DNS393192:DOD393194 DXO393192:DXZ393194 EHK393192:EHV393194 ERG393192:ERR393194 FBC393192:FBN393194 FKY393192:FLJ393194 FUU393192:FVF393194 GEQ393192:GFB393194 GOM393192:GOX393194 GYI393192:GYT393194 HIE393192:HIP393194 HSA393192:HSL393194 IBW393192:ICH393194 ILS393192:IMD393194 IVO393192:IVZ393194 JFK393192:JFV393194 JPG393192:JPR393194 JZC393192:JZN393194 KIY393192:KJJ393194 KSU393192:KTF393194 LCQ393192:LDB393194 LMM393192:LMX393194 LWI393192:LWT393194 MGE393192:MGP393194 MQA393192:MQL393194 MZW393192:NAH393194 NJS393192:NKD393194 NTO393192:NTZ393194 ODK393192:ODV393194 ONG393192:ONR393194 OXC393192:OXN393194 PGY393192:PHJ393194 PQU393192:PRF393194 QAQ393192:QBB393194 QKM393192:QKX393194 QUI393192:QUT393194 REE393192:REP393194 ROA393192:ROL393194 RXW393192:RYH393194 SHS393192:SID393194 SRO393192:SRZ393194 TBK393192:TBV393194 TLG393192:TLR393194 TVC393192:TVN393194 UEY393192:UFJ393194 UOU393192:UPF393194 UYQ393192:UZB393194 VIM393192:VIX393194 VSI393192:VST393194 WCE393192:WCP393194 WMA393192:WML393194 WVW393192:WWH393194 JK458728:JV458730 TG458728:TR458730 ADC458728:ADN458730 AMY458728:ANJ458730 AWU458728:AXF458730 BGQ458728:BHB458730 BQM458728:BQX458730 CAI458728:CAT458730 CKE458728:CKP458730 CUA458728:CUL458730 DDW458728:DEH458730 DNS458728:DOD458730 DXO458728:DXZ458730 EHK458728:EHV458730 ERG458728:ERR458730 FBC458728:FBN458730 FKY458728:FLJ458730 FUU458728:FVF458730 GEQ458728:GFB458730 GOM458728:GOX458730 GYI458728:GYT458730 HIE458728:HIP458730 HSA458728:HSL458730 IBW458728:ICH458730 ILS458728:IMD458730 IVO458728:IVZ458730 JFK458728:JFV458730 JPG458728:JPR458730 JZC458728:JZN458730 KIY458728:KJJ458730 KSU458728:KTF458730 LCQ458728:LDB458730 LMM458728:LMX458730 LWI458728:LWT458730 MGE458728:MGP458730 MQA458728:MQL458730 MZW458728:NAH458730 NJS458728:NKD458730 NTO458728:NTZ458730 ODK458728:ODV458730 ONG458728:ONR458730 OXC458728:OXN458730 PGY458728:PHJ458730 PQU458728:PRF458730 QAQ458728:QBB458730 QKM458728:QKX458730 QUI458728:QUT458730 REE458728:REP458730 ROA458728:ROL458730 RXW458728:RYH458730 SHS458728:SID458730 SRO458728:SRZ458730 TBK458728:TBV458730 TLG458728:TLR458730 TVC458728:TVN458730 UEY458728:UFJ458730 UOU458728:UPF458730 UYQ458728:UZB458730 VIM458728:VIX458730 VSI458728:VST458730 WCE458728:WCP458730 WMA458728:WML458730 WVW458728:WWH458730 JK524264:JV524266 TG524264:TR524266 ADC524264:ADN524266 AMY524264:ANJ524266 AWU524264:AXF524266 BGQ524264:BHB524266 BQM524264:BQX524266 CAI524264:CAT524266 CKE524264:CKP524266 CUA524264:CUL524266 DDW524264:DEH524266 DNS524264:DOD524266 DXO524264:DXZ524266 EHK524264:EHV524266 ERG524264:ERR524266 FBC524264:FBN524266 FKY524264:FLJ524266 FUU524264:FVF524266 GEQ524264:GFB524266 GOM524264:GOX524266 GYI524264:GYT524266 HIE524264:HIP524266 HSA524264:HSL524266 IBW524264:ICH524266 ILS524264:IMD524266 IVO524264:IVZ524266 JFK524264:JFV524266 JPG524264:JPR524266 JZC524264:JZN524266 KIY524264:KJJ524266 KSU524264:KTF524266 LCQ524264:LDB524266 LMM524264:LMX524266 LWI524264:LWT524266 MGE524264:MGP524266 MQA524264:MQL524266 MZW524264:NAH524266 NJS524264:NKD524266 NTO524264:NTZ524266 ODK524264:ODV524266 ONG524264:ONR524266 OXC524264:OXN524266 PGY524264:PHJ524266 PQU524264:PRF524266 QAQ524264:QBB524266 QKM524264:QKX524266 QUI524264:QUT524266 REE524264:REP524266 ROA524264:ROL524266 RXW524264:RYH524266 SHS524264:SID524266 SRO524264:SRZ524266 TBK524264:TBV524266 TLG524264:TLR524266 TVC524264:TVN524266 UEY524264:UFJ524266 UOU524264:UPF524266 UYQ524264:UZB524266 VIM524264:VIX524266 VSI524264:VST524266 WCE524264:WCP524266 WMA524264:WML524266 WVW524264:WWH524266 JK589800:JV589802 TG589800:TR589802 ADC589800:ADN589802 AMY589800:ANJ589802 AWU589800:AXF589802 BGQ589800:BHB589802 BQM589800:BQX589802 CAI589800:CAT589802 CKE589800:CKP589802 CUA589800:CUL589802 DDW589800:DEH589802 DNS589800:DOD589802 DXO589800:DXZ589802 EHK589800:EHV589802 ERG589800:ERR589802 FBC589800:FBN589802 FKY589800:FLJ589802 FUU589800:FVF589802 GEQ589800:GFB589802 GOM589800:GOX589802 GYI589800:GYT589802 HIE589800:HIP589802 HSA589800:HSL589802 IBW589800:ICH589802 ILS589800:IMD589802 IVO589800:IVZ589802 JFK589800:JFV589802 JPG589800:JPR589802 JZC589800:JZN589802 KIY589800:KJJ589802 KSU589800:KTF589802 LCQ589800:LDB589802 LMM589800:LMX589802 LWI589800:LWT589802 MGE589800:MGP589802 MQA589800:MQL589802 MZW589800:NAH589802 NJS589800:NKD589802 NTO589800:NTZ589802 ODK589800:ODV589802 ONG589800:ONR589802 OXC589800:OXN589802 PGY589800:PHJ589802 PQU589800:PRF589802 QAQ589800:QBB589802 QKM589800:QKX589802 QUI589800:QUT589802 REE589800:REP589802 ROA589800:ROL589802 RXW589800:RYH589802 SHS589800:SID589802 SRO589800:SRZ589802 TBK589800:TBV589802 TLG589800:TLR589802 TVC589800:TVN589802 UEY589800:UFJ589802 UOU589800:UPF589802 UYQ589800:UZB589802 VIM589800:VIX589802 VSI589800:VST589802 WCE589800:WCP589802 WMA589800:WML589802 WVW589800:WWH589802 JK655336:JV655338 TG655336:TR655338 ADC655336:ADN655338 AMY655336:ANJ655338 AWU655336:AXF655338 BGQ655336:BHB655338 BQM655336:BQX655338 CAI655336:CAT655338 CKE655336:CKP655338 CUA655336:CUL655338 DDW655336:DEH655338 DNS655336:DOD655338 DXO655336:DXZ655338 EHK655336:EHV655338 ERG655336:ERR655338 FBC655336:FBN655338 FKY655336:FLJ655338 FUU655336:FVF655338 GEQ655336:GFB655338 GOM655336:GOX655338 GYI655336:GYT655338 HIE655336:HIP655338 HSA655336:HSL655338 IBW655336:ICH655338 ILS655336:IMD655338 IVO655336:IVZ655338 JFK655336:JFV655338 JPG655336:JPR655338 JZC655336:JZN655338 KIY655336:KJJ655338 KSU655336:KTF655338 LCQ655336:LDB655338 LMM655336:LMX655338 LWI655336:LWT655338 MGE655336:MGP655338 MQA655336:MQL655338 MZW655336:NAH655338 NJS655336:NKD655338 NTO655336:NTZ655338 ODK655336:ODV655338 ONG655336:ONR655338 OXC655336:OXN655338 PGY655336:PHJ655338 PQU655336:PRF655338 QAQ655336:QBB655338 QKM655336:QKX655338 QUI655336:QUT655338 REE655336:REP655338 ROA655336:ROL655338 RXW655336:RYH655338 SHS655336:SID655338 SRO655336:SRZ655338 TBK655336:TBV655338 TLG655336:TLR655338 TVC655336:TVN655338 UEY655336:UFJ655338 UOU655336:UPF655338 UYQ655336:UZB655338 VIM655336:VIX655338 VSI655336:VST655338 WCE655336:WCP655338 WMA655336:WML655338 WVW655336:WWH655338 JK720872:JV720874 TG720872:TR720874 ADC720872:ADN720874 AMY720872:ANJ720874 AWU720872:AXF720874 BGQ720872:BHB720874 BQM720872:BQX720874 CAI720872:CAT720874 CKE720872:CKP720874 CUA720872:CUL720874 DDW720872:DEH720874 DNS720872:DOD720874 DXO720872:DXZ720874 EHK720872:EHV720874 ERG720872:ERR720874 FBC720872:FBN720874 FKY720872:FLJ720874 FUU720872:FVF720874 GEQ720872:GFB720874 GOM720872:GOX720874 GYI720872:GYT720874 HIE720872:HIP720874 HSA720872:HSL720874 IBW720872:ICH720874 ILS720872:IMD720874 IVO720872:IVZ720874 JFK720872:JFV720874 JPG720872:JPR720874 JZC720872:JZN720874 KIY720872:KJJ720874 KSU720872:KTF720874 LCQ720872:LDB720874 LMM720872:LMX720874 LWI720872:LWT720874 MGE720872:MGP720874 MQA720872:MQL720874 MZW720872:NAH720874 NJS720872:NKD720874 NTO720872:NTZ720874 ODK720872:ODV720874 ONG720872:ONR720874 OXC720872:OXN720874 PGY720872:PHJ720874 PQU720872:PRF720874 QAQ720872:QBB720874 QKM720872:QKX720874 QUI720872:QUT720874 REE720872:REP720874 ROA720872:ROL720874 RXW720872:RYH720874 SHS720872:SID720874 SRO720872:SRZ720874 TBK720872:TBV720874 TLG720872:TLR720874 TVC720872:TVN720874 UEY720872:UFJ720874 UOU720872:UPF720874 UYQ720872:UZB720874 VIM720872:VIX720874 VSI720872:VST720874 WCE720872:WCP720874 WMA720872:WML720874 WVW720872:WWH720874 JK786408:JV786410 TG786408:TR786410 ADC786408:ADN786410 AMY786408:ANJ786410 AWU786408:AXF786410 BGQ786408:BHB786410 BQM786408:BQX786410 CAI786408:CAT786410 CKE786408:CKP786410 CUA786408:CUL786410 DDW786408:DEH786410 DNS786408:DOD786410 DXO786408:DXZ786410 EHK786408:EHV786410 ERG786408:ERR786410 FBC786408:FBN786410 FKY786408:FLJ786410 FUU786408:FVF786410 GEQ786408:GFB786410 GOM786408:GOX786410 GYI786408:GYT786410 HIE786408:HIP786410 HSA786408:HSL786410 IBW786408:ICH786410 ILS786408:IMD786410 IVO786408:IVZ786410 JFK786408:JFV786410 JPG786408:JPR786410 JZC786408:JZN786410 KIY786408:KJJ786410 KSU786408:KTF786410 LCQ786408:LDB786410 LMM786408:LMX786410 LWI786408:LWT786410 MGE786408:MGP786410 MQA786408:MQL786410 MZW786408:NAH786410 NJS786408:NKD786410 NTO786408:NTZ786410 ODK786408:ODV786410 ONG786408:ONR786410 OXC786408:OXN786410 PGY786408:PHJ786410 PQU786408:PRF786410 QAQ786408:QBB786410 QKM786408:QKX786410 QUI786408:QUT786410 REE786408:REP786410 ROA786408:ROL786410 RXW786408:RYH786410 SHS786408:SID786410 SRO786408:SRZ786410 TBK786408:TBV786410 TLG786408:TLR786410 TVC786408:TVN786410 UEY786408:UFJ786410 UOU786408:UPF786410 UYQ786408:UZB786410 VIM786408:VIX786410 VSI786408:VST786410 WCE786408:WCP786410 WMA786408:WML786410 WVW786408:WWH786410 JK851944:JV851946 TG851944:TR851946 ADC851944:ADN851946 AMY851944:ANJ851946 AWU851944:AXF851946 BGQ851944:BHB851946 BQM851944:BQX851946 CAI851944:CAT851946 CKE851944:CKP851946 CUA851944:CUL851946 DDW851944:DEH851946 DNS851944:DOD851946 DXO851944:DXZ851946 EHK851944:EHV851946 ERG851944:ERR851946 FBC851944:FBN851946 FKY851944:FLJ851946 FUU851944:FVF851946 GEQ851944:GFB851946 GOM851944:GOX851946 GYI851944:GYT851946 HIE851944:HIP851946 HSA851944:HSL851946 IBW851944:ICH851946 ILS851944:IMD851946 IVO851944:IVZ851946 JFK851944:JFV851946 JPG851944:JPR851946 JZC851944:JZN851946 KIY851944:KJJ851946 KSU851944:KTF851946 LCQ851944:LDB851946 LMM851944:LMX851946 LWI851944:LWT851946 MGE851944:MGP851946 MQA851944:MQL851946 MZW851944:NAH851946 NJS851944:NKD851946 NTO851944:NTZ851946 ODK851944:ODV851946 ONG851944:ONR851946 OXC851944:OXN851946 PGY851944:PHJ851946 PQU851944:PRF851946 QAQ851944:QBB851946 QKM851944:QKX851946 QUI851944:QUT851946 REE851944:REP851946 ROA851944:ROL851946 RXW851944:RYH851946 SHS851944:SID851946 SRO851944:SRZ851946 TBK851944:TBV851946 TLG851944:TLR851946 TVC851944:TVN851946 UEY851944:UFJ851946 UOU851944:UPF851946 UYQ851944:UZB851946 VIM851944:VIX851946 VSI851944:VST851946 WCE851944:WCP851946 WMA851944:WML851946 WVW851944:WWH851946 JK917480:JV917482 TG917480:TR917482 ADC917480:ADN917482 AMY917480:ANJ917482 AWU917480:AXF917482 BGQ917480:BHB917482 BQM917480:BQX917482 CAI917480:CAT917482 CKE917480:CKP917482 CUA917480:CUL917482 DDW917480:DEH917482 DNS917480:DOD917482 DXO917480:DXZ917482 EHK917480:EHV917482 ERG917480:ERR917482 FBC917480:FBN917482 FKY917480:FLJ917482 FUU917480:FVF917482 GEQ917480:GFB917482 GOM917480:GOX917482 GYI917480:GYT917482 HIE917480:HIP917482 HSA917480:HSL917482 IBW917480:ICH917482 ILS917480:IMD917482 IVO917480:IVZ917482 JFK917480:JFV917482 JPG917480:JPR917482 JZC917480:JZN917482 KIY917480:KJJ917482 KSU917480:KTF917482 LCQ917480:LDB917482 LMM917480:LMX917482 LWI917480:LWT917482 MGE917480:MGP917482 MQA917480:MQL917482 MZW917480:NAH917482 NJS917480:NKD917482 NTO917480:NTZ917482 ODK917480:ODV917482 ONG917480:ONR917482 OXC917480:OXN917482 PGY917480:PHJ917482 PQU917480:PRF917482 QAQ917480:QBB917482 QKM917480:QKX917482 QUI917480:QUT917482 REE917480:REP917482 ROA917480:ROL917482 RXW917480:RYH917482 SHS917480:SID917482 SRO917480:SRZ917482 TBK917480:TBV917482 TLG917480:TLR917482 TVC917480:TVN917482 UEY917480:UFJ917482 UOU917480:UPF917482 UYQ917480:UZB917482 VIM917480:VIX917482 VSI917480:VST917482 WCE917480:WCP917482 WMA917480:WML917482 WVW917480:WWH917482 JK983016:JV983018 TG983016:TR983018 ADC983016:ADN983018 AMY983016:ANJ983018 AWU983016:AXF983018 BGQ983016:BHB983018 BQM983016:BQX983018 CAI983016:CAT983018 CKE983016:CKP983018 CUA983016:CUL983018 DDW983016:DEH983018 DNS983016:DOD983018 DXO983016:DXZ983018 EHK983016:EHV983018 ERG983016:ERR983018 FBC983016:FBN983018 FKY983016:FLJ983018 FUU983016:FVF983018 GEQ983016:GFB983018 GOM983016:GOX983018 GYI983016:GYT983018 HIE983016:HIP983018 HSA983016:HSL983018 IBW983016:ICH983018 ILS983016:IMD983018 IVO983016:IVZ983018 JFK983016:JFV983018 JPG983016:JPR983018 JZC983016:JZN983018 KIY983016:KJJ983018 KSU983016:KTF983018 LCQ983016:LDB983018 LMM983016:LMX983018 LWI983016:LWT983018 MGE983016:MGP983018 MQA983016:MQL983018 MZW983016:NAH983018 NJS983016:NKD983018 NTO983016:NTZ983018 ODK983016:ODV983018 ONG983016:ONR983018 OXC983016:OXN983018 PGY983016:PHJ983018 PQU983016:PRF983018 QAQ983016:QBB983018 QKM983016:QKX983018 QUI983016:QUT983018 REE983016:REP983018 ROA983016:ROL983018 RXW983016:RYH983018 SHS983016:SID983018 SRO983016:SRZ983018 TBK983016:TBV983018 TLG983016:TLR983018 TVC983016:TVN983018 UEY983016:UFJ983018 UOU983016:UPF983018 UYQ983016:UZB983018 VIM983016:VIX983018 VSI983016:VST983018 WCE983016:WCP983018 WMA983016:WML983018 Z262115:AJ262117 Z196579:AJ196581 Z131043:AJ131045 Z65507:AJ65509 Z983016:AJ983018 Z917480:AJ917482 Z851944:AJ851946 Z786408:AJ786410 Z720872:AJ720874 Z655336:AJ655338 Z589800:AJ589802 Z524264:AJ524266 Z458728:AJ458730 Z393192:AJ393194 Z327656:AJ327658 Z262120:AJ262122 Z196584:AJ196586 Z131048:AJ131050 Z65512:AJ65514 Z983011:AJ983013 Z917475:AJ917477 Z851939:AJ851941 Z786403:AJ786405 Z720867:AJ720869 Z655331:AJ655333 Z589795:AJ589797 Z524259:AJ524261 Z458723:AJ458725 Z393187:AJ393189 Z327651:AJ327653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700-000000000000}"/>
    <dataValidation type="list" allowBlank="1" showInputMessage="1" showErrorMessage="1" sqref="AA14:AA36 AA12:AC13 AA8:AA11" xr:uid="{00000000-0002-0000-0700-000001000000}">
      <formula1>"datetime,int,numeric,varchar,nvarchar"</formula1>
    </dataValidation>
    <dataValidation type="list" allowBlank="1" showInputMessage="1" showErrorMessage="1" sqref="Y8:Z36" xr:uid="{00000000-0002-0000-07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BD55"/>
  <sheetViews>
    <sheetView showGridLines="0" zoomScaleNormal="100" zoomScaleSheetLayoutView="100" workbookViewId="0">
      <selection activeCell="A12" sqref="A12:XFD12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e">
        <v>#N/A</v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仕入情報（ヘッダ）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t_shiire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1911</v>
      </c>
      <c r="C8" s="19"/>
      <c r="D8" s="19"/>
      <c r="E8" s="19"/>
      <c r="F8" s="19"/>
      <c r="G8" s="19"/>
      <c r="H8" s="22"/>
      <c r="I8" s="64" t="str">
        <f>VLOOKUP(B8,項目一覧2!A:B,2,FALSE)</f>
        <v>shiire_no</v>
      </c>
      <c r="J8" s="21"/>
      <c r="K8" s="21"/>
      <c r="L8" s="21"/>
      <c r="M8" s="21"/>
      <c r="N8" s="21"/>
      <c r="O8" s="21"/>
      <c r="P8" s="21"/>
      <c r="Q8" s="32"/>
      <c r="R8" s="18" t="s">
        <v>182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18" t="s">
        <v>319</v>
      </c>
      <c r="C9" s="19"/>
      <c r="D9" s="19"/>
      <c r="E9" s="19"/>
      <c r="F9" s="19"/>
      <c r="G9" s="19"/>
      <c r="H9" s="22"/>
      <c r="I9" s="64" t="str">
        <f>VLOOKUP(B9,項目一覧2!A:B,2,FALSE)</f>
        <v>gyosha_cd</v>
      </c>
      <c r="J9" s="21"/>
      <c r="K9" s="21"/>
      <c r="L9" s="21"/>
      <c r="M9" s="21"/>
      <c r="N9" s="21"/>
      <c r="O9" s="21"/>
      <c r="P9" s="21"/>
      <c r="Q9" s="32"/>
      <c r="R9" s="18" t="s">
        <v>183</v>
      </c>
      <c r="S9" s="21"/>
      <c r="T9" s="21"/>
      <c r="U9" s="21"/>
      <c r="V9" s="21"/>
      <c r="W9" s="19"/>
      <c r="X9" s="22"/>
      <c r="Y9" s="212" t="s">
        <v>1891</v>
      </c>
      <c r="Z9" s="217"/>
      <c r="AA9" s="214" t="s">
        <v>1892</v>
      </c>
      <c r="AB9" s="215"/>
      <c r="AC9" s="216"/>
      <c r="AD9" s="25">
        <v>10</v>
      </c>
      <c r="AE9" s="26" t="s">
        <v>1893</v>
      </c>
      <c r="AF9" s="26"/>
      <c r="AG9" s="26"/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18" t="s">
        <v>330</v>
      </c>
      <c r="C10" s="24"/>
      <c r="D10" s="24"/>
      <c r="E10" s="24"/>
      <c r="F10" s="24"/>
      <c r="G10" s="24"/>
      <c r="H10" s="35"/>
      <c r="I10" s="64" t="str">
        <f>VLOOKUP(B10,項目一覧2!A:B,2,FALSE)</f>
        <v>gyosha_nm</v>
      </c>
      <c r="J10" s="24"/>
      <c r="K10" s="21"/>
      <c r="L10" s="21"/>
      <c r="M10" s="21"/>
      <c r="N10" s="21"/>
      <c r="O10" s="21"/>
      <c r="P10" s="21"/>
      <c r="Q10" s="32"/>
      <c r="R10" s="18" t="s">
        <v>184</v>
      </c>
      <c r="S10" s="21"/>
      <c r="T10" s="21"/>
      <c r="U10" s="21"/>
      <c r="V10" s="21"/>
      <c r="W10" s="19"/>
      <c r="X10" s="22"/>
      <c r="Y10" s="212" t="s">
        <v>1891</v>
      </c>
      <c r="Z10" s="217"/>
      <c r="AA10" s="273" t="s">
        <v>1892</v>
      </c>
      <c r="AB10" s="274"/>
      <c r="AC10" s="275"/>
      <c r="AD10" s="102">
        <v>80</v>
      </c>
      <c r="AE10" s="26" t="s">
        <v>1893</v>
      </c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1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18" t="s">
        <v>381</v>
      </c>
      <c r="C11" s="19"/>
      <c r="D11" s="19"/>
      <c r="E11" s="19"/>
      <c r="F11" s="19"/>
      <c r="G11" s="19"/>
      <c r="H11" s="22"/>
      <c r="I11" s="64" t="str">
        <f>VLOOKUP(B11,項目一覧2!A:B,2,FALSE)</f>
        <v>shiharaibi</v>
      </c>
      <c r="J11" s="21"/>
      <c r="K11" s="21"/>
      <c r="L11" s="21"/>
      <c r="M11" s="21"/>
      <c r="N11" s="21"/>
      <c r="O11" s="21"/>
      <c r="P11" s="21"/>
      <c r="Q11" s="32"/>
      <c r="R11" s="18" t="s">
        <v>230</v>
      </c>
      <c r="S11" s="21"/>
      <c r="T11" s="21"/>
      <c r="U11" s="21"/>
      <c r="V11" s="21"/>
      <c r="W11" s="19"/>
      <c r="X11" s="22"/>
      <c r="Y11" s="212" t="s">
        <v>56</v>
      </c>
      <c r="Z11" s="213"/>
      <c r="AA11" s="214" t="s">
        <v>1895</v>
      </c>
      <c r="AB11" s="215"/>
      <c r="AC11" s="216"/>
      <c r="AD11" s="25"/>
      <c r="AE11" s="26" t="s">
        <v>1893</v>
      </c>
      <c r="AF11" s="26"/>
      <c r="AG11" s="26"/>
      <c r="AH11" s="26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9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1864</v>
      </c>
      <c r="C12" s="19"/>
      <c r="D12" s="19"/>
      <c r="E12" s="19"/>
      <c r="F12" s="19"/>
      <c r="G12" s="19"/>
      <c r="H12" s="22"/>
      <c r="I12" s="64" t="str">
        <f>VLOOKUP(B12,項目一覧2!A:B,2,FALSE)</f>
        <v>nonyu_date</v>
      </c>
      <c r="J12" s="21"/>
      <c r="K12" s="21"/>
      <c r="L12" s="21"/>
      <c r="M12" s="21"/>
      <c r="N12" s="21"/>
      <c r="O12" s="21"/>
      <c r="P12" s="21"/>
      <c r="Q12" s="32"/>
      <c r="R12" s="18" t="s">
        <v>237</v>
      </c>
      <c r="S12" s="21"/>
      <c r="T12" s="21"/>
      <c r="U12" s="21"/>
      <c r="V12" s="21"/>
      <c r="W12" s="19"/>
      <c r="X12" s="22"/>
      <c r="Y12" s="212" t="s">
        <v>56</v>
      </c>
      <c r="Z12" s="213"/>
      <c r="AA12" s="214" t="s">
        <v>1892</v>
      </c>
      <c r="AB12" s="215"/>
      <c r="AC12" s="216"/>
      <c r="AD12" s="25">
        <v>6</v>
      </c>
      <c r="AE12" s="26" t="s">
        <v>1893</v>
      </c>
      <c r="AF12" s="26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232</v>
      </c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1562</v>
      </c>
      <c r="C13" s="19"/>
      <c r="D13" s="19"/>
      <c r="E13" s="19"/>
      <c r="F13" s="19"/>
      <c r="G13" s="19"/>
      <c r="H13" s="22"/>
      <c r="I13" s="64" t="str">
        <f>VLOOKUP(B13,項目一覧2!A:B,2,FALSE)</f>
        <v>chosei_flg</v>
      </c>
      <c r="J13" s="21"/>
      <c r="K13" s="21"/>
      <c r="L13" s="21"/>
      <c r="M13" s="21"/>
      <c r="N13" s="21"/>
      <c r="O13" s="21"/>
      <c r="P13" s="21"/>
      <c r="Q13" s="32"/>
      <c r="R13" s="18" t="s">
        <v>238</v>
      </c>
      <c r="S13" s="21"/>
      <c r="T13" s="21"/>
      <c r="U13" s="21"/>
      <c r="V13" s="21"/>
      <c r="W13" s="19"/>
      <c r="X13" s="22"/>
      <c r="Y13" s="18" t="s">
        <v>56</v>
      </c>
      <c r="Z13" s="34"/>
      <c r="AA13" s="23" t="s">
        <v>1892</v>
      </c>
      <c r="AB13" s="24"/>
      <c r="AC13" s="35"/>
      <c r="AD13" s="25">
        <v>6</v>
      </c>
      <c r="AE13" s="26" t="s">
        <v>1893</v>
      </c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 t="s">
        <v>239</v>
      </c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1867</v>
      </c>
      <c r="C14" s="19"/>
      <c r="D14" s="19"/>
      <c r="E14" s="19"/>
      <c r="F14" s="19"/>
      <c r="G14" s="19"/>
      <c r="H14" s="22"/>
      <c r="I14" s="64" t="str">
        <f>VLOOKUP(B14,項目一覧2!A:B,2,FALSE)</f>
        <v>shiire_shime_ym</v>
      </c>
      <c r="J14" s="21"/>
      <c r="K14" s="21"/>
      <c r="L14" s="21"/>
      <c r="M14" s="21"/>
      <c r="N14" s="21"/>
      <c r="O14" s="21"/>
      <c r="P14" s="21"/>
      <c r="Q14" s="32"/>
      <c r="R14" s="18" t="s">
        <v>231</v>
      </c>
      <c r="S14" s="21"/>
      <c r="T14" s="21"/>
      <c r="U14" s="21"/>
      <c r="V14" s="21"/>
      <c r="W14" s="19"/>
      <c r="X14" s="22"/>
      <c r="Y14" s="18" t="s">
        <v>56</v>
      </c>
      <c r="Z14" s="34"/>
      <c r="AA14" s="23" t="s">
        <v>1892</v>
      </c>
      <c r="AB14" s="24"/>
      <c r="AC14" s="35"/>
      <c r="AD14" s="25">
        <v>6</v>
      </c>
      <c r="AE14" s="26" t="s">
        <v>1893</v>
      </c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 t="s">
        <v>232</v>
      </c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142</v>
      </c>
      <c r="C15" s="19"/>
      <c r="D15" s="19"/>
      <c r="E15" s="19"/>
      <c r="F15" s="19"/>
      <c r="G15" s="19"/>
      <c r="H15" s="22"/>
      <c r="I15" s="64" t="str">
        <f>VLOOKUP(B15,項目一覧2!A:B,2,FALSE)</f>
        <v>shukan_busho_cd</v>
      </c>
      <c r="J15" s="21"/>
      <c r="K15" s="21"/>
      <c r="L15" s="21"/>
      <c r="M15" s="21"/>
      <c r="N15" s="21"/>
      <c r="O15" s="21"/>
      <c r="P15" s="21"/>
      <c r="Q15" s="32"/>
      <c r="R15" s="18" t="s">
        <v>142</v>
      </c>
      <c r="S15" s="21"/>
      <c r="T15" s="21"/>
      <c r="U15" s="21"/>
      <c r="V15" s="21"/>
      <c r="W15" s="21"/>
      <c r="X15" s="22"/>
      <c r="Y15" s="18" t="s">
        <v>56</v>
      </c>
      <c r="Z15" s="34"/>
      <c r="AA15" s="23" t="s">
        <v>1892</v>
      </c>
      <c r="AB15" s="24"/>
      <c r="AC15" s="35"/>
      <c r="AD15" s="25">
        <v>4</v>
      </c>
      <c r="AE15" s="26" t="s">
        <v>1893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387</v>
      </c>
      <c r="C16" s="19"/>
      <c r="D16" s="19"/>
      <c r="E16" s="19"/>
      <c r="F16" s="19"/>
      <c r="G16" s="19"/>
      <c r="H16" s="22"/>
      <c r="I16" s="64" t="str">
        <f>VLOOKUP(B16,項目一覧2!A:B,2,FALSE)</f>
        <v>shukan_kotei_cd</v>
      </c>
      <c r="J16" s="21"/>
      <c r="K16" s="21"/>
      <c r="L16" s="21"/>
      <c r="M16" s="21"/>
      <c r="N16" s="21"/>
      <c r="O16" s="21"/>
      <c r="P16" s="21"/>
      <c r="Q16" s="32"/>
      <c r="R16" s="18" t="s">
        <v>143</v>
      </c>
      <c r="S16" s="21"/>
      <c r="T16" s="21"/>
      <c r="U16" s="21"/>
      <c r="V16" s="21"/>
      <c r="W16" s="21"/>
      <c r="X16" s="22"/>
      <c r="Y16" s="18" t="s">
        <v>56</v>
      </c>
      <c r="Z16" s="34"/>
      <c r="AA16" s="23" t="s">
        <v>1892</v>
      </c>
      <c r="AB16" s="24"/>
      <c r="AC16" s="35"/>
      <c r="AD16" s="25">
        <v>4</v>
      </c>
      <c r="AE16" s="26" t="s">
        <v>1893</v>
      </c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2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60"/>
    </row>
    <row r="17" spans="1:56" ht="15" customHeight="1" x14ac:dyDescent="0.3">
      <c r="A17" s="44">
        <f>IF(B17="","",COUNTA($B$8:B17))</f>
        <v>10</v>
      </c>
      <c r="B17" s="18" t="s">
        <v>1762</v>
      </c>
      <c r="C17" s="19"/>
      <c r="D17" s="19"/>
      <c r="E17" s="19"/>
      <c r="F17" s="19"/>
      <c r="G17" s="19"/>
      <c r="H17" s="22"/>
      <c r="I17" s="64" t="str">
        <f>VLOOKUP(B17,項目一覧2!A:B,2,FALSE)</f>
        <v>insert_func_cd</v>
      </c>
      <c r="J17" s="33"/>
      <c r="K17" s="21"/>
      <c r="L17" s="21"/>
      <c r="M17" s="21"/>
      <c r="N17" s="21"/>
      <c r="O17" s="21"/>
      <c r="P17" s="21"/>
      <c r="Q17" s="32"/>
      <c r="R17" s="18" t="s">
        <v>118</v>
      </c>
      <c r="S17" s="21"/>
      <c r="T17" s="33"/>
      <c r="U17" s="21"/>
      <c r="V17" s="21"/>
      <c r="W17" s="21"/>
      <c r="X17" s="22"/>
      <c r="Y17" s="18" t="s">
        <v>1891</v>
      </c>
      <c r="Z17" s="33"/>
      <c r="AA17" s="23" t="s">
        <v>1892</v>
      </c>
      <c r="AB17" s="24"/>
      <c r="AC17" s="35"/>
      <c r="AD17" s="25">
        <v>10</v>
      </c>
      <c r="AE17" s="27"/>
      <c r="AF17" s="27"/>
      <c r="AG17" s="26" t="s">
        <v>123</v>
      </c>
      <c r="AH17" s="27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2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60"/>
    </row>
    <row r="18" spans="1:56" ht="15" customHeight="1" x14ac:dyDescent="0.3">
      <c r="A18" s="44">
        <f>IF(B18="","",COUNTA($B$8:B18))</f>
        <v>11</v>
      </c>
      <c r="B18" s="18" t="s">
        <v>1896</v>
      </c>
      <c r="C18" s="19"/>
      <c r="D18" s="19"/>
      <c r="E18" s="19"/>
      <c r="F18" s="19"/>
      <c r="G18" s="19"/>
      <c r="H18" s="22"/>
      <c r="I18" s="64" t="str">
        <f>VLOOKUP(B18,項目一覧2!A:B,2,FALSE)</f>
        <v>insert_user_cd</v>
      </c>
      <c r="J18" s="33"/>
      <c r="K18" s="21"/>
      <c r="L18" s="21"/>
      <c r="M18" s="21"/>
      <c r="N18" s="21"/>
      <c r="O18" s="21"/>
      <c r="P18" s="21"/>
      <c r="Q18" s="32"/>
      <c r="R18" s="18" t="s">
        <v>114</v>
      </c>
      <c r="S18" s="21"/>
      <c r="T18" s="33"/>
      <c r="U18" s="21"/>
      <c r="V18" s="21"/>
      <c r="W18" s="21"/>
      <c r="X18" s="22"/>
      <c r="Y18" s="18" t="s">
        <v>1891</v>
      </c>
      <c r="Z18" s="33"/>
      <c r="AA18" s="23" t="s">
        <v>1892</v>
      </c>
      <c r="AB18" s="24"/>
      <c r="AC18" s="35"/>
      <c r="AD18" s="25">
        <v>10</v>
      </c>
      <c r="AE18" s="27"/>
      <c r="AF18" s="27"/>
      <c r="AG18" s="26" t="s">
        <v>123</v>
      </c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18" t="s">
        <v>1897</v>
      </c>
      <c r="C19" s="19"/>
      <c r="D19" s="19"/>
      <c r="E19" s="19"/>
      <c r="F19" s="19"/>
      <c r="G19" s="19"/>
      <c r="H19" s="22"/>
      <c r="I19" s="64" t="str">
        <f>VLOOKUP(B19,項目一覧2!A:B,2,FALSE)</f>
        <v>insert_datetime</v>
      </c>
      <c r="J19" s="33"/>
      <c r="K19" s="21"/>
      <c r="L19" s="21"/>
      <c r="M19" s="21"/>
      <c r="N19" s="21"/>
      <c r="O19" s="21"/>
      <c r="P19" s="21"/>
      <c r="Q19" s="32"/>
      <c r="R19" s="18" t="s">
        <v>115</v>
      </c>
      <c r="S19" s="21"/>
      <c r="T19" s="33"/>
      <c r="U19" s="21"/>
      <c r="V19" s="21"/>
      <c r="W19" s="21"/>
      <c r="X19" s="22"/>
      <c r="Y19" s="18" t="s">
        <v>1894</v>
      </c>
      <c r="Z19" s="33"/>
      <c r="AA19" s="23" t="s">
        <v>1895</v>
      </c>
      <c r="AB19" s="24"/>
      <c r="AC19" s="35"/>
      <c r="AD19" s="45"/>
      <c r="AE19" s="27"/>
      <c r="AF19" s="27"/>
      <c r="AG19" s="26" t="s">
        <v>123</v>
      </c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>
        <f>IF(B20="","",COUNTA($B$8:B20))</f>
        <v>13</v>
      </c>
      <c r="B20" s="97" t="s">
        <v>1766</v>
      </c>
      <c r="C20" s="19"/>
      <c r="D20" s="19"/>
      <c r="E20" s="19"/>
      <c r="F20" s="19"/>
      <c r="G20" s="19"/>
      <c r="H20" s="22"/>
      <c r="I20" s="64" t="str">
        <f>VLOOKUP(B20,項目一覧2!A:B,2,FALSE)</f>
        <v>update_func_cd</v>
      </c>
      <c r="J20" s="33"/>
      <c r="K20" s="21"/>
      <c r="L20" s="21"/>
      <c r="M20" s="21"/>
      <c r="N20" s="21"/>
      <c r="O20" s="21"/>
      <c r="P20" s="21"/>
      <c r="Q20" s="32"/>
      <c r="R20" s="18" t="s">
        <v>119</v>
      </c>
      <c r="S20" s="21"/>
      <c r="T20" s="33"/>
      <c r="U20" s="21"/>
      <c r="V20" s="21"/>
      <c r="W20" s="21"/>
      <c r="X20" s="22"/>
      <c r="Y20" s="18" t="s">
        <v>1891</v>
      </c>
      <c r="Z20" s="33"/>
      <c r="AA20" s="23" t="s">
        <v>1892</v>
      </c>
      <c r="AB20" s="24"/>
      <c r="AC20" s="35"/>
      <c r="AD20" s="25">
        <v>10</v>
      </c>
      <c r="AE20" s="27"/>
      <c r="AF20" s="27"/>
      <c r="AG20" s="26" t="s">
        <v>123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18" t="s">
        <v>1899</v>
      </c>
      <c r="C21" s="19"/>
      <c r="D21" s="19"/>
      <c r="E21" s="19"/>
      <c r="F21" s="19"/>
      <c r="G21" s="19"/>
      <c r="H21" s="22"/>
      <c r="I21" s="64" t="str">
        <f>VLOOKUP(B21,項目一覧2!A:B,2,FALSE)</f>
        <v>update_user_cd</v>
      </c>
      <c r="J21" s="33"/>
      <c r="K21" s="21"/>
      <c r="L21" s="21"/>
      <c r="M21" s="21"/>
      <c r="N21" s="21"/>
      <c r="O21" s="21"/>
      <c r="P21" s="21"/>
      <c r="Q21" s="32"/>
      <c r="R21" s="18" t="s">
        <v>116</v>
      </c>
      <c r="S21" s="21"/>
      <c r="T21" s="33"/>
      <c r="U21" s="21"/>
      <c r="V21" s="21"/>
      <c r="W21" s="21"/>
      <c r="X21" s="22"/>
      <c r="Y21" s="18" t="s">
        <v>1891</v>
      </c>
      <c r="Z21" s="33"/>
      <c r="AA21" s="23" t="s">
        <v>1892</v>
      </c>
      <c r="AB21" s="24"/>
      <c r="AC21" s="35"/>
      <c r="AD21" s="45">
        <v>10</v>
      </c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>
        <f>IF(B22="","",COUNTA($B$8:B22))</f>
        <v>15</v>
      </c>
      <c r="B22" s="18" t="s">
        <v>1900</v>
      </c>
      <c r="C22" s="19"/>
      <c r="D22" s="19"/>
      <c r="E22" s="19"/>
      <c r="F22" s="19"/>
      <c r="G22" s="19"/>
      <c r="H22" s="22"/>
      <c r="I22" s="64" t="str">
        <f>VLOOKUP(B22,項目一覧2!A:B,2,FALSE)</f>
        <v>update_datetime</v>
      </c>
      <c r="J22" s="33"/>
      <c r="K22" s="21"/>
      <c r="L22" s="21"/>
      <c r="M22" s="21"/>
      <c r="N22" s="21"/>
      <c r="O22" s="21"/>
      <c r="P22" s="21"/>
      <c r="Q22" s="32"/>
      <c r="R22" s="18" t="s">
        <v>117</v>
      </c>
      <c r="S22" s="21"/>
      <c r="T22" s="33"/>
      <c r="U22" s="21"/>
      <c r="V22" s="21"/>
      <c r="W22" s="21"/>
      <c r="X22" s="22"/>
      <c r="Y22" s="212" t="s">
        <v>1894</v>
      </c>
      <c r="Z22" s="217"/>
      <c r="AA22" s="214" t="s">
        <v>1895</v>
      </c>
      <c r="AB22" s="215"/>
      <c r="AC22" s="216"/>
      <c r="AD22" s="45"/>
      <c r="AE22" s="27"/>
      <c r="AF22" s="27"/>
      <c r="AG22" s="2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/>
      <c r="B23" s="18"/>
      <c r="C23" s="19"/>
      <c r="D23" s="19"/>
      <c r="E23" s="19"/>
      <c r="F23" s="19"/>
      <c r="G23" s="19"/>
      <c r="H23" s="22"/>
      <c r="I23" s="64"/>
      <c r="J23" s="33"/>
      <c r="K23" s="21"/>
      <c r="L23" s="21"/>
      <c r="M23" s="21"/>
      <c r="N23" s="21"/>
      <c r="O23" s="21"/>
      <c r="P23" s="21"/>
      <c r="Q23" s="32"/>
      <c r="R23" s="18"/>
      <c r="S23" s="21"/>
      <c r="T23" s="33"/>
      <c r="U23" s="21"/>
      <c r="V23" s="21"/>
      <c r="W23" s="21"/>
      <c r="X23" s="22"/>
      <c r="Y23" s="212"/>
      <c r="Z23" s="217"/>
      <c r="AA23" s="214"/>
      <c r="AB23" s="215"/>
      <c r="AC23" s="216"/>
      <c r="AD23" s="45"/>
      <c r="AE23" s="27"/>
      <c r="AF23" s="27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 t="str">
        <f>IF(B24="","",COUNTA($B$8:B24))</f>
        <v/>
      </c>
      <c r="B24" s="41"/>
      <c r="C24" s="39"/>
      <c r="D24" s="39"/>
      <c r="E24" s="39"/>
      <c r="F24" s="39"/>
      <c r="G24" s="39"/>
      <c r="H24" s="40"/>
      <c r="I24" s="64"/>
      <c r="J24" s="30"/>
      <c r="K24" s="30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0"/>
      <c r="W24" s="30"/>
      <c r="X24" s="30"/>
      <c r="Y24" s="212"/>
      <c r="Z24" s="213"/>
      <c r="AA24" s="214"/>
      <c r="AB24" s="215"/>
      <c r="AC24" s="216"/>
      <c r="AD24" s="43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 t="str">
        <f>IF(B25="","",COUNTA($B$8:B25))</f>
        <v/>
      </c>
      <c r="B25" s="41"/>
      <c r="C25" s="39"/>
      <c r="D25" s="39"/>
      <c r="E25" s="39"/>
      <c r="F25" s="39"/>
      <c r="G25" s="39"/>
      <c r="H25" s="40"/>
      <c r="I25" s="64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212"/>
      <c r="Z25" s="213"/>
      <c r="AA25" s="214"/>
      <c r="AB25" s="215"/>
      <c r="AC25" s="216"/>
      <c r="AD25" s="43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 t="str">
        <f>IF(B26="","",COUNTA($B$8:B26))</f>
        <v/>
      </c>
      <c r="B26" s="41"/>
      <c r="C26" s="39"/>
      <c r="D26" s="39"/>
      <c r="E26" s="39"/>
      <c r="F26" s="39"/>
      <c r="G26" s="39"/>
      <c r="H26" s="40"/>
      <c r="I26" s="64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212"/>
      <c r="Z26" s="213"/>
      <c r="AA26" s="214"/>
      <c r="AB26" s="215"/>
      <c r="AC26" s="216"/>
      <c r="AD26" s="43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 t="str">
        <f>IF(B27="","",COUNTA($B$8:B27))</f>
        <v/>
      </c>
      <c r="B27" s="41"/>
      <c r="C27" s="39"/>
      <c r="D27" s="39"/>
      <c r="E27" s="39"/>
      <c r="F27" s="39"/>
      <c r="G27" s="39"/>
      <c r="H27" s="40"/>
      <c r="I27" s="64"/>
      <c r="J27" s="30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212"/>
      <c r="Z27" s="213"/>
      <c r="AA27" s="214"/>
      <c r="AB27" s="215"/>
      <c r="AC27" s="216"/>
      <c r="AD27" s="43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 t="str">
        <f>IF(B28="","",COUNTA($B$8:B28))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20"/>
      <c r="C29" s="19"/>
      <c r="D29" s="19"/>
      <c r="E29" s="19"/>
      <c r="F29" s="19"/>
      <c r="G29" s="19"/>
      <c r="H29" s="22"/>
      <c r="I29" s="63"/>
      <c r="J29" s="33"/>
      <c r="K29" s="21"/>
      <c r="L29" s="21"/>
      <c r="M29" s="21"/>
      <c r="N29" s="21"/>
      <c r="O29" s="21"/>
      <c r="P29" s="21"/>
      <c r="Q29" s="32"/>
      <c r="R29" s="21"/>
      <c r="S29" s="21"/>
      <c r="T29" s="33"/>
      <c r="U29" s="21"/>
      <c r="V29" s="21"/>
      <c r="W29" s="21"/>
      <c r="X29" s="22"/>
      <c r="Y29" s="212"/>
      <c r="Z29" s="213"/>
      <c r="AA29" s="214"/>
      <c r="AB29" s="215"/>
      <c r="AC29" s="216"/>
      <c r="AD29" s="25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20"/>
      <c r="C30" s="19"/>
      <c r="D30" s="19"/>
      <c r="E30" s="19"/>
      <c r="F30" s="19"/>
      <c r="G30" s="19"/>
      <c r="H30" s="22"/>
      <c r="I30" s="63"/>
      <c r="J30" s="33"/>
      <c r="K30" s="21"/>
      <c r="L30" s="21"/>
      <c r="M30" s="21"/>
      <c r="N30" s="21"/>
      <c r="O30" s="21"/>
      <c r="P30" s="21"/>
      <c r="Q30" s="32"/>
      <c r="R30" s="21"/>
      <c r="S30" s="21"/>
      <c r="T30" s="33"/>
      <c r="U30" s="21"/>
      <c r="V30" s="21"/>
      <c r="W30" s="21"/>
      <c r="X30" s="22"/>
      <c r="Y30" s="212"/>
      <c r="Z30" s="213"/>
      <c r="AA30" s="214"/>
      <c r="AB30" s="215"/>
      <c r="AC30" s="216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20"/>
      <c r="C31" s="19"/>
      <c r="D31" s="19"/>
      <c r="E31" s="19"/>
      <c r="F31" s="19"/>
      <c r="G31" s="19"/>
      <c r="H31" s="22"/>
      <c r="I31" s="63"/>
      <c r="J31" s="33"/>
      <c r="K31" s="21"/>
      <c r="L31" s="21"/>
      <c r="M31" s="21"/>
      <c r="N31" s="21"/>
      <c r="O31" s="21"/>
      <c r="P31" s="21"/>
      <c r="Q31" s="32"/>
      <c r="R31" s="21"/>
      <c r="S31" s="21"/>
      <c r="T31" s="33"/>
      <c r="U31" s="21"/>
      <c r="V31" s="21"/>
      <c r="W31" s="21"/>
      <c r="X31" s="22"/>
      <c r="Y31" s="212"/>
      <c r="Z31" s="213"/>
      <c r="AA31" s="214"/>
      <c r="AB31" s="215"/>
      <c r="AC31" s="216"/>
      <c r="AD31" s="28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63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212"/>
      <c r="Z32" s="213"/>
      <c r="AA32" s="214"/>
      <c r="AB32" s="215"/>
      <c r="AC32" s="216"/>
      <c r="AD32" s="25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IF(B33="","",COUNTA($B$8:B33))</f>
        <v/>
      </c>
      <c r="B33" s="20"/>
      <c r="C33" s="19"/>
      <c r="D33" s="19"/>
      <c r="E33" s="19"/>
      <c r="F33" s="19"/>
      <c r="G33" s="19"/>
      <c r="H33" s="22"/>
      <c r="I33" s="63"/>
      <c r="J33" s="33"/>
      <c r="K33" s="21"/>
      <c r="L33" s="21"/>
      <c r="M33" s="21"/>
      <c r="N33" s="21"/>
      <c r="O33" s="21"/>
      <c r="P33" s="21"/>
      <c r="Q33" s="32"/>
      <c r="R33" s="21"/>
      <c r="S33" s="21"/>
      <c r="T33" s="33"/>
      <c r="U33" s="21"/>
      <c r="V33" s="21"/>
      <c r="W33" s="21"/>
      <c r="X33" s="22"/>
      <c r="Y33" s="212"/>
      <c r="Z33" s="213"/>
      <c r="AA33" s="214"/>
      <c r="AB33" s="215"/>
      <c r="AC33" s="216"/>
      <c r="AD33" s="28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3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2"/>
      <c r="Z34" s="213"/>
      <c r="AA34" s="214"/>
      <c r="AB34" s="215"/>
      <c r="AC34" s="216"/>
      <c r="AD34" s="2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41"/>
      <c r="C35" s="39"/>
      <c r="D35" s="39"/>
      <c r="E35" s="39"/>
      <c r="F35" s="39"/>
      <c r="G35" s="39"/>
      <c r="H35" s="40"/>
      <c r="I35" s="64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212"/>
      <c r="Z35" s="213"/>
      <c r="AA35" s="214"/>
      <c r="AB35" s="215"/>
      <c r="AC35" s="216"/>
      <c r="AD35" s="43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41"/>
      <c r="C36" s="39"/>
      <c r="D36" s="39"/>
      <c r="E36" s="39"/>
      <c r="F36" s="39"/>
      <c r="G36" s="39"/>
      <c r="H36" s="40"/>
      <c r="I36" s="64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212"/>
      <c r="Z36" s="213"/>
      <c r="AA36" s="214"/>
      <c r="AB36" s="215"/>
      <c r="AC36" s="216"/>
      <c r="AD36" s="43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IF(B37="","",COUNTA($B$8:B37))</f>
        <v/>
      </c>
      <c r="B37" s="41"/>
      <c r="C37" s="39"/>
      <c r="D37" s="39"/>
      <c r="E37" s="39"/>
      <c r="F37" s="39"/>
      <c r="G37" s="39"/>
      <c r="H37" s="40"/>
      <c r="I37" s="64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2"/>
      <c r="Z37" s="213"/>
      <c r="AA37" s="214"/>
      <c r="AB37" s="215"/>
      <c r="AC37" s="216"/>
      <c r="AD37" s="43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IF(B38="","",COUNTA($B$8:B38))</f>
        <v/>
      </c>
      <c r="B38" s="41"/>
      <c r="C38" s="39"/>
      <c r="D38" s="39"/>
      <c r="E38" s="39"/>
      <c r="F38" s="39"/>
      <c r="G38" s="39"/>
      <c r="H38" s="40"/>
      <c r="I38" s="64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2"/>
      <c r="Z38" s="213"/>
      <c r="AA38" s="214"/>
      <c r="AB38" s="215"/>
      <c r="AC38" s="216"/>
      <c r="AD38" s="43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IF(B39="","",COUNTA($B$8:B39))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IF(B40="","",COUNTA($B$8:B40))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IF(B41="","",COUNTA($B$8:B41))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IF(B42="","",COUNTA($B$8:B42))</f>
        <v/>
      </c>
      <c r="B42" s="41"/>
      <c r="C42" s="39"/>
      <c r="D42" s="39"/>
      <c r="E42" s="39"/>
      <c r="F42" s="39"/>
      <c r="G42" s="39"/>
      <c r="H42" s="40"/>
      <c r="I42" s="64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43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4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 t="str">
        <f>IF(B44="","",COUNTA($B$8:B44))</f>
        <v/>
      </c>
      <c r="B44" s="41"/>
      <c r="C44" s="39"/>
      <c r="D44" s="39"/>
      <c r="E44" s="39"/>
      <c r="F44" s="39"/>
      <c r="G44" s="39"/>
      <c r="H44" s="40"/>
      <c r="I44" s="64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43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1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IF(B45="","",COUNTA($B$8:B45))</f>
        <v/>
      </c>
      <c r="B45" s="41"/>
      <c r="C45" s="39"/>
      <c r="D45" s="39"/>
      <c r="E45" s="39"/>
      <c r="F45" s="39"/>
      <c r="G45" s="39"/>
      <c r="H45" s="40"/>
      <c r="I45" s="64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2"/>
      <c r="Z45" s="213"/>
      <c r="AA45" s="214"/>
      <c r="AB45" s="215"/>
      <c r="AC45" s="216"/>
      <c r="AD45" s="43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 t="str">
        <f>IF(B46="","",COUNTA($B$8:B46))</f>
        <v/>
      </c>
      <c r="B46" s="41"/>
      <c r="C46" s="39"/>
      <c r="D46" s="39"/>
      <c r="E46" s="39"/>
      <c r="F46" s="39"/>
      <c r="G46" s="39"/>
      <c r="H46" s="40"/>
      <c r="I46" s="64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2"/>
      <c r="Z46" s="213"/>
      <c r="AA46" s="214"/>
      <c r="AB46" s="215"/>
      <c r="AC46" s="216"/>
      <c r="AD46" s="43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 t="str">
        <f>IF(B47="","",COUNTA($B$8:B47))</f>
        <v/>
      </c>
      <c r="B47" s="41"/>
      <c r="C47" s="39"/>
      <c r="D47" s="39"/>
      <c r="E47" s="39"/>
      <c r="F47" s="39"/>
      <c r="G47" s="39"/>
      <c r="H47" s="40"/>
      <c r="I47" s="64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2"/>
      <c r="Z47" s="213"/>
      <c r="AA47" s="214"/>
      <c r="AB47" s="215"/>
      <c r="AC47" s="216"/>
      <c r="AD47" s="43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IF(B48="","",COUNTA($B$8:B48))</f>
        <v/>
      </c>
      <c r="B48" s="41"/>
      <c r="C48" s="39"/>
      <c r="D48" s="39"/>
      <c r="E48" s="39"/>
      <c r="F48" s="39"/>
      <c r="G48" s="39"/>
      <c r="H48" s="40"/>
      <c r="I48" s="64"/>
      <c r="J48" s="30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2"/>
      <c r="Z48" s="213"/>
      <c r="AA48" s="214"/>
      <c r="AB48" s="215"/>
      <c r="AC48" s="216"/>
      <c r="AD48" s="43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41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4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212"/>
      <c r="Z49" s="213"/>
      <c r="AA49" s="214"/>
      <c r="AB49" s="215"/>
      <c r="AC49" s="216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9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4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212"/>
      <c r="Z50" s="213"/>
      <c r="AA50" s="214"/>
      <c r="AB50" s="215"/>
      <c r="AC50" s="216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60"/>
    </row>
    <row r="51" spans="1:56" ht="15" customHeight="1" x14ac:dyDescent="0.3">
      <c r="A51" s="44" t="str">
        <f>IF(B51="","",COUNTA($B$8:B51))</f>
        <v/>
      </c>
      <c r="B51" s="29"/>
      <c r="C51" s="39"/>
      <c r="D51" s="39"/>
      <c r="E51" s="39"/>
      <c r="F51" s="39"/>
      <c r="G51" s="39"/>
      <c r="H51" s="40"/>
      <c r="I51" s="64"/>
      <c r="J51" s="21"/>
      <c r="K51" s="30"/>
      <c r="L51" s="30"/>
      <c r="M51" s="30"/>
      <c r="N51" s="30"/>
      <c r="O51" s="30"/>
      <c r="P51" s="30"/>
      <c r="Q51" s="31"/>
      <c r="R51" s="30"/>
      <c r="S51" s="30"/>
      <c r="T51" s="30"/>
      <c r="U51" s="30"/>
      <c r="V51" s="30"/>
      <c r="W51" s="30"/>
      <c r="X51" s="30"/>
      <c r="Y51" s="212"/>
      <c r="Z51" s="213"/>
      <c r="AA51" s="214"/>
      <c r="AB51" s="215"/>
      <c r="AC51" s="216"/>
      <c r="AD51" s="28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60"/>
    </row>
    <row r="52" spans="1:56" ht="15" customHeight="1" x14ac:dyDescent="0.3">
      <c r="A52" s="44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3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212"/>
      <c r="Z52" s="213"/>
      <c r="AA52" s="214"/>
      <c r="AB52" s="215"/>
      <c r="AC52" s="216"/>
      <c r="AD52" s="25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3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212"/>
      <c r="Z53" s="213"/>
      <c r="AA53" s="214"/>
      <c r="AB53" s="215"/>
      <c r="AC53" s="216"/>
      <c r="AD53" s="25"/>
      <c r="AE53" s="36"/>
      <c r="AF53" s="36"/>
      <c r="AG53" s="36"/>
      <c r="AH53" s="36"/>
      <c r="AI53" s="36"/>
      <c r="AJ53" s="26"/>
      <c r="AK53" s="26"/>
      <c r="AL53" s="26"/>
      <c r="AM53" s="26"/>
      <c r="AN53" s="26"/>
      <c r="AO53" s="27"/>
      <c r="AP53" s="27"/>
      <c r="AQ53" s="27"/>
      <c r="AR53" s="27"/>
      <c r="AS53" s="29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44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3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212"/>
      <c r="Z54" s="213"/>
      <c r="AA54" s="214"/>
      <c r="AB54" s="215"/>
      <c r="AC54" s="216"/>
      <c r="AD54" s="28"/>
      <c r="AE54" s="26"/>
      <c r="AF54" s="26"/>
      <c r="AG54" s="26"/>
      <c r="AH54" s="26"/>
      <c r="AI54" s="26"/>
      <c r="AJ54" s="26"/>
      <c r="AK54" s="26"/>
      <c r="AL54" s="36"/>
      <c r="AM54" s="36"/>
      <c r="AN54" s="36"/>
      <c r="AO54" s="37"/>
      <c r="AP54" s="37"/>
      <c r="AQ54" s="37"/>
      <c r="AR54" s="37"/>
      <c r="AS54" s="38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58"/>
    </row>
    <row r="55" spans="1:56" ht="15" customHeight="1" x14ac:dyDescent="0.3">
      <c r="A55" s="44" t="str">
        <f>IF(B55="","",COUNTA($B$8:B55))</f>
        <v/>
      </c>
      <c r="B55" s="20"/>
      <c r="C55" s="19"/>
      <c r="D55" s="19"/>
      <c r="E55" s="19"/>
      <c r="F55" s="19"/>
      <c r="G55" s="19"/>
      <c r="H55" s="22"/>
      <c r="I55" s="63"/>
      <c r="J55" s="33"/>
      <c r="K55" s="21"/>
      <c r="L55" s="21"/>
      <c r="M55" s="21"/>
      <c r="N55" s="21"/>
      <c r="O55" s="21"/>
      <c r="P55" s="21"/>
      <c r="Q55" s="32"/>
      <c r="R55" s="21"/>
      <c r="S55" s="21"/>
      <c r="T55" s="33"/>
      <c r="U55" s="21"/>
      <c r="V55" s="21"/>
      <c r="W55" s="21"/>
      <c r="X55" s="22"/>
      <c r="Y55" s="212"/>
      <c r="Z55" s="213"/>
      <c r="AA55" s="214"/>
      <c r="AB55" s="215"/>
      <c r="AC55" s="216"/>
      <c r="AD55" s="25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7"/>
      <c r="AP55" s="37"/>
      <c r="AQ55" s="37"/>
      <c r="AR55" s="37"/>
      <c r="AS55" s="38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58"/>
    </row>
  </sheetData>
  <mergeCells count="111">
    <mergeCell ref="Y55:Z55"/>
    <mergeCell ref="AA55:AC55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3:Z23"/>
    <mergeCell ref="AA23:AC23"/>
    <mergeCell ref="Y24:Z24"/>
    <mergeCell ref="AA24:AC24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9:Z9"/>
    <mergeCell ref="AA9:AC9"/>
    <mergeCell ref="Y10:Z10"/>
    <mergeCell ref="AA10:AC10"/>
    <mergeCell ref="Y11:Z11"/>
    <mergeCell ref="AA11:AC11"/>
    <mergeCell ref="Y12:Z12"/>
    <mergeCell ref="AA12:AC12"/>
    <mergeCell ref="Y22:Z22"/>
    <mergeCell ref="AA22:AC22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U2:AY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</mergeCells>
  <phoneticPr fontId="5"/>
  <dataValidations disablePrompts="1" count="3">
    <dataValidation imeMode="hiragana" allowBlank="1" showInputMessage="1" showErrorMessage="1" sqref="JK65526:JV65528 TG65526:TR65528 ADC65526:ADN65528 AMY65526:ANJ65528 AWU65526:AXF65528 BGQ65526:BHB65528 BQM65526:BQX65528 CAI65526:CAT65528 CKE65526:CKP65528 CUA65526:CUL65528 DDW65526:DEH65528 DNS65526:DOD65528 DXO65526:DXZ65528 EHK65526:EHV65528 ERG65526:ERR65528 FBC65526:FBN65528 FKY65526:FLJ65528 FUU65526:FVF65528 GEQ65526:GFB65528 GOM65526:GOX65528 GYI65526:GYT65528 HIE65526:HIP65528 HSA65526:HSL65528 IBW65526:ICH65528 ILS65526:IMD65528 IVO65526:IVZ65528 JFK65526:JFV65528 JPG65526:JPR65528 JZC65526:JZN65528 KIY65526:KJJ65528 KSU65526:KTF65528 LCQ65526:LDB65528 LMM65526:LMX65528 LWI65526:LWT65528 MGE65526:MGP65528 MQA65526:MQL65528 MZW65526:NAH65528 NJS65526:NKD65528 NTO65526:NTZ65528 ODK65526:ODV65528 ONG65526:ONR65528 OXC65526:OXN65528 PGY65526:PHJ65528 PQU65526:PRF65528 QAQ65526:QBB65528 QKM65526:QKX65528 QUI65526:QUT65528 REE65526:REP65528 ROA65526:ROL65528 RXW65526:RYH65528 SHS65526:SID65528 SRO65526:SRZ65528 TBK65526:TBV65528 TLG65526:TLR65528 TVC65526:TVN65528 UEY65526:UFJ65528 UOU65526:UPF65528 UYQ65526:UZB65528 VIM65526:VIX65528 VSI65526:VST65528 WCE65526:WCP65528 WMA65526:WML65528 WVW65526:WWH65528 JK131062:JV131064 TG131062:TR131064 ADC131062:ADN131064 AMY131062:ANJ131064 AWU131062:AXF131064 BGQ131062:BHB131064 BQM131062:BQX131064 CAI131062:CAT131064 CKE131062:CKP131064 CUA131062:CUL131064 DDW131062:DEH131064 DNS131062:DOD131064 DXO131062:DXZ131064 EHK131062:EHV131064 ERG131062:ERR131064 FBC131062:FBN131064 FKY131062:FLJ131064 FUU131062:FVF131064 GEQ131062:GFB131064 GOM131062:GOX131064 GYI131062:GYT131064 HIE131062:HIP131064 HSA131062:HSL131064 IBW131062:ICH131064 ILS131062:IMD131064 IVO131062:IVZ131064 JFK131062:JFV131064 JPG131062:JPR131064 JZC131062:JZN131064 KIY131062:KJJ131064 KSU131062:KTF131064 LCQ131062:LDB131064 LMM131062:LMX131064 LWI131062:LWT131064 MGE131062:MGP131064 MQA131062:MQL131064 MZW131062:NAH131064 NJS131062:NKD131064 NTO131062:NTZ131064 ODK131062:ODV131064 ONG131062:ONR131064 OXC131062:OXN131064 PGY131062:PHJ131064 PQU131062:PRF131064 QAQ131062:QBB131064 QKM131062:QKX131064 QUI131062:QUT131064 REE131062:REP131064 ROA131062:ROL131064 RXW131062:RYH131064 SHS131062:SID131064 SRO131062:SRZ131064 TBK131062:TBV131064 TLG131062:TLR131064 TVC131062:TVN131064 UEY131062:UFJ131064 UOU131062:UPF131064 UYQ131062:UZB131064 VIM131062:VIX131064 VSI131062:VST131064 WCE131062:WCP131064 WMA131062:WML131064 WVW131062:WWH131064 JK196598:JV196600 TG196598:TR196600 ADC196598:ADN196600 AMY196598:ANJ196600 AWU196598:AXF196600 BGQ196598:BHB196600 BQM196598:BQX196600 CAI196598:CAT196600 CKE196598:CKP196600 CUA196598:CUL196600 DDW196598:DEH196600 DNS196598:DOD196600 DXO196598:DXZ196600 EHK196598:EHV196600 ERG196598:ERR196600 FBC196598:FBN196600 FKY196598:FLJ196600 FUU196598:FVF196600 GEQ196598:GFB196600 GOM196598:GOX196600 GYI196598:GYT196600 HIE196598:HIP196600 HSA196598:HSL196600 IBW196598:ICH196600 ILS196598:IMD196600 IVO196598:IVZ196600 JFK196598:JFV196600 JPG196598:JPR196600 JZC196598:JZN196600 KIY196598:KJJ196600 KSU196598:KTF196600 LCQ196598:LDB196600 LMM196598:LMX196600 LWI196598:LWT196600 MGE196598:MGP196600 MQA196598:MQL196600 MZW196598:NAH196600 NJS196598:NKD196600 NTO196598:NTZ196600 ODK196598:ODV196600 ONG196598:ONR196600 OXC196598:OXN196600 PGY196598:PHJ196600 PQU196598:PRF196600 QAQ196598:QBB196600 QKM196598:QKX196600 QUI196598:QUT196600 REE196598:REP196600 ROA196598:ROL196600 RXW196598:RYH196600 SHS196598:SID196600 SRO196598:SRZ196600 TBK196598:TBV196600 TLG196598:TLR196600 TVC196598:TVN196600 UEY196598:UFJ196600 UOU196598:UPF196600 UYQ196598:UZB196600 VIM196598:VIX196600 VSI196598:VST196600 WCE196598:WCP196600 WMA196598:WML196600 WVW196598:WWH196600 JK262134:JV262136 TG262134:TR262136 ADC262134:ADN262136 AMY262134:ANJ262136 AWU262134:AXF262136 BGQ262134:BHB262136 BQM262134:BQX262136 CAI262134:CAT262136 CKE262134:CKP262136 CUA262134:CUL262136 DDW262134:DEH262136 DNS262134:DOD262136 DXO262134:DXZ262136 EHK262134:EHV262136 ERG262134:ERR262136 FBC262134:FBN262136 FKY262134:FLJ262136 FUU262134:FVF262136 GEQ262134:GFB262136 GOM262134:GOX262136 GYI262134:GYT262136 HIE262134:HIP262136 HSA262134:HSL262136 IBW262134:ICH262136 ILS262134:IMD262136 IVO262134:IVZ262136 JFK262134:JFV262136 JPG262134:JPR262136 JZC262134:JZN262136 KIY262134:KJJ262136 KSU262134:KTF262136 LCQ262134:LDB262136 LMM262134:LMX262136 LWI262134:LWT262136 MGE262134:MGP262136 MQA262134:MQL262136 MZW262134:NAH262136 NJS262134:NKD262136 NTO262134:NTZ262136 ODK262134:ODV262136 ONG262134:ONR262136 OXC262134:OXN262136 PGY262134:PHJ262136 PQU262134:PRF262136 QAQ262134:QBB262136 QKM262134:QKX262136 QUI262134:QUT262136 REE262134:REP262136 ROA262134:ROL262136 RXW262134:RYH262136 SHS262134:SID262136 SRO262134:SRZ262136 TBK262134:TBV262136 TLG262134:TLR262136 TVC262134:TVN262136 UEY262134:UFJ262136 UOU262134:UPF262136 UYQ262134:UZB262136 VIM262134:VIX262136 VSI262134:VST262136 WCE262134:WCP262136 WMA262134:WML262136 WVW262134:WWH262136 JK327670:JV327672 TG327670:TR327672 ADC327670:ADN327672 AMY327670:ANJ327672 AWU327670:AXF327672 BGQ327670:BHB327672 BQM327670:BQX327672 CAI327670:CAT327672 CKE327670:CKP327672 CUA327670:CUL327672 DDW327670:DEH327672 DNS327670:DOD327672 DXO327670:DXZ327672 EHK327670:EHV327672 ERG327670:ERR327672 FBC327670:FBN327672 FKY327670:FLJ327672 FUU327670:FVF327672 GEQ327670:GFB327672 GOM327670:GOX327672 GYI327670:GYT327672 HIE327670:HIP327672 HSA327670:HSL327672 IBW327670:ICH327672 ILS327670:IMD327672 IVO327670:IVZ327672 JFK327670:JFV327672 JPG327670:JPR327672 JZC327670:JZN327672 KIY327670:KJJ327672 KSU327670:KTF327672 LCQ327670:LDB327672 LMM327670:LMX327672 LWI327670:LWT327672 MGE327670:MGP327672 MQA327670:MQL327672 MZW327670:NAH327672 NJS327670:NKD327672 NTO327670:NTZ327672 ODK327670:ODV327672 ONG327670:ONR327672 OXC327670:OXN327672 PGY327670:PHJ327672 PQU327670:PRF327672 QAQ327670:QBB327672 QKM327670:QKX327672 QUI327670:QUT327672 REE327670:REP327672 ROA327670:ROL327672 RXW327670:RYH327672 SHS327670:SID327672 SRO327670:SRZ327672 TBK327670:TBV327672 TLG327670:TLR327672 TVC327670:TVN327672 UEY327670:UFJ327672 UOU327670:UPF327672 UYQ327670:UZB327672 VIM327670:VIX327672 VSI327670:VST327672 WCE327670:WCP327672 WMA327670:WML327672 WVW327670:WWH327672 JK393206:JV393208 TG393206:TR393208 ADC393206:ADN393208 AMY393206:ANJ393208 AWU393206:AXF393208 BGQ393206:BHB393208 BQM393206:BQX393208 CAI393206:CAT393208 CKE393206:CKP393208 CUA393206:CUL393208 DDW393206:DEH393208 DNS393206:DOD393208 DXO393206:DXZ393208 EHK393206:EHV393208 ERG393206:ERR393208 FBC393206:FBN393208 FKY393206:FLJ393208 FUU393206:FVF393208 GEQ393206:GFB393208 GOM393206:GOX393208 GYI393206:GYT393208 HIE393206:HIP393208 HSA393206:HSL393208 IBW393206:ICH393208 ILS393206:IMD393208 IVO393206:IVZ393208 JFK393206:JFV393208 JPG393206:JPR393208 JZC393206:JZN393208 KIY393206:KJJ393208 KSU393206:KTF393208 LCQ393206:LDB393208 LMM393206:LMX393208 LWI393206:LWT393208 MGE393206:MGP393208 MQA393206:MQL393208 MZW393206:NAH393208 NJS393206:NKD393208 NTO393206:NTZ393208 ODK393206:ODV393208 ONG393206:ONR393208 OXC393206:OXN393208 PGY393206:PHJ393208 PQU393206:PRF393208 QAQ393206:QBB393208 QKM393206:QKX393208 QUI393206:QUT393208 REE393206:REP393208 ROA393206:ROL393208 RXW393206:RYH393208 SHS393206:SID393208 SRO393206:SRZ393208 TBK393206:TBV393208 TLG393206:TLR393208 TVC393206:TVN393208 UEY393206:UFJ393208 UOU393206:UPF393208 UYQ393206:UZB393208 VIM393206:VIX393208 VSI393206:VST393208 WCE393206:WCP393208 WMA393206:WML393208 WVW393206:WWH393208 JK458742:JV458744 TG458742:TR458744 ADC458742:ADN458744 AMY458742:ANJ458744 AWU458742:AXF458744 BGQ458742:BHB458744 BQM458742:BQX458744 CAI458742:CAT458744 CKE458742:CKP458744 CUA458742:CUL458744 DDW458742:DEH458744 DNS458742:DOD458744 DXO458742:DXZ458744 EHK458742:EHV458744 ERG458742:ERR458744 FBC458742:FBN458744 FKY458742:FLJ458744 FUU458742:FVF458744 GEQ458742:GFB458744 GOM458742:GOX458744 GYI458742:GYT458744 HIE458742:HIP458744 HSA458742:HSL458744 IBW458742:ICH458744 ILS458742:IMD458744 IVO458742:IVZ458744 JFK458742:JFV458744 JPG458742:JPR458744 JZC458742:JZN458744 KIY458742:KJJ458744 KSU458742:KTF458744 LCQ458742:LDB458744 LMM458742:LMX458744 LWI458742:LWT458744 MGE458742:MGP458744 MQA458742:MQL458744 MZW458742:NAH458744 NJS458742:NKD458744 NTO458742:NTZ458744 ODK458742:ODV458744 ONG458742:ONR458744 OXC458742:OXN458744 PGY458742:PHJ458744 PQU458742:PRF458744 QAQ458742:QBB458744 QKM458742:QKX458744 QUI458742:QUT458744 REE458742:REP458744 ROA458742:ROL458744 RXW458742:RYH458744 SHS458742:SID458744 SRO458742:SRZ458744 TBK458742:TBV458744 TLG458742:TLR458744 TVC458742:TVN458744 UEY458742:UFJ458744 UOU458742:UPF458744 UYQ458742:UZB458744 VIM458742:VIX458744 VSI458742:VST458744 WCE458742:WCP458744 WMA458742:WML458744 WVW458742:WWH458744 JK524278:JV524280 TG524278:TR524280 ADC524278:ADN524280 AMY524278:ANJ524280 AWU524278:AXF524280 BGQ524278:BHB524280 BQM524278:BQX524280 CAI524278:CAT524280 CKE524278:CKP524280 CUA524278:CUL524280 DDW524278:DEH524280 DNS524278:DOD524280 DXO524278:DXZ524280 EHK524278:EHV524280 ERG524278:ERR524280 FBC524278:FBN524280 FKY524278:FLJ524280 FUU524278:FVF524280 GEQ524278:GFB524280 GOM524278:GOX524280 GYI524278:GYT524280 HIE524278:HIP524280 HSA524278:HSL524280 IBW524278:ICH524280 ILS524278:IMD524280 IVO524278:IVZ524280 JFK524278:JFV524280 JPG524278:JPR524280 JZC524278:JZN524280 KIY524278:KJJ524280 KSU524278:KTF524280 LCQ524278:LDB524280 LMM524278:LMX524280 LWI524278:LWT524280 MGE524278:MGP524280 MQA524278:MQL524280 MZW524278:NAH524280 NJS524278:NKD524280 NTO524278:NTZ524280 ODK524278:ODV524280 ONG524278:ONR524280 OXC524278:OXN524280 PGY524278:PHJ524280 PQU524278:PRF524280 QAQ524278:QBB524280 QKM524278:QKX524280 QUI524278:QUT524280 REE524278:REP524280 ROA524278:ROL524280 RXW524278:RYH524280 SHS524278:SID524280 SRO524278:SRZ524280 TBK524278:TBV524280 TLG524278:TLR524280 TVC524278:TVN524280 UEY524278:UFJ524280 UOU524278:UPF524280 UYQ524278:UZB524280 VIM524278:VIX524280 VSI524278:VST524280 WCE524278:WCP524280 WMA524278:WML524280 WVW524278:WWH524280 JK589814:JV589816 TG589814:TR589816 ADC589814:ADN589816 AMY589814:ANJ589816 AWU589814:AXF589816 BGQ589814:BHB589816 BQM589814:BQX589816 CAI589814:CAT589816 CKE589814:CKP589816 CUA589814:CUL589816 DDW589814:DEH589816 DNS589814:DOD589816 DXO589814:DXZ589816 EHK589814:EHV589816 ERG589814:ERR589816 FBC589814:FBN589816 FKY589814:FLJ589816 FUU589814:FVF589816 GEQ589814:GFB589816 GOM589814:GOX589816 GYI589814:GYT589816 HIE589814:HIP589816 HSA589814:HSL589816 IBW589814:ICH589816 ILS589814:IMD589816 IVO589814:IVZ589816 JFK589814:JFV589816 JPG589814:JPR589816 JZC589814:JZN589816 KIY589814:KJJ589816 KSU589814:KTF589816 LCQ589814:LDB589816 LMM589814:LMX589816 LWI589814:LWT589816 MGE589814:MGP589816 MQA589814:MQL589816 MZW589814:NAH589816 NJS589814:NKD589816 NTO589814:NTZ589816 ODK589814:ODV589816 ONG589814:ONR589816 OXC589814:OXN589816 PGY589814:PHJ589816 PQU589814:PRF589816 QAQ589814:QBB589816 QKM589814:QKX589816 QUI589814:QUT589816 REE589814:REP589816 ROA589814:ROL589816 RXW589814:RYH589816 SHS589814:SID589816 SRO589814:SRZ589816 TBK589814:TBV589816 TLG589814:TLR589816 TVC589814:TVN589816 UEY589814:UFJ589816 UOU589814:UPF589816 UYQ589814:UZB589816 VIM589814:VIX589816 VSI589814:VST589816 WCE589814:WCP589816 WMA589814:WML589816 WVW589814:WWH589816 JK655350:JV655352 TG655350:TR655352 ADC655350:ADN655352 AMY655350:ANJ655352 AWU655350:AXF655352 BGQ655350:BHB655352 BQM655350:BQX655352 CAI655350:CAT655352 CKE655350:CKP655352 CUA655350:CUL655352 DDW655350:DEH655352 DNS655350:DOD655352 DXO655350:DXZ655352 EHK655350:EHV655352 ERG655350:ERR655352 FBC655350:FBN655352 FKY655350:FLJ655352 FUU655350:FVF655352 GEQ655350:GFB655352 GOM655350:GOX655352 GYI655350:GYT655352 HIE655350:HIP655352 HSA655350:HSL655352 IBW655350:ICH655352 ILS655350:IMD655352 IVO655350:IVZ655352 JFK655350:JFV655352 JPG655350:JPR655352 JZC655350:JZN655352 KIY655350:KJJ655352 KSU655350:KTF655352 LCQ655350:LDB655352 LMM655350:LMX655352 LWI655350:LWT655352 MGE655350:MGP655352 MQA655350:MQL655352 MZW655350:NAH655352 NJS655350:NKD655352 NTO655350:NTZ655352 ODK655350:ODV655352 ONG655350:ONR655352 OXC655350:OXN655352 PGY655350:PHJ655352 PQU655350:PRF655352 QAQ655350:QBB655352 QKM655350:QKX655352 QUI655350:QUT655352 REE655350:REP655352 ROA655350:ROL655352 RXW655350:RYH655352 SHS655350:SID655352 SRO655350:SRZ655352 TBK655350:TBV655352 TLG655350:TLR655352 TVC655350:TVN655352 UEY655350:UFJ655352 UOU655350:UPF655352 UYQ655350:UZB655352 VIM655350:VIX655352 VSI655350:VST655352 WCE655350:WCP655352 WMA655350:WML655352 WVW655350:WWH655352 JK720886:JV720888 TG720886:TR720888 ADC720886:ADN720888 AMY720886:ANJ720888 AWU720886:AXF720888 BGQ720886:BHB720888 BQM720886:BQX720888 CAI720886:CAT720888 CKE720886:CKP720888 CUA720886:CUL720888 DDW720886:DEH720888 DNS720886:DOD720888 DXO720886:DXZ720888 EHK720886:EHV720888 ERG720886:ERR720888 FBC720886:FBN720888 FKY720886:FLJ720888 FUU720886:FVF720888 GEQ720886:GFB720888 GOM720886:GOX720888 GYI720886:GYT720888 HIE720886:HIP720888 HSA720886:HSL720888 IBW720886:ICH720888 ILS720886:IMD720888 IVO720886:IVZ720888 JFK720886:JFV720888 JPG720886:JPR720888 JZC720886:JZN720888 KIY720886:KJJ720888 KSU720886:KTF720888 LCQ720886:LDB720888 LMM720886:LMX720888 LWI720886:LWT720888 MGE720886:MGP720888 MQA720886:MQL720888 MZW720886:NAH720888 NJS720886:NKD720888 NTO720886:NTZ720888 ODK720886:ODV720888 ONG720886:ONR720888 OXC720886:OXN720888 PGY720886:PHJ720888 PQU720886:PRF720888 QAQ720886:QBB720888 QKM720886:QKX720888 QUI720886:QUT720888 REE720886:REP720888 ROA720886:ROL720888 RXW720886:RYH720888 SHS720886:SID720888 SRO720886:SRZ720888 TBK720886:TBV720888 TLG720886:TLR720888 TVC720886:TVN720888 UEY720886:UFJ720888 UOU720886:UPF720888 UYQ720886:UZB720888 VIM720886:VIX720888 VSI720886:VST720888 WCE720886:WCP720888 WMA720886:WML720888 WVW720886:WWH720888 JK786422:JV786424 TG786422:TR786424 ADC786422:ADN786424 AMY786422:ANJ786424 AWU786422:AXF786424 BGQ786422:BHB786424 BQM786422:BQX786424 CAI786422:CAT786424 CKE786422:CKP786424 CUA786422:CUL786424 DDW786422:DEH786424 DNS786422:DOD786424 DXO786422:DXZ786424 EHK786422:EHV786424 ERG786422:ERR786424 FBC786422:FBN786424 FKY786422:FLJ786424 FUU786422:FVF786424 GEQ786422:GFB786424 GOM786422:GOX786424 GYI786422:GYT786424 HIE786422:HIP786424 HSA786422:HSL786424 IBW786422:ICH786424 ILS786422:IMD786424 IVO786422:IVZ786424 JFK786422:JFV786424 JPG786422:JPR786424 JZC786422:JZN786424 KIY786422:KJJ786424 KSU786422:KTF786424 LCQ786422:LDB786424 LMM786422:LMX786424 LWI786422:LWT786424 MGE786422:MGP786424 MQA786422:MQL786424 MZW786422:NAH786424 NJS786422:NKD786424 NTO786422:NTZ786424 ODK786422:ODV786424 ONG786422:ONR786424 OXC786422:OXN786424 PGY786422:PHJ786424 PQU786422:PRF786424 QAQ786422:QBB786424 QKM786422:QKX786424 QUI786422:QUT786424 REE786422:REP786424 ROA786422:ROL786424 RXW786422:RYH786424 SHS786422:SID786424 SRO786422:SRZ786424 TBK786422:TBV786424 TLG786422:TLR786424 TVC786422:TVN786424 UEY786422:UFJ786424 UOU786422:UPF786424 UYQ786422:UZB786424 VIM786422:VIX786424 VSI786422:VST786424 WCE786422:WCP786424 WMA786422:WML786424 WVW786422:WWH786424 JK851958:JV851960 TG851958:TR851960 ADC851958:ADN851960 AMY851958:ANJ851960 AWU851958:AXF851960 BGQ851958:BHB851960 BQM851958:BQX851960 CAI851958:CAT851960 CKE851958:CKP851960 CUA851958:CUL851960 DDW851958:DEH851960 DNS851958:DOD851960 DXO851958:DXZ851960 EHK851958:EHV851960 ERG851958:ERR851960 FBC851958:FBN851960 FKY851958:FLJ851960 FUU851958:FVF851960 GEQ851958:GFB851960 GOM851958:GOX851960 GYI851958:GYT851960 HIE851958:HIP851960 HSA851958:HSL851960 IBW851958:ICH851960 ILS851958:IMD851960 IVO851958:IVZ851960 JFK851958:JFV851960 JPG851958:JPR851960 JZC851958:JZN851960 KIY851958:KJJ851960 KSU851958:KTF851960 LCQ851958:LDB851960 LMM851958:LMX851960 LWI851958:LWT851960 MGE851958:MGP851960 MQA851958:MQL851960 MZW851958:NAH851960 NJS851958:NKD851960 NTO851958:NTZ851960 ODK851958:ODV851960 ONG851958:ONR851960 OXC851958:OXN851960 PGY851958:PHJ851960 PQU851958:PRF851960 QAQ851958:QBB851960 QKM851958:QKX851960 QUI851958:QUT851960 REE851958:REP851960 ROA851958:ROL851960 RXW851958:RYH851960 SHS851958:SID851960 SRO851958:SRZ851960 TBK851958:TBV851960 TLG851958:TLR851960 TVC851958:TVN851960 UEY851958:UFJ851960 UOU851958:UPF851960 UYQ851958:UZB851960 VIM851958:VIX851960 VSI851958:VST851960 WCE851958:WCP851960 WMA851958:WML851960 WVW851958:WWH851960 JK917494:JV917496 TG917494:TR917496 ADC917494:ADN917496 AMY917494:ANJ917496 AWU917494:AXF917496 BGQ917494:BHB917496 BQM917494:BQX917496 CAI917494:CAT917496 CKE917494:CKP917496 CUA917494:CUL917496 DDW917494:DEH917496 DNS917494:DOD917496 DXO917494:DXZ917496 EHK917494:EHV917496 ERG917494:ERR917496 FBC917494:FBN917496 FKY917494:FLJ917496 FUU917494:FVF917496 GEQ917494:GFB917496 GOM917494:GOX917496 GYI917494:GYT917496 HIE917494:HIP917496 HSA917494:HSL917496 IBW917494:ICH917496 ILS917494:IMD917496 IVO917494:IVZ917496 JFK917494:JFV917496 JPG917494:JPR917496 JZC917494:JZN917496 KIY917494:KJJ917496 KSU917494:KTF917496 LCQ917494:LDB917496 LMM917494:LMX917496 LWI917494:LWT917496 MGE917494:MGP917496 MQA917494:MQL917496 MZW917494:NAH917496 NJS917494:NKD917496 NTO917494:NTZ917496 ODK917494:ODV917496 ONG917494:ONR917496 OXC917494:OXN917496 PGY917494:PHJ917496 PQU917494:PRF917496 QAQ917494:QBB917496 QKM917494:QKX917496 QUI917494:QUT917496 REE917494:REP917496 ROA917494:ROL917496 RXW917494:RYH917496 SHS917494:SID917496 SRO917494:SRZ917496 TBK917494:TBV917496 TLG917494:TLR917496 TVC917494:TVN917496 UEY917494:UFJ917496 UOU917494:UPF917496 UYQ917494:UZB917496 VIM917494:VIX917496 VSI917494:VST917496 WCE917494:WCP917496 WMA917494:WML917496 WVW917494:WWH917496 JK983030:JV983032 TG983030:TR983032 ADC983030:ADN983032 AMY983030:ANJ983032 AWU983030:AXF983032 BGQ983030:BHB983032 BQM983030:BQX983032 CAI983030:CAT983032 CKE983030:CKP983032 CUA983030:CUL983032 DDW983030:DEH983032 DNS983030:DOD983032 DXO983030:DXZ983032 EHK983030:EHV983032 ERG983030:ERR983032 FBC983030:FBN983032 FKY983030:FLJ983032 FUU983030:FVF983032 GEQ983030:GFB983032 GOM983030:GOX983032 GYI983030:GYT983032 HIE983030:HIP983032 HSA983030:HSL983032 IBW983030:ICH983032 ILS983030:IMD983032 IVO983030:IVZ983032 JFK983030:JFV983032 JPG983030:JPR983032 JZC983030:JZN983032 KIY983030:KJJ983032 KSU983030:KTF983032 LCQ983030:LDB983032 LMM983030:LMX983032 LWI983030:LWT983032 MGE983030:MGP983032 MQA983030:MQL983032 MZW983030:NAH983032 NJS983030:NKD983032 NTO983030:NTZ983032 ODK983030:ODV983032 ONG983030:ONR983032 OXC983030:OXN983032 PGY983030:PHJ983032 PQU983030:PRF983032 QAQ983030:QBB983032 QKM983030:QKX983032 QUI983030:QUT983032 REE983030:REP983032 ROA983030:ROL983032 RXW983030:RYH983032 SHS983030:SID983032 SRO983030:SRZ983032 TBK983030:TBV983032 TLG983030:TLR983032 TVC983030:TVN983032 UEY983030:UFJ983032 UOU983030:UPF983032 UYQ983030:UZB983032 VIM983030:VIX983032 VSI983030:VST983032 WCE983030:WCP983032 WMA983030:WML983032 WVW983030:WWH983032 WVW983035:WWH983037 JK65531:JV65533 TG65531:TR65533 ADC65531:ADN65533 AMY65531:ANJ65533 AWU65531:AXF65533 BGQ65531:BHB65533 BQM65531:BQX65533 CAI65531:CAT65533 CKE65531:CKP65533 CUA65531:CUL65533 DDW65531:DEH65533 DNS65531:DOD65533 DXO65531:DXZ65533 EHK65531:EHV65533 ERG65531:ERR65533 FBC65531:FBN65533 FKY65531:FLJ65533 FUU65531:FVF65533 GEQ65531:GFB65533 GOM65531:GOX65533 GYI65531:GYT65533 HIE65531:HIP65533 HSA65531:HSL65533 IBW65531:ICH65533 ILS65531:IMD65533 IVO65531:IVZ65533 JFK65531:JFV65533 JPG65531:JPR65533 JZC65531:JZN65533 KIY65531:KJJ65533 KSU65531:KTF65533 LCQ65531:LDB65533 LMM65531:LMX65533 LWI65531:LWT65533 MGE65531:MGP65533 MQA65531:MQL65533 MZW65531:NAH65533 NJS65531:NKD65533 NTO65531:NTZ65533 ODK65531:ODV65533 ONG65531:ONR65533 OXC65531:OXN65533 PGY65531:PHJ65533 PQU65531:PRF65533 QAQ65531:QBB65533 QKM65531:QKX65533 QUI65531:QUT65533 REE65531:REP65533 ROA65531:ROL65533 RXW65531:RYH65533 SHS65531:SID65533 SRO65531:SRZ65533 TBK65531:TBV65533 TLG65531:TLR65533 TVC65531:TVN65533 UEY65531:UFJ65533 UOU65531:UPF65533 UYQ65531:UZB65533 VIM65531:VIX65533 VSI65531:VST65533 WCE65531:WCP65533 WMA65531:WML65533 WVW65531:WWH65533 JK131067:JV131069 TG131067:TR131069 ADC131067:ADN131069 AMY131067:ANJ131069 AWU131067:AXF131069 BGQ131067:BHB131069 BQM131067:BQX131069 CAI131067:CAT131069 CKE131067:CKP131069 CUA131067:CUL131069 DDW131067:DEH131069 DNS131067:DOD131069 DXO131067:DXZ131069 EHK131067:EHV131069 ERG131067:ERR131069 FBC131067:FBN131069 FKY131067:FLJ131069 FUU131067:FVF131069 GEQ131067:GFB131069 GOM131067:GOX131069 GYI131067:GYT131069 HIE131067:HIP131069 HSA131067:HSL131069 IBW131067:ICH131069 ILS131067:IMD131069 IVO131067:IVZ131069 JFK131067:JFV131069 JPG131067:JPR131069 JZC131067:JZN131069 KIY131067:KJJ131069 KSU131067:KTF131069 LCQ131067:LDB131069 LMM131067:LMX131069 LWI131067:LWT131069 MGE131067:MGP131069 MQA131067:MQL131069 MZW131067:NAH131069 NJS131067:NKD131069 NTO131067:NTZ131069 ODK131067:ODV131069 ONG131067:ONR131069 OXC131067:OXN131069 PGY131067:PHJ131069 PQU131067:PRF131069 QAQ131067:QBB131069 QKM131067:QKX131069 QUI131067:QUT131069 REE131067:REP131069 ROA131067:ROL131069 RXW131067:RYH131069 SHS131067:SID131069 SRO131067:SRZ131069 TBK131067:TBV131069 TLG131067:TLR131069 TVC131067:TVN131069 UEY131067:UFJ131069 UOU131067:UPF131069 UYQ131067:UZB131069 VIM131067:VIX131069 VSI131067:VST131069 WCE131067:WCP131069 WMA131067:WML131069 WVW131067:WWH131069 JK196603:JV196605 TG196603:TR196605 ADC196603:ADN196605 AMY196603:ANJ196605 AWU196603:AXF196605 BGQ196603:BHB196605 BQM196603:BQX196605 CAI196603:CAT196605 CKE196603:CKP196605 CUA196603:CUL196605 DDW196603:DEH196605 DNS196603:DOD196605 DXO196603:DXZ196605 EHK196603:EHV196605 ERG196603:ERR196605 FBC196603:FBN196605 FKY196603:FLJ196605 FUU196603:FVF196605 GEQ196603:GFB196605 GOM196603:GOX196605 GYI196603:GYT196605 HIE196603:HIP196605 HSA196603:HSL196605 IBW196603:ICH196605 ILS196603:IMD196605 IVO196603:IVZ196605 JFK196603:JFV196605 JPG196603:JPR196605 JZC196603:JZN196605 KIY196603:KJJ196605 KSU196603:KTF196605 LCQ196603:LDB196605 LMM196603:LMX196605 LWI196603:LWT196605 MGE196603:MGP196605 MQA196603:MQL196605 MZW196603:NAH196605 NJS196603:NKD196605 NTO196603:NTZ196605 ODK196603:ODV196605 ONG196603:ONR196605 OXC196603:OXN196605 PGY196603:PHJ196605 PQU196603:PRF196605 QAQ196603:QBB196605 QKM196603:QKX196605 QUI196603:QUT196605 REE196603:REP196605 ROA196603:ROL196605 RXW196603:RYH196605 SHS196603:SID196605 SRO196603:SRZ196605 TBK196603:TBV196605 TLG196603:TLR196605 TVC196603:TVN196605 UEY196603:UFJ196605 UOU196603:UPF196605 UYQ196603:UZB196605 VIM196603:VIX196605 VSI196603:VST196605 WCE196603:WCP196605 WMA196603:WML196605 WVW196603:WWH196605 JK262139:JV262141 TG262139:TR262141 ADC262139:ADN262141 AMY262139:ANJ262141 AWU262139:AXF262141 BGQ262139:BHB262141 BQM262139:BQX262141 CAI262139:CAT262141 CKE262139:CKP262141 CUA262139:CUL262141 DDW262139:DEH262141 DNS262139:DOD262141 DXO262139:DXZ262141 EHK262139:EHV262141 ERG262139:ERR262141 FBC262139:FBN262141 FKY262139:FLJ262141 FUU262139:FVF262141 GEQ262139:GFB262141 GOM262139:GOX262141 GYI262139:GYT262141 HIE262139:HIP262141 HSA262139:HSL262141 IBW262139:ICH262141 ILS262139:IMD262141 IVO262139:IVZ262141 JFK262139:JFV262141 JPG262139:JPR262141 JZC262139:JZN262141 KIY262139:KJJ262141 KSU262139:KTF262141 LCQ262139:LDB262141 LMM262139:LMX262141 LWI262139:LWT262141 MGE262139:MGP262141 MQA262139:MQL262141 MZW262139:NAH262141 NJS262139:NKD262141 NTO262139:NTZ262141 ODK262139:ODV262141 ONG262139:ONR262141 OXC262139:OXN262141 PGY262139:PHJ262141 PQU262139:PRF262141 QAQ262139:QBB262141 QKM262139:QKX262141 QUI262139:QUT262141 REE262139:REP262141 ROA262139:ROL262141 RXW262139:RYH262141 SHS262139:SID262141 SRO262139:SRZ262141 TBK262139:TBV262141 TLG262139:TLR262141 TVC262139:TVN262141 UEY262139:UFJ262141 UOU262139:UPF262141 UYQ262139:UZB262141 VIM262139:VIX262141 VSI262139:VST262141 WCE262139:WCP262141 WMA262139:WML262141 WVW262139:WWH262141 JK327675:JV327677 TG327675:TR327677 ADC327675:ADN327677 AMY327675:ANJ327677 AWU327675:AXF327677 BGQ327675:BHB327677 BQM327675:BQX327677 CAI327675:CAT327677 CKE327675:CKP327677 CUA327675:CUL327677 DDW327675:DEH327677 DNS327675:DOD327677 DXO327675:DXZ327677 EHK327675:EHV327677 ERG327675:ERR327677 FBC327675:FBN327677 FKY327675:FLJ327677 FUU327675:FVF327677 GEQ327675:GFB327677 GOM327675:GOX327677 GYI327675:GYT327677 HIE327675:HIP327677 HSA327675:HSL327677 IBW327675:ICH327677 ILS327675:IMD327677 IVO327675:IVZ327677 JFK327675:JFV327677 JPG327675:JPR327677 JZC327675:JZN327677 KIY327675:KJJ327677 KSU327675:KTF327677 LCQ327675:LDB327677 LMM327675:LMX327677 LWI327675:LWT327677 MGE327675:MGP327677 MQA327675:MQL327677 MZW327675:NAH327677 NJS327675:NKD327677 NTO327675:NTZ327677 ODK327675:ODV327677 ONG327675:ONR327677 OXC327675:OXN327677 PGY327675:PHJ327677 PQU327675:PRF327677 QAQ327675:QBB327677 QKM327675:QKX327677 QUI327675:QUT327677 REE327675:REP327677 ROA327675:ROL327677 RXW327675:RYH327677 SHS327675:SID327677 SRO327675:SRZ327677 TBK327675:TBV327677 TLG327675:TLR327677 TVC327675:TVN327677 UEY327675:UFJ327677 UOU327675:UPF327677 UYQ327675:UZB327677 VIM327675:VIX327677 VSI327675:VST327677 WCE327675:WCP327677 WMA327675:WML327677 WVW327675:WWH327677 JK393211:JV393213 TG393211:TR393213 ADC393211:ADN393213 AMY393211:ANJ393213 AWU393211:AXF393213 BGQ393211:BHB393213 BQM393211:BQX393213 CAI393211:CAT393213 CKE393211:CKP393213 CUA393211:CUL393213 DDW393211:DEH393213 DNS393211:DOD393213 DXO393211:DXZ393213 EHK393211:EHV393213 ERG393211:ERR393213 FBC393211:FBN393213 FKY393211:FLJ393213 FUU393211:FVF393213 GEQ393211:GFB393213 GOM393211:GOX393213 GYI393211:GYT393213 HIE393211:HIP393213 HSA393211:HSL393213 IBW393211:ICH393213 ILS393211:IMD393213 IVO393211:IVZ393213 JFK393211:JFV393213 JPG393211:JPR393213 JZC393211:JZN393213 KIY393211:KJJ393213 KSU393211:KTF393213 LCQ393211:LDB393213 LMM393211:LMX393213 LWI393211:LWT393213 MGE393211:MGP393213 MQA393211:MQL393213 MZW393211:NAH393213 NJS393211:NKD393213 NTO393211:NTZ393213 ODK393211:ODV393213 ONG393211:ONR393213 OXC393211:OXN393213 PGY393211:PHJ393213 PQU393211:PRF393213 QAQ393211:QBB393213 QKM393211:QKX393213 QUI393211:QUT393213 REE393211:REP393213 ROA393211:ROL393213 RXW393211:RYH393213 SHS393211:SID393213 SRO393211:SRZ393213 TBK393211:TBV393213 TLG393211:TLR393213 TVC393211:TVN393213 UEY393211:UFJ393213 UOU393211:UPF393213 UYQ393211:UZB393213 VIM393211:VIX393213 VSI393211:VST393213 WCE393211:WCP393213 WMA393211:WML393213 WVW393211:WWH393213 JK458747:JV458749 TG458747:TR458749 ADC458747:ADN458749 AMY458747:ANJ458749 AWU458747:AXF458749 BGQ458747:BHB458749 BQM458747:BQX458749 CAI458747:CAT458749 CKE458747:CKP458749 CUA458747:CUL458749 DDW458747:DEH458749 DNS458747:DOD458749 DXO458747:DXZ458749 EHK458747:EHV458749 ERG458747:ERR458749 FBC458747:FBN458749 FKY458747:FLJ458749 FUU458747:FVF458749 GEQ458747:GFB458749 GOM458747:GOX458749 GYI458747:GYT458749 HIE458747:HIP458749 HSA458747:HSL458749 IBW458747:ICH458749 ILS458747:IMD458749 IVO458747:IVZ458749 JFK458747:JFV458749 JPG458747:JPR458749 JZC458747:JZN458749 KIY458747:KJJ458749 KSU458747:KTF458749 LCQ458747:LDB458749 LMM458747:LMX458749 LWI458747:LWT458749 MGE458747:MGP458749 MQA458747:MQL458749 MZW458747:NAH458749 NJS458747:NKD458749 NTO458747:NTZ458749 ODK458747:ODV458749 ONG458747:ONR458749 OXC458747:OXN458749 PGY458747:PHJ458749 PQU458747:PRF458749 QAQ458747:QBB458749 QKM458747:QKX458749 QUI458747:QUT458749 REE458747:REP458749 ROA458747:ROL458749 RXW458747:RYH458749 SHS458747:SID458749 SRO458747:SRZ458749 TBK458747:TBV458749 TLG458747:TLR458749 TVC458747:TVN458749 UEY458747:UFJ458749 UOU458747:UPF458749 UYQ458747:UZB458749 VIM458747:VIX458749 VSI458747:VST458749 WCE458747:WCP458749 WMA458747:WML458749 WVW458747:WWH458749 JK524283:JV524285 TG524283:TR524285 ADC524283:ADN524285 AMY524283:ANJ524285 AWU524283:AXF524285 BGQ524283:BHB524285 BQM524283:BQX524285 CAI524283:CAT524285 CKE524283:CKP524285 CUA524283:CUL524285 DDW524283:DEH524285 DNS524283:DOD524285 DXO524283:DXZ524285 EHK524283:EHV524285 ERG524283:ERR524285 FBC524283:FBN524285 FKY524283:FLJ524285 FUU524283:FVF524285 GEQ524283:GFB524285 GOM524283:GOX524285 GYI524283:GYT524285 HIE524283:HIP524285 HSA524283:HSL524285 IBW524283:ICH524285 ILS524283:IMD524285 IVO524283:IVZ524285 JFK524283:JFV524285 JPG524283:JPR524285 JZC524283:JZN524285 KIY524283:KJJ524285 KSU524283:KTF524285 LCQ524283:LDB524285 LMM524283:LMX524285 LWI524283:LWT524285 MGE524283:MGP524285 MQA524283:MQL524285 MZW524283:NAH524285 NJS524283:NKD524285 NTO524283:NTZ524285 ODK524283:ODV524285 ONG524283:ONR524285 OXC524283:OXN524285 PGY524283:PHJ524285 PQU524283:PRF524285 QAQ524283:QBB524285 QKM524283:QKX524285 QUI524283:QUT524285 REE524283:REP524285 ROA524283:ROL524285 RXW524283:RYH524285 SHS524283:SID524285 SRO524283:SRZ524285 TBK524283:TBV524285 TLG524283:TLR524285 TVC524283:TVN524285 UEY524283:UFJ524285 UOU524283:UPF524285 UYQ524283:UZB524285 VIM524283:VIX524285 VSI524283:VST524285 WCE524283:WCP524285 WMA524283:WML524285 WVW524283:WWH524285 JK589819:JV589821 TG589819:TR589821 ADC589819:ADN589821 AMY589819:ANJ589821 AWU589819:AXF589821 BGQ589819:BHB589821 BQM589819:BQX589821 CAI589819:CAT589821 CKE589819:CKP589821 CUA589819:CUL589821 DDW589819:DEH589821 DNS589819:DOD589821 DXO589819:DXZ589821 EHK589819:EHV589821 ERG589819:ERR589821 FBC589819:FBN589821 FKY589819:FLJ589821 FUU589819:FVF589821 GEQ589819:GFB589821 GOM589819:GOX589821 GYI589819:GYT589821 HIE589819:HIP589821 HSA589819:HSL589821 IBW589819:ICH589821 ILS589819:IMD589821 IVO589819:IVZ589821 JFK589819:JFV589821 JPG589819:JPR589821 JZC589819:JZN589821 KIY589819:KJJ589821 KSU589819:KTF589821 LCQ589819:LDB589821 LMM589819:LMX589821 LWI589819:LWT589821 MGE589819:MGP589821 MQA589819:MQL589821 MZW589819:NAH589821 NJS589819:NKD589821 NTO589819:NTZ589821 ODK589819:ODV589821 ONG589819:ONR589821 OXC589819:OXN589821 PGY589819:PHJ589821 PQU589819:PRF589821 QAQ589819:QBB589821 QKM589819:QKX589821 QUI589819:QUT589821 REE589819:REP589821 ROA589819:ROL589821 RXW589819:RYH589821 SHS589819:SID589821 SRO589819:SRZ589821 TBK589819:TBV589821 TLG589819:TLR589821 TVC589819:TVN589821 UEY589819:UFJ589821 UOU589819:UPF589821 UYQ589819:UZB589821 VIM589819:VIX589821 VSI589819:VST589821 WCE589819:WCP589821 WMA589819:WML589821 WVW589819:WWH589821 JK655355:JV655357 TG655355:TR655357 ADC655355:ADN655357 AMY655355:ANJ655357 AWU655355:AXF655357 BGQ655355:BHB655357 BQM655355:BQX655357 CAI655355:CAT655357 CKE655355:CKP655357 CUA655355:CUL655357 DDW655355:DEH655357 DNS655355:DOD655357 DXO655355:DXZ655357 EHK655355:EHV655357 ERG655355:ERR655357 FBC655355:FBN655357 FKY655355:FLJ655357 FUU655355:FVF655357 GEQ655355:GFB655357 GOM655355:GOX655357 GYI655355:GYT655357 HIE655355:HIP655357 HSA655355:HSL655357 IBW655355:ICH655357 ILS655355:IMD655357 IVO655355:IVZ655357 JFK655355:JFV655357 JPG655355:JPR655357 JZC655355:JZN655357 KIY655355:KJJ655357 KSU655355:KTF655357 LCQ655355:LDB655357 LMM655355:LMX655357 LWI655355:LWT655357 MGE655355:MGP655357 MQA655355:MQL655357 MZW655355:NAH655357 NJS655355:NKD655357 NTO655355:NTZ655357 ODK655355:ODV655357 ONG655355:ONR655357 OXC655355:OXN655357 PGY655355:PHJ655357 PQU655355:PRF655357 QAQ655355:QBB655357 QKM655355:QKX655357 QUI655355:QUT655357 REE655355:REP655357 ROA655355:ROL655357 RXW655355:RYH655357 SHS655355:SID655357 SRO655355:SRZ655357 TBK655355:TBV655357 TLG655355:TLR655357 TVC655355:TVN655357 UEY655355:UFJ655357 UOU655355:UPF655357 UYQ655355:UZB655357 VIM655355:VIX655357 VSI655355:VST655357 WCE655355:WCP655357 WMA655355:WML655357 WVW655355:WWH655357 JK720891:JV720893 TG720891:TR720893 ADC720891:ADN720893 AMY720891:ANJ720893 AWU720891:AXF720893 BGQ720891:BHB720893 BQM720891:BQX720893 CAI720891:CAT720893 CKE720891:CKP720893 CUA720891:CUL720893 DDW720891:DEH720893 DNS720891:DOD720893 DXO720891:DXZ720893 EHK720891:EHV720893 ERG720891:ERR720893 FBC720891:FBN720893 FKY720891:FLJ720893 FUU720891:FVF720893 GEQ720891:GFB720893 GOM720891:GOX720893 GYI720891:GYT720893 HIE720891:HIP720893 HSA720891:HSL720893 IBW720891:ICH720893 ILS720891:IMD720893 IVO720891:IVZ720893 JFK720891:JFV720893 JPG720891:JPR720893 JZC720891:JZN720893 KIY720891:KJJ720893 KSU720891:KTF720893 LCQ720891:LDB720893 LMM720891:LMX720893 LWI720891:LWT720893 MGE720891:MGP720893 MQA720891:MQL720893 MZW720891:NAH720893 NJS720891:NKD720893 NTO720891:NTZ720893 ODK720891:ODV720893 ONG720891:ONR720893 OXC720891:OXN720893 PGY720891:PHJ720893 PQU720891:PRF720893 QAQ720891:QBB720893 QKM720891:QKX720893 QUI720891:QUT720893 REE720891:REP720893 ROA720891:ROL720893 RXW720891:RYH720893 SHS720891:SID720893 SRO720891:SRZ720893 TBK720891:TBV720893 TLG720891:TLR720893 TVC720891:TVN720893 UEY720891:UFJ720893 UOU720891:UPF720893 UYQ720891:UZB720893 VIM720891:VIX720893 VSI720891:VST720893 WCE720891:WCP720893 WMA720891:WML720893 WVW720891:WWH720893 JK786427:JV786429 TG786427:TR786429 ADC786427:ADN786429 AMY786427:ANJ786429 AWU786427:AXF786429 BGQ786427:BHB786429 BQM786427:BQX786429 CAI786427:CAT786429 CKE786427:CKP786429 CUA786427:CUL786429 DDW786427:DEH786429 DNS786427:DOD786429 DXO786427:DXZ786429 EHK786427:EHV786429 ERG786427:ERR786429 FBC786427:FBN786429 FKY786427:FLJ786429 FUU786427:FVF786429 GEQ786427:GFB786429 GOM786427:GOX786429 GYI786427:GYT786429 HIE786427:HIP786429 HSA786427:HSL786429 IBW786427:ICH786429 ILS786427:IMD786429 IVO786427:IVZ786429 JFK786427:JFV786429 JPG786427:JPR786429 JZC786427:JZN786429 KIY786427:KJJ786429 KSU786427:KTF786429 LCQ786427:LDB786429 LMM786427:LMX786429 LWI786427:LWT786429 MGE786427:MGP786429 MQA786427:MQL786429 MZW786427:NAH786429 NJS786427:NKD786429 NTO786427:NTZ786429 ODK786427:ODV786429 ONG786427:ONR786429 OXC786427:OXN786429 PGY786427:PHJ786429 PQU786427:PRF786429 QAQ786427:QBB786429 QKM786427:QKX786429 QUI786427:QUT786429 REE786427:REP786429 ROA786427:ROL786429 RXW786427:RYH786429 SHS786427:SID786429 SRO786427:SRZ786429 TBK786427:TBV786429 TLG786427:TLR786429 TVC786427:TVN786429 UEY786427:UFJ786429 UOU786427:UPF786429 UYQ786427:UZB786429 VIM786427:VIX786429 VSI786427:VST786429 WCE786427:WCP786429 WMA786427:WML786429 WVW786427:WWH786429 JK851963:JV851965 TG851963:TR851965 ADC851963:ADN851965 AMY851963:ANJ851965 AWU851963:AXF851965 BGQ851963:BHB851965 BQM851963:BQX851965 CAI851963:CAT851965 CKE851963:CKP851965 CUA851963:CUL851965 DDW851963:DEH851965 DNS851963:DOD851965 DXO851963:DXZ851965 EHK851963:EHV851965 ERG851963:ERR851965 FBC851963:FBN851965 FKY851963:FLJ851965 FUU851963:FVF851965 GEQ851963:GFB851965 GOM851963:GOX851965 GYI851963:GYT851965 HIE851963:HIP851965 HSA851963:HSL851965 IBW851963:ICH851965 ILS851963:IMD851965 IVO851963:IVZ851965 JFK851963:JFV851965 JPG851963:JPR851965 JZC851963:JZN851965 KIY851963:KJJ851965 KSU851963:KTF851965 LCQ851963:LDB851965 LMM851963:LMX851965 LWI851963:LWT851965 MGE851963:MGP851965 MQA851963:MQL851965 MZW851963:NAH851965 NJS851963:NKD851965 NTO851963:NTZ851965 ODK851963:ODV851965 ONG851963:ONR851965 OXC851963:OXN851965 PGY851963:PHJ851965 PQU851963:PRF851965 QAQ851963:QBB851965 QKM851963:QKX851965 QUI851963:QUT851965 REE851963:REP851965 ROA851963:ROL851965 RXW851963:RYH851965 SHS851963:SID851965 SRO851963:SRZ851965 TBK851963:TBV851965 TLG851963:TLR851965 TVC851963:TVN851965 UEY851963:UFJ851965 UOU851963:UPF851965 UYQ851963:UZB851965 VIM851963:VIX851965 VSI851963:VST851965 WCE851963:WCP851965 WMA851963:WML851965 WVW851963:WWH851965 JK917499:JV917501 TG917499:TR917501 ADC917499:ADN917501 AMY917499:ANJ917501 AWU917499:AXF917501 BGQ917499:BHB917501 BQM917499:BQX917501 CAI917499:CAT917501 CKE917499:CKP917501 CUA917499:CUL917501 DDW917499:DEH917501 DNS917499:DOD917501 DXO917499:DXZ917501 EHK917499:EHV917501 ERG917499:ERR917501 FBC917499:FBN917501 FKY917499:FLJ917501 FUU917499:FVF917501 GEQ917499:GFB917501 GOM917499:GOX917501 GYI917499:GYT917501 HIE917499:HIP917501 HSA917499:HSL917501 IBW917499:ICH917501 ILS917499:IMD917501 IVO917499:IVZ917501 JFK917499:JFV917501 JPG917499:JPR917501 JZC917499:JZN917501 KIY917499:KJJ917501 KSU917499:KTF917501 LCQ917499:LDB917501 LMM917499:LMX917501 LWI917499:LWT917501 MGE917499:MGP917501 MQA917499:MQL917501 MZW917499:NAH917501 NJS917499:NKD917501 NTO917499:NTZ917501 ODK917499:ODV917501 ONG917499:ONR917501 OXC917499:OXN917501 PGY917499:PHJ917501 PQU917499:PRF917501 QAQ917499:QBB917501 QKM917499:QKX917501 QUI917499:QUT917501 REE917499:REP917501 ROA917499:ROL917501 RXW917499:RYH917501 SHS917499:SID917501 SRO917499:SRZ917501 TBK917499:TBV917501 TLG917499:TLR917501 TVC917499:TVN917501 UEY917499:UFJ917501 UOU917499:UPF917501 UYQ917499:UZB917501 VIM917499:VIX917501 VSI917499:VST917501 WCE917499:WCP917501 WMA917499:WML917501 WVW917499:WWH917501 JK983035:JV983037 TG983035:TR983037 ADC983035:ADN983037 AMY983035:ANJ983037 AWU983035:AXF983037 BGQ983035:BHB983037 BQM983035:BQX983037 CAI983035:CAT983037 CKE983035:CKP983037 CUA983035:CUL983037 DDW983035:DEH983037 DNS983035:DOD983037 DXO983035:DXZ983037 EHK983035:EHV983037 ERG983035:ERR983037 FBC983035:FBN983037 FKY983035:FLJ983037 FUU983035:FVF983037 GEQ983035:GFB983037 GOM983035:GOX983037 GYI983035:GYT983037 HIE983035:HIP983037 HSA983035:HSL983037 IBW983035:ICH983037 ILS983035:IMD983037 IVO983035:IVZ983037 JFK983035:JFV983037 JPG983035:JPR983037 JZC983035:JZN983037 KIY983035:KJJ983037 KSU983035:KTF983037 LCQ983035:LDB983037 LMM983035:LMX983037 LWI983035:LWT983037 MGE983035:MGP983037 MQA983035:MQL983037 MZW983035:NAH983037 NJS983035:NKD983037 NTO983035:NTZ983037 ODK983035:ODV983037 ONG983035:ONR983037 OXC983035:OXN983037 PGY983035:PHJ983037 PQU983035:PRF983037 QAQ983035:QBB983037 QKM983035:QKX983037 QUI983035:QUT983037 REE983035:REP983037 ROA983035:ROL983037 RXW983035:RYH983037 SHS983035:SID983037 SRO983035:SRZ983037 TBK983035:TBV983037 TLG983035:TLR983037 TVC983035:TVN983037 UEY983035:UFJ983037 UOU983035:UPF983037 UYQ983035:UZB983037 VIM983035:VIX983037 VSI983035:VST983037 WCE983035:WCP983037 WMA983035:WML983037 Z262134:AJ262136 Z196598:AJ196600 Z131062:AJ131064 Z65526:AJ65528 Z983035:AJ983037 Z917499:AJ917501 Z851963:AJ851965 Z786427:AJ786429 Z720891:AJ720893 Z655355:AJ655357 Z589819:AJ589821 Z524283:AJ524285 Z458747:AJ458749 Z393211:AJ393213 Z327675:AJ327677 Z262139:AJ262141 Z196603:AJ196605 Z131067:AJ131069 Z65531:AJ65533 Z983030:AJ983032 Z917494:AJ917496 Z851958:AJ851960 Z786422:AJ786424 Z720886:AJ720888 Z655350:AJ655352 Z589814:AJ589816 Z524278:AJ524280 Z458742:AJ458744 Z393206:AJ393208 Z327670:AJ32767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800-000001000000}"/>
    <dataValidation type="list" allowBlank="1" showInputMessage="1" showErrorMessage="1" sqref="AA11:AC16 AA8:AA10 AA17:AA55" xr:uid="{00000000-0002-0000-0800-000002000000}">
      <formula1>"datetime,int,numeric,varchar,nvarchar"</formula1>
    </dataValidation>
    <dataValidation type="list" allowBlank="1" showInputMessage="1" showErrorMessage="1" sqref="Y8:Z55" xr:uid="{00000000-0002-0000-0800-000000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FF00"/>
  </sheetPr>
  <dimension ref="A1:BD87"/>
  <sheetViews>
    <sheetView showGridLines="0" zoomScaleNormal="100" zoomScaleSheetLayoutView="100" workbookViewId="0">
      <selection activeCell="A9" sqref="A9:AD9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e">
        <v>#N/A</v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仕入明細情報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t_shiire_meisai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1911</v>
      </c>
      <c r="C8" s="19"/>
      <c r="D8" s="19"/>
      <c r="E8" s="19"/>
      <c r="F8" s="19"/>
      <c r="G8" s="19"/>
      <c r="H8" s="22"/>
      <c r="I8" s="64" t="str">
        <f>VLOOKUP(B8,項目一覧2!A:B,2,FALSE)</f>
        <v>shiire_no</v>
      </c>
      <c r="J8" s="21"/>
      <c r="K8" s="21"/>
      <c r="L8" s="21"/>
      <c r="M8" s="21"/>
      <c r="N8" s="21"/>
      <c r="O8" s="21"/>
      <c r="P8" s="21"/>
      <c r="Q8" s="32"/>
      <c r="R8" s="18" t="s">
        <v>182</v>
      </c>
      <c r="S8" s="21"/>
      <c r="T8" s="21"/>
      <c r="U8" s="21"/>
      <c r="V8" s="21"/>
      <c r="W8" s="19"/>
      <c r="X8" s="22"/>
      <c r="Y8" s="212" t="s">
        <v>1891</v>
      </c>
      <c r="Z8" s="217"/>
      <c r="AA8" s="214" t="s">
        <v>1892</v>
      </c>
      <c r="AB8" s="215"/>
      <c r="AC8" s="216"/>
      <c r="AD8" s="25">
        <v>10</v>
      </c>
      <c r="AE8" s="26" t="s">
        <v>1893</v>
      </c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1997</v>
      </c>
      <c r="C9" s="39"/>
      <c r="D9" s="39"/>
      <c r="E9" s="39"/>
      <c r="F9" s="39"/>
      <c r="G9" s="39"/>
      <c r="H9" s="40"/>
      <c r="I9" s="64" t="str">
        <f>VLOOKUP(B9,項目一覧2!A:B,2,FALSE)</f>
        <v>bunrui_cd</v>
      </c>
      <c r="J9" s="30"/>
      <c r="K9" s="30"/>
      <c r="L9" s="30"/>
      <c r="M9" s="30"/>
      <c r="N9" s="30"/>
      <c r="O9" s="30"/>
      <c r="P9" s="30"/>
      <c r="Q9" s="31"/>
      <c r="R9" s="41" t="s">
        <v>1997</v>
      </c>
      <c r="S9" s="21"/>
      <c r="T9" s="33"/>
      <c r="U9" s="21"/>
      <c r="V9" s="21"/>
      <c r="W9" s="21"/>
      <c r="X9" s="22"/>
      <c r="Y9" s="212" t="s">
        <v>1891</v>
      </c>
      <c r="Z9" s="213"/>
      <c r="AA9" s="214" t="s">
        <v>1892</v>
      </c>
      <c r="AB9" s="215"/>
      <c r="AC9" s="216"/>
      <c r="AD9" s="25">
        <v>30</v>
      </c>
      <c r="AE9" s="27"/>
      <c r="AF9" s="27">
        <v>2</v>
      </c>
      <c r="AG9" s="26" t="s">
        <v>123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1" t="s">
        <v>1569</v>
      </c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41" t="s">
        <v>210</v>
      </c>
      <c r="C10" s="39"/>
      <c r="D10" s="39"/>
      <c r="E10" s="39"/>
      <c r="F10" s="39"/>
      <c r="G10" s="39"/>
      <c r="H10" s="39"/>
      <c r="I10" s="64" t="str">
        <f>VLOOKUP(B10,項目一覧2!A:B,2,FALSE)</f>
        <v>meisai_seq</v>
      </c>
      <c r="J10" s="30"/>
      <c r="K10" s="30"/>
      <c r="L10" s="30"/>
      <c r="M10" s="30"/>
      <c r="N10" s="30"/>
      <c r="O10" s="30"/>
      <c r="P10" s="30"/>
      <c r="Q10" s="30"/>
      <c r="R10" s="41" t="s">
        <v>217</v>
      </c>
      <c r="S10" s="30"/>
      <c r="T10" s="30"/>
      <c r="U10" s="30"/>
      <c r="V10" s="30"/>
      <c r="W10" s="30"/>
      <c r="X10" s="30"/>
      <c r="Y10" s="212" t="s">
        <v>1901</v>
      </c>
      <c r="Z10" s="213"/>
      <c r="AA10" s="214" t="s">
        <v>1902</v>
      </c>
      <c r="AB10" s="215"/>
      <c r="AC10" s="216"/>
      <c r="AD10" s="25">
        <v>5</v>
      </c>
      <c r="AE10" s="27"/>
      <c r="AF10" s="27">
        <v>3</v>
      </c>
      <c r="AG10" s="26" t="s">
        <v>123</v>
      </c>
      <c r="AH10" s="27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18" t="s">
        <v>159</v>
      </c>
      <c r="C11" s="19"/>
      <c r="D11" s="19"/>
      <c r="E11" s="19"/>
      <c r="F11" s="19"/>
      <c r="G11" s="19"/>
      <c r="H11" s="22"/>
      <c r="I11" s="64" t="str">
        <f>VLOOKUP(B11,項目一覧2!A:B,2,FALSE)</f>
        <v>hatchu_no</v>
      </c>
      <c r="J11" s="21"/>
      <c r="K11" s="21"/>
      <c r="L11" s="21"/>
      <c r="M11" s="21"/>
      <c r="N11" s="21"/>
      <c r="O11" s="21"/>
      <c r="P11" s="21"/>
      <c r="Q11" s="32"/>
      <c r="R11" s="18" t="s">
        <v>159</v>
      </c>
      <c r="S11" s="21"/>
      <c r="T11" s="21"/>
      <c r="U11" s="21"/>
      <c r="V11" s="21"/>
      <c r="W11" s="19"/>
      <c r="X11" s="22"/>
      <c r="Y11" s="212" t="s">
        <v>1891</v>
      </c>
      <c r="Z11" s="217"/>
      <c r="AA11" s="214" t="s">
        <v>1892</v>
      </c>
      <c r="AB11" s="215"/>
      <c r="AC11" s="216"/>
      <c r="AD11" s="25">
        <v>10</v>
      </c>
      <c r="AE11" s="26" t="s">
        <v>1893</v>
      </c>
      <c r="AF11" s="26"/>
      <c r="AG11" s="26"/>
      <c r="AH11" s="27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9" t="s">
        <v>1556</v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61">
        <f>IF(B12="","",COUNTA($B$8:B12))</f>
        <v>5</v>
      </c>
      <c r="B12" s="42" t="s">
        <v>185</v>
      </c>
      <c r="C12" s="39"/>
      <c r="D12" s="39"/>
      <c r="E12" s="39"/>
      <c r="F12" s="39"/>
      <c r="G12" s="39"/>
      <c r="H12" s="40"/>
      <c r="I12" s="64" t="str">
        <f>VLOOKUP(B12,項目一覧2!A:B,2,FALSE)</f>
        <v>hatchu_meisai_seq</v>
      </c>
      <c r="J12" s="21"/>
      <c r="K12" s="30"/>
      <c r="L12" s="30"/>
      <c r="M12" s="30"/>
      <c r="N12" s="30"/>
      <c r="O12" s="30"/>
      <c r="P12" s="30"/>
      <c r="Q12" s="31"/>
      <c r="R12" s="42" t="s">
        <v>185</v>
      </c>
      <c r="S12" s="30"/>
      <c r="T12" s="30"/>
      <c r="U12" s="30"/>
      <c r="V12" s="30"/>
      <c r="W12" s="30"/>
      <c r="X12" s="30"/>
      <c r="Y12" s="212" t="s">
        <v>1901</v>
      </c>
      <c r="Z12" s="213"/>
      <c r="AA12" s="214" t="s">
        <v>1902</v>
      </c>
      <c r="AB12" s="215"/>
      <c r="AC12" s="216"/>
      <c r="AD12" s="25">
        <v>5</v>
      </c>
      <c r="AE12" s="27"/>
      <c r="AF12" s="27"/>
      <c r="AG12" s="26"/>
      <c r="AH12" s="27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61">
        <f>IF(B13="","",COUNTA($B$8:B13))</f>
        <v>6</v>
      </c>
      <c r="B13" s="42" t="s">
        <v>1869</v>
      </c>
      <c r="C13" s="39"/>
      <c r="D13" s="39"/>
      <c r="E13" s="39"/>
      <c r="F13" s="39"/>
      <c r="G13" s="39"/>
      <c r="H13" s="40"/>
      <c r="I13" s="64" t="str">
        <f>VLOOKUP(B13,項目一覧2!A:B,2,FALSE)</f>
        <v>seihin_flg</v>
      </c>
      <c r="J13" s="21"/>
      <c r="K13" s="30"/>
      <c r="L13" s="30"/>
      <c r="M13" s="30"/>
      <c r="N13" s="30"/>
      <c r="O13" s="30"/>
      <c r="P13" s="30"/>
      <c r="Q13" s="31"/>
      <c r="R13" s="42" t="s">
        <v>956</v>
      </c>
      <c r="S13" s="30"/>
      <c r="T13" s="30"/>
      <c r="U13" s="30"/>
      <c r="V13" s="30"/>
      <c r="W13" s="30"/>
      <c r="X13" s="30"/>
      <c r="Y13" s="212" t="s">
        <v>1891</v>
      </c>
      <c r="Z13" s="217"/>
      <c r="AA13" s="214" t="s">
        <v>1892</v>
      </c>
      <c r="AB13" s="215"/>
      <c r="AC13" s="216"/>
      <c r="AD13" s="25">
        <v>10</v>
      </c>
      <c r="AE13" s="27"/>
      <c r="AF13" s="27"/>
      <c r="AG13" s="26"/>
      <c r="AH13" s="27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 t="s">
        <v>1552</v>
      </c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1560</v>
      </c>
      <c r="C14" s="19"/>
      <c r="D14" s="19"/>
      <c r="E14" s="19"/>
      <c r="F14" s="19"/>
      <c r="G14" s="19"/>
      <c r="H14" s="22"/>
      <c r="I14" s="64" t="str">
        <f>VLOOKUP(B14,項目一覧2!A:B,2,FALSE)</f>
        <v>seihin_no</v>
      </c>
      <c r="J14" s="21"/>
      <c r="K14" s="21"/>
      <c r="L14" s="21"/>
      <c r="M14" s="21"/>
      <c r="N14" s="21"/>
      <c r="O14" s="21"/>
      <c r="P14" s="21"/>
      <c r="Q14" s="32"/>
      <c r="R14" s="18" t="s">
        <v>1560</v>
      </c>
      <c r="S14" s="21"/>
      <c r="T14" s="21"/>
      <c r="U14" s="21"/>
      <c r="V14" s="21"/>
      <c r="W14" s="21"/>
      <c r="X14" s="22"/>
      <c r="Y14" s="212" t="s">
        <v>113</v>
      </c>
      <c r="Z14" s="213"/>
      <c r="AA14" s="214" t="s">
        <v>107</v>
      </c>
      <c r="AB14" s="215"/>
      <c r="AC14" s="216"/>
      <c r="AD14" s="25">
        <v>5</v>
      </c>
      <c r="AE14" s="27"/>
      <c r="AF14" s="27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23" t="s">
        <v>1904</v>
      </c>
      <c r="C15" s="39"/>
      <c r="D15" s="39"/>
      <c r="E15" s="39"/>
      <c r="F15" s="39"/>
      <c r="G15" s="39"/>
      <c r="H15" s="40"/>
      <c r="I15" s="64" t="str">
        <f>VLOOKUP(B15,項目一覧2!A:B,2,FALSE)</f>
        <v>hinshu_cd</v>
      </c>
      <c r="J15" s="30"/>
      <c r="K15" s="30"/>
      <c r="L15" s="30"/>
      <c r="M15" s="30"/>
      <c r="N15" s="30"/>
      <c r="O15" s="30"/>
      <c r="P15" s="30"/>
      <c r="Q15" s="31"/>
      <c r="R15" s="23" t="s">
        <v>156</v>
      </c>
      <c r="S15" s="30"/>
      <c r="T15" s="30"/>
      <c r="U15" s="30"/>
      <c r="V15" s="30"/>
      <c r="W15" s="30"/>
      <c r="X15" s="30"/>
      <c r="Y15" s="212" t="s">
        <v>56</v>
      </c>
      <c r="Z15" s="213"/>
      <c r="AA15" s="214" t="s">
        <v>1892</v>
      </c>
      <c r="AB15" s="215"/>
      <c r="AC15" s="216"/>
      <c r="AD15" s="25">
        <v>20</v>
      </c>
      <c r="AE15" s="27"/>
      <c r="AF15" s="27"/>
      <c r="AG15" s="26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1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60"/>
    </row>
    <row r="16" spans="1:56" ht="15" customHeight="1" x14ac:dyDescent="0.3">
      <c r="A16" s="44">
        <f>IF(B16="","",COUNTA($B$8:B16))</f>
        <v>9</v>
      </c>
      <c r="B16" s="23" t="s">
        <v>1916</v>
      </c>
      <c r="C16" s="19"/>
      <c r="D16" s="19"/>
      <c r="E16" s="19"/>
      <c r="F16" s="19"/>
      <c r="G16" s="19"/>
      <c r="H16" s="22"/>
      <c r="I16" s="64" t="str">
        <f>VLOOKUP(B16,項目一覧2!A:B,2,FALSE)</f>
        <v>hinmei</v>
      </c>
      <c r="J16" s="33"/>
      <c r="K16" s="21"/>
      <c r="L16" s="21"/>
      <c r="M16" s="21"/>
      <c r="N16" s="21"/>
      <c r="O16" s="21"/>
      <c r="P16" s="21"/>
      <c r="Q16" s="32"/>
      <c r="R16" s="23" t="s">
        <v>186</v>
      </c>
      <c r="S16" s="21"/>
      <c r="T16" s="33"/>
      <c r="U16" s="21"/>
      <c r="V16" s="21"/>
      <c r="W16" s="21"/>
      <c r="X16" s="22"/>
      <c r="Y16" s="212" t="s">
        <v>56</v>
      </c>
      <c r="Z16" s="213"/>
      <c r="AA16" s="214" t="s">
        <v>1752</v>
      </c>
      <c r="AB16" s="215"/>
      <c r="AC16" s="216"/>
      <c r="AD16" s="25">
        <v>30</v>
      </c>
      <c r="AE16" s="27"/>
      <c r="AF16" s="27"/>
      <c r="AG16" s="26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44">
        <f>IF(B17="","",COUNTA($B$8:B17))</f>
        <v>10</v>
      </c>
      <c r="B17" s="23" t="s">
        <v>1966</v>
      </c>
      <c r="C17" s="19"/>
      <c r="D17" s="19"/>
      <c r="E17" s="19"/>
      <c r="F17" s="19"/>
      <c r="G17" s="19"/>
      <c r="H17" s="22"/>
      <c r="I17" s="64" t="str">
        <f>VLOOKUP(B17,項目一覧2!A:B,2,FALSE)</f>
        <v>sumpo_spec</v>
      </c>
      <c r="J17" s="33"/>
      <c r="K17" s="21"/>
      <c r="L17" s="21"/>
      <c r="M17" s="21"/>
      <c r="N17" s="21"/>
      <c r="O17" s="21"/>
      <c r="P17" s="21"/>
      <c r="Q17" s="32"/>
      <c r="R17" s="23" t="s">
        <v>1966</v>
      </c>
      <c r="S17" s="21"/>
      <c r="T17" s="33"/>
      <c r="U17" s="21"/>
      <c r="V17" s="21"/>
      <c r="W17" s="21"/>
      <c r="X17" s="22"/>
      <c r="Y17" s="212" t="s">
        <v>56</v>
      </c>
      <c r="Z17" s="213"/>
      <c r="AA17" s="214" t="s">
        <v>1752</v>
      </c>
      <c r="AB17" s="215"/>
      <c r="AC17" s="216"/>
      <c r="AD17" s="25">
        <v>20</v>
      </c>
      <c r="AE17" s="27"/>
      <c r="AF17" s="27"/>
      <c r="AG17" s="26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8"/>
    </row>
    <row r="18" spans="1:56" ht="15" customHeight="1" x14ac:dyDescent="0.3">
      <c r="A18" s="44">
        <f>IF(B18="","",COUNTA($B$8:B18))</f>
        <v>11</v>
      </c>
      <c r="B18" s="18" t="s">
        <v>1917</v>
      </c>
      <c r="C18" s="19"/>
      <c r="D18" s="19"/>
      <c r="E18" s="19"/>
      <c r="F18" s="19"/>
      <c r="G18" s="19"/>
      <c r="H18" s="22"/>
      <c r="I18" s="64" t="str">
        <f>VLOOKUP(B18,項目一覧2!A:B,2,FALSE)</f>
        <v>hokan_saki_cd</v>
      </c>
      <c r="J18" s="33"/>
      <c r="K18" s="21"/>
      <c r="L18" s="21"/>
      <c r="M18" s="21"/>
      <c r="N18" s="21"/>
      <c r="O18" s="21"/>
      <c r="P18" s="21"/>
      <c r="Q18" s="32"/>
      <c r="R18" s="18" t="s">
        <v>187</v>
      </c>
      <c r="S18" s="21"/>
      <c r="T18" s="33"/>
      <c r="U18" s="21"/>
      <c r="V18" s="21"/>
      <c r="W18" s="21"/>
      <c r="X18" s="22"/>
      <c r="Y18" s="212" t="s">
        <v>1891</v>
      </c>
      <c r="Z18" s="217"/>
      <c r="AA18" s="214" t="s">
        <v>1892</v>
      </c>
      <c r="AB18" s="215"/>
      <c r="AC18" s="216"/>
      <c r="AD18" s="62">
        <v>3</v>
      </c>
      <c r="AE18" s="27"/>
      <c r="AF18" s="27"/>
      <c r="AG18" s="26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58"/>
    </row>
    <row r="19" spans="1:56" ht="15" customHeight="1" x14ac:dyDescent="0.3">
      <c r="A19" s="44">
        <f>IF(B19="","",COUNTA($B$8:B19))</f>
        <v>12</v>
      </c>
      <c r="B19" s="41" t="s">
        <v>1918</v>
      </c>
      <c r="C19" s="39"/>
      <c r="D19" s="39"/>
      <c r="E19" s="39"/>
      <c r="F19" s="39"/>
      <c r="G19" s="39"/>
      <c r="H19" s="40"/>
      <c r="I19" s="64" t="str">
        <f>VLOOKUP(B19,項目一覧2!A:B,2,FALSE)</f>
        <v>hokan_saki_nm</v>
      </c>
      <c r="J19" s="30"/>
      <c r="K19" s="30"/>
      <c r="L19" s="30"/>
      <c r="M19" s="30"/>
      <c r="N19" s="30"/>
      <c r="O19" s="30"/>
      <c r="P19" s="30"/>
      <c r="Q19" s="31"/>
      <c r="R19" s="41" t="s">
        <v>188</v>
      </c>
      <c r="S19" s="30"/>
      <c r="T19" s="30"/>
      <c r="U19" s="30"/>
      <c r="V19" s="30"/>
      <c r="W19" s="30"/>
      <c r="X19" s="30"/>
      <c r="Y19" s="212" t="s">
        <v>1891</v>
      </c>
      <c r="Z19" s="213"/>
      <c r="AA19" s="214" t="s">
        <v>1892</v>
      </c>
      <c r="AB19" s="215"/>
      <c r="AC19" s="216"/>
      <c r="AD19" s="25">
        <v>30</v>
      </c>
      <c r="AE19" s="27"/>
      <c r="AF19" s="27"/>
      <c r="AG19" s="26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58"/>
    </row>
    <row r="20" spans="1:56" ht="15" customHeight="1" x14ac:dyDescent="0.3">
      <c r="A20" s="44">
        <f>IF(B20="","",COUNTA($B$8:B20))</f>
        <v>13</v>
      </c>
      <c r="B20" s="41" t="s">
        <v>2031</v>
      </c>
      <c r="C20" s="39"/>
      <c r="D20" s="39"/>
      <c r="E20" s="39"/>
      <c r="F20" s="39"/>
      <c r="G20" s="39"/>
      <c r="H20" s="40"/>
      <c r="I20" s="156" t="str">
        <f>VLOOKUP(B20,項目一覧2!A:B,2,FALSE)</f>
        <v>nonyuyotei_date</v>
      </c>
      <c r="J20" s="153"/>
      <c r="K20" s="153"/>
      <c r="L20" s="153"/>
      <c r="M20" s="153"/>
      <c r="N20" s="30"/>
      <c r="O20" s="30"/>
      <c r="P20" s="30"/>
      <c r="Q20" s="31"/>
      <c r="R20" s="41" t="s">
        <v>2031</v>
      </c>
      <c r="S20" s="30"/>
      <c r="T20" s="30"/>
      <c r="U20" s="30"/>
      <c r="V20" s="30"/>
      <c r="W20" s="30"/>
      <c r="X20" s="30"/>
      <c r="Y20" s="212" t="s">
        <v>1894</v>
      </c>
      <c r="Z20" s="217"/>
      <c r="AA20" s="214" t="s">
        <v>1895</v>
      </c>
      <c r="AB20" s="215"/>
      <c r="AC20" s="216"/>
      <c r="AD20" s="45"/>
      <c r="AE20" s="27"/>
      <c r="AF20" s="27"/>
      <c r="AG20" s="26" t="s">
        <v>123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58"/>
    </row>
    <row r="21" spans="1:56" ht="15" customHeight="1" x14ac:dyDescent="0.3">
      <c r="A21" s="44">
        <f>IF(B21="","",COUNTA($B$8:B21))</f>
        <v>14</v>
      </c>
      <c r="B21" s="151" t="s">
        <v>189</v>
      </c>
      <c r="C21" s="152"/>
      <c r="D21" s="152"/>
      <c r="E21" s="152"/>
      <c r="F21" s="39"/>
      <c r="G21" s="39"/>
      <c r="H21" s="40"/>
      <c r="I21" s="64" t="str">
        <f>VLOOKUP(B21,項目一覧2!A:B,2,FALSE)</f>
        <v>nonyu_jotai_cd</v>
      </c>
      <c r="J21" s="30"/>
      <c r="K21" s="30"/>
      <c r="L21" s="30"/>
      <c r="M21" s="30"/>
      <c r="N21" s="30"/>
      <c r="O21" s="30"/>
      <c r="P21" s="30"/>
      <c r="Q21" s="31"/>
      <c r="R21" s="41" t="s">
        <v>189</v>
      </c>
      <c r="S21" s="30"/>
      <c r="T21" s="30"/>
      <c r="U21" s="30"/>
      <c r="V21" s="30"/>
      <c r="W21" s="30"/>
      <c r="X21" s="30"/>
      <c r="Y21" s="212" t="s">
        <v>1891</v>
      </c>
      <c r="Z21" s="213"/>
      <c r="AA21" s="214" t="s">
        <v>1892</v>
      </c>
      <c r="AB21" s="215"/>
      <c r="AC21" s="216"/>
      <c r="AD21" s="25">
        <v>30</v>
      </c>
      <c r="AE21" s="27"/>
      <c r="AF21" s="27"/>
      <c r="AG21" s="26" t="s">
        <v>123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1" t="s">
        <v>1992</v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8"/>
    </row>
    <row r="22" spans="1:56" ht="15" customHeight="1" x14ac:dyDescent="0.3">
      <c r="A22" s="44">
        <f>IF(B22="","",COUNTA($B$8:B22))</f>
        <v>15</v>
      </c>
      <c r="B22" s="41" t="s">
        <v>1919</v>
      </c>
      <c r="C22" s="39"/>
      <c r="D22" s="39"/>
      <c r="E22" s="39"/>
      <c r="F22" s="39"/>
      <c r="G22" s="39"/>
      <c r="H22" s="40"/>
      <c r="I22" s="64" t="str">
        <f>VLOOKUP(B22,項目一覧2!A:B,2,FALSE)</f>
        <v>ukeire_suryo</v>
      </c>
      <c r="J22" s="30"/>
      <c r="K22" s="30"/>
      <c r="L22" s="30"/>
      <c r="M22" s="30"/>
      <c r="N22" s="30"/>
      <c r="O22" s="30"/>
      <c r="P22" s="30"/>
      <c r="Q22" s="31"/>
      <c r="R22" s="41" t="s">
        <v>190</v>
      </c>
      <c r="S22" s="30"/>
      <c r="T22" s="30"/>
      <c r="U22" s="30"/>
      <c r="V22" s="30"/>
      <c r="W22" s="30"/>
      <c r="X22" s="30"/>
      <c r="Y22" s="212" t="s">
        <v>1901</v>
      </c>
      <c r="Z22" s="213"/>
      <c r="AA22" s="214" t="s">
        <v>1902</v>
      </c>
      <c r="AB22" s="215"/>
      <c r="AC22" s="216"/>
      <c r="AD22" s="25">
        <v>11</v>
      </c>
      <c r="AE22" s="27">
        <v>2</v>
      </c>
      <c r="AF22" s="27"/>
      <c r="AG22" s="2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1" t="s">
        <v>1981</v>
      </c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8"/>
    </row>
    <row r="23" spans="1:56" ht="15" customHeight="1" x14ac:dyDescent="0.3">
      <c r="A23" s="44">
        <f>IF(B23="","",COUNTA($B$8:B23))</f>
        <v>16</v>
      </c>
      <c r="B23" s="151" t="s">
        <v>1920</v>
      </c>
      <c r="C23" s="152"/>
      <c r="D23" s="152"/>
      <c r="E23" s="39"/>
      <c r="F23" s="39"/>
      <c r="G23" s="39"/>
      <c r="H23" s="40"/>
      <c r="I23" s="64" t="str">
        <f>VLOOKUP(B23,項目一覧2!A:B,2,FALSE)</f>
        <v>qty_unit_cd</v>
      </c>
      <c r="J23" s="30"/>
      <c r="K23" s="30"/>
      <c r="L23" s="30"/>
      <c r="M23" s="30"/>
      <c r="N23" s="30"/>
      <c r="O23" s="30"/>
      <c r="P23" s="30"/>
      <c r="Q23" s="31"/>
      <c r="R23" s="151" t="s">
        <v>191</v>
      </c>
      <c r="S23" s="153"/>
      <c r="T23" s="30"/>
      <c r="U23" s="30"/>
      <c r="V23" s="30"/>
      <c r="W23" s="30"/>
      <c r="X23" s="30"/>
      <c r="Y23" s="212" t="s">
        <v>1891</v>
      </c>
      <c r="Z23" s="217"/>
      <c r="AA23" s="214" t="s">
        <v>1892</v>
      </c>
      <c r="AB23" s="215"/>
      <c r="AC23" s="216"/>
      <c r="AD23" s="62">
        <v>4</v>
      </c>
      <c r="AE23" s="27"/>
      <c r="AF23" s="27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58"/>
    </row>
    <row r="24" spans="1:56" ht="15" customHeight="1" x14ac:dyDescent="0.3">
      <c r="A24" s="44">
        <f>IF(B24="","",COUNTA($B$8:B24))</f>
        <v>17</v>
      </c>
      <c r="B24" s="41" t="s">
        <v>1979</v>
      </c>
      <c r="C24" s="39"/>
      <c r="D24" s="39"/>
      <c r="E24" s="39"/>
      <c r="F24" s="39"/>
      <c r="G24" s="39"/>
      <c r="H24" s="40"/>
      <c r="I24" s="64" t="str">
        <f>VLOOKUP(B24,項目一覧2!A:B,2,FALSE)</f>
        <v>juryo</v>
      </c>
      <c r="J24" s="30"/>
      <c r="K24" s="30"/>
      <c r="L24" s="30"/>
      <c r="M24" s="30"/>
      <c r="N24" s="30"/>
      <c r="O24" s="30"/>
      <c r="P24" s="30"/>
      <c r="Q24" s="31"/>
      <c r="R24" s="41" t="s">
        <v>1979</v>
      </c>
      <c r="S24" s="30"/>
      <c r="T24" s="30"/>
      <c r="U24" s="30"/>
      <c r="V24" s="30"/>
      <c r="W24" s="30"/>
      <c r="X24" s="30"/>
      <c r="Y24" s="18"/>
      <c r="Z24" s="33"/>
      <c r="AA24" s="214" t="s">
        <v>1771</v>
      </c>
      <c r="AB24" s="215"/>
      <c r="AC24" s="216"/>
      <c r="AD24" s="25">
        <v>11</v>
      </c>
      <c r="AE24" s="27">
        <v>2</v>
      </c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1" t="s">
        <v>1980</v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58"/>
    </row>
    <row r="25" spans="1:56" ht="15" customHeight="1" x14ac:dyDescent="0.3">
      <c r="A25" s="44">
        <f>IF(B25="","",COUNTA($B$8:B25))</f>
        <v>18</v>
      </c>
      <c r="B25" s="41" t="s">
        <v>1921</v>
      </c>
      <c r="C25" s="39"/>
      <c r="D25" s="39"/>
      <c r="E25" s="39"/>
      <c r="F25" s="39"/>
      <c r="G25" s="39"/>
      <c r="H25" s="40"/>
      <c r="I25" s="64" t="str">
        <f>VLOOKUP(B25,項目一覧2!A:B,2,FALSE)</f>
        <v>unit_price</v>
      </c>
      <c r="J25" s="30"/>
      <c r="K25" s="30"/>
      <c r="L25" s="30"/>
      <c r="M25" s="30"/>
      <c r="N25" s="30"/>
      <c r="O25" s="30"/>
      <c r="P25" s="30"/>
      <c r="Q25" s="31"/>
      <c r="R25" s="41" t="s">
        <v>192</v>
      </c>
      <c r="S25" s="30"/>
      <c r="T25" s="30"/>
      <c r="U25" s="30"/>
      <c r="V25" s="30"/>
      <c r="W25" s="30"/>
      <c r="X25" s="30"/>
      <c r="Y25" s="212" t="s">
        <v>1901</v>
      </c>
      <c r="Z25" s="213"/>
      <c r="AA25" s="214" t="s">
        <v>1902</v>
      </c>
      <c r="AB25" s="215"/>
      <c r="AC25" s="216"/>
      <c r="AD25" s="25">
        <v>9</v>
      </c>
      <c r="AE25" s="27">
        <v>2</v>
      </c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58"/>
    </row>
    <row r="26" spans="1:56" ht="15" customHeight="1" x14ac:dyDescent="0.3">
      <c r="A26" s="44">
        <f>IF(B26="","",COUNTA($B$8:B26))</f>
        <v>19</v>
      </c>
      <c r="B26" s="41" t="s">
        <v>1922</v>
      </c>
      <c r="C26" s="39"/>
      <c r="D26" s="39"/>
      <c r="E26" s="39"/>
      <c r="F26" s="39"/>
      <c r="G26" s="39"/>
      <c r="H26" s="40"/>
      <c r="I26" s="64" t="str">
        <f>VLOOKUP(B26,項目一覧2!A:B,2,FALSE)</f>
        <v>amount</v>
      </c>
      <c r="J26" s="30"/>
      <c r="K26" s="30"/>
      <c r="L26" s="30"/>
      <c r="M26" s="30"/>
      <c r="N26" s="30"/>
      <c r="O26" s="30"/>
      <c r="P26" s="30"/>
      <c r="Q26" s="31"/>
      <c r="R26" s="41" t="s">
        <v>193</v>
      </c>
      <c r="S26" s="30"/>
      <c r="T26" s="30"/>
      <c r="U26" s="30"/>
      <c r="V26" s="30"/>
      <c r="W26" s="30"/>
      <c r="X26" s="30"/>
      <c r="Y26" s="212" t="s">
        <v>1901</v>
      </c>
      <c r="Z26" s="213"/>
      <c r="AA26" s="214" t="s">
        <v>1902</v>
      </c>
      <c r="AB26" s="215"/>
      <c r="AC26" s="216"/>
      <c r="AD26" s="25">
        <v>9</v>
      </c>
      <c r="AE26" s="27">
        <v>2</v>
      </c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8"/>
    </row>
    <row r="27" spans="1:56" ht="15" customHeight="1" x14ac:dyDescent="0.3">
      <c r="A27" s="44">
        <f>IF(B27="","",COUNTA($B$8:B27))</f>
        <v>20</v>
      </c>
      <c r="B27" s="41" t="s">
        <v>1923</v>
      </c>
      <c r="C27" s="39"/>
      <c r="D27" s="39"/>
      <c r="E27" s="39"/>
      <c r="F27" s="39"/>
      <c r="G27" s="39"/>
      <c r="H27" s="40"/>
      <c r="I27" s="64" t="str">
        <f>VLOOKUP(B27,項目一覧2!A:B,2,FALSE)</f>
        <v>tax</v>
      </c>
      <c r="J27" s="30"/>
      <c r="K27" s="30"/>
      <c r="L27" s="30"/>
      <c r="M27" s="30"/>
      <c r="N27" s="30"/>
      <c r="O27" s="30"/>
      <c r="P27" s="30"/>
      <c r="Q27" s="31"/>
      <c r="R27" s="41" t="s">
        <v>1534</v>
      </c>
      <c r="S27" s="30"/>
      <c r="T27" s="30"/>
      <c r="U27" s="30"/>
      <c r="V27" s="30"/>
      <c r="W27" s="30"/>
      <c r="X27" s="30"/>
      <c r="Y27" s="212" t="s">
        <v>1901</v>
      </c>
      <c r="Z27" s="213"/>
      <c r="AA27" s="214" t="s">
        <v>1902</v>
      </c>
      <c r="AB27" s="215"/>
      <c r="AC27" s="216"/>
      <c r="AD27" s="25">
        <v>9</v>
      </c>
      <c r="AE27" s="27">
        <v>2</v>
      </c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8"/>
    </row>
    <row r="28" spans="1:56" ht="15" customHeight="1" x14ac:dyDescent="0.3">
      <c r="A28" s="44">
        <f>IF(B28="","",COUNTA($B$8:B28))</f>
        <v>21</v>
      </c>
      <c r="B28" s="41" t="s">
        <v>1924</v>
      </c>
      <c r="C28" s="39"/>
      <c r="D28" s="39"/>
      <c r="E28" s="39"/>
      <c r="F28" s="39"/>
      <c r="G28" s="39"/>
      <c r="H28" s="39"/>
      <c r="I28" s="64" t="str">
        <f>VLOOKUP(B28,項目一覧2!A:B,2,FALSE)</f>
        <v>paper_weight</v>
      </c>
      <c r="J28" s="30"/>
      <c r="K28" s="30"/>
      <c r="L28" s="30"/>
      <c r="M28" s="30"/>
      <c r="N28" s="30"/>
      <c r="O28" s="30"/>
      <c r="P28" s="30"/>
      <c r="Q28" s="30"/>
      <c r="R28" s="41" t="s">
        <v>194</v>
      </c>
      <c r="S28" s="39"/>
      <c r="T28" s="39"/>
      <c r="U28" s="39"/>
      <c r="V28" s="39"/>
      <c r="W28" s="39"/>
      <c r="X28" s="39"/>
      <c r="Y28" s="212" t="s">
        <v>1901</v>
      </c>
      <c r="Z28" s="213"/>
      <c r="AA28" s="214" t="s">
        <v>1902</v>
      </c>
      <c r="AB28" s="215"/>
      <c r="AC28" s="216"/>
      <c r="AD28" s="62">
        <v>5</v>
      </c>
      <c r="AE28" s="27">
        <v>2</v>
      </c>
      <c r="AF28" s="26"/>
      <c r="AG28" s="26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>
        <f>IF(B29="","",COUNTA($B$8:B29))</f>
        <v>22</v>
      </c>
      <c r="B29" s="41" t="s">
        <v>1925</v>
      </c>
      <c r="C29" s="39"/>
      <c r="D29" s="39"/>
      <c r="E29" s="39"/>
      <c r="F29" s="39"/>
      <c r="G29" s="39"/>
      <c r="H29" s="39"/>
      <c r="I29" s="64" t="str">
        <f>VLOOKUP(B29,項目一覧2!A:B,2,FALSE)</f>
        <v>width</v>
      </c>
      <c r="J29" s="30"/>
      <c r="K29" s="30"/>
      <c r="L29" s="30"/>
      <c r="M29" s="30"/>
      <c r="N29" s="30"/>
      <c r="O29" s="30"/>
      <c r="P29" s="30"/>
      <c r="Q29" s="30"/>
      <c r="R29" s="41" t="s">
        <v>195</v>
      </c>
      <c r="S29" s="39"/>
      <c r="T29" s="39"/>
      <c r="U29" s="39"/>
      <c r="V29" s="39"/>
      <c r="W29" s="39"/>
      <c r="X29" s="39"/>
      <c r="Y29" s="212" t="s">
        <v>1901</v>
      </c>
      <c r="Z29" s="213"/>
      <c r="AA29" s="214" t="s">
        <v>1902</v>
      </c>
      <c r="AB29" s="215"/>
      <c r="AC29" s="216"/>
      <c r="AD29" s="62">
        <v>5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>
        <f>IF(B30="","",COUNTA($B$8:B30))</f>
        <v>23</v>
      </c>
      <c r="B30" s="41" t="s">
        <v>196</v>
      </c>
      <c r="C30" s="39"/>
      <c r="D30" s="39"/>
      <c r="E30" s="39"/>
      <c r="F30" s="39"/>
      <c r="G30" s="39"/>
      <c r="H30" s="39"/>
      <c r="I30" s="64" t="str">
        <f>VLOOKUP(B30,項目一覧2!A:B,2,FALSE)</f>
        <v>length</v>
      </c>
      <c r="J30" s="30"/>
      <c r="K30" s="30"/>
      <c r="L30" s="30"/>
      <c r="M30" s="30"/>
      <c r="N30" s="30"/>
      <c r="O30" s="30"/>
      <c r="P30" s="30"/>
      <c r="Q30" s="30"/>
      <c r="R30" s="41" t="s">
        <v>196</v>
      </c>
      <c r="S30" s="39"/>
      <c r="T30" s="39"/>
      <c r="U30" s="39"/>
      <c r="V30" s="39"/>
      <c r="W30" s="39"/>
      <c r="X30" s="39"/>
      <c r="Y30" s="212" t="s">
        <v>1901</v>
      </c>
      <c r="Z30" s="213"/>
      <c r="AA30" s="214" t="s">
        <v>1902</v>
      </c>
      <c r="AB30" s="215"/>
      <c r="AC30" s="216"/>
      <c r="AD30" s="62">
        <v>5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>
        <f>IF(B31="","",COUNTA($B$8:B31))</f>
        <v>24</v>
      </c>
      <c r="B31" s="41" t="s">
        <v>197</v>
      </c>
      <c r="C31" s="39"/>
      <c r="D31" s="39"/>
      <c r="E31" s="39"/>
      <c r="F31" s="39"/>
      <c r="G31" s="39"/>
      <c r="H31" s="39"/>
      <c r="I31" s="64" t="str">
        <f>VLOOKUP(B31,項目一覧2!A:B,2,FALSE)</f>
        <v>renryo</v>
      </c>
      <c r="J31" s="30"/>
      <c r="K31" s="30"/>
      <c r="L31" s="30"/>
      <c r="M31" s="30"/>
      <c r="N31" s="30"/>
      <c r="O31" s="30"/>
      <c r="P31" s="30"/>
      <c r="Q31" s="30"/>
      <c r="R31" s="41" t="s">
        <v>197</v>
      </c>
      <c r="S31" s="39"/>
      <c r="T31" s="39"/>
      <c r="U31" s="39"/>
      <c r="V31" s="39"/>
      <c r="W31" s="39"/>
      <c r="X31" s="39"/>
      <c r="Y31" s="212" t="s">
        <v>1901</v>
      </c>
      <c r="Z31" s="213"/>
      <c r="AA31" s="214" t="s">
        <v>1902</v>
      </c>
      <c r="AB31" s="215"/>
      <c r="AC31" s="216"/>
      <c r="AD31" s="62">
        <v>7</v>
      </c>
      <c r="AE31" s="27">
        <v>2</v>
      </c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>
        <f>IF(B32="","",COUNTA($B$8:B32))</f>
        <v>25</v>
      </c>
      <c r="B32" s="41" t="s">
        <v>198</v>
      </c>
      <c r="C32" s="39"/>
      <c r="D32" s="39"/>
      <c r="E32" s="39"/>
      <c r="F32" s="39"/>
      <c r="G32" s="39"/>
      <c r="H32" s="40"/>
      <c r="I32" s="64" t="str">
        <f>VLOOKUP(B32,項目一覧2!A:B,2,FALSE)</f>
        <v>kosu</v>
      </c>
      <c r="J32" s="30"/>
      <c r="K32" s="30"/>
      <c r="L32" s="30"/>
      <c r="M32" s="30"/>
      <c r="N32" s="30"/>
      <c r="O32" s="30"/>
      <c r="P32" s="30"/>
      <c r="Q32" s="31"/>
      <c r="R32" s="41" t="s">
        <v>198</v>
      </c>
      <c r="S32" s="30"/>
      <c r="T32" s="30"/>
      <c r="U32" s="30"/>
      <c r="V32" s="30"/>
      <c r="W32" s="30"/>
      <c r="X32" s="30"/>
      <c r="Y32" s="212" t="s">
        <v>1901</v>
      </c>
      <c r="Z32" s="213"/>
      <c r="AA32" s="214" t="s">
        <v>1902</v>
      </c>
      <c r="AB32" s="215"/>
      <c r="AC32" s="216"/>
      <c r="AD32" s="25">
        <v>5</v>
      </c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>
        <f>IF(B33="","",COUNTA($B$8:B33))</f>
        <v>26</v>
      </c>
      <c r="B33" s="151" t="s">
        <v>2033</v>
      </c>
      <c r="C33" s="152"/>
      <c r="D33" s="152"/>
      <c r="E33" s="152"/>
      <c r="F33" s="39"/>
      <c r="G33" s="39"/>
      <c r="H33" s="40"/>
      <c r="I33" s="156" t="str">
        <f>VLOOKUP(B33,項目一覧2!A:B,2,FALSE)</f>
        <v>kosu_unit_cd</v>
      </c>
      <c r="J33" s="153"/>
      <c r="K33" s="153"/>
      <c r="L33" s="153"/>
      <c r="M33" s="30"/>
      <c r="N33" s="30"/>
      <c r="O33" s="30"/>
      <c r="P33" s="30"/>
      <c r="Q33" s="31"/>
      <c r="R33" s="41" t="s">
        <v>199</v>
      </c>
      <c r="S33" s="30"/>
      <c r="T33" s="30"/>
      <c r="U33" s="30"/>
      <c r="V33" s="30"/>
      <c r="W33" s="30"/>
      <c r="X33" s="30"/>
      <c r="Y33" s="212" t="s">
        <v>1891</v>
      </c>
      <c r="Z33" s="213"/>
      <c r="AA33" s="214" t="s">
        <v>1892</v>
      </c>
      <c r="AB33" s="215"/>
      <c r="AC33" s="216"/>
      <c r="AD33" s="62">
        <v>4</v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>
        <f>IF(B34="","",COUNTA($B$8:B34))</f>
        <v>27</v>
      </c>
      <c r="B34" s="41" t="s">
        <v>1926</v>
      </c>
      <c r="C34" s="39"/>
      <c r="D34" s="39"/>
      <c r="E34" s="39"/>
      <c r="F34" s="39"/>
      <c r="G34" s="39"/>
      <c r="H34" s="40"/>
      <c r="I34" s="64" t="str">
        <f>VLOOKUP(B34,項目一覧2!A:B,2,FALSE)</f>
        <v>kosu_atari_suryo</v>
      </c>
      <c r="J34" s="30"/>
      <c r="K34" s="30"/>
      <c r="L34" s="30"/>
      <c r="M34" s="30"/>
      <c r="N34" s="30"/>
      <c r="O34" s="30"/>
      <c r="P34" s="30"/>
      <c r="Q34" s="31"/>
      <c r="R34" s="41" t="s">
        <v>243</v>
      </c>
      <c r="S34" s="30"/>
      <c r="T34" s="30"/>
      <c r="U34" s="30"/>
      <c r="V34" s="30"/>
      <c r="W34" s="30"/>
      <c r="X34" s="30"/>
      <c r="Y34" s="212" t="s">
        <v>1901</v>
      </c>
      <c r="Z34" s="213"/>
      <c r="AA34" s="214" t="s">
        <v>1902</v>
      </c>
      <c r="AB34" s="215"/>
      <c r="AC34" s="216"/>
      <c r="AD34" s="25">
        <v>5</v>
      </c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>
        <f>IF(B35="","",COUNTA($B$8:B35))</f>
        <v>28</v>
      </c>
      <c r="B35" s="41" t="s">
        <v>1927</v>
      </c>
      <c r="C35" s="39"/>
      <c r="D35" s="39"/>
      <c r="E35" s="39"/>
      <c r="F35" s="39"/>
      <c r="G35" s="39"/>
      <c r="H35" s="40"/>
      <c r="I35" s="64" t="str">
        <f>VLOOKUP(B35,項目一覧2!A:B,2,FALSE)</f>
        <v>kosu_atari_juryo</v>
      </c>
      <c r="J35" s="30"/>
      <c r="K35" s="30"/>
      <c r="L35" s="30"/>
      <c r="M35" s="30"/>
      <c r="N35" s="30"/>
      <c r="O35" s="30"/>
      <c r="P35" s="30"/>
      <c r="Q35" s="31"/>
      <c r="R35" s="41" t="s">
        <v>244</v>
      </c>
      <c r="S35" s="30"/>
      <c r="T35" s="30"/>
      <c r="U35" s="30"/>
      <c r="V35" s="30"/>
      <c r="W35" s="30"/>
      <c r="X35" s="30"/>
      <c r="Y35" s="212" t="s">
        <v>1901</v>
      </c>
      <c r="Z35" s="213"/>
      <c r="AA35" s="214" t="s">
        <v>1902</v>
      </c>
      <c r="AB35" s="215"/>
      <c r="AC35" s="216"/>
      <c r="AD35" s="62">
        <v>7</v>
      </c>
      <c r="AE35" s="27">
        <v>2</v>
      </c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>
        <f>IF(B36="","",COUNTA($B$8:B36))</f>
        <v>29</v>
      </c>
      <c r="B36" s="41" t="s">
        <v>1878</v>
      </c>
      <c r="C36" s="19"/>
      <c r="D36" s="19"/>
      <c r="E36" s="19"/>
      <c r="F36" s="19"/>
      <c r="G36" s="19"/>
      <c r="H36" s="22"/>
      <c r="I36" s="64" t="str">
        <f>VLOOKUP(B36,項目一覧2!A:B,2,FALSE)</f>
        <v>gaika_tanka</v>
      </c>
      <c r="J36" s="33"/>
      <c r="K36" s="21"/>
      <c r="L36" s="21"/>
      <c r="M36" s="21"/>
      <c r="N36" s="21"/>
      <c r="O36" s="21"/>
      <c r="P36" s="21"/>
      <c r="Q36" s="32"/>
      <c r="R36" s="41" t="s">
        <v>241</v>
      </c>
      <c r="S36" s="21"/>
      <c r="T36" s="33"/>
      <c r="U36" s="21"/>
      <c r="V36" s="21"/>
      <c r="W36" s="21"/>
      <c r="X36" s="22"/>
      <c r="Y36" s="212" t="s">
        <v>1901</v>
      </c>
      <c r="Z36" s="213"/>
      <c r="AA36" s="214" t="s">
        <v>1902</v>
      </c>
      <c r="AB36" s="215"/>
      <c r="AC36" s="216"/>
      <c r="AD36" s="25">
        <v>5</v>
      </c>
      <c r="AE36" s="26" t="s">
        <v>200</v>
      </c>
      <c r="AF36" s="26"/>
      <c r="AG36" s="26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>
        <f>IF(B37="","",COUNTA($B$8:B37))</f>
        <v>30</v>
      </c>
      <c r="B37" s="41" t="s">
        <v>1879</v>
      </c>
      <c r="C37" s="19"/>
      <c r="D37" s="19"/>
      <c r="E37" s="19"/>
      <c r="F37" s="19"/>
      <c r="G37" s="19"/>
      <c r="H37" s="22"/>
      <c r="I37" s="64" t="str">
        <f>VLOOKUP(B37,項目一覧2!A:B,2,FALSE)</f>
        <v>gaika_amount</v>
      </c>
      <c r="J37" s="33"/>
      <c r="K37" s="21"/>
      <c r="L37" s="21"/>
      <c r="M37" s="21"/>
      <c r="N37" s="21"/>
      <c r="O37" s="21"/>
      <c r="P37" s="21"/>
      <c r="Q37" s="32"/>
      <c r="R37" s="41" t="s">
        <v>242</v>
      </c>
      <c r="S37" s="21"/>
      <c r="T37" s="33"/>
      <c r="U37" s="21"/>
      <c r="V37" s="21"/>
      <c r="W37" s="21"/>
      <c r="X37" s="22"/>
      <c r="Y37" s="212" t="s">
        <v>1901</v>
      </c>
      <c r="Z37" s="213"/>
      <c r="AA37" s="214" t="s">
        <v>1902</v>
      </c>
      <c r="AB37" s="215"/>
      <c r="AC37" s="216"/>
      <c r="AD37" s="25">
        <v>11</v>
      </c>
      <c r="AE37" s="36" t="s">
        <v>200</v>
      </c>
      <c r="AF37" s="36"/>
      <c r="AG37" s="36"/>
      <c r="AH37" s="36"/>
      <c r="AI37" s="36"/>
      <c r="AJ37" s="26"/>
      <c r="AK37" s="26"/>
      <c r="AL37" s="26"/>
      <c r="AM37" s="26"/>
      <c r="AN37" s="26"/>
      <c r="AO37" s="27"/>
      <c r="AP37" s="27"/>
      <c r="AQ37" s="27"/>
      <c r="AR37" s="27"/>
      <c r="AS37" s="29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>
        <f>IF(B38="","",COUNTA($B$8:B38))</f>
        <v>31</v>
      </c>
      <c r="B38" s="41" t="s">
        <v>2035</v>
      </c>
      <c r="C38" s="19"/>
      <c r="D38" s="19"/>
      <c r="E38" s="19"/>
      <c r="F38" s="19"/>
      <c r="G38" s="19"/>
      <c r="H38" s="22"/>
      <c r="I38" s="64" t="str">
        <f>VLOOKUP(B38,項目一覧2!A:B,2,FALSE)</f>
        <v>unit_price_unit_cd</v>
      </c>
      <c r="J38" s="33"/>
      <c r="K38" s="21"/>
      <c r="L38" s="21"/>
      <c r="M38" s="21"/>
      <c r="N38" s="21"/>
      <c r="O38" s="21"/>
      <c r="P38" s="21"/>
      <c r="Q38" s="32"/>
      <c r="R38" s="41" t="s">
        <v>2036</v>
      </c>
      <c r="S38" s="21"/>
      <c r="T38" s="33"/>
      <c r="U38" s="21"/>
      <c r="V38" s="21"/>
      <c r="W38" s="21"/>
      <c r="X38" s="22"/>
      <c r="Y38" s="212" t="s">
        <v>1891</v>
      </c>
      <c r="Z38" s="217"/>
      <c r="AA38" s="214" t="s">
        <v>1892</v>
      </c>
      <c r="AB38" s="215"/>
      <c r="AC38" s="216"/>
      <c r="AD38" s="62">
        <v>4</v>
      </c>
      <c r="AE38" s="36" t="s">
        <v>1893</v>
      </c>
      <c r="AF38" s="36"/>
      <c r="AG38" s="36"/>
      <c r="AH38" s="36"/>
      <c r="AI38" s="36"/>
      <c r="AJ38" s="26"/>
      <c r="AK38" s="26"/>
      <c r="AL38" s="26"/>
      <c r="AM38" s="26"/>
      <c r="AN38" s="26"/>
      <c r="AO38" s="27"/>
      <c r="AP38" s="27"/>
      <c r="AQ38" s="27"/>
      <c r="AR38" s="27"/>
      <c r="AS38" s="29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>
        <f>IF(B39="","",COUNTA($B$8:B39))</f>
        <v>32</v>
      </c>
      <c r="B39" s="41" t="s">
        <v>1928</v>
      </c>
      <c r="C39" s="39"/>
      <c r="D39" s="39"/>
      <c r="E39" s="39"/>
      <c r="F39" s="39"/>
      <c r="G39" s="39"/>
      <c r="H39" s="40"/>
      <c r="I39" s="64" t="str">
        <f>VLOOKUP(B39,項目一覧2!A:B,2,FALSE)</f>
        <v>rate</v>
      </c>
      <c r="J39" s="21"/>
      <c r="K39" s="30"/>
      <c r="L39" s="30"/>
      <c r="M39" s="30"/>
      <c r="N39" s="30"/>
      <c r="O39" s="30"/>
      <c r="P39" s="30"/>
      <c r="Q39" s="31"/>
      <c r="R39" s="41" t="s">
        <v>201</v>
      </c>
      <c r="S39" s="30"/>
      <c r="T39" s="30"/>
      <c r="U39" s="30"/>
      <c r="V39" s="30"/>
      <c r="W39" s="30"/>
      <c r="X39" s="30"/>
      <c r="Y39" s="212" t="s">
        <v>1901</v>
      </c>
      <c r="Z39" s="213"/>
      <c r="AA39" s="214" t="s">
        <v>1902</v>
      </c>
      <c r="AB39" s="215"/>
      <c r="AC39" s="216"/>
      <c r="AD39" s="62">
        <v>5</v>
      </c>
      <c r="AE39" s="27">
        <v>2</v>
      </c>
      <c r="AF39" s="27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>
        <f>IF(B40="","",COUNTA($B$8:B40))</f>
        <v>33</v>
      </c>
      <c r="B40" s="41" t="s">
        <v>1929</v>
      </c>
      <c r="C40" s="39"/>
      <c r="D40" s="39"/>
      <c r="E40" s="39"/>
      <c r="F40" s="39"/>
      <c r="G40" s="39"/>
      <c r="H40" s="40"/>
      <c r="I40" s="64" t="str">
        <f>VLOOKUP(B40,項目一覧2!A:B,2,FALSE)</f>
        <v>shiirei_lot_no</v>
      </c>
      <c r="J40" s="21"/>
      <c r="K40" s="30"/>
      <c r="L40" s="30"/>
      <c r="M40" s="30"/>
      <c r="N40" s="30"/>
      <c r="O40" s="30"/>
      <c r="P40" s="30"/>
      <c r="Q40" s="31"/>
      <c r="R40" s="41" t="s">
        <v>202</v>
      </c>
      <c r="S40" s="21"/>
      <c r="T40" s="21"/>
      <c r="U40" s="21"/>
      <c r="V40" s="21"/>
      <c r="W40" s="21"/>
      <c r="X40" s="22"/>
      <c r="Y40" s="212" t="s">
        <v>1891</v>
      </c>
      <c r="Z40" s="217"/>
      <c r="AA40" s="214" t="s">
        <v>1892</v>
      </c>
      <c r="AB40" s="215"/>
      <c r="AC40" s="216"/>
      <c r="AD40" s="25">
        <v>10</v>
      </c>
      <c r="AE40" s="27"/>
      <c r="AF40" s="27"/>
      <c r="AG40" s="26"/>
      <c r="AH40" s="27"/>
      <c r="AI40" s="26"/>
      <c r="AJ40" s="26"/>
      <c r="AK40" s="26"/>
      <c r="AL40" s="26"/>
      <c r="AM40" s="26"/>
      <c r="AN40" s="26"/>
      <c r="AO40" s="27"/>
      <c r="AP40" s="27"/>
      <c r="AQ40" s="27"/>
      <c r="AR40" s="27"/>
      <c r="AS40" s="29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>
        <f>IF(B41="","",COUNTA($B$8:B41))</f>
        <v>34</v>
      </c>
      <c r="B41" s="18" t="s">
        <v>1882</v>
      </c>
      <c r="C41" s="19"/>
      <c r="D41" s="19"/>
      <c r="E41" s="19"/>
      <c r="F41" s="19"/>
      <c r="G41" s="19"/>
      <c r="H41" s="22"/>
      <c r="I41" s="64" t="str">
        <f>VLOOKUP(B41,項目一覧2!A:B,2,FALSE)</f>
        <v>shiharai_bunrui_cd</v>
      </c>
      <c r="J41" s="21"/>
      <c r="K41" s="21"/>
      <c r="L41" s="21"/>
      <c r="M41" s="21"/>
      <c r="N41" s="21"/>
      <c r="O41" s="21"/>
      <c r="P41" s="21"/>
      <c r="Q41" s="32"/>
      <c r="R41" s="18" t="s">
        <v>203</v>
      </c>
      <c r="S41" s="21"/>
      <c r="T41" s="21"/>
      <c r="U41" s="21"/>
      <c r="V41" s="21"/>
      <c r="W41" s="19"/>
      <c r="X41" s="22"/>
      <c r="Y41" s="212" t="s">
        <v>56</v>
      </c>
      <c r="Z41" s="213"/>
      <c r="AA41" s="214" t="s">
        <v>1752</v>
      </c>
      <c r="AB41" s="215"/>
      <c r="AC41" s="216"/>
      <c r="AD41" s="25">
        <v>30</v>
      </c>
      <c r="AE41" s="27"/>
      <c r="AF41" s="27"/>
      <c r="AG41" s="26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 t="s">
        <v>1991</v>
      </c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>
        <f>IF(B42="","",COUNTA($B$8:B42))</f>
        <v>35</v>
      </c>
      <c r="B42" s="41" t="s">
        <v>1883</v>
      </c>
      <c r="C42" s="39"/>
      <c r="D42" s="39"/>
      <c r="E42" s="39"/>
      <c r="F42" s="39"/>
      <c r="G42" s="39"/>
      <c r="H42" s="40"/>
      <c r="I42" s="64" t="str">
        <f>VLOOKUP(B42,項目一覧2!A:B,2,FALSE)</f>
        <v>shiharai_bunrui_meisai_cd</v>
      </c>
      <c r="J42" s="30"/>
      <c r="K42" s="30"/>
      <c r="L42" s="30"/>
      <c r="M42" s="30"/>
      <c r="N42" s="30"/>
      <c r="O42" s="30"/>
      <c r="P42" s="30"/>
      <c r="Q42" s="31"/>
      <c r="R42" s="41" t="s">
        <v>204</v>
      </c>
      <c r="S42" s="30"/>
      <c r="T42" s="30"/>
      <c r="U42" s="30"/>
      <c r="V42" s="30"/>
      <c r="W42" s="30"/>
      <c r="X42" s="30"/>
      <c r="Y42" s="212" t="s">
        <v>56</v>
      </c>
      <c r="Z42" s="213"/>
      <c r="AA42" s="214" t="s">
        <v>1752</v>
      </c>
      <c r="AB42" s="215"/>
      <c r="AC42" s="216"/>
      <c r="AD42" s="25">
        <v>30</v>
      </c>
      <c r="AE42" s="27"/>
      <c r="AF42" s="27"/>
      <c r="AG42" s="26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 t="s">
        <v>1993</v>
      </c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>
        <f>IF(B43="","",COUNTA($B$8:B43))</f>
        <v>36</v>
      </c>
      <c r="B43" s="41" t="s">
        <v>1930</v>
      </c>
      <c r="C43" s="19"/>
      <c r="D43" s="19"/>
      <c r="E43" s="19"/>
      <c r="F43" s="19"/>
      <c r="G43" s="19"/>
      <c r="H43" s="19"/>
      <c r="I43" s="64" t="str">
        <f>VLOOKUP(B43,項目一覧2!A:B,2,FALSE)</f>
        <v>gentan_nm</v>
      </c>
      <c r="J43" s="21"/>
      <c r="K43" s="21"/>
      <c r="L43" s="21"/>
      <c r="M43" s="21"/>
      <c r="N43" s="21"/>
      <c r="O43" s="21"/>
      <c r="P43" s="21"/>
      <c r="Q43" s="21"/>
      <c r="R43" s="41" t="s">
        <v>211</v>
      </c>
      <c r="S43" s="19"/>
      <c r="T43" s="19"/>
      <c r="U43" s="19"/>
      <c r="V43" s="19"/>
      <c r="W43" s="19"/>
      <c r="X43" s="19"/>
      <c r="Y43" s="212" t="s">
        <v>1891</v>
      </c>
      <c r="Z43" s="217"/>
      <c r="AA43" s="214" t="s">
        <v>1892</v>
      </c>
      <c r="AB43" s="215"/>
      <c r="AC43" s="216"/>
      <c r="AD43" s="25">
        <v>30</v>
      </c>
      <c r="AE43" s="26" t="s">
        <v>1893</v>
      </c>
      <c r="AF43" s="26"/>
      <c r="AG43" s="26"/>
      <c r="AH43" s="26"/>
      <c r="AI43" s="26"/>
      <c r="AJ43" s="26"/>
      <c r="AK43" s="26"/>
      <c r="AL43" s="26"/>
      <c r="AM43" s="26"/>
      <c r="AN43" s="26"/>
      <c r="AO43" s="27"/>
      <c r="AP43" s="27"/>
      <c r="AQ43" s="27"/>
      <c r="AR43" s="27"/>
      <c r="AS43" s="2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60"/>
    </row>
    <row r="44" spans="1:56" ht="15" customHeight="1" x14ac:dyDescent="0.3">
      <c r="A44" s="44">
        <f>IF(B44="","",COUNTA($B$8:B44))</f>
        <v>37</v>
      </c>
      <c r="B44" s="18" t="s">
        <v>212</v>
      </c>
      <c r="C44" s="19"/>
      <c r="D44" s="19"/>
      <c r="E44" s="19"/>
      <c r="F44" s="19"/>
      <c r="G44" s="19"/>
      <c r="H44" s="19"/>
      <c r="I44" s="64" t="str">
        <f>VLOOKUP(B44,項目一覧2!A:B,2,FALSE)</f>
        <v>gentan_lot_no</v>
      </c>
      <c r="J44" s="21"/>
      <c r="K44" s="21"/>
      <c r="L44" s="21"/>
      <c r="M44" s="21"/>
      <c r="N44" s="21"/>
      <c r="O44" s="21"/>
      <c r="P44" s="21"/>
      <c r="Q44" s="21"/>
      <c r="R44" s="18" t="s">
        <v>212</v>
      </c>
      <c r="S44" s="19"/>
      <c r="T44" s="19"/>
      <c r="U44" s="19"/>
      <c r="V44" s="19"/>
      <c r="W44" s="19"/>
      <c r="X44" s="19"/>
      <c r="Y44" s="212" t="s">
        <v>113</v>
      </c>
      <c r="Z44" s="217"/>
      <c r="AA44" s="214" t="s">
        <v>107</v>
      </c>
      <c r="AB44" s="215"/>
      <c r="AC44" s="216"/>
      <c r="AD44" s="25">
        <v>10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60"/>
    </row>
    <row r="45" spans="1:56" ht="15" customHeight="1" x14ac:dyDescent="0.3">
      <c r="A45" s="91">
        <f>IF(B45="","",COUNTA($B$8:B45))</f>
        <v>38</v>
      </c>
      <c r="B45" s="87" t="s">
        <v>125</v>
      </c>
      <c r="C45" s="86"/>
      <c r="D45" s="86"/>
      <c r="E45" s="86"/>
      <c r="F45" s="86"/>
      <c r="G45" s="86"/>
      <c r="H45" s="85"/>
      <c r="I45" s="64" t="str">
        <f>VLOOKUP(B45,項目一覧2!A:B,2,FALSE)</f>
        <v>seikyu_busho_cd</v>
      </c>
      <c r="J45" s="93"/>
      <c r="K45" s="93"/>
      <c r="L45" s="93"/>
      <c r="M45" s="93"/>
      <c r="N45" s="93"/>
      <c r="O45" s="93"/>
      <c r="P45" s="93"/>
      <c r="Q45" s="94"/>
      <c r="R45" s="87" t="s">
        <v>205</v>
      </c>
      <c r="S45" s="93"/>
      <c r="T45" s="93"/>
      <c r="U45" s="93"/>
      <c r="V45" s="93"/>
      <c r="W45" s="93"/>
      <c r="X45" s="93"/>
      <c r="Y45" s="280" t="s">
        <v>113</v>
      </c>
      <c r="Z45" s="281"/>
      <c r="AA45" s="282" t="s">
        <v>107</v>
      </c>
      <c r="AB45" s="283"/>
      <c r="AC45" s="284"/>
      <c r="AD45" s="101">
        <v>15</v>
      </c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1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58"/>
    </row>
    <row r="46" spans="1:56" ht="15" customHeight="1" x14ac:dyDescent="0.3">
      <c r="A46" s="44">
        <f>IF(B46="","",COUNTA($B$8:B46))</f>
        <v>39</v>
      </c>
      <c r="B46" s="41" t="s">
        <v>206</v>
      </c>
      <c r="C46" s="39"/>
      <c r="D46" s="39"/>
      <c r="E46" s="39"/>
      <c r="F46" s="39"/>
      <c r="G46" s="39"/>
      <c r="H46" s="40"/>
      <c r="I46" s="64" t="str">
        <f>VLOOKUP(B46,項目一覧2!A:B,2,FALSE)</f>
        <v>seikyu_tantosya_nm</v>
      </c>
      <c r="J46" s="30"/>
      <c r="K46" s="30"/>
      <c r="L46" s="30"/>
      <c r="M46" s="30"/>
      <c r="N46" s="30"/>
      <c r="O46" s="30"/>
      <c r="P46" s="30"/>
      <c r="Q46" s="31"/>
      <c r="R46" s="41" t="s">
        <v>206</v>
      </c>
      <c r="S46" s="30"/>
      <c r="T46" s="30"/>
      <c r="U46" s="30"/>
      <c r="V46" s="30"/>
      <c r="W46" s="30"/>
      <c r="X46" s="30"/>
      <c r="Y46" s="212" t="s">
        <v>113</v>
      </c>
      <c r="Z46" s="217"/>
      <c r="AA46" s="214" t="s">
        <v>107</v>
      </c>
      <c r="AB46" s="215"/>
      <c r="AC46" s="216"/>
      <c r="AD46" s="25">
        <v>30</v>
      </c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1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8"/>
    </row>
    <row r="47" spans="1:56" ht="15" customHeight="1" x14ac:dyDescent="0.3">
      <c r="A47" s="44">
        <f>IF(B47="","",COUNTA($B$8:B47))</f>
        <v>40</v>
      </c>
      <c r="B47" s="41" t="s">
        <v>207</v>
      </c>
      <c r="C47" s="39"/>
      <c r="D47" s="39"/>
      <c r="E47" s="39"/>
      <c r="F47" s="39"/>
      <c r="G47" s="39"/>
      <c r="H47" s="40"/>
      <c r="I47" s="64" t="str">
        <f>VLOOKUP(B47,項目一覧2!A:B,2,FALSE)</f>
        <v>biko</v>
      </c>
      <c r="J47" s="30"/>
      <c r="K47" s="30"/>
      <c r="L47" s="30"/>
      <c r="M47" s="30"/>
      <c r="N47" s="30"/>
      <c r="O47" s="30"/>
      <c r="P47" s="30"/>
      <c r="Q47" s="31"/>
      <c r="R47" s="41" t="s">
        <v>207</v>
      </c>
      <c r="S47" s="30"/>
      <c r="T47" s="30"/>
      <c r="U47" s="30"/>
      <c r="V47" s="30"/>
      <c r="W47" s="30"/>
      <c r="X47" s="30"/>
      <c r="Y47" s="212" t="s">
        <v>56</v>
      </c>
      <c r="Z47" s="213"/>
      <c r="AA47" s="214" t="s">
        <v>107</v>
      </c>
      <c r="AB47" s="215"/>
      <c r="AC47" s="216"/>
      <c r="AD47" s="25">
        <v>100</v>
      </c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1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>
        <f>IF(B48="","",COUNTA($B$8:B48))</f>
        <v>41</v>
      </c>
      <c r="B48" s="18" t="s">
        <v>1542</v>
      </c>
      <c r="C48" s="19"/>
      <c r="D48" s="19"/>
      <c r="E48" s="19"/>
      <c r="F48" s="19"/>
      <c r="G48" s="19"/>
      <c r="H48" s="22"/>
      <c r="I48" s="64" t="str">
        <f>VLOOKUP(B48,項目一覧2!A:B,2,FALSE)</f>
        <v>denpyo_kbn</v>
      </c>
      <c r="J48" s="21"/>
      <c r="K48" s="21"/>
      <c r="L48" s="21"/>
      <c r="M48" s="21"/>
      <c r="N48" s="21"/>
      <c r="O48" s="21"/>
      <c r="P48" s="21"/>
      <c r="Q48" s="32"/>
      <c r="R48" s="18" t="s">
        <v>208</v>
      </c>
      <c r="S48" s="21"/>
      <c r="T48" s="21"/>
      <c r="U48" s="21"/>
      <c r="V48" s="21"/>
      <c r="W48" s="19"/>
      <c r="X48" s="22"/>
      <c r="Y48" s="212" t="s">
        <v>113</v>
      </c>
      <c r="Z48" s="217"/>
      <c r="AA48" s="214" t="s">
        <v>107</v>
      </c>
      <c r="AB48" s="215"/>
      <c r="AC48" s="216"/>
      <c r="AD48" s="25">
        <v>1</v>
      </c>
      <c r="AE48" s="26"/>
      <c r="AF48" s="26"/>
      <c r="AG48" s="26" t="s">
        <v>123</v>
      </c>
      <c r="AH48" s="26"/>
      <c r="AI48" s="26"/>
      <c r="AJ48" s="26"/>
      <c r="AK48" s="26"/>
      <c r="AL48" s="26"/>
      <c r="AM48" s="26"/>
      <c r="AN48" s="26"/>
      <c r="AO48" s="27"/>
      <c r="AP48" s="27"/>
      <c r="AQ48" s="27"/>
      <c r="AR48" s="27"/>
      <c r="AS48" s="29" t="s">
        <v>209</v>
      </c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>
        <f>IF(B49="","",COUNTA($B$8:B49))</f>
        <v>42</v>
      </c>
      <c r="B49" s="41" t="s">
        <v>1935</v>
      </c>
      <c r="C49" s="39"/>
      <c r="D49" s="39"/>
      <c r="E49" s="39"/>
      <c r="F49" s="39"/>
      <c r="G49" s="39"/>
      <c r="H49" s="40"/>
      <c r="I49" s="64" t="str">
        <f>VLOOKUP(B49,項目一覧2!A:B,2,FALSE)</f>
        <v>shiharaibi</v>
      </c>
      <c r="J49" s="30"/>
      <c r="K49" s="30"/>
      <c r="L49" s="30"/>
      <c r="M49" s="30"/>
      <c r="N49" s="30"/>
      <c r="O49" s="30"/>
      <c r="P49" s="30"/>
      <c r="Q49" s="31"/>
      <c r="R49" s="41" t="s">
        <v>1935</v>
      </c>
      <c r="S49" s="30"/>
      <c r="T49" s="30"/>
      <c r="U49" s="30"/>
      <c r="V49" s="30"/>
      <c r="W49" s="30"/>
      <c r="X49" s="30"/>
      <c r="Y49" s="212" t="s">
        <v>1757</v>
      </c>
      <c r="Z49" s="217"/>
      <c r="AA49" s="214" t="s">
        <v>1758</v>
      </c>
      <c r="AB49" s="215"/>
      <c r="AC49" s="216"/>
      <c r="AD49" s="45"/>
      <c r="AE49" s="27"/>
      <c r="AF49" s="27"/>
      <c r="AG49" s="26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41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>
        <f>IF(B50="","",COUNTA($B$8:B50))</f>
        <v>43</v>
      </c>
      <c r="B50" s="41" t="s">
        <v>1936</v>
      </c>
      <c r="C50" s="39"/>
      <c r="D50" s="39"/>
      <c r="E50" s="39"/>
      <c r="F50" s="39"/>
      <c r="G50" s="39"/>
      <c r="H50" s="40"/>
      <c r="I50" s="64" t="str">
        <f>VLOOKUP(B50,項目一覧2!A:B,2,FALSE)</f>
        <v>shiire_shimebi</v>
      </c>
      <c r="J50" s="30"/>
      <c r="K50" s="30"/>
      <c r="L50" s="30"/>
      <c r="M50" s="30"/>
      <c r="N50" s="30"/>
      <c r="O50" s="30"/>
      <c r="P50" s="30"/>
      <c r="Q50" s="31"/>
      <c r="R50" s="41" t="s">
        <v>1936</v>
      </c>
      <c r="S50" s="30"/>
      <c r="T50" s="30"/>
      <c r="U50" s="30"/>
      <c r="V50" s="30"/>
      <c r="W50" s="30"/>
      <c r="X50" s="30"/>
      <c r="Y50" s="212" t="s">
        <v>1757</v>
      </c>
      <c r="Z50" s="217"/>
      <c r="AA50" s="214" t="s">
        <v>1758</v>
      </c>
      <c r="AB50" s="215"/>
      <c r="AC50" s="216"/>
      <c r="AD50" s="45"/>
      <c r="AE50" s="27"/>
      <c r="AF50" s="27"/>
      <c r="AG50" s="26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41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  <row r="51" spans="1:56" ht="15" customHeight="1" x14ac:dyDescent="0.3">
      <c r="A51" s="44">
        <f>IF(B51="","",COUNTA($B$8:B51))</f>
        <v>44</v>
      </c>
      <c r="B51" s="18" t="s">
        <v>142</v>
      </c>
      <c r="C51" s="19"/>
      <c r="D51" s="19"/>
      <c r="E51" s="19"/>
      <c r="F51" s="19"/>
      <c r="G51" s="19"/>
      <c r="H51" s="22"/>
      <c r="I51" s="64" t="str">
        <f>VLOOKUP(B51,項目一覧2!A:B,2,FALSE)</f>
        <v>shukan_busho_cd</v>
      </c>
      <c r="J51" s="21"/>
      <c r="K51" s="21"/>
      <c r="L51" s="21"/>
      <c r="M51" s="21"/>
      <c r="N51" s="21"/>
      <c r="O51" s="21"/>
      <c r="P51" s="21"/>
      <c r="Q51" s="32"/>
      <c r="R51" s="18" t="s">
        <v>144</v>
      </c>
      <c r="S51" s="21"/>
      <c r="T51" s="21"/>
      <c r="U51" s="21"/>
      <c r="V51" s="21"/>
      <c r="W51" s="21"/>
      <c r="X51" s="22"/>
      <c r="Y51" s="212" t="s">
        <v>56</v>
      </c>
      <c r="Z51" s="213"/>
      <c r="AA51" s="214" t="s">
        <v>107</v>
      </c>
      <c r="AB51" s="215"/>
      <c r="AC51" s="216"/>
      <c r="AD51" s="25">
        <v>4</v>
      </c>
      <c r="AE51" s="26"/>
      <c r="AF51" s="26"/>
      <c r="AG51" s="26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41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8"/>
    </row>
    <row r="52" spans="1:56" ht="15" customHeight="1" x14ac:dyDescent="0.3">
      <c r="A52" s="44">
        <f>IF(B52="","",COUNTA($B$8:B52))</f>
        <v>45</v>
      </c>
      <c r="B52" s="18" t="s">
        <v>143</v>
      </c>
      <c r="C52" s="19"/>
      <c r="D52" s="19"/>
      <c r="E52" s="19"/>
      <c r="F52" s="19"/>
      <c r="G52" s="19"/>
      <c r="H52" s="22"/>
      <c r="I52" s="64" t="str">
        <f>VLOOKUP(B52,項目一覧2!A:B,2,FALSE)</f>
        <v>shukan_kotei_cd</v>
      </c>
      <c r="J52" s="21"/>
      <c r="K52" s="21"/>
      <c r="L52" s="21"/>
      <c r="M52" s="21"/>
      <c r="N52" s="21"/>
      <c r="O52" s="21"/>
      <c r="P52" s="21"/>
      <c r="Q52" s="32"/>
      <c r="R52" s="18" t="s">
        <v>143</v>
      </c>
      <c r="S52" s="21"/>
      <c r="T52" s="21"/>
      <c r="U52" s="21"/>
      <c r="V52" s="21"/>
      <c r="W52" s="21"/>
      <c r="X52" s="22"/>
      <c r="Y52" s="212" t="s">
        <v>56</v>
      </c>
      <c r="Z52" s="213"/>
      <c r="AA52" s="214" t="s">
        <v>107</v>
      </c>
      <c r="AB52" s="215"/>
      <c r="AC52" s="216"/>
      <c r="AD52" s="25">
        <v>4</v>
      </c>
      <c r="AE52" s="26"/>
      <c r="AF52" s="26"/>
      <c r="AG52" s="26"/>
      <c r="AH52" s="36"/>
      <c r="AI52" s="36"/>
      <c r="AJ52" s="36"/>
      <c r="AK52" s="36"/>
      <c r="AL52" s="36"/>
      <c r="AM52" s="36"/>
      <c r="AN52" s="36"/>
      <c r="AO52" s="37"/>
      <c r="AP52" s="37"/>
      <c r="AQ52" s="37"/>
      <c r="AR52" s="37"/>
      <c r="AS52" s="38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8"/>
    </row>
    <row r="53" spans="1:56" ht="15" customHeight="1" x14ac:dyDescent="0.3">
      <c r="A53" s="44">
        <f>IF(B53="","",COUNTA($B$8:B53))</f>
        <v>46</v>
      </c>
      <c r="B53" s="18" t="s">
        <v>580</v>
      </c>
      <c r="C53" s="19"/>
      <c r="D53" s="19"/>
      <c r="E53" s="19"/>
      <c r="F53" s="19"/>
      <c r="G53" s="19"/>
      <c r="H53" s="22"/>
      <c r="I53" s="64" t="str">
        <f>VLOOKUP(B53,項目一覧2!A:B,2,FALSE)</f>
        <v>insert_func_cd</v>
      </c>
      <c r="J53" s="33"/>
      <c r="K53" s="21"/>
      <c r="L53" s="21"/>
      <c r="M53" s="21"/>
      <c r="N53" s="21"/>
      <c r="O53" s="21"/>
      <c r="P53" s="21"/>
      <c r="Q53" s="32"/>
      <c r="R53" s="18" t="s">
        <v>118</v>
      </c>
      <c r="S53" s="21"/>
      <c r="T53" s="33"/>
      <c r="U53" s="21"/>
      <c r="V53" s="21"/>
      <c r="W53" s="21"/>
      <c r="X53" s="22"/>
      <c r="Y53" s="212" t="s">
        <v>113</v>
      </c>
      <c r="Z53" s="217"/>
      <c r="AA53" s="214" t="s">
        <v>107</v>
      </c>
      <c r="AB53" s="215"/>
      <c r="AC53" s="216"/>
      <c r="AD53" s="25">
        <v>10</v>
      </c>
      <c r="AE53" s="27"/>
      <c r="AF53" s="27"/>
      <c r="AG53" s="26" t="s">
        <v>123</v>
      </c>
      <c r="AH53" s="36"/>
      <c r="AI53" s="36"/>
      <c r="AJ53" s="36"/>
      <c r="AK53" s="36"/>
      <c r="AL53" s="36"/>
      <c r="AM53" s="36"/>
      <c r="AN53" s="36"/>
      <c r="AO53" s="37"/>
      <c r="AP53" s="37"/>
      <c r="AQ53" s="37"/>
      <c r="AR53" s="37"/>
      <c r="AS53" s="38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58"/>
    </row>
    <row r="54" spans="1:56" ht="15" customHeight="1" x14ac:dyDescent="0.3">
      <c r="A54" s="61">
        <f>IF(B54="","",COUNTA($B$8:B54))</f>
        <v>47</v>
      </c>
      <c r="B54" s="18" t="s">
        <v>114</v>
      </c>
      <c r="C54" s="19"/>
      <c r="D54" s="19"/>
      <c r="E54" s="19"/>
      <c r="F54" s="19"/>
      <c r="G54" s="19"/>
      <c r="H54" s="22"/>
      <c r="I54" s="64" t="str">
        <f>VLOOKUP(B54,項目一覧2!A:B,2,FALSE)</f>
        <v>insert_user_cd</v>
      </c>
      <c r="J54" s="33"/>
      <c r="K54" s="21"/>
      <c r="L54" s="21"/>
      <c r="M54" s="21"/>
      <c r="N54" s="21"/>
      <c r="O54" s="21"/>
      <c r="P54" s="21"/>
      <c r="Q54" s="32"/>
      <c r="R54" s="18" t="s">
        <v>114</v>
      </c>
      <c r="S54" s="21"/>
      <c r="T54" s="33"/>
      <c r="U54" s="21"/>
      <c r="V54" s="21"/>
      <c r="W54" s="21"/>
      <c r="X54" s="22"/>
      <c r="Y54" s="212" t="s">
        <v>113</v>
      </c>
      <c r="Z54" s="217"/>
      <c r="AA54" s="214" t="s">
        <v>107</v>
      </c>
      <c r="AB54" s="215"/>
      <c r="AC54" s="216"/>
      <c r="AD54" s="25">
        <v>10</v>
      </c>
      <c r="AE54" s="27"/>
      <c r="AF54" s="27"/>
      <c r="AG54" s="26" t="s">
        <v>123</v>
      </c>
      <c r="AH54" s="26"/>
      <c r="AI54" s="26"/>
      <c r="AJ54" s="26"/>
      <c r="AK54" s="26"/>
      <c r="AL54" s="26"/>
      <c r="AM54" s="26"/>
      <c r="AN54" s="26"/>
      <c r="AO54" s="27"/>
      <c r="AP54" s="27"/>
      <c r="AQ54" s="27"/>
      <c r="AR54" s="27"/>
      <c r="AS54" s="2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60"/>
    </row>
    <row r="55" spans="1:56" ht="15" customHeight="1" x14ac:dyDescent="0.3">
      <c r="A55" s="61">
        <f>IF(B55="","",COUNTA($B$8:B55))</f>
        <v>48</v>
      </c>
      <c r="B55" s="18" t="s">
        <v>115</v>
      </c>
      <c r="C55" s="19"/>
      <c r="D55" s="19"/>
      <c r="E55" s="19"/>
      <c r="F55" s="19"/>
      <c r="G55" s="19"/>
      <c r="H55" s="22"/>
      <c r="I55" s="64" t="str">
        <f>VLOOKUP(B55,項目一覧2!A:B,2,FALSE)</f>
        <v>insert_datetime</v>
      </c>
      <c r="J55" s="33"/>
      <c r="K55" s="21"/>
      <c r="L55" s="21"/>
      <c r="M55" s="21"/>
      <c r="N55" s="21"/>
      <c r="O55" s="21"/>
      <c r="P55" s="21"/>
      <c r="Q55" s="32"/>
      <c r="R55" s="18" t="s">
        <v>115</v>
      </c>
      <c r="S55" s="21"/>
      <c r="T55" s="33"/>
      <c r="U55" s="21"/>
      <c r="V55" s="21"/>
      <c r="W55" s="21"/>
      <c r="X55" s="22"/>
      <c r="Y55" s="212" t="s">
        <v>87</v>
      </c>
      <c r="Z55" s="217"/>
      <c r="AA55" s="214" t="s">
        <v>109</v>
      </c>
      <c r="AB55" s="215"/>
      <c r="AC55" s="216"/>
      <c r="AD55" s="45"/>
      <c r="AE55" s="27"/>
      <c r="AF55" s="27"/>
      <c r="AG55" s="26" t="s">
        <v>123</v>
      </c>
      <c r="AH55" s="26"/>
      <c r="AI55" s="26"/>
      <c r="AJ55" s="26"/>
      <c r="AK55" s="26"/>
      <c r="AL55" s="26"/>
      <c r="AM55" s="26"/>
      <c r="AN55" s="26"/>
      <c r="AO55" s="27"/>
      <c r="AP55" s="27"/>
      <c r="AQ55" s="27"/>
      <c r="AR55" s="27"/>
      <c r="AS55" s="2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60"/>
    </row>
    <row r="56" spans="1:56" ht="15" customHeight="1" x14ac:dyDescent="0.3">
      <c r="A56" s="61">
        <f>IF(B56="","",COUNTA($B$8:B56))</f>
        <v>49</v>
      </c>
      <c r="B56" t="s">
        <v>1431</v>
      </c>
      <c r="C56" s="19"/>
      <c r="D56" s="19"/>
      <c r="E56" s="19"/>
      <c r="F56" s="19"/>
      <c r="G56" s="19"/>
      <c r="H56" s="22"/>
      <c r="I56" s="64" t="str">
        <f>VLOOKUP(B56,項目一覧2!A:B,2,FALSE)</f>
        <v>update_func_cd</v>
      </c>
      <c r="J56" s="33"/>
      <c r="K56" s="21"/>
      <c r="L56" s="21"/>
      <c r="M56" s="21"/>
      <c r="N56" s="21"/>
      <c r="O56" s="21"/>
      <c r="P56" s="21"/>
      <c r="Q56" s="32"/>
      <c r="R56" s="18" t="s">
        <v>119</v>
      </c>
      <c r="S56" s="21"/>
      <c r="T56" s="33"/>
      <c r="U56" s="21"/>
      <c r="V56" s="21"/>
      <c r="W56" s="21"/>
      <c r="X56" s="22"/>
      <c r="Y56" s="212" t="s">
        <v>113</v>
      </c>
      <c r="Z56" s="217"/>
      <c r="AA56" s="214" t="s">
        <v>107</v>
      </c>
      <c r="AB56" s="215"/>
      <c r="AC56" s="216"/>
      <c r="AD56" s="25">
        <v>10</v>
      </c>
      <c r="AE56" s="27"/>
      <c r="AF56" s="27"/>
      <c r="AG56" s="26" t="s">
        <v>123</v>
      </c>
      <c r="AH56" s="26"/>
      <c r="AI56" s="26"/>
      <c r="AJ56" s="26"/>
      <c r="AK56" s="26"/>
      <c r="AL56" s="26"/>
      <c r="AM56" s="26"/>
      <c r="AN56" s="26"/>
      <c r="AO56" s="27"/>
      <c r="AP56" s="27"/>
      <c r="AQ56" s="27"/>
      <c r="AR56" s="27"/>
      <c r="AS56" s="2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60"/>
    </row>
    <row r="57" spans="1:56" ht="15" customHeight="1" x14ac:dyDescent="0.3">
      <c r="A57" s="61">
        <f>IF(B57="","",COUNTA($B$8:B57))</f>
        <v>50</v>
      </c>
      <c r="B57" s="18" t="s">
        <v>116</v>
      </c>
      <c r="C57" s="19"/>
      <c r="D57" s="19"/>
      <c r="E57" s="19"/>
      <c r="F57" s="19"/>
      <c r="G57" s="19"/>
      <c r="H57" s="22"/>
      <c r="I57" s="64" t="str">
        <f>VLOOKUP(B57,項目一覧2!A:B,2,FALSE)</f>
        <v>update_user_cd</v>
      </c>
      <c r="J57" s="33"/>
      <c r="K57" s="21"/>
      <c r="L57" s="21"/>
      <c r="M57" s="21"/>
      <c r="N57" s="21"/>
      <c r="O57" s="21"/>
      <c r="P57" s="21"/>
      <c r="Q57" s="32"/>
      <c r="R57" s="18" t="s">
        <v>116</v>
      </c>
      <c r="S57" s="21"/>
      <c r="T57" s="33"/>
      <c r="U57" s="21"/>
      <c r="V57" s="21"/>
      <c r="W57" s="21"/>
      <c r="X57" s="22"/>
      <c r="Y57" s="212" t="s">
        <v>113</v>
      </c>
      <c r="Z57" s="217"/>
      <c r="AA57" s="214" t="s">
        <v>107</v>
      </c>
      <c r="AB57" s="215"/>
      <c r="AC57" s="216"/>
      <c r="AD57" s="45">
        <v>10</v>
      </c>
      <c r="AE57" s="27"/>
      <c r="AF57" s="27"/>
      <c r="AG57" s="26"/>
      <c r="AH57" s="26"/>
      <c r="AI57" s="26"/>
      <c r="AJ57" s="26"/>
      <c r="AK57" s="26"/>
      <c r="AL57" s="26"/>
      <c r="AM57" s="26"/>
      <c r="AN57" s="26"/>
      <c r="AO57" s="27"/>
      <c r="AP57" s="27"/>
      <c r="AQ57" s="27"/>
      <c r="AR57" s="27"/>
      <c r="AS57" s="2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60"/>
    </row>
    <row r="58" spans="1:56" ht="15" customHeight="1" x14ac:dyDescent="0.3">
      <c r="A58" s="61">
        <f>IF(B58="","",COUNTA($B$8:B58))</f>
        <v>51</v>
      </c>
      <c r="B58" s="18" t="s">
        <v>117</v>
      </c>
      <c r="C58" s="19"/>
      <c r="D58" s="19"/>
      <c r="E58" s="19"/>
      <c r="F58" s="19"/>
      <c r="G58" s="19"/>
      <c r="H58" s="22"/>
      <c r="I58" s="64" t="str">
        <f>VLOOKUP(B58,項目一覧2!A:B,2,FALSE)</f>
        <v>update_datetime</v>
      </c>
      <c r="J58" s="33"/>
      <c r="K58" s="21"/>
      <c r="L58" s="21"/>
      <c r="M58" s="21"/>
      <c r="N58" s="21"/>
      <c r="O58" s="21"/>
      <c r="P58" s="21"/>
      <c r="Q58" s="32"/>
      <c r="R58" s="18" t="s">
        <v>117</v>
      </c>
      <c r="S58" s="21"/>
      <c r="T58" s="33"/>
      <c r="U58" s="21"/>
      <c r="V58" s="21"/>
      <c r="W58" s="21"/>
      <c r="X58" s="22"/>
      <c r="Y58" s="212" t="s">
        <v>87</v>
      </c>
      <c r="Z58" s="217"/>
      <c r="AA58" s="214" t="s">
        <v>109</v>
      </c>
      <c r="AB58" s="215"/>
      <c r="AC58" s="216"/>
      <c r="AD58" s="45"/>
      <c r="AE58" s="27"/>
      <c r="AF58" s="27"/>
      <c r="AG58" s="26"/>
      <c r="AH58" s="26"/>
      <c r="AI58" s="26"/>
      <c r="AJ58" s="26"/>
      <c r="AK58" s="26"/>
      <c r="AL58" s="26"/>
      <c r="AM58" s="26"/>
      <c r="AN58" s="26"/>
      <c r="AO58" s="27"/>
      <c r="AP58" s="27"/>
      <c r="AQ58" s="27"/>
      <c r="AR58" s="27"/>
      <c r="AS58" s="2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60"/>
    </row>
    <row r="59" spans="1:56" ht="15" customHeight="1" x14ac:dyDescent="0.3">
      <c r="A59" s="61" t="str">
        <f>IF(B59="","",COUNTA($B$8:B59))</f>
        <v/>
      </c>
      <c r="B59" s="20"/>
      <c r="C59" s="19"/>
      <c r="D59" s="19"/>
      <c r="E59" s="19"/>
      <c r="F59" s="19"/>
      <c r="G59" s="19"/>
      <c r="H59" s="22"/>
      <c r="I59" s="20"/>
      <c r="J59" s="21"/>
      <c r="K59" s="21"/>
      <c r="L59" s="21"/>
      <c r="M59" s="21"/>
      <c r="N59" s="21"/>
      <c r="O59" s="21"/>
      <c r="P59" s="21"/>
      <c r="Q59" s="32"/>
      <c r="R59" s="20"/>
      <c r="S59" s="21"/>
      <c r="T59" s="21"/>
      <c r="U59" s="21"/>
      <c r="V59" s="21"/>
      <c r="W59" s="21"/>
      <c r="X59" s="19"/>
      <c r="Y59" s="212"/>
      <c r="Z59" s="213"/>
      <c r="AA59" s="214"/>
      <c r="AB59" s="215"/>
      <c r="AC59" s="216"/>
      <c r="AD59" s="25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7"/>
      <c r="AP59" s="27"/>
      <c r="AQ59" s="27"/>
      <c r="AR59" s="27"/>
      <c r="AS59" s="2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60"/>
    </row>
    <row r="60" spans="1:56" ht="15" customHeight="1" x14ac:dyDescent="0.3">
      <c r="A60" s="61" t="str">
        <f>IF(B60="","",COUNTA($B$8:B60))</f>
        <v/>
      </c>
      <c r="B60" s="20"/>
      <c r="C60" s="19"/>
      <c r="D60" s="19"/>
      <c r="E60" s="19"/>
      <c r="F60" s="19"/>
      <c r="G60" s="19"/>
      <c r="H60" s="22"/>
      <c r="I60" s="20"/>
      <c r="J60" s="21"/>
      <c r="K60" s="21"/>
      <c r="L60" s="21"/>
      <c r="M60" s="21"/>
      <c r="N60" s="21"/>
      <c r="O60" s="21"/>
      <c r="P60" s="21"/>
      <c r="Q60" s="32"/>
      <c r="R60" s="20"/>
      <c r="S60" s="21"/>
      <c r="T60" s="21"/>
      <c r="U60" s="21"/>
      <c r="V60" s="21"/>
      <c r="W60" s="21"/>
      <c r="X60" s="19"/>
      <c r="Y60" s="212"/>
      <c r="Z60" s="213"/>
      <c r="AA60" s="214"/>
      <c r="AB60" s="215"/>
      <c r="AC60" s="216"/>
      <c r="AD60" s="25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60"/>
    </row>
    <row r="61" spans="1:56" ht="15" customHeight="1" x14ac:dyDescent="0.3">
      <c r="A61" s="61" t="str">
        <f>IF(B61="","",COUNTA($B$8:B61))</f>
        <v/>
      </c>
      <c r="B61" s="20"/>
      <c r="C61" s="19"/>
      <c r="D61" s="19"/>
      <c r="E61" s="19"/>
      <c r="F61" s="19"/>
      <c r="G61" s="19"/>
      <c r="H61" s="22"/>
      <c r="I61" s="20"/>
      <c r="J61" s="21"/>
      <c r="K61" s="21"/>
      <c r="L61" s="21"/>
      <c r="M61" s="21"/>
      <c r="N61" s="21"/>
      <c r="O61" s="21"/>
      <c r="P61" s="21"/>
      <c r="Q61" s="32"/>
      <c r="R61" s="20"/>
      <c r="S61" s="21"/>
      <c r="T61" s="21"/>
      <c r="U61" s="21"/>
      <c r="V61" s="21"/>
      <c r="W61" s="21"/>
      <c r="X61" s="19"/>
      <c r="Y61" s="212"/>
      <c r="Z61" s="213"/>
      <c r="AA61" s="214"/>
      <c r="AB61" s="215"/>
      <c r="AC61" s="216"/>
      <c r="AD61" s="25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7"/>
      <c r="AP61" s="27"/>
      <c r="AQ61" s="27"/>
      <c r="AR61" s="27"/>
      <c r="AS61" s="29"/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60"/>
    </row>
    <row r="62" spans="1:56" ht="15" customHeight="1" x14ac:dyDescent="0.3">
      <c r="A62" s="61" t="str">
        <f>IF(B62="","",COUNTA($B$8:B62))</f>
        <v/>
      </c>
      <c r="B62" s="20"/>
      <c r="C62" s="19"/>
      <c r="D62" s="19"/>
      <c r="E62" s="19"/>
      <c r="F62" s="19"/>
      <c r="G62" s="19"/>
      <c r="H62" s="22"/>
      <c r="I62" s="20"/>
      <c r="J62" s="21"/>
      <c r="K62" s="21"/>
      <c r="L62" s="21"/>
      <c r="M62" s="21"/>
      <c r="N62" s="21"/>
      <c r="O62" s="21"/>
      <c r="P62" s="21"/>
      <c r="Q62" s="32"/>
      <c r="R62" s="20"/>
      <c r="S62" s="21"/>
      <c r="T62" s="21"/>
      <c r="U62" s="21"/>
      <c r="V62" s="21"/>
      <c r="W62" s="21"/>
      <c r="X62" s="19"/>
      <c r="Y62" s="212"/>
      <c r="Z62" s="213"/>
      <c r="AA62" s="214"/>
      <c r="AB62" s="215"/>
      <c r="AC62" s="216"/>
      <c r="AD62" s="25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7"/>
      <c r="AP62" s="27"/>
      <c r="AQ62" s="27"/>
      <c r="AR62" s="27"/>
      <c r="AS62" s="2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60"/>
    </row>
    <row r="63" spans="1:56" ht="15" customHeight="1" x14ac:dyDescent="0.3">
      <c r="A63" s="61" t="str">
        <f>IF(B63="","",COUNTA($B$8:B63))</f>
        <v/>
      </c>
      <c r="B63" s="20"/>
      <c r="C63" s="19"/>
      <c r="D63" s="19"/>
      <c r="E63" s="19"/>
      <c r="F63" s="19"/>
      <c r="G63" s="19"/>
      <c r="H63" s="22"/>
      <c r="I63" s="20"/>
      <c r="J63" s="21"/>
      <c r="K63" s="21"/>
      <c r="L63" s="21"/>
      <c r="M63" s="21"/>
      <c r="N63" s="21"/>
      <c r="O63" s="21"/>
      <c r="P63" s="21"/>
      <c r="Q63" s="32"/>
      <c r="R63" s="20"/>
      <c r="S63" s="21"/>
      <c r="T63" s="21"/>
      <c r="U63" s="21"/>
      <c r="V63" s="21"/>
      <c r="W63" s="21"/>
      <c r="X63" s="19"/>
      <c r="Y63" s="212"/>
      <c r="Z63" s="213"/>
      <c r="AA63" s="214"/>
      <c r="AB63" s="215"/>
      <c r="AC63" s="216"/>
      <c r="AD63" s="25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7"/>
      <c r="AP63" s="27"/>
      <c r="AQ63" s="27"/>
      <c r="AR63" s="27"/>
      <c r="AS63" s="2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60"/>
    </row>
    <row r="64" spans="1:56" ht="15" customHeight="1" x14ac:dyDescent="0.3">
      <c r="A64" s="61" t="str">
        <f>IF(B64="","",COUNTA($B$8:B64))</f>
        <v/>
      </c>
      <c r="B64" s="20"/>
      <c r="C64" s="19"/>
      <c r="D64" s="19"/>
      <c r="E64" s="19"/>
      <c r="F64" s="19"/>
      <c r="G64" s="19"/>
      <c r="H64" s="22"/>
      <c r="I64" s="20"/>
      <c r="J64" s="21"/>
      <c r="K64" s="21"/>
      <c r="L64" s="21"/>
      <c r="M64" s="21"/>
      <c r="N64" s="21"/>
      <c r="O64" s="21"/>
      <c r="P64" s="21"/>
      <c r="Q64" s="32"/>
      <c r="R64" s="20"/>
      <c r="S64" s="21"/>
      <c r="T64" s="21"/>
      <c r="U64" s="21"/>
      <c r="V64" s="21"/>
      <c r="W64" s="21"/>
      <c r="X64" s="19"/>
      <c r="Y64" s="212"/>
      <c r="Z64" s="213"/>
      <c r="AA64" s="214"/>
      <c r="AB64" s="215"/>
      <c r="AC64" s="216"/>
      <c r="AD64" s="25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7"/>
      <c r="AP64" s="27"/>
      <c r="AQ64" s="27"/>
      <c r="AR64" s="27"/>
      <c r="AS64" s="2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60"/>
    </row>
    <row r="65" spans="1:56" ht="15" customHeight="1" x14ac:dyDescent="0.3">
      <c r="A65" s="44" t="str">
        <f>IF(B65="","",COUNTA($B$8:B65))</f>
        <v/>
      </c>
      <c r="B65" s="41"/>
      <c r="C65" s="39"/>
      <c r="D65" s="39"/>
      <c r="E65" s="39"/>
      <c r="F65" s="39"/>
      <c r="G65" s="39"/>
      <c r="H65" s="40"/>
      <c r="I65" s="64"/>
      <c r="J65" s="30"/>
      <c r="K65" s="30"/>
      <c r="L65" s="30"/>
      <c r="M65" s="30"/>
      <c r="N65" s="30"/>
      <c r="O65" s="30"/>
      <c r="P65" s="30"/>
      <c r="Q65" s="31"/>
      <c r="R65" s="41"/>
      <c r="S65" s="30"/>
      <c r="T65" s="30"/>
      <c r="U65" s="30"/>
      <c r="V65" s="30"/>
      <c r="W65" s="30"/>
      <c r="X65" s="30"/>
      <c r="Y65" s="212"/>
      <c r="Z65" s="213"/>
      <c r="AA65" s="214"/>
      <c r="AB65" s="215"/>
      <c r="AC65" s="216"/>
      <c r="AD65" s="43"/>
      <c r="AE65" s="27"/>
      <c r="AF65" s="27"/>
      <c r="AG65" s="27"/>
      <c r="AH65" s="36"/>
      <c r="AI65" s="36"/>
      <c r="AJ65" s="36"/>
      <c r="AK65" s="36"/>
      <c r="AL65" s="36"/>
      <c r="AM65" s="36"/>
      <c r="AN65" s="36"/>
      <c r="AO65" s="37"/>
      <c r="AP65" s="37"/>
      <c r="AQ65" s="37"/>
      <c r="AR65" s="37"/>
      <c r="AS65" s="38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58"/>
    </row>
    <row r="66" spans="1:56" ht="15" customHeight="1" x14ac:dyDescent="0.3">
      <c r="A66" s="44" t="str">
        <f>IF(B66="","",COUNTA($B$8:B66))</f>
        <v/>
      </c>
      <c r="B66" s="29"/>
      <c r="C66" s="39"/>
      <c r="D66" s="39"/>
      <c r="E66" s="39"/>
      <c r="F66" s="39"/>
      <c r="G66" s="39"/>
      <c r="H66" s="40"/>
      <c r="I66" s="64"/>
      <c r="J66" s="21"/>
      <c r="K66" s="30"/>
      <c r="L66" s="30"/>
      <c r="M66" s="30"/>
      <c r="N66" s="30"/>
      <c r="O66" s="30"/>
      <c r="P66" s="30"/>
      <c r="Q66" s="31"/>
      <c r="R66" s="29"/>
      <c r="S66" s="30"/>
      <c r="T66" s="30"/>
      <c r="U66" s="30"/>
      <c r="V66" s="30"/>
      <c r="W66" s="30"/>
      <c r="X66" s="30"/>
      <c r="Y66" s="212"/>
      <c r="Z66" s="213"/>
      <c r="AA66" s="214"/>
      <c r="AB66" s="215"/>
      <c r="AC66" s="216"/>
      <c r="AD66" s="28"/>
      <c r="AE66" s="27"/>
      <c r="AF66" s="27"/>
      <c r="AG66" s="27"/>
      <c r="AH66" s="26"/>
      <c r="AI66" s="26"/>
      <c r="AJ66" s="26"/>
      <c r="AK66" s="26"/>
      <c r="AL66" s="26"/>
      <c r="AM66" s="26"/>
      <c r="AN66" s="26"/>
      <c r="AO66" s="27"/>
      <c r="AP66" s="27"/>
      <c r="AQ66" s="27"/>
      <c r="AR66" s="27"/>
      <c r="AS66" s="29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58"/>
    </row>
    <row r="67" spans="1:56" ht="15" customHeight="1" x14ac:dyDescent="0.3">
      <c r="A67" s="44" t="str">
        <f>IF(B67="","",COUNTA($B$8:B67))</f>
        <v/>
      </c>
      <c r="B67" s="29"/>
      <c r="C67" s="39"/>
      <c r="D67" s="39"/>
      <c r="E67" s="39"/>
      <c r="F67" s="39"/>
      <c r="G67" s="39"/>
      <c r="H67" s="40"/>
      <c r="I67" s="64"/>
      <c r="J67" s="21"/>
      <c r="K67" s="30"/>
      <c r="L67" s="30"/>
      <c r="M67" s="30"/>
      <c r="N67" s="30"/>
      <c r="O67" s="30"/>
      <c r="P67" s="30"/>
      <c r="Q67" s="31"/>
      <c r="R67" s="29"/>
      <c r="S67" s="30"/>
      <c r="T67" s="30"/>
      <c r="U67" s="30"/>
      <c r="V67" s="30"/>
      <c r="W67" s="30"/>
      <c r="X67" s="30"/>
      <c r="Y67" s="212"/>
      <c r="Z67" s="213"/>
      <c r="AA67" s="214"/>
      <c r="AB67" s="215"/>
      <c r="AC67" s="216"/>
      <c r="AD67" s="28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41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58"/>
    </row>
    <row r="68" spans="1:56" ht="15" customHeight="1" x14ac:dyDescent="0.3">
      <c r="A68" s="44" t="str">
        <f>IF(B68="","",COUNTA($B$8:B68))</f>
        <v/>
      </c>
      <c r="B68" s="29"/>
      <c r="C68" s="39"/>
      <c r="D68" s="39"/>
      <c r="E68" s="39"/>
      <c r="F68" s="39"/>
      <c r="G68" s="39"/>
      <c r="H68" s="40"/>
      <c r="I68" s="64"/>
      <c r="J68" s="21"/>
      <c r="K68" s="30"/>
      <c r="L68" s="30"/>
      <c r="M68" s="30"/>
      <c r="N68" s="30"/>
      <c r="O68" s="30"/>
      <c r="P68" s="30"/>
      <c r="Q68" s="31"/>
      <c r="R68" s="29"/>
      <c r="S68" s="30"/>
      <c r="T68" s="30"/>
      <c r="U68" s="30"/>
      <c r="V68" s="30"/>
      <c r="W68" s="30"/>
      <c r="X68" s="30"/>
      <c r="Y68" s="212"/>
      <c r="Z68" s="213"/>
      <c r="AA68" s="214"/>
      <c r="AB68" s="215"/>
      <c r="AC68" s="216"/>
      <c r="AD68" s="28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41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58"/>
    </row>
    <row r="69" spans="1:56" ht="15" customHeight="1" x14ac:dyDescent="0.3">
      <c r="A69" s="44" t="str">
        <f>IF(B69="","",COUNTA($B$8:B69))</f>
        <v/>
      </c>
      <c r="B69" s="20"/>
      <c r="C69" s="19"/>
      <c r="D69" s="19"/>
      <c r="E69" s="19"/>
      <c r="F69" s="19"/>
      <c r="G69" s="19"/>
      <c r="H69" s="22"/>
      <c r="I69" s="63"/>
      <c r="J69" s="33"/>
      <c r="K69" s="21"/>
      <c r="L69" s="21"/>
      <c r="M69" s="21"/>
      <c r="N69" s="21"/>
      <c r="O69" s="21"/>
      <c r="P69" s="21"/>
      <c r="Q69" s="32"/>
      <c r="R69" s="20"/>
      <c r="S69" s="21"/>
      <c r="T69" s="33"/>
      <c r="U69" s="21"/>
      <c r="V69" s="21"/>
      <c r="W69" s="21"/>
      <c r="X69" s="22"/>
      <c r="Y69" s="212"/>
      <c r="Z69" s="213"/>
      <c r="AA69" s="214"/>
      <c r="AB69" s="215"/>
      <c r="AC69" s="216"/>
      <c r="AD69" s="25"/>
      <c r="AE69" s="26"/>
      <c r="AF69" s="26"/>
      <c r="AG69" s="26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41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58"/>
    </row>
    <row r="70" spans="1:56" ht="15" customHeight="1" x14ac:dyDescent="0.3">
      <c r="A70" s="44" t="str">
        <f>IF(B70="","",COUNTA($B$8:B70))</f>
        <v/>
      </c>
      <c r="B70" s="20"/>
      <c r="C70" s="19"/>
      <c r="D70" s="19"/>
      <c r="E70" s="19"/>
      <c r="F70" s="19"/>
      <c r="G70" s="19"/>
      <c r="H70" s="22"/>
      <c r="I70" s="63"/>
      <c r="J70" s="33"/>
      <c r="K70" s="21"/>
      <c r="L70" s="21"/>
      <c r="M70" s="21"/>
      <c r="N70" s="21"/>
      <c r="O70" s="21"/>
      <c r="P70" s="21"/>
      <c r="Q70" s="32"/>
      <c r="R70" s="20"/>
      <c r="S70" s="21"/>
      <c r="T70" s="33"/>
      <c r="U70" s="21"/>
      <c r="V70" s="21"/>
      <c r="W70" s="21"/>
      <c r="X70" s="22"/>
      <c r="Y70" s="212"/>
      <c r="Z70" s="213"/>
      <c r="AA70" s="214"/>
      <c r="AB70" s="215"/>
      <c r="AC70" s="216"/>
      <c r="AD70" s="25"/>
      <c r="AE70" s="36"/>
      <c r="AF70" s="36"/>
      <c r="AG70" s="36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41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58"/>
    </row>
    <row r="71" spans="1:56" ht="15" customHeight="1" x14ac:dyDescent="0.3">
      <c r="A71" s="44" t="str">
        <f>IF(B71="","",COUNTA($B$8:B71))</f>
        <v/>
      </c>
      <c r="B71" s="20"/>
      <c r="C71" s="19"/>
      <c r="D71" s="19"/>
      <c r="E71" s="19"/>
      <c r="F71" s="19"/>
      <c r="G71" s="19"/>
      <c r="H71" s="22"/>
      <c r="I71" s="63"/>
      <c r="J71" s="33"/>
      <c r="K71" s="21"/>
      <c r="L71" s="21"/>
      <c r="M71" s="21"/>
      <c r="N71" s="21"/>
      <c r="O71" s="21"/>
      <c r="P71" s="21"/>
      <c r="Q71" s="32"/>
      <c r="R71" s="21"/>
      <c r="S71" s="21"/>
      <c r="T71" s="33"/>
      <c r="U71" s="21"/>
      <c r="V71" s="21"/>
      <c r="W71" s="21"/>
      <c r="X71" s="22"/>
      <c r="Y71" s="212"/>
      <c r="Z71" s="213"/>
      <c r="AA71" s="214"/>
      <c r="AB71" s="215"/>
      <c r="AC71" s="216"/>
      <c r="AD71" s="28"/>
      <c r="AE71" s="26"/>
      <c r="AF71" s="26"/>
      <c r="AG71" s="26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41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58"/>
    </row>
    <row r="72" spans="1:56" ht="15" customHeight="1" x14ac:dyDescent="0.3">
      <c r="A72" s="44" t="str">
        <f>IF(B72="","",COUNTA($B$8:B72))</f>
        <v/>
      </c>
      <c r="B72" s="41"/>
      <c r="C72" s="39"/>
      <c r="D72" s="39"/>
      <c r="E72" s="39"/>
      <c r="F72" s="39"/>
      <c r="G72" s="39"/>
      <c r="H72" s="40"/>
      <c r="I72" s="64"/>
      <c r="J72" s="30"/>
      <c r="K72" s="30"/>
      <c r="L72" s="30"/>
      <c r="M72" s="30"/>
      <c r="N72" s="30"/>
      <c r="O72" s="30"/>
      <c r="P72" s="30"/>
      <c r="Q72" s="31"/>
      <c r="R72" s="30"/>
      <c r="S72" s="30"/>
      <c r="T72" s="30"/>
      <c r="U72" s="30"/>
      <c r="V72" s="30"/>
      <c r="W72" s="30"/>
      <c r="X72" s="30"/>
      <c r="Y72" s="212"/>
      <c r="Z72" s="213"/>
      <c r="AA72" s="214"/>
      <c r="AB72" s="215"/>
      <c r="AC72" s="216"/>
      <c r="AD72" s="43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41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58"/>
    </row>
    <row r="73" spans="1:56" ht="15" customHeight="1" x14ac:dyDescent="0.3">
      <c r="A73" s="44" t="str">
        <f>IF(B73="","",COUNTA($B$8:B73))</f>
        <v/>
      </c>
      <c r="B73" s="41"/>
      <c r="C73" s="39"/>
      <c r="D73" s="39"/>
      <c r="E73" s="39"/>
      <c r="F73" s="39"/>
      <c r="G73" s="39"/>
      <c r="H73" s="40"/>
      <c r="I73" s="64"/>
      <c r="J73" s="30"/>
      <c r="K73" s="30"/>
      <c r="L73" s="30"/>
      <c r="M73" s="30"/>
      <c r="N73" s="30"/>
      <c r="O73" s="30"/>
      <c r="P73" s="30"/>
      <c r="Q73" s="31"/>
      <c r="R73" s="30"/>
      <c r="S73" s="30"/>
      <c r="T73" s="30"/>
      <c r="U73" s="30"/>
      <c r="V73" s="30"/>
      <c r="W73" s="30"/>
      <c r="X73" s="30"/>
      <c r="Y73" s="212"/>
      <c r="Z73" s="213"/>
      <c r="AA73" s="214"/>
      <c r="AB73" s="215"/>
      <c r="AC73" s="216"/>
      <c r="AD73" s="43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41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58"/>
    </row>
    <row r="74" spans="1:56" ht="15" customHeight="1" x14ac:dyDescent="0.3">
      <c r="A74" s="44" t="str">
        <f>IF(B74="","",COUNTA($B$8:B74))</f>
        <v/>
      </c>
      <c r="B74" s="41"/>
      <c r="C74" s="39"/>
      <c r="D74" s="39"/>
      <c r="E74" s="39"/>
      <c r="F74" s="39"/>
      <c r="G74" s="39"/>
      <c r="H74" s="40"/>
      <c r="I74" s="64"/>
      <c r="J74" s="30"/>
      <c r="K74" s="30"/>
      <c r="L74" s="30"/>
      <c r="M74" s="30"/>
      <c r="N74" s="30"/>
      <c r="O74" s="30"/>
      <c r="P74" s="30"/>
      <c r="Q74" s="31"/>
      <c r="R74" s="30"/>
      <c r="S74" s="30"/>
      <c r="T74" s="30"/>
      <c r="U74" s="30"/>
      <c r="V74" s="30"/>
      <c r="W74" s="30"/>
      <c r="X74" s="30"/>
      <c r="Y74" s="212"/>
      <c r="Z74" s="213"/>
      <c r="AA74" s="214"/>
      <c r="AB74" s="215"/>
      <c r="AC74" s="216"/>
      <c r="AD74" s="43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41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58"/>
    </row>
    <row r="75" spans="1:56" ht="15" customHeight="1" x14ac:dyDescent="0.3">
      <c r="A75" s="44" t="str">
        <f>IF(B75="","",COUNTA($B$8:B75))</f>
        <v/>
      </c>
      <c r="B75" s="29"/>
      <c r="C75" s="39"/>
      <c r="D75" s="39"/>
      <c r="E75" s="39"/>
      <c r="F75" s="39"/>
      <c r="G75" s="39"/>
      <c r="H75" s="40"/>
      <c r="I75" s="64"/>
      <c r="J75" s="21"/>
      <c r="K75" s="30"/>
      <c r="L75" s="30"/>
      <c r="M75" s="30"/>
      <c r="N75" s="30"/>
      <c r="O75" s="30"/>
      <c r="P75" s="30"/>
      <c r="Q75" s="31"/>
      <c r="R75" s="30"/>
      <c r="S75" s="30"/>
      <c r="T75" s="30"/>
      <c r="U75" s="30"/>
      <c r="V75" s="30"/>
      <c r="W75" s="30"/>
      <c r="X75" s="30"/>
      <c r="Y75" s="212"/>
      <c r="Z75" s="213"/>
      <c r="AA75" s="214"/>
      <c r="AB75" s="215"/>
      <c r="AC75" s="216"/>
      <c r="AD75" s="28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9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58"/>
    </row>
    <row r="76" spans="1:56" ht="15" customHeight="1" x14ac:dyDescent="0.3">
      <c r="A76" s="44" t="str">
        <f>IF(B76="","",COUNTA($B$8:B76))</f>
        <v/>
      </c>
      <c r="B76" s="41"/>
      <c r="C76" s="39"/>
      <c r="D76" s="39"/>
      <c r="E76" s="39"/>
      <c r="F76" s="39"/>
      <c r="G76" s="39"/>
      <c r="H76" s="40"/>
      <c r="I76" s="64"/>
      <c r="J76" s="30"/>
      <c r="K76" s="30"/>
      <c r="L76" s="30"/>
      <c r="M76" s="30"/>
      <c r="N76" s="30"/>
      <c r="O76" s="30"/>
      <c r="P76" s="30"/>
      <c r="Q76" s="31"/>
      <c r="R76" s="30"/>
      <c r="S76" s="30"/>
      <c r="T76" s="30"/>
      <c r="U76" s="30"/>
      <c r="V76" s="30"/>
      <c r="W76" s="30"/>
      <c r="X76" s="30"/>
      <c r="Y76" s="212"/>
      <c r="Z76" s="213"/>
      <c r="AA76" s="214"/>
      <c r="AB76" s="215"/>
      <c r="AC76" s="216"/>
      <c r="AD76" s="43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41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58"/>
    </row>
    <row r="77" spans="1:56" ht="15" customHeight="1" x14ac:dyDescent="0.3">
      <c r="A77" s="44" t="str">
        <f>IF(B77="","",COUNTA($B$8:B77))</f>
        <v/>
      </c>
      <c r="B77" s="41"/>
      <c r="C77" s="39"/>
      <c r="D77" s="39"/>
      <c r="E77" s="39"/>
      <c r="F77" s="39"/>
      <c r="G77" s="39"/>
      <c r="H77" s="40"/>
      <c r="I77" s="64"/>
      <c r="J77" s="30"/>
      <c r="K77" s="30"/>
      <c r="L77" s="30"/>
      <c r="M77" s="30"/>
      <c r="N77" s="30"/>
      <c r="O77" s="30"/>
      <c r="P77" s="30"/>
      <c r="Q77" s="31"/>
      <c r="R77" s="30"/>
      <c r="S77" s="30"/>
      <c r="T77" s="30"/>
      <c r="U77" s="30"/>
      <c r="V77" s="30"/>
      <c r="W77" s="30"/>
      <c r="X77" s="30"/>
      <c r="Y77" s="212"/>
      <c r="Z77" s="213"/>
      <c r="AA77" s="214"/>
      <c r="AB77" s="215"/>
      <c r="AC77" s="216"/>
      <c r="AD77" s="43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41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58"/>
    </row>
    <row r="78" spans="1:56" ht="15" customHeight="1" x14ac:dyDescent="0.3">
      <c r="A78" s="44" t="str">
        <f>IF(B78="","",COUNTA($B$8:B78))</f>
        <v/>
      </c>
      <c r="B78" s="41"/>
      <c r="C78" s="39"/>
      <c r="D78" s="39"/>
      <c r="E78" s="39"/>
      <c r="F78" s="39"/>
      <c r="G78" s="39"/>
      <c r="H78" s="40"/>
      <c r="I78" s="64"/>
      <c r="J78" s="30"/>
      <c r="K78" s="30"/>
      <c r="L78" s="30"/>
      <c r="M78" s="30"/>
      <c r="N78" s="30"/>
      <c r="O78" s="30"/>
      <c r="P78" s="30"/>
      <c r="Q78" s="31"/>
      <c r="R78" s="30"/>
      <c r="S78" s="30"/>
      <c r="T78" s="30"/>
      <c r="U78" s="30"/>
      <c r="V78" s="30"/>
      <c r="W78" s="30"/>
      <c r="X78" s="30"/>
      <c r="Y78" s="212"/>
      <c r="Z78" s="213"/>
      <c r="AA78" s="214"/>
      <c r="AB78" s="215"/>
      <c r="AC78" s="216"/>
      <c r="AD78" s="43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41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58"/>
    </row>
    <row r="79" spans="1:56" ht="15" customHeight="1" x14ac:dyDescent="0.3">
      <c r="A79" s="44" t="str">
        <f>IF(B79="","",COUNTA($B$8:B79))</f>
        <v/>
      </c>
      <c r="B79" s="41"/>
      <c r="C79" s="39"/>
      <c r="D79" s="39"/>
      <c r="E79" s="39"/>
      <c r="F79" s="39"/>
      <c r="G79" s="39"/>
      <c r="H79" s="40"/>
      <c r="I79" s="64"/>
      <c r="J79" s="30"/>
      <c r="K79" s="30"/>
      <c r="L79" s="30"/>
      <c r="M79" s="30"/>
      <c r="N79" s="30"/>
      <c r="O79" s="30"/>
      <c r="P79" s="30"/>
      <c r="Q79" s="31"/>
      <c r="R79" s="30"/>
      <c r="S79" s="30"/>
      <c r="T79" s="30"/>
      <c r="U79" s="30"/>
      <c r="V79" s="30"/>
      <c r="W79" s="30"/>
      <c r="X79" s="30"/>
      <c r="Y79" s="212"/>
      <c r="Z79" s="213"/>
      <c r="AA79" s="214"/>
      <c r="AB79" s="215"/>
      <c r="AC79" s="216"/>
      <c r="AD79" s="43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41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58"/>
    </row>
    <row r="80" spans="1:56" ht="15" customHeight="1" x14ac:dyDescent="0.3">
      <c r="A80" s="44" t="str">
        <f>IF(B80="","",COUNTA($B$8:B80))</f>
        <v/>
      </c>
      <c r="B80" s="41"/>
      <c r="C80" s="39"/>
      <c r="D80" s="39"/>
      <c r="E80" s="39"/>
      <c r="F80" s="39"/>
      <c r="G80" s="39"/>
      <c r="H80" s="40"/>
      <c r="I80" s="64"/>
      <c r="J80" s="30"/>
      <c r="K80" s="30"/>
      <c r="L80" s="30"/>
      <c r="M80" s="30"/>
      <c r="N80" s="30"/>
      <c r="O80" s="30"/>
      <c r="P80" s="30"/>
      <c r="Q80" s="31"/>
      <c r="R80" s="30"/>
      <c r="S80" s="30"/>
      <c r="T80" s="30"/>
      <c r="U80" s="30"/>
      <c r="V80" s="30"/>
      <c r="W80" s="30"/>
      <c r="X80" s="30"/>
      <c r="Y80" s="212"/>
      <c r="Z80" s="213"/>
      <c r="AA80" s="214"/>
      <c r="AB80" s="215"/>
      <c r="AC80" s="216"/>
      <c r="AD80" s="43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41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58"/>
    </row>
    <row r="81" spans="1:56" ht="15" customHeight="1" x14ac:dyDescent="0.3">
      <c r="A81" s="44" t="str">
        <f>IF(B81="","",COUNTA($B$8:B81))</f>
        <v/>
      </c>
      <c r="B81" s="29"/>
      <c r="C81" s="39"/>
      <c r="D81" s="39"/>
      <c r="E81" s="39"/>
      <c r="F81" s="39"/>
      <c r="G81" s="39"/>
      <c r="H81" s="40"/>
      <c r="I81" s="64"/>
      <c r="J81" s="21"/>
      <c r="K81" s="30"/>
      <c r="L81" s="30"/>
      <c r="M81" s="30"/>
      <c r="N81" s="30"/>
      <c r="O81" s="30"/>
      <c r="P81" s="30"/>
      <c r="Q81" s="31"/>
      <c r="R81" s="30"/>
      <c r="S81" s="30"/>
      <c r="T81" s="30"/>
      <c r="U81" s="30"/>
      <c r="V81" s="30"/>
      <c r="W81" s="30"/>
      <c r="X81" s="30"/>
      <c r="Y81" s="212"/>
      <c r="Z81" s="213"/>
      <c r="AA81" s="214"/>
      <c r="AB81" s="215"/>
      <c r="AC81" s="216"/>
      <c r="AD81" s="28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9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58"/>
    </row>
    <row r="82" spans="1:56" ht="15" customHeight="1" x14ac:dyDescent="0.3">
      <c r="A82" s="44" t="str">
        <f>IF(B82="","",COUNTA($B$8:B82))</f>
        <v/>
      </c>
      <c r="B82" s="29"/>
      <c r="C82" s="39"/>
      <c r="D82" s="39"/>
      <c r="E82" s="39"/>
      <c r="F82" s="39"/>
      <c r="G82" s="39"/>
      <c r="H82" s="40"/>
      <c r="I82" s="64"/>
      <c r="J82" s="21"/>
      <c r="K82" s="30"/>
      <c r="L82" s="30"/>
      <c r="M82" s="30"/>
      <c r="N82" s="30"/>
      <c r="O82" s="30"/>
      <c r="P82" s="30"/>
      <c r="Q82" s="31"/>
      <c r="R82" s="30"/>
      <c r="S82" s="30"/>
      <c r="T82" s="30"/>
      <c r="U82" s="30"/>
      <c r="V82" s="30"/>
      <c r="W82" s="30"/>
      <c r="X82" s="30"/>
      <c r="Y82" s="212"/>
      <c r="Z82" s="213"/>
      <c r="AA82" s="214"/>
      <c r="AB82" s="215"/>
      <c r="AC82" s="216"/>
      <c r="AD82" s="28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60"/>
    </row>
    <row r="83" spans="1:56" ht="15" customHeight="1" x14ac:dyDescent="0.3">
      <c r="A83" s="44" t="str">
        <f>IF(B83="","",COUNTA($B$8:B83))</f>
        <v/>
      </c>
      <c r="B83" s="29"/>
      <c r="C83" s="39"/>
      <c r="D83" s="39"/>
      <c r="E83" s="39"/>
      <c r="F83" s="39"/>
      <c r="G83" s="39"/>
      <c r="H83" s="40"/>
      <c r="I83" s="64"/>
      <c r="J83" s="21"/>
      <c r="K83" s="30"/>
      <c r="L83" s="30"/>
      <c r="M83" s="30"/>
      <c r="N83" s="30"/>
      <c r="O83" s="30"/>
      <c r="P83" s="30"/>
      <c r="Q83" s="31"/>
      <c r="R83" s="30"/>
      <c r="S83" s="30"/>
      <c r="T83" s="30"/>
      <c r="U83" s="30"/>
      <c r="V83" s="30"/>
      <c r="W83" s="30"/>
      <c r="X83" s="30"/>
      <c r="Y83" s="212"/>
      <c r="Z83" s="213"/>
      <c r="AA83" s="214"/>
      <c r="AB83" s="215"/>
      <c r="AC83" s="216"/>
      <c r="AD83" s="28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9"/>
      <c r="AT83" s="59"/>
      <c r="AU83" s="59"/>
      <c r="AV83" s="59"/>
      <c r="AW83" s="59"/>
      <c r="AX83" s="59"/>
      <c r="AY83" s="59"/>
      <c r="AZ83" s="59"/>
      <c r="BA83" s="59"/>
      <c r="BB83" s="59"/>
      <c r="BC83" s="59"/>
      <c r="BD83" s="60"/>
    </row>
    <row r="84" spans="1:56" ht="15" customHeight="1" x14ac:dyDescent="0.3">
      <c r="A84" s="44" t="str">
        <f>IF(B84="","",COUNTA($B$8:B84))</f>
        <v/>
      </c>
      <c r="B84" s="20"/>
      <c r="C84" s="19"/>
      <c r="D84" s="19"/>
      <c r="E84" s="19"/>
      <c r="F84" s="19"/>
      <c r="G84" s="19"/>
      <c r="H84" s="22"/>
      <c r="I84" s="63"/>
      <c r="J84" s="33"/>
      <c r="K84" s="21"/>
      <c r="L84" s="21"/>
      <c r="M84" s="21"/>
      <c r="N84" s="21"/>
      <c r="O84" s="21"/>
      <c r="P84" s="21"/>
      <c r="Q84" s="32"/>
      <c r="R84" s="21"/>
      <c r="S84" s="21"/>
      <c r="T84" s="33"/>
      <c r="U84" s="21"/>
      <c r="V84" s="21"/>
      <c r="W84" s="21"/>
      <c r="X84" s="22"/>
      <c r="Y84" s="212"/>
      <c r="Z84" s="213"/>
      <c r="AA84" s="214"/>
      <c r="AB84" s="215"/>
      <c r="AC84" s="216"/>
      <c r="AD84" s="25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7"/>
      <c r="AP84" s="27"/>
      <c r="AQ84" s="27"/>
      <c r="AR84" s="27"/>
      <c r="AS84" s="29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58"/>
    </row>
    <row r="85" spans="1:56" ht="15" customHeight="1" x14ac:dyDescent="0.3">
      <c r="A85" s="44" t="str">
        <f>IF(B85="","",COUNTA($B$8:B85))</f>
        <v/>
      </c>
      <c r="B85" s="20"/>
      <c r="C85" s="19"/>
      <c r="D85" s="19"/>
      <c r="E85" s="19"/>
      <c r="F85" s="19"/>
      <c r="G85" s="19"/>
      <c r="H85" s="22"/>
      <c r="I85" s="63"/>
      <c r="J85" s="33"/>
      <c r="K85" s="21"/>
      <c r="L85" s="21"/>
      <c r="M85" s="21"/>
      <c r="N85" s="21"/>
      <c r="O85" s="21"/>
      <c r="P85" s="21"/>
      <c r="Q85" s="32"/>
      <c r="R85" s="21"/>
      <c r="S85" s="21"/>
      <c r="T85" s="33"/>
      <c r="U85" s="21"/>
      <c r="V85" s="21"/>
      <c r="W85" s="21"/>
      <c r="X85" s="22"/>
      <c r="Y85" s="212"/>
      <c r="Z85" s="213"/>
      <c r="AA85" s="214"/>
      <c r="AB85" s="215"/>
      <c r="AC85" s="216"/>
      <c r="AD85" s="25"/>
      <c r="AE85" s="36"/>
      <c r="AF85" s="36"/>
      <c r="AG85" s="36"/>
      <c r="AH85" s="36"/>
      <c r="AI85" s="36"/>
      <c r="AJ85" s="26"/>
      <c r="AK85" s="26"/>
      <c r="AL85" s="26"/>
      <c r="AM85" s="26"/>
      <c r="AN85" s="26"/>
      <c r="AO85" s="27"/>
      <c r="AP85" s="27"/>
      <c r="AQ85" s="27"/>
      <c r="AR85" s="27"/>
      <c r="AS85" s="29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58"/>
    </row>
    <row r="86" spans="1:56" ht="15" customHeight="1" x14ac:dyDescent="0.3">
      <c r="A86" s="44" t="str">
        <f>IF(B86="","",COUNTA($B$8:B86))</f>
        <v/>
      </c>
      <c r="B86" s="20"/>
      <c r="C86" s="19"/>
      <c r="D86" s="19"/>
      <c r="E86" s="19"/>
      <c r="F86" s="19"/>
      <c r="G86" s="19"/>
      <c r="H86" s="22"/>
      <c r="I86" s="63"/>
      <c r="J86" s="33"/>
      <c r="K86" s="21"/>
      <c r="L86" s="21"/>
      <c r="M86" s="21"/>
      <c r="N86" s="21"/>
      <c r="O86" s="21"/>
      <c r="P86" s="21"/>
      <c r="Q86" s="32"/>
      <c r="R86" s="21"/>
      <c r="S86" s="21"/>
      <c r="T86" s="33"/>
      <c r="U86" s="21"/>
      <c r="V86" s="21"/>
      <c r="W86" s="21"/>
      <c r="X86" s="22"/>
      <c r="Y86" s="212"/>
      <c r="Z86" s="213"/>
      <c r="AA86" s="214"/>
      <c r="AB86" s="215"/>
      <c r="AC86" s="216"/>
      <c r="AD86" s="28"/>
      <c r="AE86" s="26"/>
      <c r="AF86" s="26"/>
      <c r="AG86" s="26"/>
      <c r="AH86" s="26"/>
      <c r="AI86" s="26"/>
      <c r="AJ86" s="26"/>
      <c r="AK86" s="26"/>
      <c r="AL86" s="36"/>
      <c r="AM86" s="36"/>
      <c r="AN86" s="36"/>
      <c r="AO86" s="37"/>
      <c r="AP86" s="37"/>
      <c r="AQ86" s="37"/>
      <c r="AR86" s="37"/>
      <c r="AS86" s="38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58"/>
    </row>
    <row r="87" spans="1:56" ht="15" customHeight="1" x14ac:dyDescent="0.3">
      <c r="A87" s="44" t="str">
        <f>IF(B87="","",COUNTA($B$8:B87))</f>
        <v/>
      </c>
      <c r="B87" s="20"/>
      <c r="C87" s="19"/>
      <c r="D87" s="19"/>
      <c r="E87" s="19"/>
      <c r="F87" s="19"/>
      <c r="G87" s="19"/>
      <c r="H87" s="22"/>
      <c r="I87" s="63"/>
      <c r="J87" s="33"/>
      <c r="K87" s="21"/>
      <c r="L87" s="21"/>
      <c r="M87" s="21"/>
      <c r="N87" s="21"/>
      <c r="O87" s="21"/>
      <c r="P87" s="21"/>
      <c r="Q87" s="32"/>
      <c r="R87" s="21"/>
      <c r="S87" s="21"/>
      <c r="T87" s="33"/>
      <c r="U87" s="21"/>
      <c r="V87" s="21"/>
      <c r="W87" s="21"/>
      <c r="X87" s="22"/>
      <c r="Y87" s="212"/>
      <c r="Z87" s="213"/>
      <c r="AA87" s="214"/>
      <c r="AB87" s="215"/>
      <c r="AC87" s="216"/>
      <c r="AD87" s="25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7"/>
      <c r="AP87" s="37"/>
      <c r="AQ87" s="37"/>
      <c r="AR87" s="37"/>
      <c r="AS87" s="38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58"/>
    </row>
  </sheetData>
  <mergeCells count="192">
    <mergeCell ref="Y85:Z85"/>
    <mergeCell ref="AA85:AC85"/>
    <mergeCell ref="Y86:Z86"/>
    <mergeCell ref="AA86:AC86"/>
    <mergeCell ref="Y87:Z87"/>
    <mergeCell ref="AA87:AC87"/>
    <mergeCell ref="Y82:Z82"/>
    <mergeCell ref="AA82:AC82"/>
    <mergeCell ref="Y83:Z83"/>
    <mergeCell ref="AA83:AC83"/>
    <mergeCell ref="Y84:Z84"/>
    <mergeCell ref="AA84:AC84"/>
    <mergeCell ref="Y79:Z79"/>
    <mergeCell ref="AA79:AC79"/>
    <mergeCell ref="Y80:Z80"/>
    <mergeCell ref="AA80:AC80"/>
    <mergeCell ref="Y81:Z81"/>
    <mergeCell ref="AA81:AC81"/>
    <mergeCell ref="Y76:Z76"/>
    <mergeCell ref="AA76:AC76"/>
    <mergeCell ref="Y77:Z77"/>
    <mergeCell ref="AA77:AC77"/>
    <mergeCell ref="Y78:Z78"/>
    <mergeCell ref="AA78:AC78"/>
    <mergeCell ref="Y73:Z73"/>
    <mergeCell ref="AA73:AC73"/>
    <mergeCell ref="Y74:Z74"/>
    <mergeCell ref="AA74:AC74"/>
    <mergeCell ref="Y75:Z75"/>
    <mergeCell ref="AA75:AC75"/>
    <mergeCell ref="Y70:Z70"/>
    <mergeCell ref="AA70:AC70"/>
    <mergeCell ref="Y71:Z71"/>
    <mergeCell ref="AA71:AC71"/>
    <mergeCell ref="Y72:Z72"/>
    <mergeCell ref="AA72:AC72"/>
    <mergeCell ref="Y67:Z67"/>
    <mergeCell ref="AA67:AC67"/>
    <mergeCell ref="Y68:Z68"/>
    <mergeCell ref="AA68:AC68"/>
    <mergeCell ref="Y69:Z69"/>
    <mergeCell ref="AA69:AC69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48:Z48"/>
    <mergeCell ref="AA48:AC48"/>
    <mergeCell ref="Y51:Z51"/>
    <mergeCell ref="AA51:AC51"/>
    <mergeCell ref="Y45:Z45"/>
    <mergeCell ref="AA45:AC45"/>
    <mergeCell ref="Y46:Z46"/>
    <mergeCell ref="AA46:AC46"/>
    <mergeCell ref="Y47:Z47"/>
    <mergeCell ref="AA47:AC47"/>
    <mergeCell ref="Y49:Z49"/>
    <mergeCell ref="AA49:AC49"/>
    <mergeCell ref="Y50:Z50"/>
    <mergeCell ref="AA50:AC50"/>
    <mergeCell ref="Y40:Z40"/>
    <mergeCell ref="AA40:AC40"/>
    <mergeCell ref="Y41:Z41"/>
    <mergeCell ref="AA41:AC41"/>
    <mergeCell ref="Y42:Z42"/>
    <mergeCell ref="AA42:AC42"/>
    <mergeCell ref="Y36:Z36"/>
    <mergeCell ref="AA36:AC36"/>
    <mergeCell ref="Y37:Z37"/>
    <mergeCell ref="AA37:AC37"/>
    <mergeCell ref="Y39:Z39"/>
    <mergeCell ref="AA39:AC39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1:Z31"/>
    <mergeCell ref="AA31:AC31"/>
    <mergeCell ref="Y32:Z32"/>
    <mergeCell ref="AA32:AC32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8:Z28"/>
    <mergeCell ref="AA28:AC28"/>
    <mergeCell ref="AA24:AC24"/>
    <mergeCell ref="A1:H4"/>
    <mergeCell ref="AZ1:BD1"/>
    <mergeCell ref="I2:Q4"/>
    <mergeCell ref="R2:X4"/>
    <mergeCell ref="Y2:AO3"/>
    <mergeCell ref="AP2:AT2"/>
    <mergeCell ref="AU2:AY2"/>
    <mergeCell ref="AZ2:BD2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Y10:Z10"/>
    <mergeCell ref="AA10:AC10"/>
    <mergeCell ref="Y11:Z11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4:BD4"/>
    <mergeCell ref="Y17:Z17"/>
    <mergeCell ref="AA17:AC17"/>
    <mergeCell ref="Y43:Z43"/>
    <mergeCell ref="AA43:AC43"/>
    <mergeCell ref="Y44:Z44"/>
    <mergeCell ref="AA44:AC44"/>
    <mergeCell ref="AP3:AT3"/>
    <mergeCell ref="AU3:AY3"/>
    <mergeCell ref="AZ3:BD3"/>
    <mergeCell ref="Y8:Z8"/>
    <mergeCell ref="AA8:AC8"/>
    <mergeCell ref="Y15:Z15"/>
    <mergeCell ref="AA15:AC15"/>
    <mergeCell ref="Y16:Z16"/>
    <mergeCell ref="AA16:AC16"/>
    <mergeCell ref="AA11:AC11"/>
    <mergeCell ref="Y13:Z13"/>
    <mergeCell ref="AA13:AC13"/>
    <mergeCell ref="Y14:Z14"/>
    <mergeCell ref="AA14:AC14"/>
    <mergeCell ref="Y21:Z21"/>
    <mergeCell ref="AA21:AC21"/>
    <mergeCell ref="Y22:Z22"/>
    <mergeCell ref="AA22:AC22"/>
  </mergeCells>
  <phoneticPr fontId="5"/>
  <dataValidations disablePrompts="1" count="3">
    <dataValidation type="list" allowBlank="1" showInputMessage="1" showErrorMessage="1" sqref="AB51:AC52 AA23 AA10:AC10 AA11 AA38 AA33 AB14:AC17 AA8:AA9 AA22:AC22 AB47:AC47 AA24:AC32 AA48:AC48 AA34:AC37 AA39:AC39 AA12:AC12 AA49:AA87 AA13:AA21 AA40:AA47" xr:uid="{00000000-0002-0000-0900-000001000000}">
      <formula1>"datetime,int,numeric,varchar,nvarchar"</formula1>
    </dataValidation>
    <dataValidation imeMode="hiragana" allowBlank="1" showInputMessage="1" showErrorMessage="1" sqref="JK65558:JV65560 TG65558:TR65560 ADC65558:ADN65560 AMY65558:ANJ65560 AWU65558:AXF65560 BGQ65558:BHB65560 BQM65558:BQX65560 CAI65558:CAT65560 CKE65558:CKP65560 CUA65558:CUL65560 DDW65558:DEH65560 DNS65558:DOD65560 DXO65558:DXZ65560 EHK65558:EHV65560 ERG65558:ERR65560 FBC65558:FBN65560 FKY65558:FLJ65560 FUU65558:FVF65560 GEQ65558:GFB65560 GOM65558:GOX65560 GYI65558:GYT65560 HIE65558:HIP65560 HSA65558:HSL65560 IBW65558:ICH65560 ILS65558:IMD65560 IVO65558:IVZ65560 JFK65558:JFV65560 JPG65558:JPR65560 JZC65558:JZN65560 KIY65558:KJJ65560 KSU65558:KTF65560 LCQ65558:LDB65560 LMM65558:LMX65560 LWI65558:LWT65560 MGE65558:MGP65560 MQA65558:MQL65560 MZW65558:NAH65560 NJS65558:NKD65560 NTO65558:NTZ65560 ODK65558:ODV65560 ONG65558:ONR65560 OXC65558:OXN65560 PGY65558:PHJ65560 PQU65558:PRF65560 QAQ65558:QBB65560 QKM65558:QKX65560 QUI65558:QUT65560 REE65558:REP65560 ROA65558:ROL65560 RXW65558:RYH65560 SHS65558:SID65560 SRO65558:SRZ65560 TBK65558:TBV65560 TLG65558:TLR65560 TVC65558:TVN65560 UEY65558:UFJ65560 UOU65558:UPF65560 UYQ65558:UZB65560 VIM65558:VIX65560 VSI65558:VST65560 WCE65558:WCP65560 WMA65558:WML65560 WVW65558:WWH65560 JK131094:JV131096 TG131094:TR131096 ADC131094:ADN131096 AMY131094:ANJ131096 AWU131094:AXF131096 BGQ131094:BHB131096 BQM131094:BQX131096 CAI131094:CAT131096 CKE131094:CKP131096 CUA131094:CUL131096 DDW131094:DEH131096 DNS131094:DOD131096 DXO131094:DXZ131096 EHK131094:EHV131096 ERG131094:ERR131096 FBC131094:FBN131096 FKY131094:FLJ131096 FUU131094:FVF131096 GEQ131094:GFB131096 GOM131094:GOX131096 GYI131094:GYT131096 HIE131094:HIP131096 HSA131094:HSL131096 IBW131094:ICH131096 ILS131094:IMD131096 IVO131094:IVZ131096 JFK131094:JFV131096 JPG131094:JPR131096 JZC131094:JZN131096 KIY131094:KJJ131096 KSU131094:KTF131096 LCQ131094:LDB131096 LMM131094:LMX131096 LWI131094:LWT131096 MGE131094:MGP131096 MQA131094:MQL131096 MZW131094:NAH131096 NJS131094:NKD131096 NTO131094:NTZ131096 ODK131094:ODV131096 ONG131094:ONR131096 OXC131094:OXN131096 PGY131094:PHJ131096 PQU131094:PRF131096 QAQ131094:QBB131096 QKM131094:QKX131096 QUI131094:QUT131096 REE131094:REP131096 ROA131094:ROL131096 RXW131094:RYH131096 SHS131094:SID131096 SRO131094:SRZ131096 TBK131094:TBV131096 TLG131094:TLR131096 TVC131094:TVN131096 UEY131094:UFJ131096 UOU131094:UPF131096 UYQ131094:UZB131096 VIM131094:VIX131096 VSI131094:VST131096 WCE131094:WCP131096 WMA131094:WML131096 WVW131094:WWH131096 JK196630:JV196632 TG196630:TR196632 ADC196630:ADN196632 AMY196630:ANJ196632 AWU196630:AXF196632 BGQ196630:BHB196632 BQM196630:BQX196632 CAI196630:CAT196632 CKE196630:CKP196632 CUA196630:CUL196632 DDW196630:DEH196632 DNS196630:DOD196632 DXO196630:DXZ196632 EHK196630:EHV196632 ERG196630:ERR196632 FBC196630:FBN196632 FKY196630:FLJ196632 FUU196630:FVF196632 GEQ196630:GFB196632 GOM196630:GOX196632 GYI196630:GYT196632 HIE196630:HIP196632 HSA196630:HSL196632 IBW196630:ICH196632 ILS196630:IMD196632 IVO196630:IVZ196632 JFK196630:JFV196632 JPG196630:JPR196632 JZC196630:JZN196632 KIY196630:KJJ196632 KSU196630:KTF196632 LCQ196630:LDB196632 LMM196630:LMX196632 LWI196630:LWT196632 MGE196630:MGP196632 MQA196630:MQL196632 MZW196630:NAH196632 NJS196630:NKD196632 NTO196630:NTZ196632 ODK196630:ODV196632 ONG196630:ONR196632 OXC196630:OXN196632 PGY196630:PHJ196632 PQU196630:PRF196632 QAQ196630:QBB196632 QKM196630:QKX196632 QUI196630:QUT196632 REE196630:REP196632 ROA196630:ROL196632 RXW196630:RYH196632 SHS196630:SID196632 SRO196630:SRZ196632 TBK196630:TBV196632 TLG196630:TLR196632 TVC196630:TVN196632 UEY196630:UFJ196632 UOU196630:UPF196632 UYQ196630:UZB196632 VIM196630:VIX196632 VSI196630:VST196632 WCE196630:WCP196632 WMA196630:WML196632 WVW196630:WWH196632 JK262166:JV262168 TG262166:TR262168 ADC262166:ADN262168 AMY262166:ANJ262168 AWU262166:AXF262168 BGQ262166:BHB262168 BQM262166:BQX262168 CAI262166:CAT262168 CKE262166:CKP262168 CUA262166:CUL262168 DDW262166:DEH262168 DNS262166:DOD262168 DXO262166:DXZ262168 EHK262166:EHV262168 ERG262166:ERR262168 FBC262166:FBN262168 FKY262166:FLJ262168 FUU262166:FVF262168 GEQ262166:GFB262168 GOM262166:GOX262168 GYI262166:GYT262168 HIE262166:HIP262168 HSA262166:HSL262168 IBW262166:ICH262168 ILS262166:IMD262168 IVO262166:IVZ262168 JFK262166:JFV262168 JPG262166:JPR262168 JZC262166:JZN262168 KIY262166:KJJ262168 KSU262166:KTF262168 LCQ262166:LDB262168 LMM262166:LMX262168 LWI262166:LWT262168 MGE262166:MGP262168 MQA262166:MQL262168 MZW262166:NAH262168 NJS262166:NKD262168 NTO262166:NTZ262168 ODK262166:ODV262168 ONG262166:ONR262168 OXC262166:OXN262168 PGY262166:PHJ262168 PQU262166:PRF262168 QAQ262166:QBB262168 QKM262166:QKX262168 QUI262166:QUT262168 REE262166:REP262168 ROA262166:ROL262168 RXW262166:RYH262168 SHS262166:SID262168 SRO262166:SRZ262168 TBK262166:TBV262168 TLG262166:TLR262168 TVC262166:TVN262168 UEY262166:UFJ262168 UOU262166:UPF262168 UYQ262166:UZB262168 VIM262166:VIX262168 VSI262166:VST262168 WCE262166:WCP262168 WMA262166:WML262168 WVW262166:WWH262168 JK327702:JV327704 TG327702:TR327704 ADC327702:ADN327704 AMY327702:ANJ327704 AWU327702:AXF327704 BGQ327702:BHB327704 BQM327702:BQX327704 CAI327702:CAT327704 CKE327702:CKP327704 CUA327702:CUL327704 DDW327702:DEH327704 DNS327702:DOD327704 DXO327702:DXZ327704 EHK327702:EHV327704 ERG327702:ERR327704 FBC327702:FBN327704 FKY327702:FLJ327704 FUU327702:FVF327704 GEQ327702:GFB327704 GOM327702:GOX327704 GYI327702:GYT327704 HIE327702:HIP327704 HSA327702:HSL327704 IBW327702:ICH327704 ILS327702:IMD327704 IVO327702:IVZ327704 JFK327702:JFV327704 JPG327702:JPR327704 JZC327702:JZN327704 KIY327702:KJJ327704 KSU327702:KTF327704 LCQ327702:LDB327704 LMM327702:LMX327704 LWI327702:LWT327704 MGE327702:MGP327704 MQA327702:MQL327704 MZW327702:NAH327704 NJS327702:NKD327704 NTO327702:NTZ327704 ODK327702:ODV327704 ONG327702:ONR327704 OXC327702:OXN327704 PGY327702:PHJ327704 PQU327702:PRF327704 QAQ327702:QBB327704 QKM327702:QKX327704 QUI327702:QUT327704 REE327702:REP327704 ROA327702:ROL327704 RXW327702:RYH327704 SHS327702:SID327704 SRO327702:SRZ327704 TBK327702:TBV327704 TLG327702:TLR327704 TVC327702:TVN327704 UEY327702:UFJ327704 UOU327702:UPF327704 UYQ327702:UZB327704 VIM327702:VIX327704 VSI327702:VST327704 WCE327702:WCP327704 WMA327702:WML327704 WVW327702:WWH327704 JK393238:JV393240 TG393238:TR393240 ADC393238:ADN393240 AMY393238:ANJ393240 AWU393238:AXF393240 BGQ393238:BHB393240 BQM393238:BQX393240 CAI393238:CAT393240 CKE393238:CKP393240 CUA393238:CUL393240 DDW393238:DEH393240 DNS393238:DOD393240 DXO393238:DXZ393240 EHK393238:EHV393240 ERG393238:ERR393240 FBC393238:FBN393240 FKY393238:FLJ393240 FUU393238:FVF393240 GEQ393238:GFB393240 GOM393238:GOX393240 GYI393238:GYT393240 HIE393238:HIP393240 HSA393238:HSL393240 IBW393238:ICH393240 ILS393238:IMD393240 IVO393238:IVZ393240 JFK393238:JFV393240 JPG393238:JPR393240 JZC393238:JZN393240 KIY393238:KJJ393240 KSU393238:KTF393240 LCQ393238:LDB393240 LMM393238:LMX393240 LWI393238:LWT393240 MGE393238:MGP393240 MQA393238:MQL393240 MZW393238:NAH393240 NJS393238:NKD393240 NTO393238:NTZ393240 ODK393238:ODV393240 ONG393238:ONR393240 OXC393238:OXN393240 PGY393238:PHJ393240 PQU393238:PRF393240 QAQ393238:QBB393240 QKM393238:QKX393240 QUI393238:QUT393240 REE393238:REP393240 ROA393238:ROL393240 RXW393238:RYH393240 SHS393238:SID393240 SRO393238:SRZ393240 TBK393238:TBV393240 TLG393238:TLR393240 TVC393238:TVN393240 UEY393238:UFJ393240 UOU393238:UPF393240 UYQ393238:UZB393240 VIM393238:VIX393240 VSI393238:VST393240 WCE393238:WCP393240 WMA393238:WML393240 WVW393238:WWH393240 JK458774:JV458776 TG458774:TR458776 ADC458774:ADN458776 AMY458774:ANJ458776 AWU458774:AXF458776 BGQ458774:BHB458776 BQM458774:BQX458776 CAI458774:CAT458776 CKE458774:CKP458776 CUA458774:CUL458776 DDW458774:DEH458776 DNS458774:DOD458776 DXO458774:DXZ458776 EHK458774:EHV458776 ERG458774:ERR458776 FBC458774:FBN458776 FKY458774:FLJ458776 FUU458774:FVF458776 GEQ458774:GFB458776 GOM458774:GOX458776 GYI458774:GYT458776 HIE458774:HIP458776 HSA458774:HSL458776 IBW458774:ICH458776 ILS458774:IMD458776 IVO458774:IVZ458776 JFK458774:JFV458776 JPG458774:JPR458776 JZC458774:JZN458776 KIY458774:KJJ458776 KSU458774:KTF458776 LCQ458774:LDB458776 LMM458774:LMX458776 LWI458774:LWT458776 MGE458774:MGP458776 MQA458774:MQL458776 MZW458774:NAH458776 NJS458774:NKD458776 NTO458774:NTZ458776 ODK458774:ODV458776 ONG458774:ONR458776 OXC458774:OXN458776 PGY458774:PHJ458776 PQU458774:PRF458776 QAQ458774:QBB458776 QKM458774:QKX458776 QUI458774:QUT458776 REE458774:REP458776 ROA458774:ROL458776 RXW458774:RYH458776 SHS458774:SID458776 SRO458774:SRZ458776 TBK458774:TBV458776 TLG458774:TLR458776 TVC458774:TVN458776 UEY458774:UFJ458776 UOU458774:UPF458776 UYQ458774:UZB458776 VIM458774:VIX458776 VSI458774:VST458776 WCE458774:WCP458776 WMA458774:WML458776 WVW458774:WWH458776 JK524310:JV524312 TG524310:TR524312 ADC524310:ADN524312 AMY524310:ANJ524312 AWU524310:AXF524312 BGQ524310:BHB524312 BQM524310:BQX524312 CAI524310:CAT524312 CKE524310:CKP524312 CUA524310:CUL524312 DDW524310:DEH524312 DNS524310:DOD524312 DXO524310:DXZ524312 EHK524310:EHV524312 ERG524310:ERR524312 FBC524310:FBN524312 FKY524310:FLJ524312 FUU524310:FVF524312 GEQ524310:GFB524312 GOM524310:GOX524312 GYI524310:GYT524312 HIE524310:HIP524312 HSA524310:HSL524312 IBW524310:ICH524312 ILS524310:IMD524312 IVO524310:IVZ524312 JFK524310:JFV524312 JPG524310:JPR524312 JZC524310:JZN524312 KIY524310:KJJ524312 KSU524310:KTF524312 LCQ524310:LDB524312 LMM524310:LMX524312 LWI524310:LWT524312 MGE524310:MGP524312 MQA524310:MQL524312 MZW524310:NAH524312 NJS524310:NKD524312 NTO524310:NTZ524312 ODK524310:ODV524312 ONG524310:ONR524312 OXC524310:OXN524312 PGY524310:PHJ524312 PQU524310:PRF524312 QAQ524310:QBB524312 QKM524310:QKX524312 QUI524310:QUT524312 REE524310:REP524312 ROA524310:ROL524312 RXW524310:RYH524312 SHS524310:SID524312 SRO524310:SRZ524312 TBK524310:TBV524312 TLG524310:TLR524312 TVC524310:TVN524312 UEY524310:UFJ524312 UOU524310:UPF524312 UYQ524310:UZB524312 VIM524310:VIX524312 VSI524310:VST524312 WCE524310:WCP524312 WMA524310:WML524312 WVW524310:WWH524312 JK589846:JV589848 TG589846:TR589848 ADC589846:ADN589848 AMY589846:ANJ589848 AWU589846:AXF589848 BGQ589846:BHB589848 BQM589846:BQX589848 CAI589846:CAT589848 CKE589846:CKP589848 CUA589846:CUL589848 DDW589846:DEH589848 DNS589846:DOD589848 DXO589846:DXZ589848 EHK589846:EHV589848 ERG589846:ERR589848 FBC589846:FBN589848 FKY589846:FLJ589848 FUU589846:FVF589848 GEQ589846:GFB589848 GOM589846:GOX589848 GYI589846:GYT589848 HIE589846:HIP589848 HSA589846:HSL589848 IBW589846:ICH589848 ILS589846:IMD589848 IVO589846:IVZ589848 JFK589846:JFV589848 JPG589846:JPR589848 JZC589846:JZN589848 KIY589846:KJJ589848 KSU589846:KTF589848 LCQ589846:LDB589848 LMM589846:LMX589848 LWI589846:LWT589848 MGE589846:MGP589848 MQA589846:MQL589848 MZW589846:NAH589848 NJS589846:NKD589848 NTO589846:NTZ589848 ODK589846:ODV589848 ONG589846:ONR589848 OXC589846:OXN589848 PGY589846:PHJ589848 PQU589846:PRF589848 QAQ589846:QBB589848 QKM589846:QKX589848 QUI589846:QUT589848 REE589846:REP589848 ROA589846:ROL589848 RXW589846:RYH589848 SHS589846:SID589848 SRO589846:SRZ589848 TBK589846:TBV589848 TLG589846:TLR589848 TVC589846:TVN589848 UEY589846:UFJ589848 UOU589846:UPF589848 UYQ589846:UZB589848 VIM589846:VIX589848 VSI589846:VST589848 WCE589846:WCP589848 WMA589846:WML589848 WVW589846:WWH589848 JK655382:JV655384 TG655382:TR655384 ADC655382:ADN655384 AMY655382:ANJ655384 AWU655382:AXF655384 BGQ655382:BHB655384 BQM655382:BQX655384 CAI655382:CAT655384 CKE655382:CKP655384 CUA655382:CUL655384 DDW655382:DEH655384 DNS655382:DOD655384 DXO655382:DXZ655384 EHK655382:EHV655384 ERG655382:ERR655384 FBC655382:FBN655384 FKY655382:FLJ655384 FUU655382:FVF655384 GEQ655382:GFB655384 GOM655382:GOX655384 GYI655382:GYT655384 HIE655382:HIP655384 HSA655382:HSL655384 IBW655382:ICH655384 ILS655382:IMD655384 IVO655382:IVZ655384 JFK655382:JFV655384 JPG655382:JPR655384 JZC655382:JZN655384 KIY655382:KJJ655384 KSU655382:KTF655384 LCQ655382:LDB655384 LMM655382:LMX655384 LWI655382:LWT655384 MGE655382:MGP655384 MQA655382:MQL655384 MZW655382:NAH655384 NJS655382:NKD655384 NTO655382:NTZ655384 ODK655382:ODV655384 ONG655382:ONR655384 OXC655382:OXN655384 PGY655382:PHJ655384 PQU655382:PRF655384 QAQ655382:QBB655384 QKM655382:QKX655384 QUI655382:QUT655384 REE655382:REP655384 ROA655382:ROL655384 RXW655382:RYH655384 SHS655382:SID655384 SRO655382:SRZ655384 TBK655382:TBV655384 TLG655382:TLR655384 TVC655382:TVN655384 UEY655382:UFJ655384 UOU655382:UPF655384 UYQ655382:UZB655384 VIM655382:VIX655384 VSI655382:VST655384 WCE655382:WCP655384 WMA655382:WML655384 WVW655382:WWH655384 JK720918:JV720920 TG720918:TR720920 ADC720918:ADN720920 AMY720918:ANJ720920 AWU720918:AXF720920 BGQ720918:BHB720920 BQM720918:BQX720920 CAI720918:CAT720920 CKE720918:CKP720920 CUA720918:CUL720920 DDW720918:DEH720920 DNS720918:DOD720920 DXO720918:DXZ720920 EHK720918:EHV720920 ERG720918:ERR720920 FBC720918:FBN720920 FKY720918:FLJ720920 FUU720918:FVF720920 GEQ720918:GFB720920 GOM720918:GOX720920 GYI720918:GYT720920 HIE720918:HIP720920 HSA720918:HSL720920 IBW720918:ICH720920 ILS720918:IMD720920 IVO720918:IVZ720920 JFK720918:JFV720920 JPG720918:JPR720920 JZC720918:JZN720920 KIY720918:KJJ720920 KSU720918:KTF720920 LCQ720918:LDB720920 LMM720918:LMX720920 LWI720918:LWT720920 MGE720918:MGP720920 MQA720918:MQL720920 MZW720918:NAH720920 NJS720918:NKD720920 NTO720918:NTZ720920 ODK720918:ODV720920 ONG720918:ONR720920 OXC720918:OXN720920 PGY720918:PHJ720920 PQU720918:PRF720920 QAQ720918:QBB720920 QKM720918:QKX720920 QUI720918:QUT720920 REE720918:REP720920 ROA720918:ROL720920 RXW720918:RYH720920 SHS720918:SID720920 SRO720918:SRZ720920 TBK720918:TBV720920 TLG720918:TLR720920 TVC720918:TVN720920 UEY720918:UFJ720920 UOU720918:UPF720920 UYQ720918:UZB720920 VIM720918:VIX720920 VSI720918:VST720920 WCE720918:WCP720920 WMA720918:WML720920 WVW720918:WWH720920 JK786454:JV786456 TG786454:TR786456 ADC786454:ADN786456 AMY786454:ANJ786456 AWU786454:AXF786456 BGQ786454:BHB786456 BQM786454:BQX786456 CAI786454:CAT786456 CKE786454:CKP786456 CUA786454:CUL786456 DDW786454:DEH786456 DNS786454:DOD786456 DXO786454:DXZ786456 EHK786454:EHV786456 ERG786454:ERR786456 FBC786454:FBN786456 FKY786454:FLJ786456 FUU786454:FVF786456 GEQ786454:GFB786456 GOM786454:GOX786456 GYI786454:GYT786456 HIE786454:HIP786456 HSA786454:HSL786456 IBW786454:ICH786456 ILS786454:IMD786456 IVO786454:IVZ786456 JFK786454:JFV786456 JPG786454:JPR786456 JZC786454:JZN786456 KIY786454:KJJ786456 KSU786454:KTF786456 LCQ786454:LDB786456 LMM786454:LMX786456 LWI786454:LWT786456 MGE786454:MGP786456 MQA786454:MQL786456 MZW786454:NAH786456 NJS786454:NKD786456 NTO786454:NTZ786456 ODK786454:ODV786456 ONG786454:ONR786456 OXC786454:OXN786456 PGY786454:PHJ786456 PQU786454:PRF786456 QAQ786454:QBB786456 QKM786454:QKX786456 QUI786454:QUT786456 REE786454:REP786456 ROA786454:ROL786456 RXW786454:RYH786456 SHS786454:SID786456 SRO786454:SRZ786456 TBK786454:TBV786456 TLG786454:TLR786456 TVC786454:TVN786456 UEY786454:UFJ786456 UOU786454:UPF786456 UYQ786454:UZB786456 VIM786454:VIX786456 VSI786454:VST786456 WCE786454:WCP786456 WMA786454:WML786456 WVW786454:WWH786456 JK851990:JV851992 TG851990:TR851992 ADC851990:ADN851992 AMY851990:ANJ851992 AWU851990:AXF851992 BGQ851990:BHB851992 BQM851990:BQX851992 CAI851990:CAT851992 CKE851990:CKP851992 CUA851990:CUL851992 DDW851990:DEH851992 DNS851990:DOD851992 DXO851990:DXZ851992 EHK851990:EHV851992 ERG851990:ERR851992 FBC851990:FBN851992 FKY851990:FLJ851992 FUU851990:FVF851992 GEQ851990:GFB851992 GOM851990:GOX851992 GYI851990:GYT851992 HIE851990:HIP851992 HSA851990:HSL851992 IBW851990:ICH851992 ILS851990:IMD851992 IVO851990:IVZ851992 JFK851990:JFV851992 JPG851990:JPR851992 JZC851990:JZN851992 KIY851990:KJJ851992 KSU851990:KTF851992 LCQ851990:LDB851992 LMM851990:LMX851992 LWI851990:LWT851992 MGE851990:MGP851992 MQA851990:MQL851992 MZW851990:NAH851992 NJS851990:NKD851992 NTO851990:NTZ851992 ODK851990:ODV851992 ONG851990:ONR851992 OXC851990:OXN851992 PGY851990:PHJ851992 PQU851990:PRF851992 QAQ851990:QBB851992 QKM851990:QKX851992 QUI851990:QUT851992 REE851990:REP851992 ROA851990:ROL851992 RXW851990:RYH851992 SHS851990:SID851992 SRO851990:SRZ851992 TBK851990:TBV851992 TLG851990:TLR851992 TVC851990:TVN851992 UEY851990:UFJ851992 UOU851990:UPF851992 UYQ851990:UZB851992 VIM851990:VIX851992 VSI851990:VST851992 WCE851990:WCP851992 WMA851990:WML851992 WVW851990:WWH851992 JK917526:JV917528 TG917526:TR917528 ADC917526:ADN917528 AMY917526:ANJ917528 AWU917526:AXF917528 BGQ917526:BHB917528 BQM917526:BQX917528 CAI917526:CAT917528 CKE917526:CKP917528 CUA917526:CUL917528 DDW917526:DEH917528 DNS917526:DOD917528 DXO917526:DXZ917528 EHK917526:EHV917528 ERG917526:ERR917528 FBC917526:FBN917528 FKY917526:FLJ917528 FUU917526:FVF917528 GEQ917526:GFB917528 GOM917526:GOX917528 GYI917526:GYT917528 HIE917526:HIP917528 HSA917526:HSL917528 IBW917526:ICH917528 ILS917526:IMD917528 IVO917526:IVZ917528 JFK917526:JFV917528 JPG917526:JPR917528 JZC917526:JZN917528 KIY917526:KJJ917528 KSU917526:KTF917528 LCQ917526:LDB917528 LMM917526:LMX917528 LWI917526:LWT917528 MGE917526:MGP917528 MQA917526:MQL917528 MZW917526:NAH917528 NJS917526:NKD917528 NTO917526:NTZ917528 ODK917526:ODV917528 ONG917526:ONR917528 OXC917526:OXN917528 PGY917526:PHJ917528 PQU917526:PRF917528 QAQ917526:QBB917528 QKM917526:QKX917528 QUI917526:QUT917528 REE917526:REP917528 ROA917526:ROL917528 RXW917526:RYH917528 SHS917526:SID917528 SRO917526:SRZ917528 TBK917526:TBV917528 TLG917526:TLR917528 TVC917526:TVN917528 UEY917526:UFJ917528 UOU917526:UPF917528 UYQ917526:UZB917528 VIM917526:VIX917528 VSI917526:VST917528 WCE917526:WCP917528 WMA917526:WML917528 WVW917526:WWH917528 JK983062:JV983064 TG983062:TR983064 ADC983062:ADN983064 AMY983062:ANJ983064 AWU983062:AXF983064 BGQ983062:BHB983064 BQM983062:BQX983064 CAI983062:CAT983064 CKE983062:CKP983064 CUA983062:CUL983064 DDW983062:DEH983064 DNS983062:DOD983064 DXO983062:DXZ983064 EHK983062:EHV983064 ERG983062:ERR983064 FBC983062:FBN983064 FKY983062:FLJ983064 FUU983062:FVF983064 GEQ983062:GFB983064 GOM983062:GOX983064 GYI983062:GYT983064 HIE983062:HIP983064 HSA983062:HSL983064 IBW983062:ICH983064 ILS983062:IMD983064 IVO983062:IVZ983064 JFK983062:JFV983064 JPG983062:JPR983064 JZC983062:JZN983064 KIY983062:KJJ983064 KSU983062:KTF983064 LCQ983062:LDB983064 LMM983062:LMX983064 LWI983062:LWT983064 MGE983062:MGP983064 MQA983062:MQL983064 MZW983062:NAH983064 NJS983062:NKD983064 NTO983062:NTZ983064 ODK983062:ODV983064 ONG983062:ONR983064 OXC983062:OXN983064 PGY983062:PHJ983064 PQU983062:PRF983064 QAQ983062:QBB983064 QKM983062:QKX983064 QUI983062:QUT983064 REE983062:REP983064 ROA983062:ROL983064 RXW983062:RYH983064 SHS983062:SID983064 SRO983062:SRZ983064 TBK983062:TBV983064 TLG983062:TLR983064 TVC983062:TVN983064 UEY983062:UFJ983064 UOU983062:UPF983064 UYQ983062:UZB983064 VIM983062:VIX983064 VSI983062:VST983064 WCE983062:WCP983064 WMA983062:WML983064 WVW983062:WWH983064 WVW983067:WWH983069 JK65563:JV65565 TG65563:TR65565 ADC65563:ADN65565 AMY65563:ANJ65565 AWU65563:AXF65565 BGQ65563:BHB65565 BQM65563:BQX65565 CAI65563:CAT65565 CKE65563:CKP65565 CUA65563:CUL65565 DDW65563:DEH65565 DNS65563:DOD65565 DXO65563:DXZ65565 EHK65563:EHV65565 ERG65563:ERR65565 FBC65563:FBN65565 FKY65563:FLJ65565 FUU65563:FVF65565 GEQ65563:GFB65565 GOM65563:GOX65565 GYI65563:GYT65565 HIE65563:HIP65565 HSA65563:HSL65565 IBW65563:ICH65565 ILS65563:IMD65565 IVO65563:IVZ65565 JFK65563:JFV65565 JPG65563:JPR65565 JZC65563:JZN65565 KIY65563:KJJ65565 KSU65563:KTF65565 LCQ65563:LDB65565 LMM65563:LMX65565 LWI65563:LWT65565 MGE65563:MGP65565 MQA65563:MQL65565 MZW65563:NAH65565 NJS65563:NKD65565 NTO65563:NTZ65565 ODK65563:ODV65565 ONG65563:ONR65565 OXC65563:OXN65565 PGY65563:PHJ65565 PQU65563:PRF65565 QAQ65563:QBB65565 QKM65563:QKX65565 QUI65563:QUT65565 REE65563:REP65565 ROA65563:ROL65565 RXW65563:RYH65565 SHS65563:SID65565 SRO65563:SRZ65565 TBK65563:TBV65565 TLG65563:TLR65565 TVC65563:TVN65565 UEY65563:UFJ65565 UOU65563:UPF65565 UYQ65563:UZB65565 VIM65563:VIX65565 VSI65563:VST65565 WCE65563:WCP65565 WMA65563:WML65565 WVW65563:WWH65565 JK131099:JV131101 TG131099:TR131101 ADC131099:ADN131101 AMY131099:ANJ131101 AWU131099:AXF131101 BGQ131099:BHB131101 BQM131099:BQX131101 CAI131099:CAT131101 CKE131099:CKP131101 CUA131099:CUL131101 DDW131099:DEH131101 DNS131099:DOD131101 DXO131099:DXZ131101 EHK131099:EHV131101 ERG131099:ERR131101 FBC131099:FBN131101 FKY131099:FLJ131101 FUU131099:FVF131101 GEQ131099:GFB131101 GOM131099:GOX131101 GYI131099:GYT131101 HIE131099:HIP131101 HSA131099:HSL131101 IBW131099:ICH131101 ILS131099:IMD131101 IVO131099:IVZ131101 JFK131099:JFV131101 JPG131099:JPR131101 JZC131099:JZN131101 KIY131099:KJJ131101 KSU131099:KTF131101 LCQ131099:LDB131101 LMM131099:LMX131101 LWI131099:LWT131101 MGE131099:MGP131101 MQA131099:MQL131101 MZW131099:NAH131101 NJS131099:NKD131101 NTO131099:NTZ131101 ODK131099:ODV131101 ONG131099:ONR131101 OXC131099:OXN131101 PGY131099:PHJ131101 PQU131099:PRF131101 QAQ131099:QBB131101 QKM131099:QKX131101 QUI131099:QUT131101 REE131099:REP131101 ROA131099:ROL131101 RXW131099:RYH131101 SHS131099:SID131101 SRO131099:SRZ131101 TBK131099:TBV131101 TLG131099:TLR131101 TVC131099:TVN131101 UEY131099:UFJ131101 UOU131099:UPF131101 UYQ131099:UZB131101 VIM131099:VIX131101 VSI131099:VST131101 WCE131099:WCP131101 WMA131099:WML131101 WVW131099:WWH131101 JK196635:JV196637 TG196635:TR196637 ADC196635:ADN196637 AMY196635:ANJ196637 AWU196635:AXF196637 BGQ196635:BHB196637 BQM196635:BQX196637 CAI196635:CAT196637 CKE196635:CKP196637 CUA196635:CUL196637 DDW196635:DEH196637 DNS196635:DOD196637 DXO196635:DXZ196637 EHK196635:EHV196637 ERG196635:ERR196637 FBC196635:FBN196637 FKY196635:FLJ196637 FUU196635:FVF196637 GEQ196635:GFB196637 GOM196635:GOX196637 GYI196635:GYT196637 HIE196635:HIP196637 HSA196635:HSL196637 IBW196635:ICH196637 ILS196635:IMD196637 IVO196635:IVZ196637 JFK196635:JFV196637 JPG196635:JPR196637 JZC196635:JZN196637 KIY196635:KJJ196637 KSU196635:KTF196637 LCQ196635:LDB196637 LMM196635:LMX196637 LWI196635:LWT196637 MGE196635:MGP196637 MQA196635:MQL196637 MZW196635:NAH196637 NJS196635:NKD196637 NTO196635:NTZ196637 ODK196635:ODV196637 ONG196635:ONR196637 OXC196635:OXN196637 PGY196635:PHJ196637 PQU196635:PRF196637 QAQ196635:QBB196637 QKM196635:QKX196637 QUI196635:QUT196637 REE196635:REP196637 ROA196635:ROL196637 RXW196635:RYH196637 SHS196635:SID196637 SRO196635:SRZ196637 TBK196635:TBV196637 TLG196635:TLR196637 TVC196635:TVN196637 UEY196635:UFJ196637 UOU196635:UPF196637 UYQ196635:UZB196637 VIM196635:VIX196637 VSI196635:VST196637 WCE196635:WCP196637 WMA196635:WML196637 WVW196635:WWH196637 JK262171:JV262173 TG262171:TR262173 ADC262171:ADN262173 AMY262171:ANJ262173 AWU262171:AXF262173 BGQ262171:BHB262173 BQM262171:BQX262173 CAI262171:CAT262173 CKE262171:CKP262173 CUA262171:CUL262173 DDW262171:DEH262173 DNS262171:DOD262173 DXO262171:DXZ262173 EHK262171:EHV262173 ERG262171:ERR262173 FBC262171:FBN262173 FKY262171:FLJ262173 FUU262171:FVF262173 GEQ262171:GFB262173 GOM262171:GOX262173 GYI262171:GYT262173 HIE262171:HIP262173 HSA262171:HSL262173 IBW262171:ICH262173 ILS262171:IMD262173 IVO262171:IVZ262173 JFK262171:JFV262173 JPG262171:JPR262173 JZC262171:JZN262173 KIY262171:KJJ262173 KSU262171:KTF262173 LCQ262171:LDB262173 LMM262171:LMX262173 LWI262171:LWT262173 MGE262171:MGP262173 MQA262171:MQL262173 MZW262171:NAH262173 NJS262171:NKD262173 NTO262171:NTZ262173 ODK262171:ODV262173 ONG262171:ONR262173 OXC262171:OXN262173 PGY262171:PHJ262173 PQU262171:PRF262173 QAQ262171:QBB262173 QKM262171:QKX262173 QUI262171:QUT262173 REE262171:REP262173 ROA262171:ROL262173 RXW262171:RYH262173 SHS262171:SID262173 SRO262171:SRZ262173 TBK262171:TBV262173 TLG262171:TLR262173 TVC262171:TVN262173 UEY262171:UFJ262173 UOU262171:UPF262173 UYQ262171:UZB262173 VIM262171:VIX262173 VSI262171:VST262173 WCE262171:WCP262173 WMA262171:WML262173 WVW262171:WWH262173 JK327707:JV327709 TG327707:TR327709 ADC327707:ADN327709 AMY327707:ANJ327709 AWU327707:AXF327709 BGQ327707:BHB327709 BQM327707:BQX327709 CAI327707:CAT327709 CKE327707:CKP327709 CUA327707:CUL327709 DDW327707:DEH327709 DNS327707:DOD327709 DXO327707:DXZ327709 EHK327707:EHV327709 ERG327707:ERR327709 FBC327707:FBN327709 FKY327707:FLJ327709 FUU327707:FVF327709 GEQ327707:GFB327709 GOM327707:GOX327709 GYI327707:GYT327709 HIE327707:HIP327709 HSA327707:HSL327709 IBW327707:ICH327709 ILS327707:IMD327709 IVO327707:IVZ327709 JFK327707:JFV327709 JPG327707:JPR327709 JZC327707:JZN327709 KIY327707:KJJ327709 KSU327707:KTF327709 LCQ327707:LDB327709 LMM327707:LMX327709 LWI327707:LWT327709 MGE327707:MGP327709 MQA327707:MQL327709 MZW327707:NAH327709 NJS327707:NKD327709 NTO327707:NTZ327709 ODK327707:ODV327709 ONG327707:ONR327709 OXC327707:OXN327709 PGY327707:PHJ327709 PQU327707:PRF327709 QAQ327707:QBB327709 QKM327707:QKX327709 QUI327707:QUT327709 REE327707:REP327709 ROA327707:ROL327709 RXW327707:RYH327709 SHS327707:SID327709 SRO327707:SRZ327709 TBK327707:TBV327709 TLG327707:TLR327709 TVC327707:TVN327709 UEY327707:UFJ327709 UOU327707:UPF327709 UYQ327707:UZB327709 VIM327707:VIX327709 VSI327707:VST327709 WCE327707:WCP327709 WMA327707:WML327709 WVW327707:WWH327709 JK393243:JV393245 TG393243:TR393245 ADC393243:ADN393245 AMY393243:ANJ393245 AWU393243:AXF393245 BGQ393243:BHB393245 BQM393243:BQX393245 CAI393243:CAT393245 CKE393243:CKP393245 CUA393243:CUL393245 DDW393243:DEH393245 DNS393243:DOD393245 DXO393243:DXZ393245 EHK393243:EHV393245 ERG393243:ERR393245 FBC393243:FBN393245 FKY393243:FLJ393245 FUU393243:FVF393245 GEQ393243:GFB393245 GOM393243:GOX393245 GYI393243:GYT393245 HIE393243:HIP393245 HSA393243:HSL393245 IBW393243:ICH393245 ILS393243:IMD393245 IVO393243:IVZ393245 JFK393243:JFV393245 JPG393243:JPR393245 JZC393243:JZN393245 KIY393243:KJJ393245 KSU393243:KTF393245 LCQ393243:LDB393245 LMM393243:LMX393245 LWI393243:LWT393245 MGE393243:MGP393245 MQA393243:MQL393245 MZW393243:NAH393245 NJS393243:NKD393245 NTO393243:NTZ393245 ODK393243:ODV393245 ONG393243:ONR393245 OXC393243:OXN393245 PGY393243:PHJ393245 PQU393243:PRF393245 QAQ393243:QBB393245 QKM393243:QKX393245 QUI393243:QUT393245 REE393243:REP393245 ROA393243:ROL393245 RXW393243:RYH393245 SHS393243:SID393245 SRO393243:SRZ393245 TBK393243:TBV393245 TLG393243:TLR393245 TVC393243:TVN393245 UEY393243:UFJ393245 UOU393243:UPF393245 UYQ393243:UZB393245 VIM393243:VIX393245 VSI393243:VST393245 WCE393243:WCP393245 WMA393243:WML393245 WVW393243:WWH393245 JK458779:JV458781 TG458779:TR458781 ADC458779:ADN458781 AMY458779:ANJ458781 AWU458779:AXF458781 BGQ458779:BHB458781 BQM458779:BQX458781 CAI458779:CAT458781 CKE458779:CKP458781 CUA458779:CUL458781 DDW458779:DEH458781 DNS458779:DOD458781 DXO458779:DXZ458781 EHK458779:EHV458781 ERG458779:ERR458781 FBC458779:FBN458781 FKY458779:FLJ458781 FUU458779:FVF458781 GEQ458779:GFB458781 GOM458779:GOX458781 GYI458779:GYT458781 HIE458779:HIP458781 HSA458779:HSL458781 IBW458779:ICH458781 ILS458779:IMD458781 IVO458779:IVZ458781 JFK458779:JFV458781 JPG458779:JPR458781 JZC458779:JZN458781 KIY458779:KJJ458781 KSU458779:KTF458781 LCQ458779:LDB458781 LMM458779:LMX458781 LWI458779:LWT458781 MGE458779:MGP458781 MQA458779:MQL458781 MZW458779:NAH458781 NJS458779:NKD458781 NTO458779:NTZ458781 ODK458779:ODV458781 ONG458779:ONR458781 OXC458779:OXN458781 PGY458779:PHJ458781 PQU458779:PRF458781 QAQ458779:QBB458781 QKM458779:QKX458781 QUI458779:QUT458781 REE458779:REP458781 ROA458779:ROL458781 RXW458779:RYH458781 SHS458779:SID458781 SRO458779:SRZ458781 TBK458779:TBV458781 TLG458779:TLR458781 TVC458779:TVN458781 UEY458779:UFJ458781 UOU458779:UPF458781 UYQ458779:UZB458781 VIM458779:VIX458781 VSI458779:VST458781 WCE458779:WCP458781 WMA458779:WML458781 WVW458779:WWH458781 JK524315:JV524317 TG524315:TR524317 ADC524315:ADN524317 AMY524315:ANJ524317 AWU524315:AXF524317 BGQ524315:BHB524317 BQM524315:BQX524317 CAI524315:CAT524317 CKE524315:CKP524317 CUA524315:CUL524317 DDW524315:DEH524317 DNS524315:DOD524317 DXO524315:DXZ524317 EHK524315:EHV524317 ERG524315:ERR524317 FBC524315:FBN524317 FKY524315:FLJ524317 FUU524315:FVF524317 GEQ524315:GFB524317 GOM524315:GOX524317 GYI524315:GYT524317 HIE524315:HIP524317 HSA524315:HSL524317 IBW524315:ICH524317 ILS524315:IMD524317 IVO524315:IVZ524317 JFK524315:JFV524317 JPG524315:JPR524317 JZC524315:JZN524317 KIY524315:KJJ524317 KSU524315:KTF524317 LCQ524315:LDB524317 LMM524315:LMX524317 LWI524315:LWT524317 MGE524315:MGP524317 MQA524315:MQL524317 MZW524315:NAH524317 NJS524315:NKD524317 NTO524315:NTZ524317 ODK524315:ODV524317 ONG524315:ONR524317 OXC524315:OXN524317 PGY524315:PHJ524317 PQU524315:PRF524317 QAQ524315:QBB524317 QKM524315:QKX524317 QUI524315:QUT524317 REE524315:REP524317 ROA524315:ROL524317 RXW524315:RYH524317 SHS524315:SID524317 SRO524315:SRZ524317 TBK524315:TBV524317 TLG524315:TLR524317 TVC524315:TVN524317 UEY524315:UFJ524317 UOU524315:UPF524317 UYQ524315:UZB524317 VIM524315:VIX524317 VSI524315:VST524317 WCE524315:WCP524317 WMA524315:WML524317 WVW524315:WWH524317 JK589851:JV589853 TG589851:TR589853 ADC589851:ADN589853 AMY589851:ANJ589853 AWU589851:AXF589853 BGQ589851:BHB589853 BQM589851:BQX589853 CAI589851:CAT589853 CKE589851:CKP589853 CUA589851:CUL589853 DDW589851:DEH589853 DNS589851:DOD589853 DXO589851:DXZ589853 EHK589851:EHV589853 ERG589851:ERR589853 FBC589851:FBN589853 FKY589851:FLJ589853 FUU589851:FVF589853 GEQ589851:GFB589853 GOM589851:GOX589853 GYI589851:GYT589853 HIE589851:HIP589853 HSA589851:HSL589853 IBW589851:ICH589853 ILS589851:IMD589853 IVO589851:IVZ589853 JFK589851:JFV589853 JPG589851:JPR589853 JZC589851:JZN589853 KIY589851:KJJ589853 KSU589851:KTF589853 LCQ589851:LDB589853 LMM589851:LMX589853 LWI589851:LWT589853 MGE589851:MGP589853 MQA589851:MQL589853 MZW589851:NAH589853 NJS589851:NKD589853 NTO589851:NTZ589853 ODK589851:ODV589853 ONG589851:ONR589853 OXC589851:OXN589853 PGY589851:PHJ589853 PQU589851:PRF589853 QAQ589851:QBB589853 QKM589851:QKX589853 QUI589851:QUT589853 REE589851:REP589853 ROA589851:ROL589853 RXW589851:RYH589853 SHS589851:SID589853 SRO589851:SRZ589853 TBK589851:TBV589853 TLG589851:TLR589853 TVC589851:TVN589853 UEY589851:UFJ589853 UOU589851:UPF589853 UYQ589851:UZB589853 VIM589851:VIX589853 VSI589851:VST589853 WCE589851:WCP589853 WMA589851:WML589853 WVW589851:WWH589853 JK655387:JV655389 TG655387:TR655389 ADC655387:ADN655389 AMY655387:ANJ655389 AWU655387:AXF655389 BGQ655387:BHB655389 BQM655387:BQX655389 CAI655387:CAT655389 CKE655387:CKP655389 CUA655387:CUL655389 DDW655387:DEH655389 DNS655387:DOD655389 DXO655387:DXZ655389 EHK655387:EHV655389 ERG655387:ERR655389 FBC655387:FBN655389 FKY655387:FLJ655389 FUU655387:FVF655389 GEQ655387:GFB655389 GOM655387:GOX655389 GYI655387:GYT655389 HIE655387:HIP655389 HSA655387:HSL655389 IBW655387:ICH655389 ILS655387:IMD655389 IVO655387:IVZ655389 JFK655387:JFV655389 JPG655387:JPR655389 JZC655387:JZN655389 KIY655387:KJJ655389 KSU655387:KTF655389 LCQ655387:LDB655389 LMM655387:LMX655389 LWI655387:LWT655389 MGE655387:MGP655389 MQA655387:MQL655389 MZW655387:NAH655389 NJS655387:NKD655389 NTO655387:NTZ655389 ODK655387:ODV655389 ONG655387:ONR655389 OXC655387:OXN655389 PGY655387:PHJ655389 PQU655387:PRF655389 QAQ655387:QBB655389 QKM655387:QKX655389 QUI655387:QUT655389 REE655387:REP655389 ROA655387:ROL655389 RXW655387:RYH655389 SHS655387:SID655389 SRO655387:SRZ655389 TBK655387:TBV655389 TLG655387:TLR655389 TVC655387:TVN655389 UEY655387:UFJ655389 UOU655387:UPF655389 UYQ655387:UZB655389 VIM655387:VIX655389 VSI655387:VST655389 WCE655387:WCP655389 WMA655387:WML655389 WVW655387:WWH655389 JK720923:JV720925 TG720923:TR720925 ADC720923:ADN720925 AMY720923:ANJ720925 AWU720923:AXF720925 BGQ720923:BHB720925 BQM720923:BQX720925 CAI720923:CAT720925 CKE720923:CKP720925 CUA720923:CUL720925 DDW720923:DEH720925 DNS720923:DOD720925 DXO720923:DXZ720925 EHK720923:EHV720925 ERG720923:ERR720925 FBC720923:FBN720925 FKY720923:FLJ720925 FUU720923:FVF720925 GEQ720923:GFB720925 GOM720923:GOX720925 GYI720923:GYT720925 HIE720923:HIP720925 HSA720923:HSL720925 IBW720923:ICH720925 ILS720923:IMD720925 IVO720923:IVZ720925 JFK720923:JFV720925 JPG720923:JPR720925 JZC720923:JZN720925 KIY720923:KJJ720925 KSU720923:KTF720925 LCQ720923:LDB720925 LMM720923:LMX720925 LWI720923:LWT720925 MGE720923:MGP720925 MQA720923:MQL720925 MZW720923:NAH720925 NJS720923:NKD720925 NTO720923:NTZ720925 ODK720923:ODV720925 ONG720923:ONR720925 OXC720923:OXN720925 PGY720923:PHJ720925 PQU720923:PRF720925 QAQ720923:QBB720925 QKM720923:QKX720925 QUI720923:QUT720925 REE720923:REP720925 ROA720923:ROL720925 RXW720923:RYH720925 SHS720923:SID720925 SRO720923:SRZ720925 TBK720923:TBV720925 TLG720923:TLR720925 TVC720923:TVN720925 UEY720923:UFJ720925 UOU720923:UPF720925 UYQ720923:UZB720925 VIM720923:VIX720925 VSI720923:VST720925 WCE720923:WCP720925 WMA720923:WML720925 WVW720923:WWH720925 JK786459:JV786461 TG786459:TR786461 ADC786459:ADN786461 AMY786459:ANJ786461 AWU786459:AXF786461 BGQ786459:BHB786461 BQM786459:BQX786461 CAI786459:CAT786461 CKE786459:CKP786461 CUA786459:CUL786461 DDW786459:DEH786461 DNS786459:DOD786461 DXO786459:DXZ786461 EHK786459:EHV786461 ERG786459:ERR786461 FBC786459:FBN786461 FKY786459:FLJ786461 FUU786459:FVF786461 GEQ786459:GFB786461 GOM786459:GOX786461 GYI786459:GYT786461 HIE786459:HIP786461 HSA786459:HSL786461 IBW786459:ICH786461 ILS786459:IMD786461 IVO786459:IVZ786461 JFK786459:JFV786461 JPG786459:JPR786461 JZC786459:JZN786461 KIY786459:KJJ786461 KSU786459:KTF786461 LCQ786459:LDB786461 LMM786459:LMX786461 LWI786459:LWT786461 MGE786459:MGP786461 MQA786459:MQL786461 MZW786459:NAH786461 NJS786459:NKD786461 NTO786459:NTZ786461 ODK786459:ODV786461 ONG786459:ONR786461 OXC786459:OXN786461 PGY786459:PHJ786461 PQU786459:PRF786461 QAQ786459:QBB786461 QKM786459:QKX786461 QUI786459:QUT786461 REE786459:REP786461 ROA786459:ROL786461 RXW786459:RYH786461 SHS786459:SID786461 SRO786459:SRZ786461 TBK786459:TBV786461 TLG786459:TLR786461 TVC786459:TVN786461 UEY786459:UFJ786461 UOU786459:UPF786461 UYQ786459:UZB786461 VIM786459:VIX786461 VSI786459:VST786461 WCE786459:WCP786461 WMA786459:WML786461 WVW786459:WWH786461 JK851995:JV851997 TG851995:TR851997 ADC851995:ADN851997 AMY851995:ANJ851997 AWU851995:AXF851997 BGQ851995:BHB851997 BQM851995:BQX851997 CAI851995:CAT851997 CKE851995:CKP851997 CUA851995:CUL851997 DDW851995:DEH851997 DNS851995:DOD851997 DXO851995:DXZ851997 EHK851995:EHV851997 ERG851995:ERR851997 FBC851995:FBN851997 FKY851995:FLJ851997 FUU851995:FVF851997 GEQ851995:GFB851997 GOM851995:GOX851997 GYI851995:GYT851997 HIE851995:HIP851997 HSA851995:HSL851997 IBW851995:ICH851997 ILS851995:IMD851997 IVO851995:IVZ851997 JFK851995:JFV851997 JPG851995:JPR851997 JZC851995:JZN851997 KIY851995:KJJ851997 KSU851995:KTF851997 LCQ851995:LDB851997 LMM851995:LMX851997 LWI851995:LWT851997 MGE851995:MGP851997 MQA851995:MQL851997 MZW851995:NAH851997 NJS851995:NKD851997 NTO851995:NTZ851997 ODK851995:ODV851997 ONG851995:ONR851997 OXC851995:OXN851997 PGY851995:PHJ851997 PQU851995:PRF851997 QAQ851995:QBB851997 QKM851995:QKX851997 QUI851995:QUT851997 REE851995:REP851997 ROA851995:ROL851997 RXW851995:RYH851997 SHS851995:SID851997 SRO851995:SRZ851997 TBK851995:TBV851997 TLG851995:TLR851997 TVC851995:TVN851997 UEY851995:UFJ851997 UOU851995:UPF851997 UYQ851995:UZB851997 VIM851995:VIX851997 VSI851995:VST851997 WCE851995:WCP851997 WMA851995:WML851997 WVW851995:WWH851997 JK917531:JV917533 TG917531:TR917533 ADC917531:ADN917533 AMY917531:ANJ917533 AWU917531:AXF917533 BGQ917531:BHB917533 BQM917531:BQX917533 CAI917531:CAT917533 CKE917531:CKP917533 CUA917531:CUL917533 DDW917531:DEH917533 DNS917531:DOD917533 DXO917531:DXZ917533 EHK917531:EHV917533 ERG917531:ERR917533 FBC917531:FBN917533 FKY917531:FLJ917533 FUU917531:FVF917533 GEQ917531:GFB917533 GOM917531:GOX917533 GYI917531:GYT917533 HIE917531:HIP917533 HSA917531:HSL917533 IBW917531:ICH917533 ILS917531:IMD917533 IVO917531:IVZ917533 JFK917531:JFV917533 JPG917531:JPR917533 JZC917531:JZN917533 KIY917531:KJJ917533 KSU917531:KTF917533 LCQ917531:LDB917533 LMM917531:LMX917533 LWI917531:LWT917533 MGE917531:MGP917533 MQA917531:MQL917533 MZW917531:NAH917533 NJS917531:NKD917533 NTO917531:NTZ917533 ODK917531:ODV917533 ONG917531:ONR917533 OXC917531:OXN917533 PGY917531:PHJ917533 PQU917531:PRF917533 QAQ917531:QBB917533 QKM917531:QKX917533 QUI917531:QUT917533 REE917531:REP917533 ROA917531:ROL917533 RXW917531:RYH917533 SHS917531:SID917533 SRO917531:SRZ917533 TBK917531:TBV917533 TLG917531:TLR917533 TVC917531:TVN917533 UEY917531:UFJ917533 UOU917531:UPF917533 UYQ917531:UZB917533 VIM917531:VIX917533 VSI917531:VST917533 WCE917531:WCP917533 WMA917531:WML917533 WVW917531:WWH917533 JK983067:JV983069 TG983067:TR983069 ADC983067:ADN983069 AMY983067:ANJ983069 AWU983067:AXF983069 BGQ983067:BHB983069 BQM983067:BQX983069 CAI983067:CAT983069 CKE983067:CKP983069 CUA983067:CUL983069 DDW983067:DEH983069 DNS983067:DOD983069 DXO983067:DXZ983069 EHK983067:EHV983069 ERG983067:ERR983069 FBC983067:FBN983069 FKY983067:FLJ983069 FUU983067:FVF983069 GEQ983067:GFB983069 GOM983067:GOX983069 GYI983067:GYT983069 HIE983067:HIP983069 HSA983067:HSL983069 IBW983067:ICH983069 ILS983067:IMD983069 IVO983067:IVZ983069 JFK983067:JFV983069 JPG983067:JPR983069 JZC983067:JZN983069 KIY983067:KJJ983069 KSU983067:KTF983069 LCQ983067:LDB983069 LMM983067:LMX983069 LWI983067:LWT983069 MGE983067:MGP983069 MQA983067:MQL983069 MZW983067:NAH983069 NJS983067:NKD983069 NTO983067:NTZ983069 ODK983067:ODV983069 ONG983067:ONR983069 OXC983067:OXN983069 PGY983067:PHJ983069 PQU983067:PRF983069 QAQ983067:QBB983069 QKM983067:QKX983069 QUI983067:QUT983069 REE983067:REP983069 ROA983067:ROL983069 RXW983067:RYH983069 SHS983067:SID983069 SRO983067:SRZ983069 TBK983067:TBV983069 TLG983067:TLR983069 TVC983067:TVN983069 UEY983067:UFJ983069 UOU983067:UPF983069 UYQ983067:UZB983069 VIM983067:VIX983069 VSI983067:VST983069 WCE983067:WCP983069 WMA983067:WML983069 Z262166:AJ262168 Z196630:AJ196632 Z131094:AJ131096 Z65558:AJ65560 Z983067:AJ983069 Z917531:AJ917533 Z851995:AJ851997 Z786459:AJ786461 Z720923:AJ720925 Z655387:AJ655389 Z589851:AJ589853 Z524315:AJ524317 Z458779:AJ458781 Z393243:AJ393245 Z327707:AJ327709 Z262171:AJ262173 Z196635:AJ196637 Z131099:AJ131101 Z65563:AJ65565 Z983062:AJ983064 Z917526:AJ917528 Z851990:AJ851992 Z786454:AJ786456 Z720918:AJ720920 Z655382:AJ655384 Z589846:AJ589848 Z524310:AJ524312 Z458774:AJ458776 Z393238:AJ393240 Z327702:AJ32770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900-000002000000}"/>
    <dataValidation type="list" allowBlank="1" showInputMessage="1" showErrorMessage="1" sqref="Y8:Z87" xr:uid="{00000000-0002-0000-0900-000000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04E6-18C5-4CE6-973C-6DDDDB9CB9C9}">
  <sheetPr codeName="Sheet9"/>
  <dimension ref="A1:BD50"/>
  <sheetViews>
    <sheetView showGridLines="0" zoomScaleNormal="100" zoomScaleSheetLayoutView="100" workbookViewId="0">
      <selection activeCell="AF12" sqref="AF12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47" t="s">
        <v>100</v>
      </c>
      <c r="B1" s="248"/>
      <c r="C1" s="248"/>
      <c r="D1" s="248"/>
      <c r="E1" s="248"/>
      <c r="F1" s="248"/>
      <c r="G1" s="248"/>
      <c r="H1" s="249"/>
      <c r="I1" s="176" t="s">
        <v>98</v>
      </c>
      <c r="J1" s="177"/>
      <c r="K1" s="177"/>
      <c r="L1" s="177"/>
      <c r="M1" s="177"/>
      <c r="N1" s="177"/>
      <c r="O1" s="177"/>
      <c r="P1" s="177"/>
      <c r="Q1" s="178"/>
      <c r="R1" s="176" t="s">
        <v>99</v>
      </c>
      <c r="S1" s="177"/>
      <c r="T1" s="177"/>
      <c r="U1" s="177"/>
      <c r="V1" s="177"/>
      <c r="W1" s="177"/>
      <c r="X1" s="178"/>
      <c r="Y1" s="176" t="s">
        <v>0</v>
      </c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8"/>
      <c r="AP1" s="256" t="s">
        <v>1</v>
      </c>
      <c r="AQ1" s="257"/>
      <c r="AR1" s="257"/>
      <c r="AS1" s="257"/>
      <c r="AT1" s="258"/>
      <c r="AU1" s="256" t="s">
        <v>2</v>
      </c>
      <c r="AV1" s="257"/>
      <c r="AW1" s="257"/>
      <c r="AX1" s="257"/>
      <c r="AY1" s="258"/>
      <c r="AZ1" s="256" t="s">
        <v>3</v>
      </c>
      <c r="BA1" s="257"/>
      <c r="BB1" s="257"/>
      <c r="BC1" s="257"/>
      <c r="BD1" s="258"/>
    </row>
    <row r="2" spans="1:56" s="16" customFormat="1" ht="15" customHeight="1" x14ac:dyDescent="0.3">
      <c r="A2" s="250"/>
      <c r="B2" s="251"/>
      <c r="C2" s="251"/>
      <c r="D2" s="251"/>
      <c r="E2" s="251"/>
      <c r="F2" s="251"/>
      <c r="G2" s="251"/>
      <c r="H2" s="252"/>
      <c r="I2" s="200" t="s">
        <v>97</v>
      </c>
      <c r="J2" s="201"/>
      <c r="K2" s="201"/>
      <c r="L2" s="201"/>
      <c r="M2" s="201"/>
      <c r="N2" s="201"/>
      <c r="O2" s="201"/>
      <c r="P2" s="201"/>
      <c r="Q2" s="202"/>
      <c r="R2" s="200" t="e">
        <v>#N/A</v>
      </c>
      <c r="S2" s="201"/>
      <c r="T2" s="201"/>
      <c r="U2" s="201"/>
      <c r="V2" s="201"/>
      <c r="W2" s="201"/>
      <c r="X2" s="202"/>
      <c r="Y2" s="200" t="str">
        <f ca="1">VLOOKUP(RIGHT(CELL("filename",A2),LEN(CELL("filename",A2))-FIND("]",CELL("filename",A2))),テーブル一覧!B:AD,1,FALSE)</f>
        <v>仕入調整情報</v>
      </c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2"/>
      <c r="AP2" s="170"/>
      <c r="AQ2" s="171"/>
      <c r="AR2" s="171"/>
      <c r="AS2" s="171"/>
      <c r="AT2" s="172"/>
      <c r="AU2" s="259"/>
      <c r="AV2" s="260"/>
      <c r="AW2" s="260"/>
      <c r="AX2" s="260"/>
      <c r="AY2" s="261"/>
      <c r="AZ2" s="234" t="s">
        <v>15</v>
      </c>
      <c r="BA2" s="235"/>
      <c r="BB2" s="235"/>
      <c r="BC2" s="235"/>
      <c r="BD2" s="236"/>
    </row>
    <row r="3" spans="1:56" s="16" customFormat="1" ht="15" customHeight="1" x14ac:dyDescent="0.3">
      <c r="A3" s="250"/>
      <c r="B3" s="251"/>
      <c r="C3" s="251"/>
      <c r="D3" s="251"/>
      <c r="E3" s="251"/>
      <c r="F3" s="251"/>
      <c r="G3" s="251"/>
      <c r="H3" s="252"/>
      <c r="I3" s="203"/>
      <c r="J3" s="204"/>
      <c r="K3" s="204"/>
      <c r="L3" s="204"/>
      <c r="M3" s="204"/>
      <c r="N3" s="204"/>
      <c r="O3" s="204"/>
      <c r="P3" s="204"/>
      <c r="Q3" s="205"/>
      <c r="R3" s="203"/>
      <c r="S3" s="204"/>
      <c r="T3" s="204"/>
      <c r="U3" s="204"/>
      <c r="V3" s="204"/>
      <c r="W3" s="204"/>
      <c r="X3" s="205"/>
      <c r="Y3" s="206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8"/>
      <c r="AP3" s="173"/>
      <c r="AQ3" s="174"/>
      <c r="AR3" s="174"/>
      <c r="AS3" s="174"/>
      <c r="AT3" s="175"/>
      <c r="AU3" s="259"/>
      <c r="AV3" s="260"/>
      <c r="AW3" s="260"/>
      <c r="AX3" s="260"/>
      <c r="AY3" s="261"/>
      <c r="AZ3" s="234"/>
      <c r="BA3" s="235"/>
      <c r="BB3" s="235"/>
      <c r="BC3" s="235"/>
      <c r="BD3" s="236"/>
    </row>
    <row r="4" spans="1:56" s="16" customFormat="1" ht="15" customHeight="1" x14ac:dyDescent="0.3">
      <c r="A4" s="253"/>
      <c r="B4" s="254"/>
      <c r="C4" s="254"/>
      <c r="D4" s="254"/>
      <c r="E4" s="254"/>
      <c r="F4" s="254"/>
      <c r="G4" s="254"/>
      <c r="H4" s="255"/>
      <c r="I4" s="206"/>
      <c r="J4" s="207"/>
      <c r="K4" s="207"/>
      <c r="L4" s="207"/>
      <c r="M4" s="207"/>
      <c r="N4" s="207"/>
      <c r="O4" s="207"/>
      <c r="P4" s="207"/>
      <c r="Q4" s="208"/>
      <c r="R4" s="206"/>
      <c r="S4" s="207"/>
      <c r="T4" s="207"/>
      <c r="U4" s="207"/>
      <c r="V4" s="207"/>
      <c r="W4" s="207"/>
      <c r="X4" s="208"/>
      <c r="Y4" s="26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t_shiire_chosei_info</v>
      </c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3"/>
      <c r="AL4" s="263"/>
      <c r="AM4" s="263"/>
      <c r="AN4" s="263"/>
      <c r="AO4" s="264"/>
      <c r="AP4" s="173"/>
      <c r="AQ4" s="174"/>
      <c r="AR4" s="174"/>
      <c r="AS4" s="174"/>
      <c r="AT4" s="175"/>
      <c r="AU4" s="259"/>
      <c r="AV4" s="260"/>
      <c r="AW4" s="260"/>
      <c r="AX4" s="260"/>
      <c r="AY4" s="261"/>
      <c r="AZ4" s="234"/>
      <c r="BA4" s="235"/>
      <c r="BB4" s="235"/>
      <c r="BC4" s="235"/>
      <c r="BD4" s="236"/>
    </row>
    <row r="5" spans="1:56" ht="15" customHeigh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56" ht="15" customHeight="1" x14ac:dyDescent="0.3">
      <c r="A6" s="237" t="s">
        <v>101</v>
      </c>
      <c r="B6" s="239" t="s">
        <v>4</v>
      </c>
      <c r="C6" s="240"/>
      <c r="D6" s="240"/>
      <c r="E6" s="240"/>
      <c r="F6" s="240"/>
      <c r="G6" s="240"/>
      <c r="H6" s="241"/>
      <c r="I6" s="239" t="s">
        <v>5</v>
      </c>
      <c r="J6" s="240"/>
      <c r="K6" s="240"/>
      <c r="L6" s="240"/>
      <c r="M6" s="240"/>
      <c r="N6" s="240"/>
      <c r="O6" s="240"/>
      <c r="P6" s="240"/>
      <c r="Q6" s="241"/>
      <c r="R6" s="239" t="s">
        <v>121</v>
      </c>
      <c r="S6" s="240"/>
      <c r="T6" s="240"/>
      <c r="U6" s="240"/>
      <c r="V6" s="240"/>
      <c r="W6" s="240"/>
      <c r="X6" s="241"/>
      <c r="Y6" s="239" t="s">
        <v>6</v>
      </c>
      <c r="Z6" s="241"/>
      <c r="AA6" s="239" t="s">
        <v>7</v>
      </c>
      <c r="AB6" s="240"/>
      <c r="AC6" s="241"/>
      <c r="AD6" s="223" t="s">
        <v>8</v>
      </c>
      <c r="AE6" s="245" t="s">
        <v>9</v>
      </c>
      <c r="AF6" s="223" t="s">
        <v>10</v>
      </c>
      <c r="AG6" s="223" t="s">
        <v>11</v>
      </c>
      <c r="AH6" s="223" t="s">
        <v>12</v>
      </c>
      <c r="AI6" s="225" t="s">
        <v>13</v>
      </c>
      <c r="AJ6" s="226"/>
      <c r="AK6" s="226"/>
      <c r="AL6" s="226"/>
      <c r="AM6" s="226"/>
      <c r="AN6" s="226"/>
      <c r="AO6" s="226"/>
      <c r="AP6" s="226"/>
      <c r="AQ6" s="226"/>
      <c r="AR6" s="227"/>
      <c r="AS6" s="228" t="s">
        <v>14</v>
      </c>
      <c r="AT6" s="229"/>
      <c r="AU6" s="229"/>
      <c r="AV6" s="229"/>
      <c r="AW6" s="229"/>
      <c r="AX6" s="229"/>
      <c r="AY6" s="229"/>
      <c r="AZ6" s="229"/>
      <c r="BA6" s="229"/>
      <c r="BB6" s="229"/>
      <c r="BC6" s="229"/>
      <c r="BD6" s="230"/>
    </row>
    <row r="7" spans="1:56" ht="15" customHeight="1" x14ac:dyDescent="0.3">
      <c r="A7" s="238"/>
      <c r="B7" s="242"/>
      <c r="C7" s="243"/>
      <c r="D7" s="243"/>
      <c r="E7" s="243"/>
      <c r="F7" s="243"/>
      <c r="G7" s="243"/>
      <c r="H7" s="244"/>
      <c r="I7" s="242"/>
      <c r="J7" s="243"/>
      <c r="K7" s="243"/>
      <c r="L7" s="243"/>
      <c r="M7" s="243"/>
      <c r="N7" s="243"/>
      <c r="O7" s="243"/>
      <c r="P7" s="243"/>
      <c r="Q7" s="244"/>
      <c r="R7" s="242"/>
      <c r="S7" s="243"/>
      <c r="T7" s="243"/>
      <c r="U7" s="243"/>
      <c r="V7" s="243"/>
      <c r="W7" s="243"/>
      <c r="X7" s="244"/>
      <c r="Y7" s="242"/>
      <c r="Z7" s="244"/>
      <c r="AA7" s="242"/>
      <c r="AB7" s="243"/>
      <c r="AC7" s="244"/>
      <c r="AD7" s="224"/>
      <c r="AE7" s="246"/>
      <c r="AF7" s="224"/>
      <c r="AG7" s="224"/>
      <c r="AH7" s="224"/>
      <c r="AI7" s="46">
        <v>1</v>
      </c>
      <c r="AJ7" s="46">
        <v>2</v>
      </c>
      <c r="AK7" s="46">
        <v>3</v>
      </c>
      <c r="AL7" s="46">
        <v>4</v>
      </c>
      <c r="AM7" s="46">
        <v>5</v>
      </c>
      <c r="AN7" s="46">
        <v>6</v>
      </c>
      <c r="AO7" s="46">
        <v>7</v>
      </c>
      <c r="AP7" s="46">
        <v>8</v>
      </c>
      <c r="AQ7" s="46">
        <v>9</v>
      </c>
      <c r="AR7" s="46">
        <v>10</v>
      </c>
      <c r="AS7" s="231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</row>
    <row r="8" spans="1:56" ht="15" customHeight="1" x14ac:dyDescent="0.3">
      <c r="A8" s="44">
        <f>IF(B8="","",COUNTA($B$8:B8))</f>
        <v>1</v>
      </c>
      <c r="B8" s="18" t="s">
        <v>182</v>
      </c>
      <c r="C8" s="19"/>
      <c r="D8" s="19"/>
      <c r="E8" s="19"/>
      <c r="F8" s="19"/>
      <c r="G8" s="19"/>
      <c r="H8" s="22"/>
      <c r="I8" s="64" t="str">
        <f>VLOOKUP(B8,項目一覧2!A:B,2,FALSE)</f>
        <v>shiire_no</v>
      </c>
      <c r="J8" s="21"/>
      <c r="K8" s="21"/>
      <c r="L8" s="21"/>
      <c r="M8" s="21"/>
      <c r="N8" s="21"/>
      <c r="O8" s="21"/>
      <c r="P8" s="21"/>
      <c r="Q8" s="32"/>
      <c r="R8" s="18" t="s">
        <v>182</v>
      </c>
      <c r="S8" s="21"/>
      <c r="T8" s="21"/>
      <c r="U8" s="21"/>
      <c r="V8" s="21"/>
      <c r="W8" s="19"/>
      <c r="X8" s="22"/>
      <c r="Y8" s="212" t="s">
        <v>113</v>
      </c>
      <c r="Z8" s="217"/>
      <c r="AA8" s="214" t="s">
        <v>107</v>
      </c>
      <c r="AB8" s="215"/>
      <c r="AC8" s="216"/>
      <c r="AD8" s="25">
        <v>10</v>
      </c>
      <c r="AE8" s="26"/>
      <c r="AF8" s="26" t="s">
        <v>120</v>
      </c>
      <c r="AG8" s="26" t="s">
        <v>123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58"/>
    </row>
    <row r="9" spans="1:56" ht="15" customHeight="1" x14ac:dyDescent="0.3">
      <c r="A9" s="44">
        <f>IF(B9="","",COUNTA($B$8:B9))</f>
        <v>2</v>
      </c>
      <c r="B9" s="41" t="s">
        <v>1997</v>
      </c>
      <c r="C9" s="39"/>
      <c r="D9" s="39"/>
      <c r="E9" s="39"/>
      <c r="F9" s="39"/>
      <c r="G9" s="39"/>
      <c r="H9" s="40"/>
      <c r="I9" s="64" t="str">
        <f>VLOOKUP(B9,項目一覧2!A:B,2,FALSE)</f>
        <v>bunrui_cd</v>
      </c>
      <c r="J9" s="30"/>
      <c r="K9" s="30"/>
      <c r="L9" s="30"/>
      <c r="M9" s="30"/>
      <c r="N9" s="30"/>
      <c r="O9" s="30"/>
      <c r="P9" s="30"/>
      <c r="Q9" s="31"/>
      <c r="R9" s="41" t="s">
        <v>1997</v>
      </c>
      <c r="S9" s="21"/>
      <c r="T9" s="33"/>
      <c r="U9" s="21"/>
      <c r="V9" s="21"/>
      <c r="W9" s="21"/>
      <c r="X9" s="22"/>
      <c r="Y9" s="212" t="s">
        <v>56</v>
      </c>
      <c r="Z9" s="213"/>
      <c r="AA9" s="214" t="s">
        <v>1752</v>
      </c>
      <c r="AB9" s="215"/>
      <c r="AC9" s="216"/>
      <c r="AD9" s="25">
        <v>30</v>
      </c>
      <c r="AE9" s="27"/>
      <c r="AF9" s="27">
        <v>2</v>
      </c>
      <c r="AG9" s="26" t="s">
        <v>123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1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58"/>
    </row>
    <row r="10" spans="1:56" ht="15" customHeight="1" x14ac:dyDescent="0.3">
      <c r="A10" s="44">
        <f>IF(B10="","",COUNTA($B$8:B10))</f>
        <v>3</v>
      </c>
      <c r="B10" s="41" t="s">
        <v>210</v>
      </c>
      <c r="C10" s="39"/>
      <c r="D10" s="39"/>
      <c r="E10" s="39"/>
      <c r="F10" s="39"/>
      <c r="G10" s="39"/>
      <c r="H10" s="40"/>
      <c r="I10" s="64" t="str">
        <f>VLOOKUP(B10,項目一覧2!A:B,2,FALSE)</f>
        <v>meisai_seq</v>
      </c>
      <c r="J10" s="21"/>
      <c r="K10" s="30"/>
      <c r="L10" s="30"/>
      <c r="M10" s="30"/>
      <c r="N10" s="30"/>
      <c r="O10" s="30"/>
      <c r="P10" s="30"/>
      <c r="Q10" s="31"/>
      <c r="R10" s="41" t="s">
        <v>1529</v>
      </c>
      <c r="S10" s="30"/>
      <c r="T10" s="30"/>
      <c r="U10" s="30"/>
      <c r="V10" s="30"/>
      <c r="W10" s="30"/>
      <c r="X10" s="30"/>
      <c r="Y10" s="212" t="s">
        <v>108</v>
      </c>
      <c r="Z10" s="213"/>
      <c r="AA10" s="214" t="s">
        <v>110</v>
      </c>
      <c r="AB10" s="215"/>
      <c r="AC10" s="216"/>
      <c r="AD10" s="25">
        <v>5</v>
      </c>
      <c r="AE10" s="27"/>
      <c r="AF10" s="27">
        <v>3</v>
      </c>
      <c r="AG10" s="26" t="s">
        <v>123</v>
      </c>
      <c r="AH10" s="27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58"/>
    </row>
    <row r="11" spans="1:56" ht="15" customHeight="1" x14ac:dyDescent="0.3">
      <c r="A11" s="44">
        <f>IF(B11="","",COUNTA($B$8:B11))</f>
        <v>4</v>
      </c>
      <c r="B11" s="41" t="s">
        <v>1563</v>
      </c>
      <c r="C11" s="39"/>
      <c r="D11" s="39"/>
      <c r="E11" s="39"/>
      <c r="F11" s="39"/>
      <c r="G11" s="39"/>
      <c r="H11" s="40"/>
      <c r="I11" s="64" t="str">
        <f>VLOOKUP(B11,項目一覧2!A:B,2,FALSE)</f>
        <v>chosei_seq</v>
      </c>
      <c r="J11" s="21"/>
      <c r="K11" s="30"/>
      <c r="L11" s="30"/>
      <c r="M11" s="30"/>
      <c r="N11" s="30"/>
      <c r="O11" s="30"/>
      <c r="P11" s="30"/>
      <c r="Q11" s="31"/>
      <c r="R11" s="41" t="s">
        <v>1563</v>
      </c>
      <c r="S11" s="30"/>
      <c r="T11" s="30"/>
      <c r="U11" s="30"/>
      <c r="V11" s="30"/>
      <c r="W11" s="30"/>
      <c r="X11" s="30"/>
      <c r="Y11" s="212" t="s">
        <v>108</v>
      </c>
      <c r="Z11" s="213"/>
      <c r="AA11" s="214" t="s">
        <v>110</v>
      </c>
      <c r="AB11" s="215"/>
      <c r="AC11" s="216"/>
      <c r="AD11" s="25">
        <v>5</v>
      </c>
      <c r="AE11" s="27"/>
      <c r="AF11" s="27">
        <v>4</v>
      </c>
      <c r="AG11" s="26" t="s">
        <v>123</v>
      </c>
      <c r="AH11" s="27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9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8"/>
    </row>
    <row r="12" spans="1:56" ht="15" customHeight="1" x14ac:dyDescent="0.3">
      <c r="A12" s="44">
        <f>IF(B12="","",COUNTA($B$8:B12))</f>
        <v>5</v>
      </c>
      <c r="B12" s="18" t="s">
        <v>1564</v>
      </c>
      <c r="C12" s="19"/>
      <c r="D12" s="19"/>
      <c r="E12" s="19"/>
      <c r="F12" s="19"/>
      <c r="G12" s="19"/>
      <c r="H12" s="22"/>
      <c r="I12" s="64" t="str">
        <f>VLOOKUP(B12,項目一覧2!A:B,2,FALSE)</f>
        <v>chosei_moto_shiire_no</v>
      </c>
      <c r="J12" s="21"/>
      <c r="K12" s="21"/>
      <c r="L12" s="21"/>
      <c r="M12" s="21"/>
      <c r="N12" s="21"/>
      <c r="O12" s="21"/>
      <c r="P12" s="21"/>
      <c r="Q12" s="32"/>
      <c r="R12" s="18" t="s">
        <v>1564</v>
      </c>
      <c r="S12" s="21"/>
      <c r="T12" s="21"/>
      <c r="U12" s="21"/>
      <c r="V12" s="21"/>
      <c r="W12" s="19"/>
      <c r="X12" s="22"/>
      <c r="Y12" s="212" t="s">
        <v>113</v>
      </c>
      <c r="Z12" s="217"/>
      <c r="AA12" s="214" t="s">
        <v>107</v>
      </c>
      <c r="AB12" s="215"/>
      <c r="AC12" s="216"/>
      <c r="AD12" s="25">
        <v>10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8"/>
    </row>
    <row r="13" spans="1:56" ht="15" customHeight="1" x14ac:dyDescent="0.3">
      <c r="A13" s="44">
        <f>IF(B13="","",COUNTA($B$8:B13))</f>
        <v>6</v>
      </c>
      <c r="B13" s="18" t="s">
        <v>1565</v>
      </c>
      <c r="C13" s="19"/>
      <c r="D13" s="19"/>
      <c r="E13" s="19"/>
      <c r="F13" s="19"/>
      <c r="G13" s="19"/>
      <c r="H13" s="22"/>
      <c r="I13" s="64" t="str">
        <f>VLOOKUP(B13,項目一覧2!A:B,2,FALSE)</f>
        <v>chosei_moto_shiire_meisai_seq</v>
      </c>
      <c r="J13" s="21"/>
      <c r="K13" s="21"/>
      <c r="L13" s="21"/>
      <c r="M13" s="21"/>
      <c r="N13" s="21"/>
      <c r="O13" s="21"/>
      <c r="P13" s="21"/>
      <c r="Q13" s="32"/>
      <c r="R13" s="18" t="s">
        <v>1565</v>
      </c>
      <c r="S13" s="21"/>
      <c r="T13" s="21"/>
      <c r="U13" s="21"/>
      <c r="V13" s="21"/>
      <c r="W13" s="19"/>
      <c r="X13" s="22"/>
      <c r="Y13" s="212" t="s">
        <v>108</v>
      </c>
      <c r="Z13" s="217"/>
      <c r="AA13" s="214" t="s">
        <v>110</v>
      </c>
      <c r="AB13" s="215"/>
      <c r="AC13" s="216"/>
      <c r="AD13" s="25">
        <v>5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58"/>
    </row>
    <row r="14" spans="1:56" ht="15" customHeight="1" x14ac:dyDescent="0.3">
      <c r="A14" s="44">
        <f>IF(B14="","",COUNTA($B$8:B14))</f>
        <v>7</v>
      </c>
      <c r="B14" s="18" t="s">
        <v>142</v>
      </c>
      <c r="C14" s="19"/>
      <c r="D14" s="19"/>
      <c r="E14" s="19"/>
      <c r="F14" s="19"/>
      <c r="G14" s="19"/>
      <c r="H14" s="22"/>
      <c r="I14" s="64" t="str">
        <f>VLOOKUP(B14,項目一覧2!A:B,2,FALSE)</f>
        <v>shukan_busho_cd</v>
      </c>
      <c r="J14" s="21"/>
      <c r="K14" s="21"/>
      <c r="L14" s="21"/>
      <c r="M14" s="21"/>
      <c r="N14" s="21"/>
      <c r="O14" s="21"/>
      <c r="P14" s="21"/>
      <c r="Q14" s="32"/>
      <c r="R14" s="18" t="s">
        <v>144</v>
      </c>
      <c r="S14" s="21"/>
      <c r="T14" s="21"/>
      <c r="U14" s="21"/>
      <c r="V14" s="21"/>
      <c r="W14" s="21"/>
      <c r="X14" s="22"/>
      <c r="Y14" s="212" t="s">
        <v>56</v>
      </c>
      <c r="Z14" s="213"/>
      <c r="AA14" s="214" t="s">
        <v>107</v>
      </c>
      <c r="AB14" s="215"/>
      <c r="AC14" s="216"/>
      <c r="AD14" s="25">
        <v>4</v>
      </c>
      <c r="AE14" s="26"/>
      <c r="AF14" s="26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58"/>
    </row>
    <row r="15" spans="1:56" ht="15" customHeight="1" x14ac:dyDescent="0.3">
      <c r="A15" s="44">
        <f>IF(B15="","",COUNTA($B$8:B15))</f>
        <v>8</v>
      </c>
      <c r="B15" s="18" t="s">
        <v>143</v>
      </c>
      <c r="C15" s="19"/>
      <c r="D15" s="19"/>
      <c r="E15" s="19"/>
      <c r="F15" s="19"/>
      <c r="G15" s="19"/>
      <c r="H15" s="22"/>
      <c r="I15" s="64" t="str">
        <f>VLOOKUP(B15,項目一覧2!A:B,2,FALSE)</f>
        <v>shukan_kotei_cd</v>
      </c>
      <c r="J15" s="21"/>
      <c r="K15" s="21"/>
      <c r="L15" s="21"/>
      <c r="M15" s="21"/>
      <c r="N15" s="21"/>
      <c r="O15" s="21"/>
      <c r="P15" s="21"/>
      <c r="Q15" s="32"/>
      <c r="R15" s="18" t="s">
        <v>143</v>
      </c>
      <c r="S15" s="21"/>
      <c r="T15" s="21"/>
      <c r="U15" s="21"/>
      <c r="V15" s="21"/>
      <c r="W15" s="21"/>
      <c r="X15" s="22"/>
      <c r="Y15" s="212" t="s">
        <v>56</v>
      </c>
      <c r="Z15" s="213"/>
      <c r="AA15" s="214" t="s">
        <v>107</v>
      </c>
      <c r="AB15" s="215"/>
      <c r="AC15" s="216"/>
      <c r="AD15" s="25">
        <v>4</v>
      </c>
      <c r="AE15" s="26"/>
      <c r="AF15" s="26"/>
      <c r="AG15" s="26"/>
      <c r="AH15" s="36"/>
      <c r="AI15" s="36"/>
      <c r="AJ15" s="36"/>
      <c r="AK15" s="36"/>
      <c r="AL15" s="36"/>
      <c r="AM15" s="36"/>
      <c r="AN15" s="36"/>
      <c r="AO15" s="37"/>
      <c r="AP15" s="37"/>
      <c r="AQ15" s="37"/>
      <c r="AR15" s="37"/>
      <c r="AS15" s="38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58"/>
    </row>
    <row r="16" spans="1:56" ht="15" customHeight="1" x14ac:dyDescent="0.3">
      <c r="A16" s="44">
        <f>IF(B16="","",COUNTA($B$8:B16))</f>
        <v>9</v>
      </c>
      <c r="B16" s="18" t="s">
        <v>580</v>
      </c>
      <c r="C16" s="19"/>
      <c r="D16" s="19"/>
      <c r="E16" s="19"/>
      <c r="F16" s="19"/>
      <c r="G16" s="19"/>
      <c r="H16" s="22"/>
      <c r="I16" s="64" t="str">
        <f>VLOOKUP(B16,項目一覧2!A:B,2,FALSE)</f>
        <v>insert_func_cd</v>
      </c>
      <c r="J16" s="33"/>
      <c r="K16" s="21"/>
      <c r="L16" s="21"/>
      <c r="M16" s="21"/>
      <c r="N16" s="21"/>
      <c r="O16" s="21"/>
      <c r="P16" s="21"/>
      <c r="Q16" s="32"/>
      <c r="R16" s="18" t="s">
        <v>118</v>
      </c>
      <c r="S16" s="21"/>
      <c r="T16" s="33"/>
      <c r="U16" s="21"/>
      <c r="V16" s="21"/>
      <c r="W16" s="21"/>
      <c r="X16" s="22"/>
      <c r="Y16" s="212" t="s">
        <v>113</v>
      </c>
      <c r="Z16" s="217"/>
      <c r="AA16" s="214" t="s">
        <v>107</v>
      </c>
      <c r="AB16" s="215"/>
      <c r="AC16" s="216"/>
      <c r="AD16" s="25">
        <v>10</v>
      </c>
      <c r="AE16" s="27"/>
      <c r="AF16" s="27"/>
      <c r="AG16" s="26" t="s">
        <v>123</v>
      </c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8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8"/>
    </row>
    <row r="17" spans="1:56" ht="15" customHeight="1" x14ac:dyDescent="0.3">
      <c r="A17" s="61">
        <f>IF(B17="","",COUNTA($B$8:B17))</f>
        <v>10</v>
      </c>
      <c r="B17" s="18" t="s">
        <v>114</v>
      </c>
      <c r="C17" s="19"/>
      <c r="D17" s="19"/>
      <c r="E17" s="19"/>
      <c r="F17" s="19"/>
      <c r="G17" s="19"/>
      <c r="H17" s="22"/>
      <c r="I17" s="64" t="str">
        <f>VLOOKUP(B17,項目一覧2!A:B,2,FALSE)</f>
        <v>insert_user_cd</v>
      </c>
      <c r="J17" s="33"/>
      <c r="K17" s="21"/>
      <c r="L17" s="21"/>
      <c r="M17" s="21"/>
      <c r="N17" s="21"/>
      <c r="O17" s="21"/>
      <c r="P17" s="21"/>
      <c r="Q17" s="32"/>
      <c r="R17" s="18" t="s">
        <v>114</v>
      </c>
      <c r="S17" s="21"/>
      <c r="T17" s="33"/>
      <c r="U17" s="21"/>
      <c r="V17" s="21"/>
      <c r="W17" s="21"/>
      <c r="X17" s="22"/>
      <c r="Y17" s="212" t="s">
        <v>113</v>
      </c>
      <c r="Z17" s="217"/>
      <c r="AA17" s="214" t="s">
        <v>107</v>
      </c>
      <c r="AB17" s="215"/>
      <c r="AC17" s="216"/>
      <c r="AD17" s="25">
        <v>10</v>
      </c>
      <c r="AE17" s="27"/>
      <c r="AF17" s="27"/>
      <c r="AG17" s="26" t="s">
        <v>123</v>
      </c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2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60"/>
    </row>
    <row r="18" spans="1:56" ht="15" customHeight="1" x14ac:dyDescent="0.3">
      <c r="A18" s="61">
        <f>IF(B18="","",COUNTA($B$8:B18))</f>
        <v>11</v>
      </c>
      <c r="B18" s="18" t="s">
        <v>115</v>
      </c>
      <c r="C18" s="19"/>
      <c r="D18" s="19"/>
      <c r="E18" s="19"/>
      <c r="F18" s="19"/>
      <c r="G18" s="19"/>
      <c r="H18" s="22"/>
      <c r="I18" s="64" t="str">
        <f>VLOOKUP(B18,項目一覧2!A:B,2,FALSE)</f>
        <v>insert_datetime</v>
      </c>
      <c r="J18" s="33"/>
      <c r="K18" s="21"/>
      <c r="L18" s="21"/>
      <c r="M18" s="21"/>
      <c r="N18" s="21"/>
      <c r="O18" s="21"/>
      <c r="P18" s="21"/>
      <c r="Q18" s="32"/>
      <c r="R18" s="18" t="s">
        <v>115</v>
      </c>
      <c r="S18" s="21"/>
      <c r="T18" s="33"/>
      <c r="U18" s="21"/>
      <c r="V18" s="21"/>
      <c r="W18" s="21"/>
      <c r="X18" s="22"/>
      <c r="Y18" s="212" t="s">
        <v>87</v>
      </c>
      <c r="Z18" s="217"/>
      <c r="AA18" s="214" t="s">
        <v>109</v>
      </c>
      <c r="AB18" s="215"/>
      <c r="AC18" s="216"/>
      <c r="AD18" s="45"/>
      <c r="AE18" s="27"/>
      <c r="AF18" s="27"/>
      <c r="AG18" s="26" t="s">
        <v>123</v>
      </c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60"/>
    </row>
    <row r="19" spans="1:56" ht="15" customHeight="1" x14ac:dyDescent="0.3">
      <c r="A19" s="61">
        <f>IF(B19="","",COUNTA($B$8:B19))</f>
        <v>12</v>
      </c>
      <c r="B19" t="s">
        <v>1431</v>
      </c>
      <c r="C19" s="19"/>
      <c r="D19" s="19"/>
      <c r="E19" s="19"/>
      <c r="F19" s="19"/>
      <c r="G19" s="19"/>
      <c r="H19" s="22"/>
      <c r="I19" s="64" t="str">
        <f>VLOOKUP(B19,項目一覧2!A:B,2,FALSE)</f>
        <v>update_func_cd</v>
      </c>
      <c r="J19" s="33"/>
      <c r="K19" s="21"/>
      <c r="L19" s="21"/>
      <c r="M19" s="21"/>
      <c r="N19" s="21"/>
      <c r="O19" s="21"/>
      <c r="P19" s="21"/>
      <c r="Q19" s="32"/>
      <c r="R19" s="18" t="s">
        <v>119</v>
      </c>
      <c r="S19" s="21"/>
      <c r="T19" s="33"/>
      <c r="U19" s="21"/>
      <c r="V19" s="21"/>
      <c r="W19" s="21"/>
      <c r="X19" s="22"/>
      <c r="Y19" s="212" t="s">
        <v>113</v>
      </c>
      <c r="Z19" s="217"/>
      <c r="AA19" s="214" t="s">
        <v>107</v>
      </c>
      <c r="AB19" s="215"/>
      <c r="AC19" s="216"/>
      <c r="AD19" s="25">
        <v>10</v>
      </c>
      <c r="AE19" s="27"/>
      <c r="AF19" s="27"/>
      <c r="AG19" s="26" t="s">
        <v>123</v>
      </c>
      <c r="AH19" s="26"/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60"/>
    </row>
    <row r="20" spans="1:56" ht="15" customHeight="1" x14ac:dyDescent="0.3">
      <c r="A20" s="61">
        <f>IF(B20="","",COUNTA($B$8:B20))</f>
        <v>13</v>
      </c>
      <c r="B20" s="18" t="s">
        <v>116</v>
      </c>
      <c r="C20" s="19"/>
      <c r="D20" s="19"/>
      <c r="E20" s="19"/>
      <c r="F20" s="19"/>
      <c r="G20" s="19"/>
      <c r="H20" s="22"/>
      <c r="I20" s="64" t="str">
        <f>VLOOKUP(B20,項目一覧2!A:B,2,FALSE)</f>
        <v>update_user_cd</v>
      </c>
      <c r="J20" s="33"/>
      <c r="K20" s="21"/>
      <c r="L20" s="21"/>
      <c r="M20" s="21"/>
      <c r="N20" s="21"/>
      <c r="O20" s="21"/>
      <c r="P20" s="21"/>
      <c r="Q20" s="32"/>
      <c r="R20" s="18" t="s">
        <v>116</v>
      </c>
      <c r="S20" s="21"/>
      <c r="T20" s="33"/>
      <c r="U20" s="21"/>
      <c r="V20" s="21"/>
      <c r="W20" s="21"/>
      <c r="X20" s="22"/>
      <c r="Y20" s="212" t="s">
        <v>113</v>
      </c>
      <c r="Z20" s="217"/>
      <c r="AA20" s="214" t="s">
        <v>107</v>
      </c>
      <c r="AB20" s="215"/>
      <c r="AC20" s="216"/>
      <c r="AD20" s="45">
        <v>10</v>
      </c>
      <c r="AE20" s="27"/>
      <c r="AF20" s="27"/>
      <c r="AG20" s="26"/>
      <c r="AH20" s="26"/>
      <c r="AI20" s="26"/>
      <c r="AJ20" s="26"/>
      <c r="AK20" s="26"/>
      <c r="AL20" s="26"/>
      <c r="AM20" s="26"/>
      <c r="AN20" s="26"/>
      <c r="AO20" s="27"/>
      <c r="AP20" s="27"/>
      <c r="AQ20" s="27"/>
      <c r="AR20" s="27"/>
      <c r="AS20" s="2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60"/>
    </row>
    <row r="21" spans="1:56" ht="15" customHeight="1" x14ac:dyDescent="0.3">
      <c r="A21" s="61">
        <f>IF(B21="","",COUNTA($B$8:B21))</f>
        <v>14</v>
      </c>
      <c r="B21" s="18" t="s">
        <v>117</v>
      </c>
      <c r="C21" s="19"/>
      <c r="D21" s="19"/>
      <c r="E21" s="19"/>
      <c r="F21" s="19"/>
      <c r="G21" s="19"/>
      <c r="H21" s="22"/>
      <c r="I21" s="64" t="str">
        <f>VLOOKUP(B21,項目一覧2!A:B,2,FALSE)</f>
        <v>update_datetime</v>
      </c>
      <c r="J21" s="33"/>
      <c r="K21" s="21"/>
      <c r="L21" s="21"/>
      <c r="M21" s="21"/>
      <c r="N21" s="21"/>
      <c r="O21" s="21"/>
      <c r="P21" s="21"/>
      <c r="Q21" s="32"/>
      <c r="R21" s="18" t="s">
        <v>117</v>
      </c>
      <c r="S21" s="21"/>
      <c r="T21" s="33"/>
      <c r="U21" s="21"/>
      <c r="V21" s="21"/>
      <c r="W21" s="21"/>
      <c r="X21" s="22"/>
      <c r="Y21" s="212" t="s">
        <v>87</v>
      </c>
      <c r="Z21" s="217"/>
      <c r="AA21" s="214" t="s">
        <v>109</v>
      </c>
      <c r="AB21" s="215"/>
      <c r="AC21" s="216"/>
      <c r="AD21" s="45"/>
      <c r="AE21" s="27"/>
      <c r="AF21" s="27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60"/>
    </row>
    <row r="22" spans="1:56" ht="15" customHeight="1" x14ac:dyDescent="0.3">
      <c r="A22" s="61" t="str">
        <f>IF(B22="","",COUNTA($B$8:B22))</f>
        <v/>
      </c>
      <c r="B22" s="20"/>
      <c r="C22" s="19"/>
      <c r="D22" s="19"/>
      <c r="E22" s="19"/>
      <c r="F22" s="19"/>
      <c r="G22" s="19"/>
      <c r="H22" s="22"/>
      <c r="I22" s="20"/>
      <c r="J22" s="21"/>
      <c r="K22" s="21"/>
      <c r="L22" s="21"/>
      <c r="M22" s="21"/>
      <c r="N22" s="21"/>
      <c r="O22" s="21"/>
      <c r="P22" s="21"/>
      <c r="Q22" s="32"/>
      <c r="R22" s="20"/>
      <c r="S22" s="21"/>
      <c r="T22" s="21"/>
      <c r="U22" s="21"/>
      <c r="V22" s="21"/>
      <c r="W22" s="21"/>
      <c r="X22" s="19"/>
      <c r="Y22" s="212"/>
      <c r="Z22" s="213"/>
      <c r="AA22" s="214"/>
      <c r="AB22" s="215"/>
      <c r="AC22" s="216"/>
      <c r="AD22" s="25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60"/>
    </row>
    <row r="23" spans="1:56" ht="15" customHeight="1" x14ac:dyDescent="0.3">
      <c r="A23" s="61" t="str">
        <f>IF(B23="","",COUNTA($B$8:B23))</f>
        <v/>
      </c>
      <c r="B23" s="20"/>
      <c r="C23" s="19"/>
      <c r="D23" s="19"/>
      <c r="E23" s="19"/>
      <c r="F23" s="19"/>
      <c r="G23" s="19"/>
      <c r="H23" s="22"/>
      <c r="I23" s="20"/>
      <c r="J23" s="21"/>
      <c r="K23" s="21"/>
      <c r="L23" s="21"/>
      <c r="M23" s="21"/>
      <c r="N23" s="21"/>
      <c r="O23" s="21"/>
      <c r="P23" s="21"/>
      <c r="Q23" s="32"/>
      <c r="R23" s="20"/>
      <c r="S23" s="21"/>
      <c r="T23" s="21"/>
      <c r="U23" s="21"/>
      <c r="V23" s="21"/>
      <c r="W23" s="21"/>
      <c r="X23" s="19"/>
      <c r="Y23" s="212"/>
      <c r="Z23" s="213"/>
      <c r="AA23" s="214"/>
      <c r="AB23" s="215"/>
      <c r="AC23" s="216"/>
      <c r="AD23" s="25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60"/>
    </row>
    <row r="24" spans="1:56" ht="15" customHeight="1" x14ac:dyDescent="0.3">
      <c r="A24" s="61" t="str">
        <f>IF(B24="","",COUNTA($B$8:B24))</f>
        <v/>
      </c>
      <c r="B24" s="20"/>
      <c r="C24" s="19"/>
      <c r="D24" s="19"/>
      <c r="E24" s="19"/>
      <c r="F24" s="19"/>
      <c r="G24" s="19"/>
      <c r="H24" s="22"/>
      <c r="I24" s="20"/>
      <c r="J24" s="21"/>
      <c r="K24" s="21"/>
      <c r="L24" s="21"/>
      <c r="M24" s="21"/>
      <c r="N24" s="21"/>
      <c r="O24" s="21"/>
      <c r="P24" s="21"/>
      <c r="Q24" s="32"/>
      <c r="R24" s="20"/>
      <c r="S24" s="21"/>
      <c r="T24" s="21"/>
      <c r="U24" s="21"/>
      <c r="V24" s="21"/>
      <c r="W24" s="21"/>
      <c r="X24" s="19"/>
      <c r="Y24" s="212"/>
      <c r="Z24" s="213"/>
      <c r="AA24" s="214"/>
      <c r="AB24" s="215"/>
      <c r="AC24" s="216"/>
      <c r="AD24" s="25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60"/>
    </row>
    <row r="25" spans="1:56" ht="15" customHeight="1" x14ac:dyDescent="0.3">
      <c r="A25" s="61" t="str">
        <f>IF(B25="","",COUNTA($B$8:B25))</f>
        <v/>
      </c>
      <c r="B25" s="20"/>
      <c r="C25" s="19"/>
      <c r="D25" s="19"/>
      <c r="E25" s="19"/>
      <c r="F25" s="19"/>
      <c r="G25" s="19"/>
      <c r="H25" s="22"/>
      <c r="I25" s="20"/>
      <c r="J25" s="21"/>
      <c r="K25" s="21"/>
      <c r="L25" s="21"/>
      <c r="M25" s="21"/>
      <c r="N25" s="21"/>
      <c r="O25" s="21"/>
      <c r="P25" s="21"/>
      <c r="Q25" s="32"/>
      <c r="R25" s="20"/>
      <c r="S25" s="21"/>
      <c r="T25" s="21"/>
      <c r="U25" s="21"/>
      <c r="V25" s="21"/>
      <c r="W25" s="21"/>
      <c r="X25" s="19"/>
      <c r="Y25" s="212"/>
      <c r="Z25" s="213"/>
      <c r="AA25" s="214"/>
      <c r="AB25" s="215"/>
      <c r="AC25" s="216"/>
      <c r="AD25" s="25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7"/>
      <c r="AP25" s="27"/>
      <c r="AQ25" s="27"/>
      <c r="AR25" s="27"/>
      <c r="AS25" s="2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60"/>
    </row>
    <row r="26" spans="1:56" ht="15" customHeight="1" x14ac:dyDescent="0.3">
      <c r="A26" s="61" t="str">
        <f>IF(B26="","",COUNTA($B$8:B26))</f>
        <v/>
      </c>
      <c r="B26" s="20"/>
      <c r="C26" s="19"/>
      <c r="D26" s="19"/>
      <c r="E26" s="19"/>
      <c r="F26" s="19"/>
      <c r="G26" s="19"/>
      <c r="H26" s="22"/>
      <c r="I26" s="20"/>
      <c r="J26" s="21"/>
      <c r="K26" s="21"/>
      <c r="L26" s="21"/>
      <c r="M26" s="21"/>
      <c r="N26" s="21"/>
      <c r="O26" s="21"/>
      <c r="P26" s="21"/>
      <c r="Q26" s="32"/>
      <c r="R26" s="20"/>
      <c r="S26" s="21"/>
      <c r="T26" s="21"/>
      <c r="U26" s="21"/>
      <c r="V26" s="21"/>
      <c r="W26" s="21"/>
      <c r="X26" s="19"/>
      <c r="Y26" s="212"/>
      <c r="Z26" s="213"/>
      <c r="AA26" s="214"/>
      <c r="AB26" s="215"/>
      <c r="AC26" s="216"/>
      <c r="AD26" s="25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60"/>
    </row>
    <row r="27" spans="1:56" ht="15" customHeight="1" x14ac:dyDescent="0.3">
      <c r="A27" s="61" t="str">
        <f>IF(B27="","",COUNTA($B$8:B27))</f>
        <v/>
      </c>
      <c r="B27" s="20"/>
      <c r="C27" s="19"/>
      <c r="D27" s="19"/>
      <c r="E27" s="19"/>
      <c r="F27" s="19"/>
      <c r="G27" s="19"/>
      <c r="H27" s="22"/>
      <c r="I27" s="20"/>
      <c r="J27" s="21"/>
      <c r="K27" s="21"/>
      <c r="L27" s="21"/>
      <c r="M27" s="21"/>
      <c r="N27" s="21"/>
      <c r="O27" s="21"/>
      <c r="P27" s="21"/>
      <c r="Q27" s="32"/>
      <c r="R27" s="20"/>
      <c r="S27" s="21"/>
      <c r="T27" s="21"/>
      <c r="U27" s="21"/>
      <c r="V27" s="21"/>
      <c r="W27" s="21"/>
      <c r="X27" s="19"/>
      <c r="Y27" s="212"/>
      <c r="Z27" s="213"/>
      <c r="AA27" s="214"/>
      <c r="AB27" s="215"/>
      <c r="AC27" s="216"/>
      <c r="AD27" s="25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60"/>
    </row>
    <row r="28" spans="1:56" ht="15" customHeight="1" x14ac:dyDescent="0.3">
      <c r="A28" s="44" t="str">
        <f>IF(B28="","",COUNTA($B$8:B28))</f>
        <v/>
      </c>
      <c r="B28" s="41"/>
      <c r="C28" s="39"/>
      <c r="D28" s="39"/>
      <c r="E28" s="39"/>
      <c r="F28" s="39"/>
      <c r="G28" s="39"/>
      <c r="H28" s="40"/>
      <c r="I28" s="64"/>
      <c r="J28" s="30"/>
      <c r="K28" s="30"/>
      <c r="L28" s="30"/>
      <c r="M28" s="30"/>
      <c r="N28" s="30"/>
      <c r="O28" s="30"/>
      <c r="P28" s="30"/>
      <c r="Q28" s="31"/>
      <c r="R28" s="41"/>
      <c r="S28" s="30"/>
      <c r="T28" s="30"/>
      <c r="U28" s="30"/>
      <c r="V28" s="30"/>
      <c r="W28" s="30"/>
      <c r="X28" s="30"/>
      <c r="Y28" s="212"/>
      <c r="Z28" s="213"/>
      <c r="AA28" s="214"/>
      <c r="AB28" s="215"/>
      <c r="AC28" s="216"/>
      <c r="AD28" s="43"/>
      <c r="AE28" s="27"/>
      <c r="AF28" s="27"/>
      <c r="AG28" s="27"/>
      <c r="AH28" s="36"/>
      <c r="AI28" s="36"/>
      <c r="AJ28" s="36"/>
      <c r="AK28" s="36"/>
      <c r="AL28" s="36"/>
      <c r="AM28" s="36"/>
      <c r="AN28" s="36"/>
      <c r="AO28" s="37"/>
      <c r="AP28" s="37"/>
      <c r="AQ28" s="37"/>
      <c r="AR28" s="37"/>
      <c r="AS28" s="38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58"/>
    </row>
    <row r="29" spans="1:56" ht="15" customHeight="1" x14ac:dyDescent="0.3">
      <c r="A29" s="44" t="str">
        <f>IF(B29="","",COUNTA($B$8:B29))</f>
        <v/>
      </c>
      <c r="B29" s="29"/>
      <c r="C29" s="39"/>
      <c r="D29" s="39"/>
      <c r="E29" s="39"/>
      <c r="F29" s="39"/>
      <c r="G29" s="39"/>
      <c r="H29" s="40"/>
      <c r="I29" s="64"/>
      <c r="J29" s="21"/>
      <c r="K29" s="30"/>
      <c r="L29" s="30"/>
      <c r="M29" s="30"/>
      <c r="N29" s="30"/>
      <c r="O29" s="30"/>
      <c r="P29" s="30"/>
      <c r="Q29" s="31"/>
      <c r="R29" s="29"/>
      <c r="S29" s="30"/>
      <c r="T29" s="30"/>
      <c r="U29" s="30"/>
      <c r="V29" s="30"/>
      <c r="W29" s="30"/>
      <c r="X29" s="30"/>
      <c r="Y29" s="212"/>
      <c r="Z29" s="213"/>
      <c r="AA29" s="214"/>
      <c r="AB29" s="215"/>
      <c r="AC29" s="216"/>
      <c r="AD29" s="28"/>
      <c r="AE29" s="27"/>
      <c r="AF29" s="27"/>
      <c r="AG29" s="27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58"/>
    </row>
    <row r="30" spans="1:56" ht="15" customHeight="1" x14ac:dyDescent="0.3">
      <c r="A30" s="44" t="str">
        <f>IF(B30="","",COUNTA($B$8:B30))</f>
        <v/>
      </c>
      <c r="B30" s="29"/>
      <c r="C30" s="39"/>
      <c r="D30" s="39"/>
      <c r="E30" s="39"/>
      <c r="F30" s="39"/>
      <c r="G30" s="39"/>
      <c r="H30" s="40"/>
      <c r="I30" s="64"/>
      <c r="J30" s="21"/>
      <c r="K30" s="30"/>
      <c r="L30" s="30"/>
      <c r="M30" s="30"/>
      <c r="N30" s="30"/>
      <c r="O30" s="30"/>
      <c r="P30" s="30"/>
      <c r="Q30" s="31"/>
      <c r="R30" s="29"/>
      <c r="S30" s="30"/>
      <c r="T30" s="30"/>
      <c r="U30" s="30"/>
      <c r="V30" s="30"/>
      <c r="W30" s="30"/>
      <c r="X30" s="30"/>
      <c r="Y30" s="212"/>
      <c r="Z30" s="213"/>
      <c r="AA30" s="214"/>
      <c r="AB30" s="215"/>
      <c r="AC30" s="216"/>
      <c r="AD30" s="28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58"/>
    </row>
    <row r="31" spans="1:56" ht="15" customHeight="1" x14ac:dyDescent="0.3">
      <c r="A31" s="44" t="str">
        <f>IF(B31="","",COUNTA($B$8:B31))</f>
        <v/>
      </c>
      <c r="B31" s="29"/>
      <c r="C31" s="39"/>
      <c r="D31" s="39"/>
      <c r="E31" s="39"/>
      <c r="F31" s="39"/>
      <c r="G31" s="39"/>
      <c r="H31" s="40"/>
      <c r="I31" s="64"/>
      <c r="J31" s="21"/>
      <c r="K31" s="30"/>
      <c r="L31" s="30"/>
      <c r="M31" s="30"/>
      <c r="N31" s="30"/>
      <c r="O31" s="30"/>
      <c r="P31" s="30"/>
      <c r="Q31" s="31"/>
      <c r="R31" s="29"/>
      <c r="S31" s="30"/>
      <c r="T31" s="30"/>
      <c r="U31" s="30"/>
      <c r="V31" s="30"/>
      <c r="W31" s="30"/>
      <c r="X31" s="30"/>
      <c r="Y31" s="212"/>
      <c r="Z31" s="213"/>
      <c r="AA31" s="214"/>
      <c r="AB31" s="215"/>
      <c r="AC31" s="216"/>
      <c r="AD31" s="28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8"/>
    </row>
    <row r="32" spans="1:56" ht="15" customHeight="1" x14ac:dyDescent="0.3">
      <c r="A32" s="44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63"/>
      <c r="J32" s="33"/>
      <c r="K32" s="21"/>
      <c r="L32" s="21"/>
      <c r="M32" s="21"/>
      <c r="N32" s="21"/>
      <c r="O32" s="21"/>
      <c r="P32" s="21"/>
      <c r="Q32" s="32"/>
      <c r="R32" s="20"/>
      <c r="S32" s="21"/>
      <c r="T32" s="33"/>
      <c r="U32" s="21"/>
      <c r="V32" s="21"/>
      <c r="W32" s="21"/>
      <c r="X32" s="22"/>
      <c r="Y32" s="212"/>
      <c r="Z32" s="213"/>
      <c r="AA32" s="214"/>
      <c r="AB32" s="215"/>
      <c r="AC32" s="216"/>
      <c r="AD32" s="25"/>
      <c r="AE32" s="26"/>
      <c r="AF32" s="26"/>
      <c r="AG32" s="2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8"/>
    </row>
    <row r="33" spans="1:56" ht="15" customHeight="1" x14ac:dyDescent="0.3">
      <c r="A33" s="44" t="str">
        <f>IF(B33="","",COUNTA($B$8:B33))</f>
        <v/>
      </c>
      <c r="B33" s="20"/>
      <c r="C33" s="19"/>
      <c r="D33" s="19"/>
      <c r="E33" s="19"/>
      <c r="F33" s="19"/>
      <c r="G33" s="19"/>
      <c r="H33" s="22"/>
      <c r="I33" s="63"/>
      <c r="J33" s="33"/>
      <c r="K33" s="21"/>
      <c r="L33" s="21"/>
      <c r="M33" s="21"/>
      <c r="N33" s="21"/>
      <c r="O33" s="21"/>
      <c r="P33" s="21"/>
      <c r="Q33" s="32"/>
      <c r="R33" s="20"/>
      <c r="S33" s="21"/>
      <c r="T33" s="33"/>
      <c r="U33" s="21"/>
      <c r="V33" s="21"/>
      <c r="W33" s="21"/>
      <c r="X33" s="22"/>
      <c r="Y33" s="212"/>
      <c r="Z33" s="213"/>
      <c r="AA33" s="214"/>
      <c r="AB33" s="215"/>
      <c r="AC33" s="216"/>
      <c r="AD33" s="25"/>
      <c r="AE33" s="36"/>
      <c r="AF33" s="36"/>
      <c r="AG33" s="36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58"/>
    </row>
    <row r="34" spans="1:56" ht="15" customHeight="1" x14ac:dyDescent="0.3">
      <c r="A34" s="44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3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2"/>
      <c r="Z34" s="213"/>
      <c r="AA34" s="214"/>
      <c r="AB34" s="215"/>
      <c r="AC34" s="216"/>
      <c r="AD34" s="28"/>
      <c r="AE34" s="26"/>
      <c r="AF34" s="26"/>
      <c r="AG34" s="26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58"/>
    </row>
    <row r="35" spans="1:56" ht="15" customHeight="1" x14ac:dyDescent="0.3">
      <c r="A35" s="44" t="str">
        <f>IF(B35="","",COUNTA($B$8:B35))</f>
        <v/>
      </c>
      <c r="B35" s="41"/>
      <c r="C35" s="39"/>
      <c r="D35" s="39"/>
      <c r="E35" s="39"/>
      <c r="F35" s="39"/>
      <c r="G35" s="39"/>
      <c r="H35" s="40"/>
      <c r="I35" s="64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212"/>
      <c r="Z35" s="213"/>
      <c r="AA35" s="214"/>
      <c r="AB35" s="215"/>
      <c r="AC35" s="216"/>
      <c r="AD35" s="43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58"/>
    </row>
    <row r="36" spans="1:56" ht="15" customHeight="1" x14ac:dyDescent="0.3">
      <c r="A36" s="44" t="str">
        <f>IF(B36="","",COUNTA($B$8:B36))</f>
        <v/>
      </c>
      <c r="B36" s="41"/>
      <c r="C36" s="39"/>
      <c r="D36" s="39"/>
      <c r="E36" s="39"/>
      <c r="F36" s="39"/>
      <c r="G36" s="39"/>
      <c r="H36" s="40"/>
      <c r="I36" s="64"/>
      <c r="J36" s="30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212"/>
      <c r="Z36" s="213"/>
      <c r="AA36" s="214"/>
      <c r="AB36" s="215"/>
      <c r="AC36" s="216"/>
      <c r="AD36" s="43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8"/>
    </row>
    <row r="37" spans="1:56" ht="15" customHeight="1" x14ac:dyDescent="0.3">
      <c r="A37" s="44" t="str">
        <f>IF(B37="","",COUNTA($B$8:B37))</f>
        <v/>
      </c>
      <c r="B37" s="41"/>
      <c r="C37" s="39"/>
      <c r="D37" s="39"/>
      <c r="E37" s="39"/>
      <c r="F37" s="39"/>
      <c r="G37" s="39"/>
      <c r="H37" s="40"/>
      <c r="I37" s="64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2"/>
      <c r="Z37" s="213"/>
      <c r="AA37" s="214"/>
      <c r="AB37" s="215"/>
      <c r="AC37" s="216"/>
      <c r="AD37" s="43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8"/>
    </row>
    <row r="38" spans="1:56" ht="15" customHeight="1" x14ac:dyDescent="0.3">
      <c r="A38" s="44" t="str">
        <f>IF(B38="","",COUNTA($B$8:B38))</f>
        <v/>
      </c>
      <c r="B38" s="29"/>
      <c r="C38" s="39"/>
      <c r="D38" s="39"/>
      <c r="E38" s="39"/>
      <c r="F38" s="39"/>
      <c r="G38" s="39"/>
      <c r="H38" s="40"/>
      <c r="I38" s="64"/>
      <c r="J38" s="21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2"/>
      <c r="Z38" s="213"/>
      <c r="AA38" s="214"/>
      <c r="AB38" s="215"/>
      <c r="AC38" s="216"/>
      <c r="AD38" s="28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9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58"/>
    </row>
    <row r="39" spans="1:56" ht="15" customHeight="1" x14ac:dyDescent="0.3">
      <c r="A39" s="44" t="str">
        <f>IF(B39="","",COUNTA($B$8:B39))</f>
        <v/>
      </c>
      <c r="B39" s="41"/>
      <c r="C39" s="39"/>
      <c r="D39" s="39"/>
      <c r="E39" s="39"/>
      <c r="F39" s="39"/>
      <c r="G39" s="39"/>
      <c r="H39" s="40"/>
      <c r="I39" s="64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2"/>
      <c r="Z39" s="213"/>
      <c r="AA39" s="214"/>
      <c r="AB39" s="215"/>
      <c r="AC39" s="216"/>
      <c r="AD39" s="43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58"/>
    </row>
    <row r="40" spans="1:56" ht="15" customHeight="1" x14ac:dyDescent="0.3">
      <c r="A40" s="44" t="str">
        <f>IF(B40="","",COUNTA($B$8:B40))</f>
        <v/>
      </c>
      <c r="B40" s="41"/>
      <c r="C40" s="39"/>
      <c r="D40" s="39"/>
      <c r="E40" s="39"/>
      <c r="F40" s="39"/>
      <c r="G40" s="39"/>
      <c r="H40" s="40"/>
      <c r="I40" s="64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2"/>
      <c r="Z40" s="213"/>
      <c r="AA40" s="214"/>
      <c r="AB40" s="215"/>
      <c r="AC40" s="216"/>
      <c r="AD40" s="43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58"/>
    </row>
    <row r="41" spans="1:56" ht="15" customHeight="1" x14ac:dyDescent="0.3">
      <c r="A41" s="44" t="str">
        <f>IF(B41="","",COUNTA($B$8:B41))</f>
        <v/>
      </c>
      <c r="B41" s="41"/>
      <c r="C41" s="39"/>
      <c r="D41" s="39"/>
      <c r="E41" s="39"/>
      <c r="F41" s="39"/>
      <c r="G41" s="39"/>
      <c r="H41" s="40"/>
      <c r="I41" s="64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2"/>
      <c r="Z41" s="213"/>
      <c r="AA41" s="214"/>
      <c r="AB41" s="215"/>
      <c r="AC41" s="216"/>
      <c r="AD41" s="43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8"/>
    </row>
    <row r="42" spans="1:56" ht="15" customHeight="1" x14ac:dyDescent="0.3">
      <c r="A42" s="44" t="str">
        <f>IF(B42="","",COUNTA($B$8:B42))</f>
        <v/>
      </c>
      <c r="B42" s="41"/>
      <c r="C42" s="39"/>
      <c r="D42" s="39"/>
      <c r="E42" s="39"/>
      <c r="F42" s="39"/>
      <c r="G42" s="39"/>
      <c r="H42" s="40"/>
      <c r="I42" s="64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2"/>
      <c r="Z42" s="213"/>
      <c r="AA42" s="214"/>
      <c r="AB42" s="215"/>
      <c r="AC42" s="216"/>
      <c r="AD42" s="43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8"/>
    </row>
    <row r="43" spans="1:56" ht="15" customHeight="1" x14ac:dyDescent="0.3">
      <c r="A43" s="44" t="str">
        <f>IF(B43="","",COUNTA($B$8:B43))</f>
        <v/>
      </c>
      <c r="B43" s="41"/>
      <c r="C43" s="39"/>
      <c r="D43" s="39"/>
      <c r="E43" s="39"/>
      <c r="F43" s="39"/>
      <c r="G43" s="39"/>
      <c r="H43" s="40"/>
      <c r="I43" s="64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2"/>
      <c r="Z43" s="213"/>
      <c r="AA43" s="214"/>
      <c r="AB43" s="215"/>
      <c r="AC43" s="216"/>
      <c r="AD43" s="43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1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58"/>
    </row>
    <row r="44" spans="1:56" ht="15" customHeight="1" x14ac:dyDescent="0.3">
      <c r="A44" s="44" t="str">
        <f>IF(B44="","",COUNTA($B$8:B44))</f>
        <v/>
      </c>
      <c r="B44" s="29"/>
      <c r="C44" s="39"/>
      <c r="D44" s="39"/>
      <c r="E44" s="39"/>
      <c r="F44" s="39"/>
      <c r="G44" s="39"/>
      <c r="H44" s="40"/>
      <c r="I44" s="64"/>
      <c r="J44" s="21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2"/>
      <c r="Z44" s="213"/>
      <c r="AA44" s="214"/>
      <c r="AB44" s="215"/>
      <c r="AC44" s="216"/>
      <c r="AD44" s="28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9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58"/>
    </row>
    <row r="45" spans="1:56" ht="15" customHeight="1" x14ac:dyDescent="0.3">
      <c r="A45" s="44" t="str">
        <f>IF(B45="","",COUNTA($B$8:B45))</f>
        <v/>
      </c>
      <c r="B45" s="29"/>
      <c r="C45" s="39"/>
      <c r="D45" s="39"/>
      <c r="E45" s="39"/>
      <c r="F45" s="39"/>
      <c r="G45" s="39"/>
      <c r="H45" s="40"/>
      <c r="I45" s="64"/>
      <c r="J45" s="21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2"/>
      <c r="Z45" s="213"/>
      <c r="AA45" s="214"/>
      <c r="AB45" s="215"/>
      <c r="AC45" s="216"/>
      <c r="AD45" s="28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60"/>
    </row>
    <row r="46" spans="1:56" ht="15" customHeight="1" x14ac:dyDescent="0.3">
      <c r="A46" s="44" t="str">
        <f>IF(B46="","",COUNTA($B$8:B46))</f>
        <v/>
      </c>
      <c r="B46" s="29"/>
      <c r="C46" s="39"/>
      <c r="D46" s="39"/>
      <c r="E46" s="39"/>
      <c r="F46" s="39"/>
      <c r="G46" s="39"/>
      <c r="H46" s="40"/>
      <c r="I46" s="64"/>
      <c r="J46" s="21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2"/>
      <c r="Z46" s="213"/>
      <c r="AA46" s="214"/>
      <c r="AB46" s="215"/>
      <c r="AC46" s="216"/>
      <c r="AD46" s="28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60"/>
    </row>
    <row r="47" spans="1:56" ht="15" customHeight="1" x14ac:dyDescent="0.3">
      <c r="A47" s="44" t="str">
        <f>IF(B47="","",COUNTA($B$8:B47))</f>
        <v/>
      </c>
      <c r="B47" s="20"/>
      <c r="C47" s="19"/>
      <c r="D47" s="19"/>
      <c r="E47" s="19"/>
      <c r="F47" s="19"/>
      <c r="G47" s="19"/>
      <c r="H47" s="22"/>
      <c r="I47" s="63"/>
      <c r="J47" s="33"/>
      <c r="K47" s="21"/>
      <c r="L47" s="21"/>
      <c r="M47" s="21"/>
      <c r="N47" s="21"/>
      <c r="O47" s="21"/>
      <c r="P47" s="21"/>
      <c r="Q47" s="32"/>
      <c r="R47" s="21"/>
      <c r="S47" s="21"/>
      <c r="T47" s="33"/>
      <c r="U47" s="21"/>
      <c r="V47" s="21"/>
      <c r="W47" s="21"/>
      <c r="X47" s="22"/>
      <c r="Y47" s="212"/>
      <c r="Z47" s="213"/>
      <c r="AA47" s="214"/>
      <c r="AB47" s="215"/>
      <c r="AC47" s="216"/>
      <c r="AD47" s="25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8"/>
    </row>
    <row r="48" spans="1:56" ht="15" customHeight="1" x14ac:dyDescent="0.3">
      <c r="A48" s="44" t="str">
        <f>IF(B48="","",COUNTA($B$8:B48))</f>
        <v/>
      </c>
      <c r="B48" s="20"/>
      <c r="C48" s="19"/>
      <c r="D48" s="19"/>
      <c r="E48" s="19"/>
      <c r="F48" s="19"/>
      <c r="G48" s="19"/>
      <c r="H48" s="22"/>
      <c r="I48" s="63"/>
      <c r="J48" s="33"/>
      <c r="K48" s="21"/>
      <c r="L48" s="21"/>
      <c r="M48" s="21"/>
      <c r="N48" s="21"/>
      <c r="O48" s="21"/>
      <c r="P48" s="21"/>
      <c r="Q48" s="32"/>
      <c r="R48" s="21"/>
      <c r="S48" s="21"/>
      <c r="T48" s="33"/>
      <c r="U48" s="21"/>
      <c r="V48" s="21"/>
      <c r="W48" s="21"/>
      <c r="X48" s="22"/>
      <c r="Y48" s="212"/>
      <c r="Z48" s="213"/>
      <c r="AA48" s="214"/>
      <c r="AB48" s="215"/>
      <c r="AC48" s="216"/>
      <c r="AD48" s="25"/>
      <c r="AE48" s="36"/>
      <c r="AF48" s="36"/>
      <c r="AG48" s="36"/>
      <c r="AH48" s="36"/>
      <c r="AI48" s="36"/>
      <c r="AJ48" s="26"/>
      <c r="AK48" s="26"/>
      <c r="AL48" s="26"/>
      <c r="AM48" s="26"/>
      <c r="AN48" s="26"/>
      <c r="AO48" s="27"/>
      <c r="AP48" s="27"/>
      <c r="AQ48" s="27"/>
      <c r="AR48" s="27"/>
      <c r="AS48" s="29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58"/>
    </row>
    <row r="49" spans="1:56" ht="15" customHeight="1" x14ac:dyDescent="0.3">
      <c r="A49" s="44" t="str">
        <f>IF(B49="","",COUNTA($B$8:B49))</f>
        <v/>
      </c>
      <c r="B49" s="20"/>
      <c r="C49" s="19"/>
      <c r="D49" s="19"/>
      <c r="E49" s="19"/>
      <c r="F49" s="19"/>
      <c r="G49" s="19"/>
      <c r="H49" s="22"/>
      <c r="I49" s="63"/>
      <c r="J49" s="33"/>
      <c r="K49" s="21"/>
      <c r="L49" s="21"/>
      <c r="M49" s="21"/>
      <c r="N49" s="21"/>
      <c r="O49" s="21"/>
      <c r="P49" s="21"/>
      <c r="Q49" s="32"/>
      <c r="R49" s="21"/>
      <c r="S49" s="21"/>
      <c r="T49" s="33"/>
      <c r="U49" s="21"/>
      <c r="V49" s="21"/>
      <c r="W49" s="21"/>
      <c r="X49" s="22"/>
      <c r="Y49" s="212"/>
      <c r="Z49" s="213"/>
      <c r="AA49" s="214"/>
      <c r="AB49" s="215"/>
      <c r="AC49" s="216"/>
      <c r="AD49" s="28"/>
      <c r="AE49" s="26"/>
      <c r="AF49" s="26"/>
      <c r="AG49" s="26"/>
      <c r="AH49" s="26"/>
      <c r="AI49" s="26"/>
      <c r="AJ49" s="26"/>
      <c r="AK49" s="26"/>
      <c r="AL49" s="36"/>
      <c r="AM49" s="36"/>
      <c r="AN49" s="36"/>
      <c r="AO49" s="37"/>
      <c r="AP49" s="37"/>
      <c r="AQ49" s="37"/>
      <c r="AR49" s="37"/>
      <c r="AS49" s="38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58"/>
    </row>
    <row r="50" spans="1:56" ht="15" customHeight="1" x14ac:dyDescent="0.3">
      <c r="A50" s="44" t="str">
        <f>IF(B50="","",COUNTA($B$8:B50))</f>
        <v/>
      </c>
      <c r="B50" s="20"/>
      <c r="C50" s="19"/>
      <c r="D50" s="19"/>
      <c r="E50" s="19"/>
      <c r="F50" s="19"/>
      <c r="G50" s="19"/>
      <c r="H50" s="22"/>
      <c r="I50" s="63"/>
      <c r="J50" s="33"/>
      <c r="K50" s="21"/>
      <c r="L50" s="21"/>
      <c r="M50" s="21"/>
      <c r="N50" s="21"/>
      <c r="O50" s="21"/>
      <c r="P50" s="21"/>
      <c r="Q50" s="32"/>
      <c r="R50" s="21"/>
      <c r="S50" s="21"/>
      <c r="T50" s="33"/>
      <c r="U50" s="21"/>
      <c r="V50" s="21"/>
      <c r="W50" s="21"/>
      <c r="X50" s="22"/>
      <c r="Y50" s="212"/>
      <c r="Z50" s="213"/>
      <c r="AA50" s="214"/>
      <c r="AB50" s="215"/>
      <c r="AC50" s="216"/>
      <c r="AD50" s="25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7"/>
      <c r="AP50" s="37"/>
      <c r="AQ50" s="37"/>
      <c r="AR50" s="37"/>
      <c r="AS50" s="38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58"/>
    </row>
  </sheetData>
  <mergeCells count="119"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U2:AY2"/>
    <mergeCell ref="AZ2:BD2"/>
    <mergeCell ref="Y13:Z13"/>
    <mergeCell ref="AA13:AC13"/>
    <mergeCell ref="Y14:Z14"/>
    <mergeCell ref="AA14:AC14"/>
    <mergeCell ref="Y12:Z12"/>
    <mergeCell ref="AA12:AC12"/>
    <mergeCell ref="Y11:Z11"/>
    <mergeCell ref="AA11:AC11"/>
    <mergeCell ref="Y9:Z9"/>
    <mergeCell ref="AA9:AC9"/>
    <mergeCell ref="Y10:Z10"/>
    <mergeCell ref="AA10:AC10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48:Z48"/>
    <mergeCell ref="AA48:AC48"/>
    <mergeCell ref="Y49:Z49"/>
    <mergeCell ref="AA49:AC49"/>
    <mergeCell ref="Y50:Z50"/>
    <mergeCell ref="AA50:AC50"/>
    <mergeCell ref="Y45:Z45"/>
    <mergeCell ref="AA45:AC45"/>
    <mergeCell ref="Y46:Z46"/>
    <mergeCell ref="AA46:AC46"/>
    <mergeCell ref="Y47:Z47"/>
    <mergeCell ref="AA47:AC47"/>
  </mergeCells>
  <phoneticPr fontId="5"/>
  <dataValidations count="3">
    <dataValidation imeMode="hiragana" allowBlank="1" showInputMessage="1" showErrorMessage="1" sqref="JK65521:JV65523 TG65521:TR65523 ADC65521:ADN65523 AMY65521:ANJ65523 AWU65521:AXF65523 BGQ65521:BHB65523 BQM65521:BQX65523 CAI65521:CAT65523 CKE65521:CKP65523 CUA65521:CUL65523 DDW65521:DEH65523 DNS65521:DOD65523 DXO65521:DXZ65523 EHK65521:EHV65523 ERG65521:ERR65523 FBC65521:FBN65523 FKY65521:FLJ65523 FUU65521:FVF65523 GEQ65521:GFB65523 GOM65521:GOX65523 GYI65521:GYT65523 HIE65521:HIP65523 HSA65521:HSL65523 IBW65521:ICH65523 ILS65521:IMD65523 IVO65521:IVZ65523 JFK65521:JFV65523 JPG65521:JPR65523 JZC65521:JZN65523 KIY65521:KJJ65523 KSU65521:KTF65523 LCQ65521:LDB65523 LMM65521:LMX65523 LWI65521:LWT65523 MGE65521:MGP65523 MQA65521:MQL65523 MZW65521:NAH65523 NJS65521:NKD65523 NTO65521:NTZ65523 ODK65521:ODV65523 ONG65521:ONR65523 OXC65521:OXN65523 PGY65521:PHJ65523 PQU65521:PRF65523 QAQ65521:QBB65523 QKM65521:QKX65523 QUI65521:QUT65523 REE65521:REP65523 ROA65521:ROL65523 RXW65521:RYH65523 SHS65521:SID65523 SRO65521:SRZ65523 TBK65521:TBV65523 TLG65521:TLR65523 TVC65521:TVN65523 UEY65521:UFJ65523 UOU65521:UPF65523 UYQ65521:UZB65523 VIM65521:VIX65523 VSI65521:VST65523 WCE65521:WCP65523 WMA65521:WML65523 WVW65521:WWH65523 JK131057:JV131059 TG131057:TR131059 ADC131057:ADN131059 AMY131057:ANJ131059 AWU131057:AXF131059 BGQ131057:BHB131059 BQM131057:BQX131059 CAI131057:CAT131059 CKE131057:CKP131059 CUA131057:CUL131059 DDW131057:DEH131059 DNS131057:DOD131059 DXO131057:DXZ131059 EHK131057:EHV131059 ERG131057:ERR131059 FBC131057:FBN131059 FKY131057:FLJ131059 FUU131057:FVF131059 GEQ131057:GFB131059 GOM131057:GOX131059 GYI131057:GYT131059 HIE131057:HIP131059 HSA131057:HSL131059 IBW131057:ICH131059 ILS131057:IMD131059 IVO131057:IVZ131059 JFK131057:JFV131059 JPG131057:JPR131059 JZC131057:JZN131059 KIY131057:KJJ131059 KSU131057:KTF131059 LCQ131057:LDB131059 LMM131057:LMX131059 LWI131057:LWT131059 MGE131057:MGP131059 MQA131057:MQL131059 MZW131057:NAH131059 NJS131057:NKD131059 NTO131057:NTZ131059 ODK131057:ODV131059 ONG131057:ONR131059 OXC131057:OXN131059 PGY131057:PHJ131059 PQU131057:PRF131059 QAQ131057:QBB131059 QKM131057:QKX131059 QUI131057:QUT131059 REE131057:REP131059 ROA131057:ROL131059 RXW131057:RYH131059 SHS131057:SID131059 SRO131057:SRZ131059 TBK131057:TBV131059 TLG131057:TLR131059 TVC131057:TVN131059 UEY131057:UFJ131059 UOU131057:UPF131059 UYQ131057:UZB131059 VIM131057:VIX131059 VSI131057:VST131059 WCE131057:WCP131059 WMA131057:WML131059 WVW131057:WWH131059 JK196593:JV196595 TG196593:TR196595 ADC196593:ADN196595 AMY196593:ANJ196595 AWU196593:AXF196595 BGQ196593:BHB196595 BQM196593:BQX196595 CAI196593:CAT196595 CKE196593:CKP196595 CUA196593:CUL196595 DDW196593:DEH196595 DNS196593:DOD196595 DXO196593:DXZ196595 EHK196593:EHV196595 ERG196593:ERR196595 FBC196593:FBN196595 FKY196593:FLJ196595 FUU196593:FVF196595 GEQ196593:GFB196595 GOM196593:GOX196595 GYI196593:GYT196595 HIE196593:HIP196595 HSA196593:HSL196595 IBW196593:ICH196595 ILS196593:IMD196595 IVO196593:IVZ196595 JFK196593:JFV196595 JPG196593:JPR196595 JZC196593:JZN196595 KIY196593:KJJ196595 KSU196593:KTF196595 LCQ196593:LDB196595 LMM196593:LMX196595 LWI196593:LWT196595 MGE196593:MGP196595 MQA196593:MQL196595 MZW196593:NAH196595 NJS196593:NKD196595 NTO196593:NTZ196595 ODK196593:ODV196595 ONG196593:ONR196595 OXC196593:OXN196595 PGY196593:PHJ196595 PQU196593:PRF196595 QAQ196593:QBB196595 QKM196593:QKX196595 QUI196593:QUT196595 REE196593:REP196595 ROA196593:ROL196595 RXW196593:RYH196595 SHS196593:SID196595 SRO196593:SRZ196595 TBK196593:TBV196595 TLG196593:TLR196595 TVC196593:TVN196595 UEY196593:UFJ196595 UOU196593:UPF196595 UYQ196593:UZB196595 VIM196593:VIX196595 VSI196593:VST196595 WCE196593:WCP196595 WMA196593:WML196595 WVW196593:WWH196595 JK262129:JV262131 TG262129:TR262131 ADC262129:ADN262131 AMY262129:ANJ262131 AWU262129:AXF262131 BGQ262129:BHB262131 BQM262129:BQX262131 CAI262129:CAT262131 CKE262129:CKP262131 CUA262129:CUL262131 DDW262129:DEH262131 DNS262129:DOD262131 DXO262129:DXZ262131 EHK262129:EHV262131 ERG262129:ERR262131 FBC262129:FBN262131 FKY262129:FLJ262131 FUU262129:FVF262131 GEQ262129:GFB262131 GOM262129:GOX262131 GYI262129:GYT262131 HIE262129:HIP262131 HSA262129:HSL262131 IBW262129:ICH262131 ILS262129:IMD262131 IVO262129:IVZ262131 JFK262129:JFV262131 JPG262129:JPR262131 JZC262129:JZN262131 KIY262129:KJJ262131 KSU262129:KTF262131 LCQ262129:LDB262131 LMM262129:LMX262131 LWI262129:LWT262131 MGE262129:MGP262131 MQA262129:MQL262131 MZW262129:NAH262131 NJS262129:NKD262131 NTO262129:NTZ262131 ODK262129:ODV262131 ONG262129:ONR262131 OXC262129:OXN262131 PGY262129:PHJ262131 PQU262129:PRF262131 QAQ262129:QBB262131 QKM262129:QKX262131 QUI262129:QUT262131 REE262129:REP262131 ROA262129:ROL262131 RXW262129:RYH262131 SHS262129:SID262131 SRO262129:SRZ262131 TBK262129:TBV262131 TLG262129:TLR262131 TVC262129:TVN262131 UEY262129:UFJ262131 UOU262129:UPF262131 UYQ262129:UZB262131 VIM262129:VIX262131 VSI262129:VST262131 WCE262129:WCP262131 WMA262129:WML262131 WVW262129:WWH262131 JK327665:JV327667 TG327665:TR327667 ADC327665:ADN327667 AMY327665:ANJ327667 AWU327665:AXF327667 BGQ327665:BHB327667 BQM327665:BQX327667 CAI327665:CAT327667 CKE327665:CKP327667 CUA327665:CUL327667 DDW327665:DEH327667 DNS327665:DOD327667 DXO327665:DXZ327667 EHK327665:EHV327667 ERG327665:ERR327667 FBC327665:FBN327667 FKY327665:FLJ327667 FUU327665:FVF327667 GEQ327665:GFB327667 GOM327665:GOX327667 GYI327665:GYT327667 HIE327665:HIP327667 HSA327665:HSL327667 IBW327665:ICH327667 ILS327665:IMD327667 IVO327665:IVZ327667 JFK327665:JFV327667 JPG327665:JPR327667 JZC327665:JZN327667 KIY327665:KJJ327667 KSU327665:KTF327667 LCQ327665:LDB327667 LMM327665:LMX327667 LWI327665:LWT327667 MGE327665:MGP327667 MQA327665:MQL327667 MZW327665:NAH327667 NJS327665:NKD327667 NTO327665:NTZ327667 ODK327665:ODV327667 ONG327665:ONR327667 OXC327665:OXN327667 PGY327665:PHJ327667 PQU327665:PRF327667 QAQ327665:QBB327667 QKM327665:QKX327667 QUI327665:QUT327667 REE327665:REP327667 ROA327665:ROL327667 RXW327665:RYH327667 SHS327665:SID327667 SRO327665:SRZ327667 TBK327665:TBV327667 TLG327665:TLR327667 TVC327665:TVN327667 UEY327665:UFJ327667 UOU327665:UPF327667 UYQ327665:UZB327667 VIM327665:VIX327667 VSI327665:VST327667 WCE327665:WCP327667 WMA327665:WML327667 WVW327665:WWH327667 JK393201:JV393203 TG393201:TR393203 ADC393201:ADN393203 AMY393201:ANJ393203 AWU393201:AXF393203 BGQ393201:BHB393203 BQM393201:BQX393203 CAI393201:CAT393203 CKE393201:CKP393203 CUA393201:CUL393203 DDW393201:DEH393203 DNS393201:DOD393203 DXO393201:DXZ393203 EHK393201:EHV393203 ERG393201:ERR393203 FBC393201:FBN393203 FKY393201:FLJ393203 FUU393201:FVF393203 GEQ393201:GFB393203 GOM393201:GOX393203 GYI393201:GYT393203 HIE393201:HIP393203 HSA393201:HSL393203 IBW393201:ICH393203 ILS393201:IMD393203 IVO393201:IVZ393203 JFK393201:JFV393203 JPG393201:JPR393203 JZC393201:JZN393203 KIY393201:KJJ393203 KSU393201:KTF393203 LCQ393201:LDB393203 LMM393201:LMX393203 LWI393201:LWT393203 MGE393201:MGP393203 MQA393201:MQL393203 MZW393201:NAH393203 NJS393201:NKD393203 NTO393201:NTZ393203 ODK393201:ODV393203 ONG393201:ONR393203 OXC393201:OXN393203 PGY393201:PHJ393203 PQU393201:PRF393203 QAQ393201:QBB393203 QKM393201:QKX393203 QUI393201:QUT393203 REE393201:REP393203 ROA393201:ROL393203 RXW393201:RYH393203 SHS393201:SID393203 SRO393201:SRZ393203 TBK393201:TBV393203 TLG393201:TLR393203 TVC393201:TVN393203 UEY393201:UFJ393203 UOU393201:UPF393203 UYQ393201:UZB393203 VIM393201:VIX393203 VSI393201:VST393203 WCE393201:WCP393203 WMA393201:WML393203 WVW393201:WWH393203 JK458737:JV458739 TG458737:TR458739 ADC458737:ADN458739 AMY458737:ANJ458739 AWU458737:AXF458739 BGQ458737:BHB458739 BQM458737:BQX458739 CAI458737:CAT458739 CKE458737:CKP458739 CUA458737:CUL458739 DDW458737:DEH458739 DNS458737:DOD458739 DXO458737:DXZ458739 EHK458737:EHV458739 ERG458737:ERR458739 FBC458737:FBN458739 FKY458737:FLJ458739 FUU458737:FVF458739 GEQ458737:GFB458739 GOM458737:GOX458739 GYI458737:GYT458739 HIE458737:HIP458739 HSA458737:HSL458739 IBW458737:ICH458739 ILS458737:IMD458739 IVO458737:IVZ458739 JFK458737:JFV458739 JPG458737:JPR458739 JZC458737:JZN458739 KIY458737:KJJ458739 KSU458737:KTF458739 LCQ458737:LDB458739 LMM458737:LMX458739 LWI458737:LWT458739 MGE458737:MGP458739 MQA458737:MQL458739 MZW458737:NAH458739 NJS458737:NKD458739 NTO458737:NTZ458739 ODK458737:ODV458739 ONG458737:ONR458739 OXC458737:OXN458739 PGY458737:PHJ458739 PQU458737:PRF458739 QAQ458737:QBB458739 QKM458737:QKX458739 QUI458737:QUT458739 REE458737:REP458739 ROA458737:ROL458739 RXW458737:RYH458739 SHS458737:SID458739 SRO458737:SRZ458739 TBK458737:TBV458739 TLG458737:TLR458739 TVC458737:TVN458739 UEY458737:UFJ458739 UOU458737:UPF458739 UYQ458737:UZB458739 VIM458737:VIX458739 VSI458737:VST458739 WCE458737:WCP458739 WMA458737:WML458739 WVW458737:WWH458739 JK524273:JV524275 TG524273:TR524275 ADC524273:ADN524275 AMY524273:ANJ524275 AWU524273:AXF524275 BGQ524273:BHB524275 BQM524273:BQX524275 CAI524273:CAT524275 CKE524273:CKP524275 CUA524273:CUL524275 DDW524273:DEH524275 DNS524273:DOD524275 DXO524273:DXZ524275 EHK524273:EHV524275 ERG524273:ERR524275 FBC524273:FBN524275 FKY524273:FLJ524275 FUU524273:FVF524275 GEQ524273:GFB524275 GOM524273:GOX524275 GYI524273:GYT524275 HIE524273:HIP524275 HSA524273:HSL524275 IBW524273:ICH524275 ILS524273:IMD524275 IVO524273:IVZ524275 JFK524273:JFV524275 JPG524273:JPR524275 JZC524273:JZN524275 KIY524273:KJJ524275 KSU524273:KTF524275 LCQ524273:LDB524275 LMM524273:LMX524275 LWI524273:LWT524275 MGE524273:MGP524275 MQA524273:MQL524275 MZW524273:NAH524275 NJS524273:NKD524275 NTO524273:NTZ524275 ODK524273:ODV524275 ONG524273:ONR524275 OXC524273:OXN524275 PGY524273:PHJ524275 PQU524273:PRF524275 QAQ524273:QBB524275 QKM524273:QKX524275 QUI524273:QUT524275 REE524273:REP524275 ROA524273:ROL524275 RXW524273:RYH524275 SHS524273:SID524275 SRO524273:SRZ524275 TBK524273:TBV524275 TLG524273:TLR524275 TVC524273:TVN524275 UEY524273:UFJ524275 UOU524273:UPF524275 UYQ524273:UZB524275 VIM524273:VIX524275 VSI524273:VST524275 WCE524273:WCP524275 WMA524273:WML524275 WVW524273:WWH524275 JK589809:JV589811 TG589809:TR589811 ADC589809:ADN589811 AMY589809:ANJ589811 AWU589809:AXF589811 BGQ589809:BHB589811 BQM589809:BQX589811 CAI589809:CAT589811 CKE589809:CKP589811 CUA589809:CUL589811 DDW589809:DEH589811 DNS589809:DOD589811 DXO589809:DXZ589811 EHK589809:EHV589811 ERG589809:ERR589811 FBC589809:FBN589811 FKY589809:FLJ589811 FUU589809:FVF589811 GEQ589809:GFB589811 GOM589809:GOX589811 GYI589809:GYT589811 HIE589809:HIP589811 HSA589809:HSL589811 IBW589809:ICH589811 ILS589809:IMD589811 IVO589809:IVZ589811 JFK589809:JFV589811 JPG589809:JPR589811 JZC589809:JZN589811 KIY589809:KJJ589811 KSU589809:KTF589811 LCQ589809:LDB589811 LMM589809:LMX589811 LWI589809:LWT589811 MGE589809:MGP589811 MQA589809:MQL589811 MZW589809:NAH589811 NJS589809:NKD589811 NTO589809:NTZ589811 ODK589809:ODV589811 ONG589809:ONR589811 OXC589809:OXN589811 PGY589809:PHJ589811 PQU589809:PRF589811 QAQ589809:QBB589811 QKM589809:QKX589811 QUI589809:QUT589811 REE589809:REP589811 ROA589809:ROL589811 RXW589809:RYH589811 SHS589809:SID589811 SRO589809:SRZ589811 TBK589809:TBV589811 TLG589809:TLR589811 TVC589809:TVN589811 UEY589809:UFJ589811 UOU589809:UPF589811 UYQ589809:UZB589811 VIM589809:VIX589811 VSI589809:VST589811 WCE589809:WCP589811 WMA589809:WML589811 WVW589809:WWH589811 JK655345:JV655347 TG655345:TR655347 ADC655345:ADN655347 AMY655345:ANJ655347 AWU655345:AXF655347 BGQ655345:BHB655347 BQM655345:BQX655347 CAI655345:CAT655347 CKE655345:CKP655347 CUA655345:CUL655347 DDW655345:DEH655347 DNS655345:DOD655347 DXO655345:DXZ655347 EHK655345:EHV655347 ERG655345:ERR655347 FBC655345:FBN655347 FKY655345:FLJ655347 FUU655345:FVF655347 GEQ655345:GFB655347 GOM655345:GOX655347 GYI655345:GYT655347 HIE655345:HIP655347 HSA655345:HSL655347 IBW655345:ICH655347 ILS655345:IMD655347 IVO655345:IVZ655347 JFK655345:JFV655347 JPG655345:JPR655347 JZC655345:JZN655347 KIY655345:KJJ655347 KSU655345:KTF655347 LCQ655345:LDB655347 LMM655345:LMX655347 LWI655345:LWT655347 MGE655345:MGP655347 MQA655345:MQL655347 MZW655345:NAH655347 NJS655345:NKD655347 NTO655345:NTZ655347 ODK655345:ODV655347 ONG655345:ONR655347 OXC655345:OXN655347 PGY655345:PHJ655347 PQU655345:PRF655347 QAQ655345:QBB655347 QKM655345:QKX655347 QUI655345:QUT655347 REE655345:REP655347 ROA655345:ROL655347 RXW655345:RYH655347 SHS655345:SID655347 SRO655345:SRZ655347 TBK655345:TBV655347 TLG655345:TLR655347 TVC655345:TVN655347 UEY655345:UFJ655347 UOU655345:UPF655347 UYQ655345:UZB655347 VIM655345:VIX655347 VSI655345:VST655347 WCE655345:WCP655347 WMA655345:WML655347 WVW655345:WWH655347 JK720881:JV720883 TG720881:TR720883 ADC720881:ADN720883 AMY720881:ANJ720883 AWU720881:AXF720883 BGQ720881:BHB720883 BQM720881:BQX720883 CAI720881:CAT720883 CKE720881:CKP720883 CUA720881:CUL720883 DDW720881:DEH720883 DNS720881:DOD720883 DXO720881:DXZ720883 EHK720881:EHV720883 ERG720881:ERR720883 FBC720881:FBN720883 FKY720881:FLJ720883 FUU720881:FVF720883 GEQ720881:GFB720883 GOM720881:GOX720883 GYI720881:GYT720883 HIE720881:HIP720883 HSA720881:HSL720883 IBW720881:ICH720883 ILS720881:IMD720883 IVO720881:IVZ720883 JFK720881:JFV720883 JPG720881:JPR720883 JZC720881:JZN720883 KIY720881:KJJ720883 KSU720881:KTF720883 LCQ720881:LDB720883 LMM720881:LMX720883 LWI720881:LWT720883 MGE720881:MGP720883 MQA720881:MQL720883 MZW720881:NAH720883 NJS720881:NKD720883 NTO720881:NTZ720883 ODK720881:ODV720883 ONG720881:ONR720883 OXC720881:OXN720883 PGY720881:PHJ720883 PQU720881:PRF720883 QAQ720881:QBB720883 QKM720881:QKX720883 QUI720881:QUT720883 REE720881:REP720883 ROA720881:ROL720883 RXW720881:RYH720883 SHS720881:SID720883 SRO720881:SRZ720883 TBK720881:TBV720883 TLG720881:TLR720883 TVC720881:TVN720883 UEY720881:UFJ720883 UOU720881:UPF720883 UYQ720881:UZB720883 VIM720881:VIX720883 VSI720881:VST720883 WCE720881:WCP720883 WMA720881:WML720883 WVW720881:WWH720883 JK786417:JV786419 TG786417:TR786419 ADC786417:ADN786419 AMY786417:ANJ786419 AWU786417:AXF786419 BGQ786417:BHB786419 BQM786417:BQX786419 CAI786417:CAT786419 CKE786417:CKP786419 CUA786417:CUL786419 DDW786417:DEH786419 DNS786417:DOD786419 DXO786417:DXZ786419 EHK786417:EHV786419 ERG786417:ERR786419 FBC786417:FBN786419 FKY786417:FLJ786419 FUU786417:FVF786419 GEQ786417:GFB786419 GOM786417:GOX786419 GYI786417:GYT786419 HIE786417:HIP786419 HSA786417:HSL786419 IBW786417:ICH786419 ILS786417:IMD786419 IVO786417:IVZ786419 JFK786417:JFV786419 JPG786417:JPR786419 JZC786417:JZN786419 KIY786417:KJJ786419 KSU786417:KTF786419 LCQ786417:LDB786419 LMM786417:LMX786419 LWI786417:LWT786419 MGE786417:MGP786419 MQA786417:MQL786419 MZW786417:NAH786419 NJS786417:NKD786419 NTO786417:NTZ786419 ODK786417:ODV786419 ONG786417:ONR786419 OXC786417:OXN786419 PGY786417:PHJ786419 PQU786417:PRF786419 QAQ786417:QBB786419 QKM786417:QKX786419 QUI786417:QUT786419 REE786417:REP786419 ROA786417:ROL786419 RXW786417:RYH786419 SHS786417:SID786419 SRO786417:SRZ786419 TBK786417:TBV786419 TLG786417:TLR786419 TVC786417:TVN786419 UEY786417:UFJ786419 UOU786417:UPF786419 UYQ786417:UZB786419 VIM786417:VIX786419 VSI786417:VST786419 WCE786417:WCP786419 WMA786417:WML786419 WVW786417:WWH786419 JK851953:JV851955 TG851953:TR851955 ADC851953:ADN851955 AMY851953:ANJ851955 AWU851953:AXF851955 BGQ851953:BHB851955 BQM851953:BQX851955 CAI851953:CAT851955 CKE851953:CKP851955 CUA851953:CUL851955 DDW851953:DEH851955 DNS851953:DOD851955 DXO851953:DXZ851955 EHK851953:EHV851955 ERG851953:ERR851955 FBC851953:FBN851955 FKY851953:FLJ851955 FUU851953:FVF851955 GEQ851953:GFB851955 GOM851953:GOX851955 GYI851953:GYT851955 HIE851953:HIP851955 HSA851953:HSL851955 IBW851953:ICH851955 ILS851953:IMD851955 IVO851953:IVZ851955 JFK851953:JFV851955 JPG851953:JPR851955 JZC851953:JZN851955 KIY851953:KJJ851955 KSU851953:KTF851955 LCQ851953:LDB851955 LMM851953:LMX851955 LWI851953:LWT851955 MGE851953:MGP851955 MQA851953:MQL851955 MZW851953:NAH851955 NJS851953:NKD851955 NTO851953:NTZ851955 ODK851953:ODV851955 ONG851953:ONR851955 OXC851953:OXN851955 PGY851953:PHJ851955 PQU851953:PRF851955 QAQ851953:QBB851955 QKM851953:QKX851955 QUI851953:QUT851955 REE851953:REP851955 ROA851953:ROL851955 RXW851953:RYH851955 SHS851953:SID851955 SRO851953:SRZ851955 TBK851953:TBV851955 TLG851953:TLR851955 TVC851953:TVN851955 UEY851953:UFJ851955 UOU851953:UPF851955 UYQ851953:UZB851955 VIM851953:VIX851955 VSI851953:VST851955 WCE851953:WCP851955 WMA851953:WML851955 WVW851953:WWH851955 JK917489:JV917491 TG917489:TR917491 ADC917489:ADN917491 AMY917489:ANJ917491 AWU917489:AXF917491 BGQ917489:BHB917491 BQM917489:BQX917491 CAI917489:CAT917491 CKE917489:CKP917491 CUA917489:CUL917491 DDW917489:DEH917491 DNS917489:DOD917491 DXO917489:DXZ917491 EHK917489:EHV917491 ERG917489:ERR917491 FBC917489:FBN917491 FKY917489:FLJ917491 FUU917489:FVF917491 GEQ917489:GFB917491 GOM917489:GOX917491 GYI917489:GYT917491 HIE917489:HIP917491 HSA917489:HSL917491 IBW917489:ICH917491 ILS917489:IMD917491 IVO917489:IVZ917491 JFK917489:JFV917491 JPG917489:JPR917491 JZC917489:JZN917491 KIY917489:KJJ917491 KSU917489:KTF917491 LCQ917489:LDB917491 LMM917489:LMX917491 LWI917489:LWT917491 MGE917489:MGP917491 MQA917489:MQL917491 MZW917489:NAH917491 NJS917489:NKD917491 NTO917489:NTZ917491 ODK917489:ODV917491 ONG917489:ONR917491 OXC917489:OXN917491 PGY917489:PHJ917491 PQU917489:PRF917491 QAQ917489:QBB917491 QKM917489:QKX917491 QUI917489:QUT917491 REE917489:REP917491 ROA917489:ROL917491 RXW917489:RYH917491 SHS917489:SID917491 SRO917489:SRZ917491 TBK917489:TBV917491 TLG917489:TLR917491 TVC917489:TVN917491 UEY917489:UFJ917491 UOU917489:UPF917491 UYQ917489:UZB917491 VIM917489:VIX917491 VSI917489:VST917491 WCE917489:WCP917491 WMA917489:WML917491 WVW917489:WWH917491 JK983025:JV983027 TG983025:TR983027 ADC983025:ADN983027 AMY983025:ANJ983027 AWU983025:AXF983027 BGQ983025:BHB983027 BQM983025:BQX983027 CAI983025:CAT983027 CKE983025:CKP983027 CUA983025:CUL983027 DDW983025:DEH983027 DNS983025:DOD983027 DXO983025:DXZ983027 EHK983025:EHV983027 ERG983025:ERR983027 FBC983025:FBN983027 FKY983025:FLJ983027 FUU983025:FVF983027 GEQ983025:GFB983027 GOM983025:GOX983027 GYI983025:GYT983027 HIE983025:HIP983027 HSA983025:HSL983027 IBW983025:ICH983027 ILS983025:IMD983027 IVO983025:IVZ983027 JFK983025:JFV983027 JPG983025:JPR983027 JZC983025:JZN983027 KIY983025:KJJ983027 KSU983025:KTF983027 LCQ983025:LDB983027 LMM983025:LMX983027 LWI983025:LWT983027 MGE983025:MGP983027 MQA983025:MQL983027 MZW983025:NAH983027 NJS983025:NKD983027 NTO983025:NTZ983027 ODK983025:ODV983027 ONG983025:ONR983027 OXC983025:OXN983027 PGY983025:PHJ983027 PQU983025:PRF983027 QAQ983025:QBB983027 QKM983025:QKX983027 QUI983025:QUT983027 REE983025:REP983027 ROA983025:ROL983027 RXW983025:RYH983027 SHS983025:SID983027 SRO983025:SRZ983027 TBK983025:TBV983027 TLG983025:TLR983027 TVC983025:TVN983027 UEY983025:UFJ983027 UOU983025:UPF983027 UYQ983025:UZB983027 VIM983025:VIX983027 VSI983025:VST983027 WCE983025:WCP983027 WMA983025:WML983027 WVW983025:WWH983027 WVW983030:WWH983032 JK65526:JV65528 TG65526:TR65528 ADC65526:ADN65528 AMY65526:ANJ65528 AWU65526:AXF65528 BGQ65526:BHB65528 BQM65526:BQX65528 CAI65526:CAT65528 CKE65526:CKP65528 CUA65526:CUL65528 DDW65526:DEH65528 DNS65526:DOD65528 DXO65526:DXZ65528 EHK65526:EHV65528 ERG65526:ERR65528 FBC65526:FBN65528 FKY65526:FLJ65528 FUU65526:FVF65528 GEQ65526:GFB65528 GOM65526:GOX65528 GYI65526:GYT65528 HIE65526:HIP65528 HSA65526:HSL65528 IBW65526:ICH65528 ILS65526:IMD65528 IVO65526:IVZ65528 JFK65526:JFV65528 JPG65526:JPR65528 JZC65526:JZN65528 KIY65526:KJJ65528 KSU65526:KTF65528 LCQ65526:LDB65528 LMM65526:LMX65528 LWI65526:LWT65528 MGE65526:MGP65528 MQA65526:MQL65528 MZW65526:NAH65528 NJS65526:NKD65528 NTO65526:NTZ65528 ODK65526:ODV65528 ONG65526:ONR65528 OXC65526:OXN65528 PGY65526:PHJ65528 PQU65526:PRF65528 QAQ65526:QBB65528 QKM65526:QKX65528 QUI65526:QUT65528 REE65526:REP65528 ROA65526:ROL65528 RXW65526:RYH65528 SHS65526:SID65528 SRO65526:SRZ65528 TBK65526:TBV65528 TLG65526:TLR65528 TVC65526:TVN65528 UEY65526:UFJ65528 UOU65526:UPF65528 UYQ65526:UZB65528 VIM65526:VIX65528 VSI65526:VST65528 WCE65526:WCP65528 WMA65526:WML65528 WVW65526:WWH65528 JK131062:JV131064 TG131062:TR131064 ADC131062:ADN131064 AMY131062:ANJ131064 AWU131062:AXF131064 BGQ131062:BHB131064 BQM131062:BQX131064 CAI131062:CAT131064 CKE131062:CKP131064 CUA131062:CUL131064 DDW131062:DEH131064 DNS131062:DOD131064 DXO131062:DXZ131064 EHK131062:EHV131064 ERG131062:ERR131064 FBC131062:FBN131064 FKY131062:FLJ131064 FUU131062:FVF131064 GEQ131062:GFB131064 GOM131062:GOX131064 GYI131062:GYT131064 HIE131062:HIP131064 HSA131062:HSL131064 IBW131062:ICH131064 ILS131062:IMD131064 IVO131062:IVZ131064 JFK131062:JFV131064 JPG131062:JPR131064 JZC131062:JZN131064 KIY131062:KJJ131064 KSU131062:KTF131064 LCQ131062:LDB131064 LMM131062:LMX131064 LWI131062:LWT131064 MGE131062:MGP131064 MQA131062:MQL131064 MZW131062:NAH131064 NJS131062:NKD131064 NTO131062:NTZ131064 ODK131062:ODV131064 ONG131062:ONR131064 OXC131062:OXN131064 PGY131062:PHJ131064 PQU131062:PRF131064 QAQ131062:QBB131064 QKM131062:QKX131064 QUI131062:QUT131064 REE131062:REP131064 ROA131062:ROL131064 RXW131062:RYH131064 SHS131062:SID131064 SRO131062:SRZ131064 TBK131062:TBV131064 TLG131062:TLR131064 TVC131062:TVN131064 UEY131062:UFJ131064 UOU131062:UPF131064 UYQ131062:UZB131064 VIM131062:VIX131064 VSI131062:VST131064 WCE131062:WCP131064 WMA131062:WML131064 WVW131062:WWH131064 JK196598:JV196600 TG196598:TR196600 ADC196598:ADN196600 AMY196598:ANJ196600 AWU196598:AXF196600 BGQ196598:BHB196600 BQM196598:BQX196600 CAI196598:CAT196600 CKE196598:CKP196600 CUA196598:CUL196600 DDW196598:DEH196600 DNS196598:DOD196600 DXO196598:DXZ196600 EHK196598:EHV196600 ERG196598:ERR196600 FBC196598:FBN196600 FKY196598:FLJ196600 FUU196598:FVF196600 GEQ196598:GFB196600 GOM196598:GOX196600 GYI196598:GYT196600 HIE196598:HIP196600 HSA196598:HSL196600 IBW196598:ICH196600 ILS196598:IMD196600 IVO196598:IVZ196600 JFK196598:JFV196600 JPG196598:JPR196600 JZC196598:JZN196600 KIY196598:KJJ196600 KSU196598:KTF196600 LCQ196598:LDB196600 LMM196598:LMX196600 LWI196598:LWT196600 MGE196598:MGP196600 MQA196598:MQL196600 MZW196598:NAH196600 NJS196598:NKD196600 NTO196598:NTZ196600 ODK196598:ODV196600 ONG196598:ONR196600 OXC196598:OXN196600 PGY196598:PHJ196600 PQU196598:PRF196600 QAQ196598:QBB196600 QKM196598:QKX196600 QUI196598:QUT196600 REE196598:REP196600 ROA196598:ROL196600 RXW196598:RYH196600 SHS196598:SID196600 SRO196598:SRZ196600 TBK196598:TBV196600 TLG196598:TLR196600 TVC196598:TVN196600 UEY196598:UFJ196600 UOU196598:UPF196600 UYQ196598:UZB196600 VIM196598:VIX196600 VSI196598:VST196600 WCE196598:WCP196600 WMA196598:WML196600 WVW196598:WWH196600 JK262134:JV262136 TG262134:TR262136 ADC262134:ADN262136 AMY262134:ANJ262136 AWU262134:AXF262136 BGQ262134:BHB262136 BQM262134:BQX262136 CAI262134:CAT262136 CKE262134:CKP262136 CUA262134:CUL262136 DDW262134:DEH262136 DNS262134:DOD262136 DXO262134:DXZ262136 EHK262134:EHV262136 ERG262134:ERR262136 FBC262134:FBN262136 FKY262134:FLJ262136 FUU262134:FVF262136 GEQ262134:GFB262136 GOM262134:GOX262136 GYI262134:GYT262136 HIE262134:HIP262136 HSA262134:HSL262136 IBW262134:ICH262136 ILS262134:IMD262136 IVO262134:IVZ262136 JFK262134:JFV262136 JPG262134:JPR262136 JZC262134:JZN262136 KIY262134:KJJ262136 KSU262134:KTF262136 LCQ262134:LDB262136 LMM262134:LMX262136 LWI262134:LWT262136 MGE262134:MGP262136 MQA262134:MQL262136 MZW262134:NAH262136 NJS262134:NKD262136 NTO262134:NTZ262136 ODK262134:ODV262136 ONG262134:ONR262136 OXC262134:OXN262136 PGY262134:PHJ262136 PQU262134:PRF262136 QAQ262134:QBB262136 QKM262134:QKX262136 QUI262134:QUT262136 REE262134:REP262136 ROA262134:ROL262136 RXW262134:RYH262136 SHS262134:SID262136 SRO262134:SRZ262136 TBK262134:TBV262136 TLG262134:TLR262136 TVC262134:TVN262136 UEY262134:UFJ262136 UOU262134:UPF262136 UYQ262134:UZB262136 VIM262134:VIX262136 VSI262134:VST262136 WCE262134:WCP262136 WMA262134:WML262136 WVW262134:WWH262136 JK327670:JV327672 TG327670:TR327672 ADC327670:ADN327672 AMY327670:ANJ327672 AWU327670:AXF327672 BGQ327670:BHB327672 BQM327670:BQX327672 CAI327670:CAT327672 CKE327670:CKP327672 CUA327670:CUL327672 DDW327670:DEH327672 DNS327670:DOD327672 DXO327670:DXZ327672 EHK327670:EHV327672 ERG327670:ERR327672 FBC327670:FBN327672 FKY327670:FLJ327672 FUU327670:FVF327672 GEQ327670:GFB327672 GOM327670:GOX327672 GYI327670:GYT327672 HIE327670:HIP327672 HSA327670:HSL327672 IBW327670:ICH327672 ILS327670:IMD327672 IVO327670:IVZ327672 JFK327670:JFV327672 JPG327670:JPR327672 JZC327670:JZN327672 KIY327670:KJJ327672 KSU327670:KTF327672 LCQ327670:LDB327672 LMM327670:LMX327672 LWI327670:LWT327672 MGE327670:MGP327672 MQA327670:MQL327672 MZW327670:NAH327672 NJS327670:NKD327672 NTO327670:NTZ327672 ODK327670:ODV327672 ONG327670:ONR327672 OXC327670:OXN327672 PGY327670:PHJ327672 PQU327670:PRF327672 QAQ327670:QBB327672 QKM327670:QKX327672 QUI327670:QUT327672 REE327670:REP327672 ROA327670:ROL327672 RXW327670:RYH327672 SHS327670:SID327672 SRO327670:SRZ327672 TBK327670:TBV327672 TLG327670:TLR327672 TVC327670:TVN327672 UEY327670:UFJ327672 UOU327670:UPF327672 UYQ327670:UZB327672 VIM327670:VIX327672 VSI327670:VST327672 WCE327670:WCP327672 WMA327670:WML327672 WVW327670:WWH327672 JK393206:JV393208 TG393206:TR393208 ADC393206:ADN393208 AMY393206:ANJ393208 AWU393206:AXF393208 BGQ393206:BHB393208 BQM393206:BQX393208 CAI393206:CAT393208 CKE393206:CKP393208 CUA393206:CUL393208 DDW393206:DEH393208 DNS393206:DOD393208 DXO393206:DXZ393208 EHK393206:EHV393208 ERG393206:ERR393208 FBC393206:FBN393208 FKY393206:FLJ393208 FUU393206:FVF393208 GEQ393206:GFB393208 GOM393206:GOX393208 GYI393206:GYT393208 HIE393206:HIP393208 HSA393206:HSL393208 IBW393206:ICH393208 ILS393206:IMD393208 IVO393206:IVZ393208 JFK393206:JFV393208 JPG393206:JPR393208 JZC393206:JZN393208 KIY393206:KJJ393208 KSU393206:KTF393208 LCQ393206:LDB393208 LMM393206:LMX393208 LWI393206:LWT393208 MGE393206:MGP393208 MQA393206:MQL393208 MZW393206:NAH393208 NJS393206:NKD393208 NTO393206:NTZ393208 ODK393206:ODV393208 ONG393206:ONR393208 OXC393206:OXN393208 PGY393206:PHJ393208 PQU393206:PRF393208 QAQ393206:QBB393208 QKM393206:QKX393208 QUI393206:QUT393208 REE393206:REP393208 ROA393206:ROL393208 RXW393206:RYH393208 SHS393206:SID393208 SRO393206:SRZ393208 TBK393206:TBV393208 TLG393206:TLR393208 TVC393206:TVN393208 UEY393206:UFJ393208 UOU393206:UPF393208 UYQ393206:UZB393208 VIM393206:VIX393208 VSI393206:VST393208 WCE393206:WCP393208 WMA393206:WML393208 WVW393206:WWH393208 JK458742:JV458744 TG458742:TR458744 ADC458742:ADN458744 AMY458742:ANJ458744 AWU458742:AXF458744 BGQ458742:BHB458744 BQM458742:BQX458744 CAI458742:CAT458744 CKE458742:CKP458744 CUA458742:CUL458744 DDW458742:DEH458744 DNS458742:DOD458744 DXO458742:DXZ458744 EHK458742:EHV458744 ERG458742:ERR458744 FBC458742:FBN458744 FKY458742:FLJ458744 FUU458742:FVF458744 GEQ458742:GFB458744 GOM458742:GOX458744 GYI458742:GYT458744 HIE458742:HIP458744 HSA458742:HSL458744 IBW458742:ICH458744 ILS458742:IMD458744 IVO458742:IVZ458744 JFK458742:JFV458744 JPG458742:JPR458744 JZC458742:JZN458744 KIY458742:KJJ458744 KSU458742:KTF458744 LCQ458742:LDB458744 LMM458742:LMX458744 LWI458742:LWT458744 MGE458742:MGP458744 MQA458742:MQL458744 MZW458742:NAH458744 NJS458742:NKD458744 NTO458742:NTZ458744 ODK458742:ODV458744 ONG458742:ONR458744 OXC458742:OXN458744 PGY458742:PHJ458744 PQU458742:PRF458744 QAQ458742:QBB458744 QKM458742:QKX458744 QUI458742:QUT458744 REE458742:REP458744 ROA458742:ROL458744 RXW458742:RYH458744 SHS458742:SID458744 SRO458742:SRZ458744 TBK458742:TBV458744 TLG458742:TLR458744 TVC458742:TVN458744 UEY458742:UFJ458744 UOU458742:UPF458744 UYQ458742:UZB458744 VIM458742:VIX458744 VSI458742:VST458744 WCE458742:WCP458744 WMA458742:WML458744 WVW458742:WWH458744 JK524278:JV524280 TG524278:TR524280 ADC524278:ADN524280 AMY524278:ANJ524280 AWU524278:AXF524280 BGQ524278:BHB524280 BQM524278:BQX524280 CAI524278:CAT524280 CKE524278:CKP524280 CUA524278:CUL524280 DDW524278:DEH524280 DNS524278:DOD524280 DXO524278:DXZ524280 EHK524278:EHV524280 ERG524278:ERR524280 FBC524278:FBN524280 FKY524278:FLJ524280 FUU524278:FVF524280 GEQ524278:GFB524280 GOM524278:GOX524280 GYI524278:GYT524280 HIE524278:HIP524280 HSA524278:HSL524280 IBW524278:ICH524280 ILS524278:IMD524280 IVO524278:IVZ524280 JFK524278:JFV524280 JPG524278:JPR524280 JZC524278:JZN524280 KIY524278:KJJ524280 KSU524278:KTF524280 LCQ524278:LDB524280 LMM524278:LMX524280 LWI524278:LWT524280 MGE524278:MGP524280 MQA524278:MQL524280 MZW524278:NAH524280 NJS524278:NKD524280 NTO524278:NTZ524280 ODK524278:ODV524280 ONG524278:ONR524280 OXC524278:OXN524280 PGY524278:PHJ524280 PQU524278:PRF524280 QAQ524278:QBB524280 QKM524278:QKX524280 QUI524278:QUT524280 REE524278:REP524280 ROA524278:ROL524280 RXW524278:RYH524280 SHS524278:SID524280 SRO524278:SRZ524280 TBK524278:TBV524280 TLG524278:TLR524280 TVC524278:TVN524280 UEY524278:UFJ524280 UOU524278:UPF524280 UYQ524278:UZB524280 VIM524278:VIX524280 VSI524278:VST524280 WCE524278:WCP524280 WMA524278:WML524280 WVW524278:WWH524280 JK589814:JV589816 TG589814:TR589816 ADC589814:ADN589816 AMY589814:ANJ589816 AWU589814:AXF589816 BGQ589814:BHB589816 BQM589814:BQX589816 CAI589814:CAT589816 CKE589814:CKP589816 CUA589814:CUL589816 DDW589814:DEH589816 DNS589814:DOD589816 DXO589814:DXZ589816 EHK589814:EHV589816 ERG589814:ERR589816 FBC589814:FBN589816 FKY589814:FLJ589816 FUU589814:FVF589816 GEQ589814:GFB589816 GOM589814:GOX589816 GYI589814:GYT589816 HIE589814:HIP589816 HSA589814:HSL589816 IBW589814:ICH589816 ILS589814:IMD589816 IVO589814:IVZ589816 JFK589814:JFV589816 JPG589814:JPR589816 JZC589814:JZN589816 KIY589814:KJJ589816 KSU589814:KTF589816 LCQ589814:LDB589816 LMM589814:LMX589816 LWI589814:LWT589816 MGE589814:MGP589816 MQA589814:MQL589816 MZW589814:NAH589816 NJS589814:NKD589816 NTO589814:NTZ589816 ODK589814:ODV589816 ONG589814:ONR589816 OXC589814:OXN589816 PGY589814:PHJ589816 PQU589814:PRF589816 QAQ589814:QBB589816 QKM589814:QKX589816 QUI589814:QUT589816 REE589814:REP589816 ROA589814:ROL589816 RXW589814:RYH589816 SHS589814:SID589816 SRO589814:SRZ589816 TBK589814:TBV589816 TLG589814:TLR589816 TVC589814:TVN589816 UEY589814:UFJ589816 UOU589814:UPF589816 UYQ589814:UZB589816 VIM589814:VIX589816 VSI589814:VST589816 WCE589814:WCP589816 WMA589814:WML589816 WVW589814:WWH589816 JK655350:JV655352 TG655350:TR655352 ADC655350:ADN655352 AMY655350:ANJ655352 AWU655350:AXF655352 BGQ655350:BHB655352 BQM655350:BQX655352 CAI655350:CAT655352 CKE655350:CKP655352 CUA655350:CUL655352 DDW655350:DEH655352 DNS655350:DOD655352 DXO655350:DXZ655352 EHK655350:EHV655352 ERG655350:ERR655352 FBC655350:FBN655352 FKY655350:FLJ655352 FUU655350:FVF655352 GEQ655350:GFB655352 GOM655350:GOX655352 GYI655350:GYT655352 HIE655350:HIP655352 HSA655350:HSL655352 IBW655350:ICH655352 ILS655350:IMD655352 IVO655350:IVZ655352 JFK655350:JFV655352 JPG655350:JPR655352 JZC655350:JZN655352 KIY655350:KJJ655352 KSU655350:KTF655352 LCQ655350:LDB655352 LMM655350:LMX655352 LWI655350:LWT655352 MGE655350:MGP655352 MQA655350:MQL655352 MZW655350:NAH655352 NJS655350:NKD655352 NTO655350:NTZ655352 ODK655350:ODV655352 ONG655350:ONR655352 OXC655350:OXN655352 PGY655350:PHJ655352 PQU655350:PRF655352 QAQ655350:QBB655352 QKM655350:QKX655352 QUI655350:QUT655352 REE655350:REP655352 ROA655350:ROL655352 RXW655350:RYH655352 SHS655350:SID655352 SRO655350:SRZ655352 TBK655350:TBV655352 TLG655350:TLR655352 TVC655350:TVN655352 UEY655350:UFJ655352 UOU655350:UPF655352 UYQ655350:UZB655352 VIM655350:VIX655352 VSI655350:VST655352 WCE655350:WCP655352 WMA655350:WML655352 WVW655350:WWH655352 JK720886:JV720888 TG720886:TR720888 ADC720886:ADN720888 AMY720886:ANJ720888 AWU720886:AXF720888 BGQ720886:BHB720888 BQM720886:BQX720888 CAI720886:CAT720888 CKE720886:CKP720888 CUA720886:CUL720888 DDW720886:DEH720888 DNS720886:DOD720888 DXO720886:DXZ720888 EHK720886:EHV720888 ERG720886:ERR720888 FBC720886:FBN720888 FKY720886:FLJ720888 FUU720886:FVF720888 GEQ720886:GFB720888 GOM720886:GOX720888 GYI720886:GYT720888 HIE720886:HIP720888 HSA720886:HSL720888 IBW720886:ICH720888 ILS720886:IMD720888 IVO720886:IVZ720888 JFK720886:JFV720888 JPG720886:JPR720888 JZC720886:JZN720888 KIY720886:KJJ720888 KSU720886:KTF720888 LCQ720886:LDB720888 LMM720886:LMX720888 LWI720886:LWT720888 MGE720886:MGP720888 MQA720886:MQL720888 MZW720886:NAH720888 NJS720886:NKD720888 NTO720886:NTZ720888 ODK720886:ODV720888 ONG720886:ONR720888 OXC720886:OXN720888 PGY720886:PHJ720888 PQU720886:PRF720888 QAQ720886:QBB720888 QKM720886:QKX720888 QUI720886:QUT720888 REE720886:REP720888 ROA720886:ROL720888 RXW720886:RYH720888 SHS720886:SID720888 SRO720886:SRZ720888 TBK720886:TBV720888 TLG720886:TLR720888 TVC720886:TVN720888 UEY720886:UFJ720888 UOU720886:UPF720888 UYQ720886:UZB720888 VIM720886:VIX720888 VSI720886:VST720888 WCE720886:WCP720888 WMA720886:WML720888 WVW720886:WWH720888 JK786422:JV786424 TG786422:TR786424 ADC786422:ADN786424 AMY786422:ANJ786424 AWU786422:AXF786424 BGQ786422:BHB786424 BQM786422:BQX786424 CAI786422:CAT786424 CKE786422:CKP786424 CUA786422:CUL786424 DDW786422:DEH786424 DNS786422:DOD786424 DXO786422:DXZ786424 EHK786422:EHV786424 ERG786422:ERR786424 FBC786422:FBN786424 FKY786422:FLJ786424 FUU786422:FVF786424 GEQ786422:GFB786424 GOM786422:GOX786424 GYI786422:GYT786424 HIE786422:HIP786424 HSA786422:HSL786424 IBW786422:ICH786424 ILS786422:IMD786424 IVO786422:IVZ786424 JFK786422:JFV786424 JPG786422:JPR786424 JZC786422:JZN786424 KIY786422:KJJ786424 KSU786422:KTF786424 LCQ786422:LDB786424 LMM786422:LMX786424 LWI786422:LWT786424 MGE786422:MGP786424 MQA786422:MQL786424 MZW786422:NAH786424 NJS786422:NKD786424 NTO786422:NTZ786424 ODK786422:ODV786424 ONG786422:ONR786424 OXC786422:OXN786424 PGY786422:PHJ786424 PQU786422:PRF786424 QAQ786422:QBB786424 QKM786422:QKX786424 QUI786422:QUT786424 REE786422:REP786424 ROA786422:ROL786424 RXW786422:RYH786424 SHS786422:SID786424 SRO786422:SRZ786424 TBK786422:TBV786424 TLG786422:TLR786424 TVC786422:TVN786424 UEY786422:UFJ786424 UOU786422:UPF786424 UYQ786422:UZB786424 VIM786422:VIX786424 VSI786422:VST786424 WCE786422:WCP786424 WMA786422:WML786424 WVW786422:WWH786424 JK851958:JV851960 TG851958:TR851960 ADC851958:ADN851960 AMY851958:ANJ851960 AWU851958:AXF851960 BGQ851958:BHB851960 BQM851958:BQX851960 CAI851958:CAT851960 CKE851958:CKP851960 CUA851958:CUL851960 DDW851958:DEH851960 DNS851958:DOD851960 DXO851958:DXZ851960 EHK851958:EHV851960 ERG851958:ERR851960 FBC851958:FBN851960 FKY851958:FLJ851960 FUU851958:FVF851960 GEQ851958:GFB851960 GOM851958:GOX851960 GYI851958:GYT851960 HIE851958:HIP851960 HSA851958:HSL851960 IBW851958:ICH851960 ILS851958:IMD851960 IVO851958:IVZ851960 JFK851958:JFV851960 JPG851958:JPR851960 JZC851958:JZN851960 KIY851958:KJJ851960 KSU851958:KTF851960 LCQ851958:LDB851960 LMM851958:LMX851960 LWI851958:LWT851960 MGE851958:MGP851960 MQA851958:MQL851960 MZW851958:NAH851960 NJS851958:NKD851960 NTO851958:NTZ851960 ODK851958:ODV851960 ONG851958:ONR851960 OXC851958:OXN851960 PGY851958:PHJ851960 PQU851958:PRF851960 QAQ851958:QBB851960 QKM851958:QKX851960 QUI851958:QUT851960 REE851958:REP851960 ROA851958:ROL851960 RXW851958:RYH851960 SHS851958:SID851960 SRO851958:SRZ851960 TBK851958:TBV851960 TLG851958:TLR851960 TVC851958:TVN851960 UEY851958:UFJ851960 UOU851958:UPF851960 UYQ851958:UZB851960 VIM851958:VIX851960 VSI851958:VST851960 WCE851958:WCP851960 WMA851958:WML851960 WVW851958:WWH851960 JK917494:JV917496 TG917494:TR917496 ADC917494:ADN917496 AMY917494:ANJ917496 AWU917494:AXF917496 BGQ917494:BHB917496 BQM917494:BQX917496 CAI917494:CAT917496 CKE917494:CKP917496 CUA917494:CUL917496 DDW917494:DEH917496 DNS917494:DOD917496 DXO917494:DXZ917496 EHK917494:EHV917496 ERG917494:ERR917496 FBC917494:FBN917496 FKY917494:FLJ917496 FUU917494:FVF917496 GEQ917494:GFB917496 GOM917494:GOX917496 GYI917494:GYT917496 HIE917494:HIP917496 HSA917494:HSL917496 IBW917494:ICH917496 ILS917494:IMD917496 IVO917494:IVZ917496 JFK917494:JFV917496 JPG917494:JPR917496 JZC917494:JZN917496 KIY917494:KJJ917496 KSU917494:KTF917496 LCQ917494:LDB917496 LMM917494:LMX917496 LWI917494:LWT917496 MGE917494:MGP917496 MQA917494:MQL917496 MZW917494:NAH917496 NJS917494:NKD917496 NTO917494:NTZ917496 ODK917494:ODV917496 ONG917494:ONR917496 OXC917494:OXN917496 PGY917494:PHJ917496 PQU917494:PRF917496 QAQ917494:QBB917496 QKM917494:QKX917496 QUI917494:QUT917496 REE917494:REP917496 ROA917494:ROL917496 RXW917494:RYH917496 SHS917494:SID917496 SRO917494:SRZ917496 TBK917494:TBV917496 TLG917494:TLR917496 TVC917494:TVN917496 UEY917494:UFJ917496 UOU917494:UPF917496 UYQ917494:UZB917496 VIM917494:VIX917496 VSI917494:VST917496 WCE917494:WCP917496 WMA917494:WML917496 WVW917494:WWH917496 JK983030:JV983032 TG983030:TR983032 ADC983030:ADN983032 AMY983030:ANJ983032 AWU983030:AXF983032 BGQ983030:BHB983032 BQM983030:BQX983032 CAI983030:CAT983032 CKE983030:CKP983032 CUA983030:CUL983032 DDW983030:DEH983032 DNS983030:DOD983032 DXO983030:DXZ983032 EHK983030:EHV983032 ERG983030:ERR983032 FBC983030:FBN983032 FKY983030:FLJ983032 FUU983030:FVF983032 GEQ983030:GFB983032 GOM983030:GOX983032 GYI983030:GYT983032 HIE983030:HIP983032 HSA983030:HSL983032 IBW983030:ICH983032 ILS983030:IMD983032 IVO983030:IVZ983032 JFK983030:JFV983032 JPG983030:JPR983032 JZC983030:JZN983032 KIY983030:KJJ983032 KSU983030:KTF983032 LCQ983030:LDB983032 LMM983030:LMX983032 LWI983030:LWT983032 MGE983030:MGP983032 MQA983030:MQL983032 MZW983030:NAH983032 NJS983030:NKD983032 NTO983030:NTZ983032 ODK983030:ODV983032 ONG983030:ONR983032 OXC983030:OXN983032 PGY983030:PHJ983032 PQU983030:PRF983032 QAQ983030:QBB983032 QKM983030:QKX983032 QUI983030:QUT983032 REE983030:REP983032 ROA983030:ROL983032 RXW983030:RYH983032 SHS983030:SID983032 SRO983030:SRZ983032 TBK983030:TBV983032 TLG983030:TLR983032 TVC983030:TVN983032 UEY983030:UFJ983032 UOU983030:UPF983032 UYQ983030:UZB983032 VIM983030:VIX983032 VSI983030:VST983032 WCE983030:WCP983032 WMA983030:WML983032 Z262129:AJ262131 Z196593:AJ196595 Z131057:AJ131059 Z65521:AJ65523 Z983030:AJ983032 Z917494:AJ917496 Z851958:AJ851960 Z786422:AJ786424 Z720886:AJ720888 Z655350:AJ655352 Z589814:AJ589816 Z524278:AJ524280 Z458742:AJ458744 Z393206:AJ393208 Z327670:AJ327672 Z262134:AJ262136 Z196598:AJ196600 Z131062:AJ131064 Z65526:AJ65528 Z983025:AJ983027 Z917489:AJ917491 Z851953:AJ851955 Z786417:AJ786419 Z720881:AJ720883 Z655345:AJ655347 Z589809:AJ589811 Z524273:AJ524275 Z458737:AJ458739 Z393201:AJ393203 Z327665:AJ327667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637F1EA6-7E75-49A0-8936-A048FAA20031}"/>
    <dataValidation type="list" allowBlank="1" showInputMessage="1" showErrorMessage="1" sqref="AB14:AC15 AA10:AC13 AA14:AA50 AA8:AA9" xr:uid="{8AF84B0A-FD5E-4CBC-BEE4-67717EAE82C8}">
      <formula1>"datetime,int,numeric,varchar,nvarchar"</formula1>
    </dataValidation>
    <dataValidation type="list" allowBlank="1" showInputMessage="1" showErrorMessage="1" sqref="Y8:Z50" xr:uid="{1CC3D798-BF18-4DFD-9019-5408F1A23AE7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92D050"/>
  </sheetPr>
  <dimension ref="A1:I240"/>
  <sheetViews>
    <sheetView workbookViewId="0">
      <pane ySplit="3" topLeftCell="A33" activePane="bottomLeft" state="frozen"/>
      <selection sqref="A1:T4"/>
      <selection pane="bottomLeft" activeCell="A45" sqref="A45:XFD45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88</v>
      </c>
      <c r="B3" s="11" t="s">
        <v>89</v>
      </c>
      <c r="C3" s="11" t="s">
        <v>90</v>
      </c>
      <c r="D3" s="11" t="s">
        <v>91</v>
      </c>
      <c r="E3" s="11" t="s">
        <v>92</v>
      </c>
      <c r="F3" s="11" t="s">
        <v>93</v>
      </c>
      <c r="G3" s="11" t="s">
        <v>94</v>
      </c>
      <c r="H3" s="11" t="s">
        <v>95</v>
      </c>
      <c r="I3" s="12" t="s">
        <v>96</v>
      </c>
    </row>
    <row r="4" spans="1:9" x14ac:dyDescent="0.3">
      <c r="A4" s="13">
        <f>IF(B4="","",COUNTA($B$4:B4))</f>
        <v>1</v>
      </c>
      <c r="B4" s="13" t="s">
        <v>149</v>
      </c>
      <c r="C4" s="13" t="s">
        <v>1751</v>
      </c>
      <c r="D4" s="13" t="s">
        <v>1432</v>
      </c>
      <c r="E4" s="13" t="s">
        <v>56</v>
      </c>
      <c r="F4" s="13" t="s">
        <v>1752</v>
      </c>
      <c r="G4" s="13">
        <v>10</v>
      </c>
      <c r="H4" s="13" t="s">
        <v>1893</v>
      </c>
      <c r="I4" s="14"/>
    </row>
    <row r="5" spans="1:9" x14ac:dyDescent="0.3">
      <c r="A5" s="13">
        <f>IF(B5="","",COUNTA($B$4:B5))</f>
        <v>2</v>
      </c>
      <c r="B5" s="13" t="s">
        <v>149</v>
      </c>
      <c r="C5" s="13" t="s">
        <v>1753</v>
      </c>
      <c r="D5" s="13" t="s">
        <v>1533</v>
      </c>
      <c r="E5" s="13" t="s">
        <v>56</v>
      </c>
      <c r="F5" s="13" t="s">
        <v>1752</v>
      </c>
      <c r="G5" s="13">
        <v>4</v>
      </c>
      <c r="H5" s="13"/>
      <c r="I5" s="14"/>
    </row>
    <row r="6" spans="1:9" x14ac:dyDescent="0.3">
      <c r="A6" s="13">
        <f>IF(B6="","",COUNTA($B$4:B6))</f>
        <v>3</v>
      </c>
      <c r="B6" s="13" t="s">
        <v>149</v>
      </c>
      <c r="C6" s="13" t="s">
        <v>1754</v>
      </c>
      <c r="D6" s="13" t="s">
        <v>1433</v>
      </c>
      <c r="E6" s="13" t="s">
        <v>56</v>
      </c>
      <c r="F6" s="13" t="s">
        <v>1752</v>
      </c>
      <c r="G6" s="13">
        <v>4</v>
      </c>
      <c r="H6" s="13"/>
      <c r="I6" s="14"/>
    </row>
    <row r="7" spans="1:9" x14ac:dyDescent="0.3">
      <c r="A7" s="13">
        <f>IF(B7="","",COUNTA($B$4:B7))</f>
        <v>4</v>
      </c>
      <c r="B7" s="13" t="s">
        <v>149</v>
      </c>
      <c r="C7" s="13" t="s">
        <v>1755</v>
      </c>
      <c r="D7" s="13" t="s">
        <v>1434</v>
      </c>
      <c r="E7" s="13" t="s">
        <v>56</v>
      </c>
      <c r="F7" s="13" t="s">
        <v>1752</v>
      </c>
      <c r="G7" s="13">
        <v>10</v>
      </c>
      <c r="H7" s="13" t="s">
        <v>1893</v>
      </c>
      <c r="I7" s="14"/>
    </row>
    <row r="8" spans="1:9" x14ac:dyDescent="0.3">
      <c r="A8" s="13">
        <f>IF(B8="","",COUNTA($B$4:B8))</f>
        <v>5</v>
      </c>
      <c r="B8" s="13" t="s">
        <v>149</v>
      </c>
      <c r="C8" s="13" t="s">
        <v>1756</v>
      </c>
      <c r="D8" s="13" t="s">
        <v>1481</v>
      </c>
      <c r="E8" s="13" t="s">
        <v>1757</v>
      </c>
      <c r="F8" s="13" t="s">
        <v>1758</v>
      </c>
      <c r="G8" s="13"/>
      <c r="H8" s="13" t="s">
        <v>1893</v>
      </c>
      <c r="I8" s="14"/>
    </row>
    <row r="9" spans="1:9" x14ac:dyDescent="0.3">
      <c r="A9" s="13">
        <f>IF(B9="","",COUNTA($B$4:B9))</f>
        <v>6</v>
      </c>
      <c r="B9" s="13" t="s">
        <v>149</v>
      </c>
      <c r="C9" s="13" t="s">
        <v>1750</v>
      </c>
      <c r="D9" s="13" t="s">
        <v>1435</v>
      </c>
      <c r="E9" s="13" t="s">
        <v>56</v>
      </c>
      <c r="F9" s="13" t="s">
        <v>1752</v>
      </c>
      <c r="G9" s="13">
        <v>30</v>
      </c>
      <c r="H9" s="13" t="s">
        <v>1893</v>
      </c>
      <c r="I9" s="14"/>
    </row>
    <row r="10" spans="1:9" x14ac:dyDescent="0.3">
      <c r="A10" s="13">
        <f>IF(B10="","",COUNTA($B$4:B10))</f>
        <v>7</v>
      </c>
      <c r="B10" s="13" t="s">
        <v>149</v>
      </c>
      <c r="C10" s="13" t="s">
        <v>1759</v>
      </c>
      <c r="D10" s="13" t="s">
        <v>1436</v>
      </c>
      <c r="E10" s="13" t="s">
        <v>56</v>
      </c>
      <c r="F10" s="13" t="s">
        <v>1752</v>
      </c>
      <c r="G10" s="13">
        <v>100</v>
      </c>
      <c r="H10" s="13"/>
      <c r="I10" s="14"/>
    </row>
    <row r="11" spans="1:9" x14ac:dyDescent="0.3">
      <c r="A11" s="13">
        <f>IF(B11="","",COUNTA($B$4:B11))</f>
        <v>8</v>
      </c>
      <c r="B11" s="13" t="s">
        <v>149</v>
      </c>
      <c r="C11" s="13" t="s">
        <v>142</v>
      </c>
      <c r="D11" s="13" t="s">
        <v>1760</v>
      </c>
      <c r="E11" s="13" t="s">
        <v>56</v>
      </c>
      <c r="F11" s="13" t="s">
        <v>1752</v>
      </c>
      <c r="G11" s="13">
        <v>4</v>
      </c>
      <c r="H11" s="13" t="s">
        <v>1893</v>
      </c>
      <c r="I11" s="14"/>
    </row>
    <row r="12" spans="1:9" x14ac:dyDescent="0.3">
      <c r="A12" s="13">
        <f>IF(B12="","",COUNTA($B$4:B12))</f>
        <v>9</v>
      </c>
      <c r="B12" s="13" t="s">
        <v>149</v>
      </c>
      <c r="C12" s="13" t="s">
        <v>387</v>
      </c>
      <c r="D12" s="13" t="s">
        <v>1761</v>
      </c>
      <c r="E12" s="13" t="s">
        <v>56</v>
      </c>
      <c r="F12" s="13" t="s">
        <v>1752</v>
      </c>
      <c r="G12" s="13">
        <v>4</v>
      </c>
      <c r="H12" s="13" t="s">
        <v>1893</v>
      </c>
      <c r="I12" s="14"/>
    </row>
    <row r="13" spans="1:9" x14ac:dyDescent="0.3">
      <c r="A13" s="13">
        <f>IF(B13="","",COUNTA($B$4:B13))</f>
        <v>10</v>
      </c>
      <c r="B13" s="13" t="s">
        <v>149</v>
      </c>
      <c r="C13" s="13" t="s">
        <v>1762</v>
      </c>
      <c r="D13" s="13" t="s">
        <v>1763</v>
      </c>
      <c r="E13" s="13" t="s">
        <v>56</v>
      </c>
      <c r="F13" s="13" t="s">
        <v>1752</v>
      </c>
      <c r="G13" s="13">
        <v>10</v>
      </c>
      <c r="H13" s="13"/>
      <c r="I13" s="14"/>
    </row>
    <row r="14" spans="1:9" x14ac:dyDescent="0.3">
      <c r="A14" s="13">
        <f>IF(B14="","",COUNTA($B$4:B14))</f>
        <v>11</v>
      </c>
      <c r="B14" s="13" t="s">
        <v>149</v>
      </c>
      <c r="C14" s="13" t="s">
        <v>508</v>
      </c>
      <c r="D14" s="13" t="s">
        <v>1764</v>
      </c>
      <c r="E14" s="13" t="s">
        <v>56</v>
      </c>
      <c r="F14" s="13" t="s">
        <v>1752</v>
      </c>
      <c r="G14" s="13">
        <v>10</v>
      </c>
      <c r="H14" s="13"/>
      <c r="I14" s="14"/>
    </row>
    <row r="15" spans="1:9" x14ac:dyDescent="0.3">
      <c r="A15" s="13">
        <f>IF(B15="","",COUNTA($B$4:B15))</f>
        <v>12</v>
      </c>
      <c r="B15" s="13" t="s">
        <v>149</v>
      </c>
      <c r="C15" s="13" t="s">
        <v>512</v>
      </c>
      <c r="D15" s="13" t="s">
        <v>1765</v>
      </c>
      <c r="E15" s="13" t="s">
        <v>1757</v>
      </c>
      <c r="F15" s="13" t="s">
        <v>1758</v>
      </c>
      <c r="G15" s="13"/>
      <c r="H15" s="13"/>
      <c r="I15" s="14"/>
    </row>
    <row r="16" spans="1:9" x14ac:dyDescent="0.3">
      <c r="A16" s="13">
        <f>IF(B16="","",COUNTA($B$4:B16))</f>
        <v>13</v>
      </c>
      <c r="B16" s="13" t="s">
        <v>149</v>
      </c>
      <c r="C16" s="13" t="s">
        <v>1766</v>
      </c>
      <c r="D16" s="13" t="s">
        <v>1767</v>
      </c>
      <c r="E16" s="13" t="s">
        <v>56</v>
      </c>
      <c r="F16" s="13" t="s">
        <v>1752</v>
      </c>
      <c r="G16" s="13">
        <v>10</v>
      </c>
      <c r="H16" s="13"/>
      <c r="I16" s="14"/>
    </row>
    <row r="17" spans="1:9" x14ac:dyDescent="0.3">
      <c r="A17" s="13">
        <f>IF(B17="","",COUNTA($B$4:B17))</f>
        <v>14</v>
      </c>
      <c r="B17" s="13" t="s">
        <v>149</v>
      </c>
      <c r="C17" s="13" t="s">
        <v>354</v>
      </c>
      <c r="D17" s="13" t="s">
        <v>1768</v>
      </c>
      <c r="E17" s="13" t="s">
        <v>56</v>
      </c>
      <c r="F17" s="13" t="s">
        <v>1752</v>
      </c>
      <c r="G17" s="13">
        <v>10</v>
      </c>
      <c r="H17" s="13"/>
      <c r="I17" s="14"/>
    </row>
    <row r="18" spans="1:9" x14ac:dyDescent="0.3">
      <c r="A18" s="13">
        <f>IF(B18="","",COUNTA($B$4:B18))</f>
        <v>15</v>
      </c>
      <c r="B18" s="13" t="s">
        <v>149</v>
      </c>
      <c r="C18" s="13" t="s">
        <v>358</v>
      </c>
      <c r="D18" s="13" t="s">
        <v>1769</v>
      </c>
      <c r="E18" s="13" t="s">
        <v>1757</v>
      </c>
      <c r="F18" s="13" t="s">
        <v>1758</v>
      </c>
      <c r="G18" s="13"/>
      <c r="H18" s="13"/>
      <c r="I18" s="14"/>
    </row>
    <row r="19" spans="1:9" x14ac:dyDescent="0.3">
      <c r="A19" s="13">
        <f>IF(B19="","",COUNTA($B$4:B19))</f>
        <v>16</v>
      </c>
      <c r="B19" s="13" t="s">
        <v>215</v>
      </c>
      <c r="C19" s="13" t="s">
        <v>1751</v>
      </c>
      <c r="D19" s="13" t="s">
        <v>1432</v>
      </c>
      <c r="E19" s="13" t="s">
        <v>56</v>
      </c>
      <c r="F19" s="13" t="s">
        <v>1752</v>
      </c>
      <c r="G19" s="13">
        <v>10</v>
      </c>
      <c r="H19" s="13" t="s">
        <v>1893</v>
      </c>
      <c r="I19" s="14"/>
    </row>
    <row r="20" spans="1:9" x14ac:dyDescent="0.3">
      <c r="A20" s="13">
        <f>IF(B20="","",COUNTA($B$4:B20))</f>
        <v>17</v>
      </c>
      <c r="B20" s="13" t="s">
        <v>215</v>
      </c>
      <c r="C20" s="13" t="s">
        <v>179</v>
      </c>
      <c r="D20" s="13" t="s">
        <v>1480</v>
      </c>
      <c r="E20" s="13" t="s">
        <v>1770</v>
      </c>
      <c r="F20" s="13" t="s">
        <v>1771</v>
      </c>
      <c r="G20" s="13">
        <v>5</v>
      </c>
      <c r="H20" s="13"/>
      <c r="I20" s="14"/>
    </row>
    <row r="21" spans="1:9" x14ac:dyDescent="0.3">
      <c r="A21" s="13">
        <f>IF(B21="","",COUNTA($B$4:B21))</f>
        <v>18</v>
      </c>
      <c r="B21" s="13" t="s">
        <v>215</v>
      </c>
      <c r="C21" s="13" t="s">
        <v>1772</v>
      </c>
      <c r="D21" s="13" t="s">
        <v>1773</v>
      </c>
      <c r="E21" s="13" t="s">
        <v>56</v>
      </c>
      <c r="F21" s="13" t="s">
        <v>1752</v>
      </c>
      <c r="G21" s="13">
        <v>3</v>
      </c>
      <c r="H21" s="13"/>
      <c r="I21" s="14"/>
    </row>
    <row r="22" spans="1:9" x14ac:dyDescent="0.3">
      <c r="A22" s="13">
        <f>IF(B22="","",COUNTA($B$4:B22))</f>
        <v>19</v>
      </c>
      <c r="B22" s="13" t="s">
        <v>215</v>
      </c>
      <c r="C22" s="13" t="s">
        <v>1774</v>
      </c>
      <c r="D22" s="13" t="s">
        <v>1452</v>
      </c>
      <c r="E22" s="13" t="s">
        <v>56</v>
      </c>
      <c r="F22" s="13" t="s">
        <v>1752</v>
      </c>
      <c r="G22" s="13">
        <v>30</v>
      </c>
      <c r="H22" s="13"/>
      <c r="I22" s="14"/>
    </row>
    <row r="23" spans="1:9" x14ac:dyDescent="0.3">
      <c r="A23" s="13">
        <f>IF(B23="","",COUNTA($B$4:B23))</f>
        <v>20</v>
      </c>
      <c r="B23" s="13" t="s">
        <v>215</v>
      </c>
      <c r="C23" s="13" t="s">
        <v>1775</v>
      </c>
      <c r="D23" s="13" t="s">
        <v>1485</v>
      </c>
      <c r="E23" s="13" t="s">
        <v>1757</v>
      </c>
      <c r="F23" s="13" t="s">
        <v>1758</v>
      </c>
      <c r="G23" s="13"/>
      <c r="H23" s="13"/>
      <c r="I23" s="14"/>
    </row>
    <row r="24" spans="1:9" x14ac:dyDescent="0.3">
      <c r="A24" s="13">
        <f>IF(B24="","",COUNTA($B$4:B24))</f>
        <v>21</v>
      </c>
      <c r="B24" s="13" t="s">
        <v>215</v>
      </c>
      <c r="C24" s="13" t="s">
        <v>1776</v>
      </c>
      <c r="D24" s="13" t="s">
        <v>1453</v>
      </c>
      <c r="E24" s="13" t="s">
        <v>1757</v>
      </c>
      <c r="F24" s="13" t="s">
        <v>1758</v>
      </c>
      <c r="G24" s="13"/>
      <c r="H24" s="13"/>
      <c r="I24" s="14"/>
    </row>
    <row r="25" spans="1:9" x14ac:dyDescent="0.3">
      <c r="A25" s="13">
        <f>IF(B25="","",COUNTA($B$4:B25))</f>
        <v>22</v>
      </c>
      <c r="B25" s="13" t="s">
        <v>215</v>
      </c>
      <c r="C25" s="13" t="s">
        <v>1777</v>
      </c>
      <c r="D25" s="13" t="s">
        <v>1454</v>
      </c>
      <c r="E25" s="13" t="s">
        <v>56</v>
      </c>
      <c r="F25" s="13" t="s">
        <v>1752</v>
      </c>
      <c r="G25" s="13">
        <v>1</v>
      </c>
      <c r="H25" s="13"/>
      <c r="I25" s="14"/>
    </row>
    <row r="26" spans="1:9" x14ac:dyDescent="0.3">
      <c r="A26" s="13">
        <f>IF(B26="","",COUNTA($B$4:B26))</f>
        <v>23</v>
      </c>
      <c r="B26" s="13" t="s">
        <v>215</v>
      </c>
      <c r="C26" s="13" t="s">
        <v>1778</v>
      </c>
      <c r="D26" s="13" t="s">
        <v>1455</v>
      </c>
      <c r="E26" s="13" t="s">
        <v>56</v>
      </c>
      <c r="F26" s="13" t="s">
        <v>1752</v>
      </c>
      <c r="G26" s="13">
        <v>30</v>
      </c>
      <c r="H26" s="13"/>
      <c r="I26" s="14"/>
    </row>
    <row r="27" spans="1:9" x14ac:dyDescent="0.3">
      <c r="A27" s="13">
        <f>IF(B27="","",COUNTA($B$4:B27))</f>
        <v>24</v>
      </c>
      <c r="B27" s="13" t="s">
        <v>215</v>
      </c>
      <c r="C27" s="13" t="s">
        <v>420</v>
      </c>
      <c r="D27" s="13" t="s">
        <v>1779</v>
      </c>
      <c r="E27" s="13" t="s">
        <v>56</v>
      </c>
      <c r="F27" s="13" t="s">
        <v>1752</v>
      </c>
      <c r="G27" s="13">
        <v>5</v>
      </c>
      <c r="H27" s="13"/>
      <c r="I27" s="14"/>
    </row>
    <row r="28" spans="1:9" x14ac:dyDescent="0.3">
      <c r="A28" s="13">
        <f>IF(B28="","",COUNTA($B$4:B28))</f>
        <v>25</v>
      </c>
      <c r="B28" s="13" t="s">
        <v>215</v>
      </c>
      <c r="C28" s="13" t="s">
        <v>531</v>
      </c>
      <c r="D28" s="13" t="s">
        <v>1780</v>
      </c>
      <c r="E28" s="13" t="s">
        <v>56</v>
      </c>
      <c r="F28" s="13" t="s">
        <v>1752</v>
      </c>
      <c r="G28" s="13">
        <v>20</v>
      </c>
      <c r="H28" s="13"/>
      <c r="I28" s="14"/>
    </row>
    <row r="29" spans="1:9" x14ac:dyDescent="0.3">
      <c r="A29" s="13">
        <f>IF(B29="","",COUNTA($B$4:B29))</f>
        <v>26</v>
      </c>
      <c r="B29" s="13" t="s">
        <v>215</v>
      </c>
      <c r="C29" s="13" t="s">
        <v>1781</v>
      </c>
      <c r="D29" s="13" t="s">
        <v>1782</v>
      </c>
      <c r="E29" s="13" t="s">
        <v>56</v>
      </c>
      <c r="F29" s="13" t="s">
        <v>1752</v>
      </c>
      <c r="G29" s="13">
        <v>30</v>
      </c>
      <c r="H29" s="13"/>
      <c r="I29" s="14"/>
    </row>
    <row r="30" spans="1:9" x14ac:dyDescent="0.3">
      <c r="A30" s="13">
        <f>IF(B30="","",COUNTA($B$4:B30))</f>
        <v>27</v>
      </c>
      <c r="B30" s="13" t="s">
        <v>215</v>
      </c>
      <c r="C30" s="13" t="s">
        <v>1783</v>
      </c>
      <c r="D30" s="13" t="s">
        <v>1456</v>
      </c>
      <c r="E30" s="13" t="s">
        <v>1770</v>
      </c>
      <c r="F30" s="13" t="s">
        <v>1771</v>
      </c>
      <c r="G30" s="13">
        <v>5</v>
      </c>
      <c r="H30" s="13"/>
      <c r="I30" s="14"/>
    </row>
    <row r="31" spans="1:9" x14ac:dyDescent="0.3">
      <c r="A31" s="13">
        <f>IF(B31="","",COUNTA($B$4:B31))</f>
        <v>28</v>
      </c>
      <c r="B31" s="13" t="s">
        <v>215</v>
      </c>
      <c r="C31" s="13" t="s">
        <v>1784</v>
      </c>
      <c r="D31" s="13" t="s">
        <v>1508</v>
      </c>
      <c r="E31" s="13" t="s">
        <v>56</v>
      </c>
      <c r="F31" s="13" t="s">
        <v>1752</v>
      </c>
      <c r="G31" s="13">
        <v>3</v>
      </c>
      <c r="H31" s="13"/>
      <c r="I31" s="14"/>
    </row>
    <row r="32" spans="1:9" x14ac:dyDescent="0.3">
      <c r="A32" s="13">
        <f>IF(B32="","",COUNTA($B$4:B32))</f>
        <v>29</v>
      </c>
      <c r="B32" s="13" t="s">
        <v>215</v>
      </c>
      <c r="C32" s="13" t="s">
        <v>1785</v>
      </c>
      <c r="D32" s="13" t="s">
        <v>1786</v>
      </c>
      <c r="E32" s="13" t="s">
        <v>56</v>
      </c>
      <c r="F32" s="13" t="s">
        <v>1752</v>
      </c>
      <c r="G32" s="13">
        <v>30</v>
      </c>
      <c r="H32" s="13"/>
      <c r="I32" s="14"/>
    </row>
    <row r="33" spans="1:9" x14ac:dyDescent="0.3">
      <c r="A33" s="13">
        <f>IF(B33="","",COUNTA($B$4:B33))</f>
        <v>30</v>
      </c>
      <c r="B33" s="13" t="s">
        <v>215</v>
      </c>
      <c r="C33" s="13" t="s">
        <v>1787</v>
      </c>
      <c r="D33" s="13" t="s">
        <v>1457</v>
      </c>
      <c r="E33" s="13" t="s">
        <v>56</v>
      </c>
      <c r="F33" s="13" t="s">
        <v>1771</v>
      </c>
      <c r="G33" s="13">
        <v>5</v>
      </c>
      <c r="H33" s="13"/>
      <c r="I33" s="14"/>
    </row>
    <row r="34" spans="1:9" x14ac:dyDescent="0.3">
      <c r="A34" s="13">
        <f>IF(B34="","",COUNTA($B$4:B34))</f>
        <v>31</v>
      </c>
      <c r="B34" s="13" t="s">
        <v>215</v>
      </c>
      <c r="C34" s="13" t="s">
        <v>1788</v>
      </c>
      <c r="D34" s="13" t="s">
        <v>1458</v>
      </c>
      <c r="E34" s="13" t="s">
        <v>56</v>
      </c>
      <c r="F34" s="13" t="s">
        <v>1752</v>
      </c>
      <c r="G34" s="13">
        <v>4</v>
      </c>
      <c r="H34" s="13"/>
      <c r="I34" s="14"/>
    </row>
    <row r="35" spans="1:9" x14ac:dyDescent="0.3">
      <c r="A35" s="13">
        <f>IF(B35="","",COUNTA($B$4:B35))</f>
        <v>32</v>
      </c>
      <c r="B35" s="13" t="s">
        <v>215</v>
      </c>
      <c r="C35" s="13" t="s">
        <v>1789</v>
      </c>
      <c r="D35" s="13" t="s">
        <v>1790</v>
      </c>
      <c r="E35" s="13" t="s">
        <v>56</v>
      </c>
      <c r="F35" s="13" t="s">
        <v>1771</v>
      </c>
      <c r="G35" s="13">
        <v>5</v>
      </c>
      <c r="H35" s="13"/>
      <c r="I35" s="14"/>
    </row>
    <row r="36" spans="1:9" x14ac:dyDescent="0.3">
      <c r="A36" s="13">
        <f>IF(B36="","",COUNTA($B$4:B36))</f>
        <v>33</v>
      </c>
      <c r="B36" s="13" t="s">
        <v>215</v>
      </c>
      <c r="C36" s="13" t="s">
        <v>410</v>
      </c>
      <c r="D36" s="13" t="s">
        <v>1459</v>
      </c>
      <c r="E36" s="13" t="s">
        <v>56</v>
      </c>
      <c r="F36" s="13" t="s">
        <v>1752</v>
      </c>
      <c r="G36" s="13">
        <v>4</v>
      </c>
      <c r="H36" s="13"/>
      <c r="I36" s="14"/>
    </row>
    <row r="37" spans="1:9" x14ac:dyDescent="0.3">
      <c r="A37" s="13">
        <f>IF(B37="","",COUNTA($B$4:B37))</f>
        <v>34</v>
      </c>
      <c r="B37" s="13" t="s">
        <v>215</v>
      </c>
      <c r="C37" s="13" t="s">
        <v>1791</v>
      </c>
      <c r="D37" s="13" t="s">
        <v>1792</v>
      </c>
      <c r="E37" s="13" t="s">
        <v>56</v>
      </c>
      <c r="F37" s="13" t="s">
        <v>1752</v>
      </c>
      <c r="G37" s="13">
        <v>50</v>
      </c>
      <c r="H37" s="13" t="s">
        <v>1893</v>
      </c>
      <c r="I37" s="14"/>
    </row>
    <row r="38" spans="1:9" x14ac:dyDescent="0.3">
      <c r="A38" s="13">
        <f>IF(B38="","",COUNTA($B$4:B38))</f>
        <v>35</v>
      </c>
      <c r="B38" s="13" t="s">
        <v>215</v>
      </c>
      <c r="C38" s="13" t="s">
        <v>1793</v>
      </c>
      <c r="D38" s="13" t="s">
        <v>1460</v>
      </c>
      <c r="E38" s="13" t="s">
        <v>56</v>
      </c>
      <c r="F38" s="13" t="s">
        <v>1752</v>
      </c>
      <c r="G38" s="13">
        <v>200</v>
      </c>
      <c r="H38" s="13" t="s">
        <v>1893</v>
      </c>
      <c r="I38" s="14"/>
    </row>
    <row r="39" spans="1:9" x14ac:dyDescent="0.3">
      <c r="A39" s="13">
        <f>IF(B39="","",COUNTA($B$4:B39))</f>
        <v>36</v>
      </c>
      <c r="B39" s="13" t="s">
        <v>215</v>
      </c>
      <c r="C39" s="13" t="s">
        <v>398</v>
      </c>
      <c r="D39" s="13" t="s">
        <v>1794</v>
      </c>
      <c r="E39" s="13" t="s">
        <v>1770</v>
      </c>
      <c r="F39" s="13" t="s">
        <v>1771</v>
      </c>
      <c r="G39" s="13">
        <v>2</v>
      </c>
      <c r="H39" s="13" t="s">
        <v>1893</v>
      </c>
      <c r="I39" s="14"/>
    </row>
    <row r="40" spans="1:9" x14ac:dyDescent="0.3">
      <c r="A40" s="13">
        <f>IF(B40="","",COUNTA($B$4:B40))</f>
        <v>37</v>
      </c>
      <c r="B40" s="13" t="s">
        <v>215</v>
      </c>
      <c r="C40" s="13" t="s">
        <v>371</v>
      </c>
      <c r="D40" s="13" t="s">
        <v>1795</v>
      </c>
      <c r="E40" s="13" t="s">
        <v>56</v>
      </c>
      <c r="F40" s="13" t="s">
        <v>1752</v>
      </c>
      <c r="G40" s="13">
        <v>1</v>
      </c>
      <c r="H40" s="13" t="s">
        <v>1893</v>
      </c>
      <c r="I40" s="14"/>
    </row>
    <row r="41" spans="1:9" x14ac:dyDescent="0.3">
      <c r="A41" s="13">
        <f>IF(B41="","",COUNTA($B$4:B41))</f>
        <v>38</v>
      </c>
      <c r="B41" s="13" t="s">
        <v>215</v>
      </c>
      <c r="C41" s="13" t="s">
        <v>1796</v>
      </c>
      <c r="D41" s="13" t="s">
        <v>1461</v>
      </c>
      <c r="E41" s="13" t="s">
        <v>56</v>
      </c>
      <c r="F41" s="13" t="s">
        <v>1752</v>
      </c>
      <c r="G41" s="13">
        <v>4</v>
      </c>
      <c r="H41" s="13"/>
      <c r="I41" s="14"/>
    </row>
    <row r="42" spans="1:9" x14ac:dyDescent="0.3">
      <c r="A42" s="13">
        <f>IF(B42="","",COUNTA($B$4:B42))</f>
        <v>39</v>
      </c>
      <c r="B42" s="13" t="s">
        <v>215</v>
      </c>
      <c r="C42" s="13" t="s">
        <v>1797</v>
      </c>
      <c r="D42" s="13" t="s">
        <v>1462</v>
      </c>
      <c r="E42" s="13" t="s">
        <v>56</v>
      </c>
      <c r="F42" s="13" t="s">
        <v>1752</v>
      </c>
      <c r="G42" s="13">
        <v>50</v>
      </c>
      <c r="H42" s="13"/>
      <c r="I42" s="14"/>
    </row>
    <row r="43" spans="1:9" x14ac:dyDescent="0.3">
      <c r="A43" s="13">
        <f>IF(B43="","",COUNTA($B$4:B43))</f>
        <v>40</v>
      </c>
      <c r="B43" s="13" t="s">
        <v>215</v>
      </c>
      <c r="C43" s="13" t="s">
        <v>1798</v>
      </c>
      <c r="D43" s="13" t="s">
        <v>1463</v>
      </c>
      <c r="E43" s="13" t="s">
        <v>56</v>
      </c>
      <c r="F43" s="13" t="s">
        <v>1752</v>
      </c>
      <c r="G43" s="13">
        <v>1</v>
      </c>
      <c r="H43" s="13" t="s">
        <v>1893</v>
      </c>
      <c r="I43" s="14"/>
    </row>
    <row r="44" spans="1:9" x14ac:dyDescent="0.3">
      <c r="A44" s="13">
        <f>IF(B44="","",COUNTA($B$4:B44))</f>
        <v>41</v>
      </c>
      <c r="B44" s="13" t="s">
        <v>215</v>
      </c>
      <c r="C44" s="13" t="s">
        <v>1799</v>
      </c>
      <c r="D44" s="13" t="s">
        <v>1465</v>
      </c>
      <c r="E44" s="13" t="s">
        <v>56</v>
      </c>
      <c r="F44" s="13" t="s">
        <v>1752</v>
      </c>
      <c r="G44" s="13">
        <v>1</v>
      </c>
      <c r="H44" s="13" t="s">
        <v>1893</v>
      </c>
      <c r="I44" s="14"/>
    </row>
    <row r="45" spans="1:9" s="141" customFormat="1" x14ac:dyDescent="0.3">
      <c r="A45" s="139">
        <f>IF(B45="","",COUNTA($B$4:B45))</f>
        <v>42</v>
      </c>
      <c r="B45" s="139" t="s">
        <v>215</v>
      </c>
      <c r="C45" s="139" t="s">
        <v>2000</v>
      </c>
      <c r="D45" s="139" t="s">
        <v>2001</v>
      </c>
      <c r="E45" s="139" t="s">
        <v>56</v>
      </c>
      <c r="F45" s="139" t="s">
        <v>1752</v>
      </c>
      <c r="G45" s="139">
        <v>1</v>
      </c>
      <c r="H45" s="139" t="s">
        <v>1893</v>
      </c>
      <c r="I45" s="140"/>
    </row>
    <row r="46" spans="1:9" x14ac:dyDescent="0.3">
      <c r="A46" s="13">
        <f>IF(B46="","",COUNTA($B$4:B46))</f>
        <v>43</v>
      </c>
      <c r="B46" s="13" t="s">
        <v>215</v>
      </c>
      <c r="C46" s="13" t="s">
        <v>1800</v>
      </c>
      <c r="D46" s="13" t="s">
        <v>1466</v>
      </c>
      <c r="E46" s="13" t="s">
        <v>56</v>
      </c>
      <c r="F46" s="13" t="s">
        <v>1752</v>
      </c>
      <c r="G46" s="13">
        <v>4</v>
      </c>
      <c r="H46" s="13" t="s">
        <v>1893</v>
      </c>
      <c r="I46" s="14"/>
    </row>
    <row r="47" spans="1:9" x14ac:dyDescent="0.3">
      <c r="A47" s="13">
        <f>IF(B47="","",COUNTA($B$4:B47))</f>
        <v>44</v>
      </c>
      <c r="B47" s="13" t="s">
        <v>215</v>
      </c>
      <c r="C47" s="13" t="s">
        <v>1801</v>
      </c>
      <c r="D47" s="13" t="s">
        <v>1467</v>
      </c>
      <c r="E47" s="13" t="s">
        <v>56</v>
      </c>
      <c r="F47" s="13" t="s">
        <v>1752</v>
      </c>
      <c r="G47" s="13">
        <v>4</v>
      </c>
      <c r="H47" s="13" t="s">
        <v>1893</v>
      </c>
      <c r="I47" s="14"/>
    </row>
    <row r="48" spans="1:9" x14ac:dyDescent="0.3">
      <c r="A48" s="13">
        <f>IF(B48="","",COUNTA($B$4:B48))</f>
        <v>45</v>
      </c>
      <c r="B48" s="13" t="s">
        <v>215</v>
      </c>
      <c r="C48" s="13" t="s">
        <v>142</v>
      </c>
      <c r="D48" s="13" t="s">
        <v>1760</v>
      </c>
      <c r="E48" s="13" t="s">
        <v>56</v>
      </c>
      <c r="F48" s="13" t="s">
        <v>1752</v>
      </c>
      <c r="G48" s="13">
        <v>4</v>
      </c>
      <c r="H48" s="13" t="s">
        <v>1893</v>
      </c>
      <c r="I48" s="14"/>
    </row>
    <row r="49" spans="1:9" x14ac:dyDescent="0.3">
      <c r="A49" s="13">
        <f>IF(B49="","",COUNTA($B$4:B49))</f>
        <v>46</v>
      </c>
      <c r="B49" s="13" t="s">
        <v>215</v>
      </c>
      <c r="C49" s="13" t="s">
        <v>387</v>
      </c>
      <c r="D49" s="13" t="s">
        <v>1761</v>
      </c>
      <c r="E49" s="13" t="s">
        <v>56</v>
      </c>
      <c r="F49" s="13" t="s">
        <v>1752</v>
      </c>
      <c r="G49" s="13">
        <v>4</v>
      </c>
      <c r="H49" s="13" t="s">
        <v>1893</v>
      </c>
      <c r="I49" s="14"/>
    </row>
    <row r="50" spans="1:9" x14ac:dyDescent="0.3">
      <c r="A50" s="13">
        <f>IF(B50="","",COUNTA($B$4:B50))</f>
        <v>47</v>
      </c>
      <c r="B50" s="13" t="s">
        <v>215</v>
      </c>
      <c r="C50" s="13" t="s">
        <v>1762</v>
      </c>
      <c r="D50" s="13" t="s">
        <v>1763</v>
      </c>
      <c r="E50" s="13" t="s">
        <v>56</v>
      </c>
      <c r="F50" s="13" t="s">
        <v>1752</v>
      </c>
      <c r="G50" s="13">
        <v>10</v>
      </c>
      <c r="H50" s="13"/>
      <c r="I50" s="14"/>
    </row>
    <row r="51" spans="1:9" x14ac:dyDescent="0.3">
      <c r="A51" s="13">
        <f>IF(B51="","",COUNTA($B$4:B51))</f>
        <v>48</v>
      </c>
      <c r="B51" s="13" t="s">
        <v>215</v>
      </c>
      <c r="C51" s="13" t="s">
        <v>508</v>
      </c>
      <c r="D51" s="13" t="s">
        <v>1764</v>
      </c>
      <c r="E51" s="13" t="s">
        <v>56</v>
      </c>
      <c r="F51" s="13" t="s">
        <v>1752</v>
      </c>
      <c r="G51" s="13">
        <v>10</v>
      </c>
      <c r="H51" s="13"/>
      <c r="I51" s="14"/>
    </row>
    <row r="52" spans="1:9" x14ac:dyDescent="0.3">
      <c r="A52" s="13">
        <f>IF(B52="","",COUNTA($B$4:B52))</f>
        <v>49</v>
      </c>
      <c r="B52" s="13" t="s">
        <v>215</v>
      </c>
      <c r="C52" s="13" t="s">
        <v>512</v>
      </c>
      <c r="D52" s="13" t="s">
        <v>1765</v>
      </c>
      <c r="E52" s="13" t="s">
        <v>1757</v>
      </c>
      <c r="F52" s="13" t="s">
        <v>1758</v>
      </c>
      <c r="G52" s="13"/>
      <c r="H52" s="13"/>
      <c r="I52" s="14"/>
    </row>
    <row r="53" spans="1:9" x14ac:dyDescent="0.3">
      <c r="A53" s="13">
        <f>IF(B53="","",COUNTA($B$4:B53))</f>
        <v>50</v>
      </c>
      <c r="B53" s="13" t="s">
        <v>215</v>
      </c>
      <c r="C53" s="13" t="s">
        <v>1766</v>
      </c>
      <c r="D53" s="13" t="s">
        <v>1767</v>
      </c>
      <c r="E53" s="13" t="s">
        <v>56</v>
      </c>
      <c r="F53" s="13" t="s">
        <v>1752</v>
      </c>
      <c r="G53" s="13">
        <v>10</v>
      </c>
      <c r="H53" s="13"/>
      <c r="I53" s="14"/>
    </row>
    <row r="54" spans="1:9" x14ac:dyDescent="0.3">
      <c r="A54" s="13">
        <f>IF(B54="","",COUNTA($B$4:B54))</f>
        <v>51</v>
      </c>
      <c r="B54" s="13" t="s">
        <v>215</v>
      </c>
      <c r="C54" s="13" t="s">
        <v>354</v>
      </c>
      <c r="D54" s="13" t="s">
        <v>1768</v>
      </c>
      <c r="E54" s="13" t="s">
        <v>56</v>
      </c>
      <c r="F54" s="13" t="s">
        <v>1752</v>
      </c>
      <c r="G54" s="13">
        <v>10</v>
      </c>
      <c r="H54" s="13" t="s">
        <v>1893</v>
      </c>
      <c r="I54" s="14"/>
    </row>
    <row r="55" spans="1:9" x14ac:dyDescent="0.3">
      <c r="A55" s="13">
        <f>IF(B55="","",COUNTA($B$4:B55))</f>
        <v>52</v>
      </c>
      <c r="B55" s="13" t="s">
        <v>215</v>
      </c>
      <c r="C55" s="13" t="s">
        <v>358</v>
      </c>
      <c r="D55" s="13" t="s">
        <v>1769</v>
      </c>
      <c r="E55" s="13" t="s">
        <v>1757</v>
      </c>
      <c r="F55" s="13" t="s">
        <v>1758</v>
      </c>
      <c r="G55" s="13"/>
      <c r="H55" s="13" t="s">
        <v>1893</v>
      </c>
      <c r="I55" s="14"/>
    </row>
    <row r="56" spans="1:9" x14ac:dyDescent="0.3">
      <c r="A56" s="13">
        <f>IF(B56="","",COUNTA($B$4:B56))</f>
        <v>53</v>
      </c>
      <c r="B56" s="13" t="s">
        <v>1802</v>
      </c>
      <c r="C56" s="13" t="s">
        <v>1751</v>
      </c>
      <c r="D56" s="13" t="s">
        <v>1432</v>
      </c>
      <c r="E56" s="13" t="s">
        <v>56</v>
      </c>
      <c r="F56" s="13" t="s">
        <v>1752</v>
      </c>
      <c r="G56" s="13">
        <v>10</v>
      </c>
      <c r="H56" s="13" t="s">
        <v>1893</v>
      </c>
      <c r="I56" s="14"/>
    </row>
    <row r="57" spans="1:9" x14ac:dyDescent="0.3">
      <c r="A57" s="13">
        <f>IF(B57="","",COUNTA($B$4:B57))</f>
        <v>54</v>
      </c>
      <c r="B57" s="13" t="s">
        <v>1802</v>
      </c>
      <c r="C57" s="13" t="s">
        <v>1803</v>
      </c>
      <c r="D57" s="13" t="s">
        <v>1804</v>
      </c>
      <c r="E57" s="13" t="s">
        <v>1770</v>
      </c>
      <c r="F57" s="13" t="s">
        <v>1771</v>
      </c>
      <c r="G57" s="13">
        <v>5</v>
      </c>
      <c r="H57" s="13"/>
      <c r="I57" s="14"/>
    </row>
    <row r="58" spans="1:9" x14ac:dyDescent="0.3">
      <c r="A58" s="13">
        <f>IF(B58="","",COUNTA($B$4:B58))</f>
        <v>55</v>
      </c>
      <c r="B58" s="13" t="s">
        <v>1802</v>
      </c>
      <c r="C58" s="13" t="s">
        <v>1805</v>
      </c>
      <c r="D58" s="13" t="s">
        <v>1475</v>
      </c>
      <c r="E58" s="13" t="s">
        <v>1770</v>
      </c>
      <c r="F58" s="13" t="s">
        <v>1771</v>
      </c>
      <c r="G58" s="13">
        <v>5</v>
      </c>
      <c r="H58" s="13"/>
      <c r="I58" s="14"/>
    </row>
    <row r="59" spans="1:9" x14ac:dyDescent="0.3">
      <c r="A59" s="13">
        <f>IF(B59="","",COUNTA($B$4:B59))</f>
        <v>56</v>
      </c>
      <c r="B59" s="13" t="s">
        <v>1802</v>
      </c>
      <c r="C59" s="13" t="s">
        <v>1806</v>
      </c>
      <c r="D59" s="13" t="s">
        <v>1476</v>
      </c>
      <c r="E59" s="13" t="s">
        <v>56</v>
      </c>
      <c r="F59" s="13" t="s">
        <v>1752</v>
      </c>
      <c r="G59" s="13">
        <v>20</v>
      </c>
      <c r="H59" s="13" t="s">
        <v>1893</v>
      </c>
      <c r="I59" s="14"/>
    </row>
    <row r="60" spans="1:9" x14ac:dyDescent="0.3">
      <c r="A60" s="13">
        <f>IF(B60="","",COUNTA($B$4:B60))</f>
        <v>57</v>
      </c>
      <c r="B60" s="13" t="s">
        <v>1802</v>
      </c>
      <c r="C60" s="13" t="s">
        <v>1807</v>
      </c>
      <c r="D60" s="13" t="s">
        <v>1477</v>
      </c>
      <c r="E60" s="13" t="s">
        <v>1808</v>
      </c>
      <c r="F60" s="13" t="s">
        <v>1809</v>
      </c>
      <c r="G60" s="13"/>
      <c r="H60" s="13" t="s">
        <v>1893</v>
      </c>
      <c r="I60" s="14"/>
    </row>
    <row r="61" spans="1:9" x14ac:dyDescent="0.3">
      <c r="A61" s="13">
        <f>IF(B61="","",COUNTA($B$4:B61))</f>
        <v>58</v>
      </c>
      <c r="B61" s="13" t="s">
        <v>1802</v>
      </c>
      <c r="C61" s="13" t="s">
        <v>142</v>
      </c>
      <c r="D61" s="13" t="s">
        <v>1760</v>
      </c>
      <c r="E61" s="13" t="s">
        <v>56</v>
      </c>
      <c r="F61" s="13" t="s">
        <v>1752</v>
      </c>
      <c r="G61" s="13">
        <v>4</v>
      </c>
      <c r="H61" s="13" t="s">
        <v>1893</v>
      </c>
      <c r="I61" s="14"/>
    </row>
    <row r="62" spans="1:9" x14ac:dyDescent="0.3">
      <c r="A62" s="13">
        <f>IF(B62="","",COUNTA($B$4:B62))</f>
        <v>59</v>
      </c>
      <c r="B62" s="13" t="s">
        <v>1802</v>
      </c>
      <c r="C62" s="13" t="s">
        <v>387</v>
      </c>
      <c r="D62" s="13" t="s">
        <v>1761</v>
      </c>
      <c r="E62" s="13" t="s">
        <v>56</v>
      </c>
      <c r="F62" s="13" t="s">
        <v>1752</v>
      </c>
      <c r="G62" s="13">
        <v>4</v>
      </c>
      <c r="H62" s="13" t="s">
        <v>1893</v>
      </c>
      <c r="I62" s="14"/>
    </row>
    <row r="63" spans="1:9" x14ac:dyDescent="0.3">
      <c r="A63" s="13">
        <f>IF(B63="","",COUNTA($B$4:B63))</f>
        <v>60</v>
      </c>
      <c r="B63" s="13" t="s">
        <v>1802</v>
      </c>
      <c r="C63" s="13" t="s">
        <v>1762</v>
      </c>
      <c r="D63" s="13" t="s">
        <v>1763</v>
      </c>
      <c r="E63" s="13" t="s">
        <v>56</v>
      </c>
      <c r="F63" s="13" t="s">
        <v>1752</v>
      </c>
      <c r="G63" s="13">
        <v>10</v>
      </c>
      <c r="H63" s="13"/>
      <c r="I63" s="14"/>
    </row>
    <row r="64" spans="1:9" x14ac:dyDescent="0.3">
      <c r="A64" s="13">
        <f>IF(B64="","",COUNTA($B$4:B64))</f>
        <v>61</v>
      </c>
      <c r="B64" s="13" t="s">
        <v>1802</v>
      </c>
      <c r="C64" s="13" t="s">
        <v>508</v>
      </c>
      <c r="D64" s="13" t="s">
        <v>1764</v>
      </c>
      <c r="E64" s="13" t="s">
        <v>56</v>
      </c>
      <c r="F64" s="13" t="s">
        <v>1752</v>
      </c>
      <c r="G64" s="13">
        <v>10</v>
      </c>
      <c r="H64" s="13"/>
      <c r="I64" s="14"/>
    </row>
    <row r="65" spans="1:9" x14ac:dyDescent="0.3">
      <c r="A65" s="13">
        <f>IF(B65="","",COUNTA($B$4:B65))</f>
        <v>62</v>
      </c>
      <c r="B65" s="13" t="s">
        <v>1802</v>
      </c>
      <c r="C65" s="13" t="s">
        <v>512</v>
      </c>
      <c r="D65" s="13" t="s">
        <v>1765</v>
      </c>
      <c r="E65" s="13" t="s">
        <v>56</v>
      </c>
      <c r="F65" s="13" t="s">
        <v>1752</v>
      </c>
      <c r="G65" s="13">
        <v>10</v>
      </c>
      <c r="H65" s="13"/>
      <c r="I65" s="14"/>
    </row>
    <row r="66" spans="1:9" x14ac:dyDescent="0.3">
      <c r="A66" s="13">
        <f>IF(B66="","",COUNTA($B$4:B66))</f>
        <v>63</v>
      </c>
      <c r="B66" s="13" t="s">
        <v>1802</v>
      </c>
      <c r="C66" s="13" t="s">
        <v>1766</v>
      </c>
      <c r="D66" s="13" t="s">
        <v>1767</v>
      </c>
      <c r="E66" s="13" t="s">
        <v>1757</v>
      </c>
      <c r="F66" s="13" t="s">
        <v>1758</v>
      </c>
      <c r="G66" s="13"/>
      <c r="H66" s="13"/>
      <c r="I66" s="14"/>
    </row>
    <row r="67" spans="1:9" x14ac:dyDescent="0.3">
      <c r="A67" s="13">
        <f>IF(B67="","",COUNTA($B$4:B67))</f>
        <v>64</v>
      </c>
      <c r="B67" s="13" t="s">
        <v>1802</v>
      </c>
      <c r="C67" s="13" t="s">
        <v>354</v>
      </c>
      <c r="D67" s="13" t="s">
        <v>1768</v>
      </c>
      <c r="E67" s="13" t="s">
        <v>56</v>
      </c>
      <c r="F67" s="13" t="s">
        <v>1752</v>
      </c>
      <c r="G67" s="13">
        <v>10</v>
      </c>
      <c r="H67" s="13"/>
      <c r="I67" s="14"/>
    </row>
    <row r="68" spans="1:9" x14ac:dyDescent="0.3">
      <c r="A68" s="13">
        <f>IF(B68="","",COUNTA($B$4:B68))</f>
        <v>65</v>
      </c>
      <c r="B68" s="13" t="s">
        <v>1802</v>
      </c>
      <c r="C68" s="13" t="s">
        <v>358</v>
      </c>
      <c r="D68" s="13" t="s">
        <v>1769</v>
      </c>
      <c r="E68" s="13" t="s">
        <v>1757</v>
      </c>
      <c r="F68" s="13" t="s">
        <v>1758</v>
      </c>
      <c r="G68" s="13"/>
      <c r="H68" s="13"/>
      <c r="I68" s="14"/>
    </row>
    <row r="69" spans="1:9" x14ac:dyDescent="0.3">
      <c r="A69" s="13">
        <f>IF(B69="","",COUNTA($B$4:B69))</f>
        <v>66</v>
      </c>
      <c r="B69" s="13" t="s">
        <v>157</v>
      </c>
      <c r="C69" s="13" t="s">
        <v>1810</v>
      </c>
      <c r="D69" s="13" t="s">
        <v>1482</v>
      </c>
      <c r="E69" s="13" t="s">
        <v>56</v>
      </c>
      <c r="F69" s="13" t="s">
        <v>1752</v>
      </c>
      <c r="G69" s="13">
        <v>10</v>
      </c>
      <c r="H69" s="13" t="s">
        <v>1893</v>
      </c>
      <c r="I69" s="14"/>
    </row>
    <row r="70" spans="1:9" x14ac:dyDescent="0.3">
      <c r="A70" s="13">
        <f>IF(B70="","",COUNTA($B$4:B70))</f>
        <v>67</v>
      </c>
      <c r="B70" s="13" t="s">
        <v>157</v>
      </c>
      <c r="C70" s="13" t="s">
        <v>1750</v>
      </c>
      <c r="D70" s="13" t="s">
        <v>1435</v>
      </c>
      <c r="E70" s="13" t="s">
        <v>56</v>
      </c>
      <c r="F70" s="13" t="s">
        <v>1752</v>
      </c>
      <c r="G70" s="13">
        <v>30</v>
      </c>
      <c r="H70" s="13"/>
      <c r="I70" s="14"/>
    </row>
    <row r="71" spans="1:9" x14ac:dyDescent="0.3">
      <c r="A71" s="13">
        <f>IF(B71="","",COUNTA($B$4:B71))</f>
        <v>68</v>
      </c>
      <c r="B71" s="13" t="s">
        <v>157</v>
      </c>
      <c r="C71" s="13" t="s">
        <v>1811</v>
      </c>
      <c r="D71" s="13" t="s">
        <v>1488</v>
      </c>
      <c r="E71" s="13" t="s">
        <v>56</v>
      </c>
      <c r="F71" s="13" t="s">
        <v>1752</v>
      </c>
      <c r="G71" s="13">
        <v>10</v>
      </c>
      <c r="H71" s="13" t="s">
        <v>1893</v>
      </c>
      <c r="I71" s="14"/>
    </row>
    <row r="72" spans="1:9" x14ac:dyDescent="0.3">
      <c r="A72" s="13">
        <f>IF(B72="","",COUNTA($B$4:B72))</f>
        <v>69</v>
      </c>
      <c r="B72" s="13" t="s">
        <v>157</v>
      </c>
      <c r="C72" s="13" t="s">
        <v>1812</v>
      </c>
      <c r="D72" s="13" t="s">
        <v>1489</v>
      </c>
      <c r="E72" s="13" t="s">
        <v>56</v>
      </c>
      <c r="F72" s="13" t="s">
        <v>1752</v>
      </c>
      <c r="G72" s="13">
        <v>30</v>
      </c>
      <c r="H72" s="13" t="s">
        <v>1893</v>
      </c>
      <c r="I72" s="14"/>
    </row>
    <row r="73" spans="1:9" x14ac:dyDescent="0.3">
      <c r="A73" s="13">
        <f>IF(B73="","",COUNTA($B$4:B73))</f>
        <v>70</v>
      </c>
      <c r="B73" s="13" t="s">
        <v>157</v>
      </c>
      <c r="C73" s="13" t="s">
        <v>1813</v>
      </c>
      <c r="D73" s="13" t="s">
        <v>1490</v>
      </c>
      <c r="E73" s="13" t="s">
        <v>56</v>
      </c>
      <c r="F73" s="13" t="s">
        <v>1752</v>
      </c>
      <c r="G73" s="13">
        <v>30</v>
      </c>
      <c r="H73" s="13" t="s">
        <v>1893</v>
      </c>
      <c r="I73" s="14"/>
    </row>
    <row r="74" spans="1:9" x14ac:dyDescent="0.3">
      <c r="A74" s="13">
        <f>IF(B74="","",COUNTA($B$4:B74))</f>
        <v>71</v>
      </c>
      <c r="B74" s="13" t="s">
        <v>157</v>
      </c>
      <c r="C74" s="13" t="s">
        <v>1814</v>
      </c>
      <c r="D74" s="13" t="s">
        <v>1492</v>
      </c>
      <c r="E74" s="13" t="s">
        <v>1757</v>
      </c>
      <c r="F74" s="13" t="s">
        <v>1758</v>
      </c>
      <c r="G74" s="13"/>
      <c r="H74" s="13"/>
      <c r="I74" s="14"/>
    </row>
    <row r="75" spans="1:9" x14ac:dyDescent="0.3">
      <c r="A75" s="13">
        <f>IF(B75="","",COUNTA($B$4:B75))</f>
        <v>72</v>
      </c>
      <c r="B75" s="13" t="s">
        <v>157</v>
      </c>
      <c r="C75" s="13" t="s">
        <v>1815</v>
      </c>
      <c r="D75" s="13" t="s">
        <v>1450</v>
      </c>
      <c r="E75" s="13" t="s">
        <v>56</v>
      </c>
      <c r="F75" s="13" t="s">
        <v>1752</v>
      </c>
      <c r="G75" s="13">
        <v>30</v>
      </c>
      <c r="H75" s="13"/>
      <c r="I75" s="14"/>
    </row>
    <row r="76" spans="1:9" x14ac:dyDescent="0.3">
      <c r="A76" s="13">
        <f>IF(B76="","",COUNTA($B$4:B76))</f>
        <v>73</v>
      </c>
      <c r="B76" s="13" t="s">
        <v>157</v>
      </c>
      <c r="C76" s="13" t="s">
        <v>398</v>
      </c>
      <c r="D76" s="13" t="s">
        <v>1794</v>
      </c>
      <c r="E76" s="13" t="s">
        <v>1770</v>
      </c>
      <c r="F76" s="13" t="s">
        <v>1771</v>
      </c>
      <c r="G76" s="13">
        <v>2</v>
      </c>
      <c r="H76" s="13" t="s">
        <v>1893</v>
      </c>
      <c r="I76" s="14"/>
    </row>
    <row r="77" spans="1:9" x14ac:dyDescent="0.3">
      <c r="A77" s="13">
        <f>IF(B77="","",COUNTA($B$4:B77))</f>
        <v>74</v>
      </c>
      <c r="B77" s="13" t="s">
        <v>157</v>
      </c>
      <c r="C77" s="13" t="s">
        <v>1759</v>
      </c>
      <c r="D77" s="13" t="s">
        <v>1436</v>
      </c>
      <c r="E77" s="13" t="s">
        <v>56</v>
      </c>
      <c r="F77" s="13" t="s">
        <v>1752</v>
      </c>
      <c r="G77" s="13">
        <v>100</v>
      </c>
      <c r="H77" s="13"/>
      <c r="I77" s="14"/>
    </row>
    <row r="78" spans="1:9" x14ac:dyDescent="0.3">
      <c r="A78" s="13">
        <f>IF(B78="","",COUNTA($B$4:B78))</f>
        <v>75</v>
      </c>
      <c r="B78" s="13" t="s">
        <v>157</v>
      </c>
      <c r="C78" s="13" t="s">
        <v>1816</v>
      </c>
      <c r="D78" s="13" t="s">
        <v>1483</v>
      </c>
      <c r="E78" s="13" t="s">
        <v>1757</v>
      </c>
      <c r="F78" s="13" t="s">
        <v>1758</v>
      </c>
      <c r="G78" s="13"/>
      <c r="H78" s="13"/>
      <c r="I78" s="14"/>
    </row>
    <row r="79" spans="1:9" x14ac:dyDescent="0.3">
      <c r="A79" s="13">
        <f>IF(B79="","",COUNTA($B$4:B79))</f>
        <v>76</v>
      </c>
      <c r="B79" s="13" t="s">
        <v>157</v>
      </c>
      <c r="C79" s="13" t="s">
        <v>142</v>
      </c>
      <c r="D79" s="13" t="s">
        <v>1760</v>
      </c>
      <c r="E79" s="13" t="s">
        <v>56</v>
      </c>
      <c r="F79" s="13" t="s">
        <v>1752</v>
      </c>
      <c r="G79" s="13">
        <v>4</v>
      </c>
      <c r="H79" s="13" t="s">
        <v>1893</v>
      </c>
      <c r="I79" s="14"/>
    </row>
    <row r="80" spans="1:9" x14ac:dyDescent="0.3">
      <c r="A80" s="13">
        <f>IF(B80="","",COUNTA($B$4:B80))</f>
        <v>77</v>
      </c>
      <c r="B80" s="13" t="s">
        <v>157</v>
      </c>
      <c r="C80" s="13" t="s">
        <v>387</v>
      </c>
      <c r="D80" s="13" t="s">
        <v>1761</v>
      </c>
      <c r="E80" s="13" t="s">
        <v>56</v>
      </c>
      <c r="F80" s="13" t="s">
        <v>1752</v>
      </c>
      <c r="G80" s="13">
        <v>4</v>
      </c>
      <c r="H80" s="13" t="s">
        <v>1893</v>
      </c>
      <c r="I80" s="14"/>
    </row>
    <row r="81" spans="1:9" x14ac:dyDescent="0.3">
      <c r="A81" s="13">
        <f>IF(B81="","",COUNTA($B$4:B81))</f>
        <v>78</v>
      </c>
      <c r="B81" s="13" t="s">
        <v>157</v>
      </c>
      <c r="C81" s="13" t="s">
        <v>1762</v>
      </c>
      <c r="D81" s="13" t="s">
        <v>1763</v>
      </c>
      <c r="E81" s="13" t="s">
        <v>56</v>
      </c>
      <c r="F81" s="13" t="s">
        <v>1752</v>
      </c>
      <c r="G81" s="13">
        <v>10</v>
      </c>
      <c r="H81" s="13"/>
      <c r="I81" s="14"/>
    </row>
    <row r="82" spans="1:9" x14ac:dyDescent="0.3">
      <c r="A82" s="13">
        <f>IF(B82="","",COUNTA($B$4:B82))</f>
        <v>79</v>
      </c>
      <c r="B82" s="13" t="s">
        <v>157</v>
      </c>
      <c r="C82" s="13" t="s">
        <v>508</v>
      </c>
      <c r="D82" s="13" t="s">
        <v>1764</v>
      </c>
      <c r="E82" s="13" t="s">
        <v>56</v>
      </c>
      <c r="F82" s="13" t="s">
        <v>1752</v>
      </c>
      <c r="G82" s="13">
        <v>10</v>
      </c>
      <c r="H82" s="13"/>
      <c r="I82" s="14"/>
    </row>
    <row r="83" spans="1:9" x14ac:dyDescent="0.3">
      <c r="A83" s="13">
        <f>IF(B83="","",COUNTA($B$4:B83))</f>
        <v>80</v>
      </c>
      <c r="B83" s="13" t="s">
        <v>157</v>
      </c>
      <c r="C83" s="13" t="s">
        <v>512</v>
      </c>
      <c r="D83" s="13" t="s">
        <v>1765</v>
      </c>
      <c r="E83" s="13" t="s">
        <v>1757</v>
      </c>
      <c r="F83" s="13" t="s">
        <v>1758</v>
      </c>
      <c r="G83" s="13"/>
      <c r="H83" s="13"/>
      <c r="I83" s="14"/>
    </row>
    <row r="84" spans="1:9" x14ac:dyDescent="0.3">
      <c r="A84" s="13">
        <f>IF(B84="","",COUNTA($B$4:B84))</f>
        <v>81</v>
      </c>
      <c r="B84" s="13" t="s">
        <v>157</v>
      </c>
      <c r="C84" s="13" t="s">
        <v>1766</v>
      </c>
      <c r="D84" s="13" t="s">
        <v>1767</v>
      </c>
      <c r="E84" s="13" t="s">
        <v>56</v>
      </c>
      <c r="F84" s="13" t="s">
        <v>1752</v>
      </c>
      <c r="G84" s="13">
        <v>10</v>
      </c>
      <c r="H84" s="13"/>
      <c r="I84" s="14"/>
    </row>
    <row r="85" spans="1:9" x14ac:dyDescent="0.3">
      <c r="A85" s="13">
        <f>IF(B85="","",COUNTA($B$4:B85))</f>
        <v>82</v>
      </c>
      <c r="B85" s="13" t="s">
        <v>157</v>
      </c>
      <c r="C85" s="13" t="s">
        <v>354</v>
      </c>
      <c r="D85" s="13" t="s">
        <v>1768</v>
      </c>
      <c r="E85" s="13" t="s">
        <v>56</v>
      </c>
      <c r="F85" s="13" t="s">
        <v>1752</v>
      </c>
      <c r="G85" s="13">
        <v>10</v>
      </c>
      <c r="H85" s="13"/>
      <c r="I85" s="14"/>
    </row>
    <row r="86" spans="1:9" x14ac:dyDescent="0.3">
      <c r="A86" s="13">
        <f>IF(B86="","",COUNTA($B$4:B86))</f>
        <v>83</v>
      </c>
      <c r="B86" s="13" t="s">
        <v>157</v>
      </c>
      <c r="C86" s="13" t="s">
        <v>358</v>
      </c>
      <c r="D86" s="13" t="s">
        <v>1769</v>
      </c>
      <c r="E86" s="13" t="s">
        <v>1757</v>
      </c>
      <c r="F86" s="13" t="s">
        <v>1758</v>
      </c>
      <c r="G86" s="13"/>
      <c r="H86" s="13"/>
      <c r="I86" s="14"/>
    </row>
    <row r="87" spans="1:9" x14ac:dyDescent="0.3">
      <c r="A87" s="13">
        <f>IF(B87="","",COUNTA($B$4:B87))</f>
        <v>84</v>
      </c>
      <c r="B87" s="13" t="s">
        <v>158</v>
      </c>
      <c r="C87" s="13" t="s">
        <v>1810</v>
      </c>
      <c r="D87" s="13" t="s">
        <v>1482</v>
      </c>
      <c r="E87" s="13" t="s">
        <v>56</v>
      </c>
      <c r="F87" s="13" t="s">
        <v>1752</v>
      </c>
      <c r="G87" s="13">
        <v>10</v>
      </c>
      <c r="H87" s="13" t="s">
        <v>1893</v>
      </c>
      <c r="I87" s="14"/>
    </row>
    <row r="88" spans="1:9" x14ac:dyDescent="0.3">
      <c r="A88" s="13">
        <f>IF(B88="","",COUNTA($B$4:B88))</f>
        <v>85</v>
      </c>
      <c r="B88" s="13" t="s">
        <v>158</v>
      </c>
      <c r="C88" s="13" t="s">
        <v>1778</v>
      </c>
      <c r="D88" s="13" t="s">
        <v>1455</v>
      </c>
      <c r="E88" s="13" t="s">
        <v>56</v>
      </c>
      <c r="F88" s="13" t="s">
        <v>1752</v>
      </c>
      <c r="G88" s="13">
        <v>30</v>
      </c>
      <c r="H88" s="13"/>
      <c r="I88" s="14"/>
    </row>
    <row r="89" spans="1:9" x14ac:dyDescent="0.3">
      <c r="A89" s="13">
        <f>IF(B89="","",COUNTA($B$4:B89))</f>
        <v>86</v>
      </c>
      <c r="B89" s="13" t="s">
        <v>158</v>
      </c>
      <c r="C89" s="13" t="s">
        <v>1817</v>
      </c>
      <c r="D89" s="13" t="s">
        <v>1487</v>
      </c>
      <c r="E89" s="13" t="s">
        <v>1770</v>
      </c>
      <c r="F89" s="13" t="s">
        <v>1771</v>
      </c>
      <c r="G89" s="13">
        <v>5</v>
      </c>
      <c r="H89" s="13"/>
      <c r="I89" s="14"/>
    </row>
    <row r="90" spans="1:9" x14ac:dyDescent="0.3">
      <c r="A90" s="13">
        <f>IF(B90="","",COUNTA($B$4:B90))</f>
        <v>87</v>
      </c>
      <c r="B90" s="13" t="s">
        <v>158</v>
      </c>
      <c r="C90" s="13" t="s">
        <v>1818</v>
      </c>
      <c r="D90" s="13" t="s">
        <v>1484</v>
      </c>
      <c r="E90" s="13" t="s">
        <v>56</v>
      </c>
      <c r="F90" s="13" t="s">
        <v>1752</v>
      </c>
      <c r="G90" s="13">
        <v>1</v>
      </c>
      <c r="H90" s="13" t="s">
        <v>1893</v>
      </c>
      <c r="I90" s="14"/>
    </row>
    <row r="91" spans="1:9" x14ac:dyDescent="0.3">
      <c r="A91" s="13">
        <f>IF(B91="","",COUNTA($B$4:B91))</f>
        <v>88</v>
      </c>
      <c r="B91" s="13" t="s">
        <v>158</v>
      </c>
      <c r="C91" s="13" t="s">
        <v>1751</v>
      </c>
      <c r="D91" s="13" t="s">
        <v>1432</v>
      </c>
      <c r="E91" s="13" t="s">
        <v>56</v>
      </c>
      <c r="F91" s="13" t="s">
        <v>1752</v>
      </c>
      <c r="G91" s="13">
        <v>10</v>
      </c>
      <c r="H91" s="13" t="s">
        <v>1893</v>
      </c>
      <c r="I91" s="14"/>
    </row>
    <row r="92" spans="1:9" x14ac:dyDescent="0.3">
      <c r="A92" s="13">
        <f>IF(B92="","",COUNTA($B$4:B92))</f>
        <v>89</v>
      </c>
      <c r="B92" s="13" t="s">
        <v>158</v>
      </c>
      <c r="C92" s="13" t="s">
        <v>179</v>
      </c>
      <c r="D92" s="13" t="s">
        <v>1480</v>
      </c>
      <c r="E92" s="13" t="s">
        <v>1770</v>
      </c>
      <c r="F92" s="13" t="s">
        <v>1771</v>
      </c>
      <c r="G92" s="13">
        <v>5</v>
      </c>
      <c r="H92" s="13"/>
      <c r="I92" s="14"/>
    </row>
    <row r="93" spans="1:9" x14ac:dyDescent="0.3">
      <c r="A93" s="13">
        <f>IF(B93="","",COUNTA($B$4:B93))</f>
        <v>90</v>
      </c>
      <c r="B93" s="13" t="s">
        <v>158</v>
      </c>
      <c r="C93" s="13" t="s">
        <v>1819</v>
      </c>
      <c r="D93" s="13" t="s">
        <v>1493</v>
      </c>
      <c r="E93" s="13" t="s">
        <v>56</v>
      </c>
      <c r="F93" s="13" t="s">
        <v>1752</v>
      </c>
      <c r="G93" s="13">
        <v>10</v>
      </c>
      <c r="H93" s="13" t="s">
        <v>1893</v>
      </c>
      <c r="I93" s="14"/>
    </row>
    <row r="94" spans="1:9" x14ac:dyDescent="0.3">
      <c r="A94" s="13">
        <f>IF(B94="","",COUNTA($B$4:B94))</f>
        <v>91</v>
      </c>
      <c r="B94" s="13" t="s">
        <v>158</v>
      </c>
      <c r="C94" s="13" t="s">
        <v>217</v>
      </c>
      <c r="D94" s="13" t="s">
        <v>1494</v>
      </c>
      <c r="E94" s="13" t="s">
        <v>1770</v>
      </c>
      <c r="F94" s="13" t="s">
        <v>1771</v>
      </c>
      <c r="G94" s="13">
        <v>5</v>
      </c>
      <c r="H94" s="13"/>
      <c r="I94" s="14"/>
    </row>
    <row r="95" spans="1:9" x14ac:dyDescent="0.3">
      <c r="A95" s="13">
        <f>IF(B95="","",COUNTA($B$4:B95))</f>
        <v>92</v>
      </c>
      <c r="B95" s="13" t="s">
        <v>158</v>
      </c>
      <c r="C95" s="13" t="s">
        <v>529</v>
      </c>
      <c r="D95" s="13" t="s">
        <v>1820</v>
      </c>
      <c r="E95" s="13" t="s">
        <v>1770</v>
      </c>
      <c r="F95" s="13" t="s">
        <v>1771</v>
      </c>
      <c r="G95" s="13">
        <v>3</v>
      </c>
      <c r="H95" s="13"/>
      <c r="I95" s="14"/>
    </row>
    <row r="96" spans="1:9" x14ac:dyDescent="0.3">
      <c r="A96" s="13">
        <f>IF(B96="","",COUNTA($B$4:B96))</f>
        <v>93</v>
      </c>
      <c r="B96" s="13" t="s">
        <v>158</v>
      </c>
      <c r="C96" s="13" t="s">
        <v>420</v>
      </c>
      <c r="D96" s="13" t="s">
        <v>1779</v>
      </c>
      <c r="E96" s="13" t="s">
        <v>56</v>
      </c>
      <c r="F96" s="13" t="s">
        <v>1752</v>
      </c>
      <c r="G96" s="13">
        <v>5</v>
      </c>
      <c r="H96" s="13"/>
      <c r="I96" s="14"/>
    </row>
    <row r="97" spans="1:9" x14ac:dyDescent="0.3">
      <c r="A97" s="13">
        <f>IF(B97="","",COUNTA($B$4:B97))</f>
        <v>94</v>
      </c>
      <c r="B97" s="13" t="s">
        <v>158</v>
      </c>
      <c r="C97" s="13" t="s">
        <v>531</v>
      </c>
      <c r="D97" s="13" t="s">
        <v>1780</v>
      </c>
      <c r="E97" s="13" t="s">
        <v>56</v>
      </c>
      <c r="F97" s="13" t="s">
        <v>1752</v>
      </c>
      <c r="G97" s="13">
        <v>20</v>
      </c>
      <c r="H97" s="13"/>
      <c r="I97" s="14"/>
    </row>
    <row r="98" spans="1:9" x14ac:dyDescent="0.3">
      <c r="A98" s="13">
        <f>IF(B98="","",COUNTA($B$4:B98))</f>
        <v>95</v>
      </c>
      <c r="B98" s="13" t="s">
        <v>158</v>
      </c>
      <c r="C98" s="13" t="s">
        <v>1781</v>
      </c>
      <c r="D98" s="13" t="s">
        <v>1782</v>
      </c>
      <c r="E98" s="13" t="s">
        <v>56</v>
      </c>
      <c r="F98" s="13" t="s">
        <v>1752</v>
      </c>
      <c r="G98" s="13">
        <v>30</v>
      </c>
      <c r="H98" s="13"/>
      <c r="I98" s="14"/>
    </row>
    <row r="99" spans="1:9" x14ac:dyDescent="0.3">
      <c r="A99" s="13">
        <f>IF(B99="","",COUNTA($B$4:B99))</f>
        <v>96</v>
      </c>
      <c r="B99" s="13" t="s">
        <v>158</v>
      </c>
      <c r="C99" s="13" t="s">
        <v>1775</v>
      </c>
      <c r="D99" s="13" t="s">
        <v>1485</v>
      </c>
      <c r="E99" s="13" t="s">
        <v>1757</v>
      </c>
      <c r="F99" s="13" t="s">
        <v>1758</v>
      </c>
      <c r="G99" s="13"/>
      <c r="H99" s="13"/>
      <c r="I99" s="14"/>
    </row>
    <row r="100" spans="1:9" x14ac:dyDescent="0.3">
      <c r="A100" s="13">
        <f>IF(B100="","",COUNTA($B$4:B100))</f>
        <v>97</v>
      </c>
      <c r="B100" s="13" t="s">
        <v>158</v>
      </c>
      <c r="C100" s="13" t="s">
        <v>1776</v>
      </c>
      <c r="D100" s="13" t="s">
        <v>1453</v>
      </c>
      <c r="E100" s="13" t="s">
        <v>1757</v>
      </c>
      <c r="F100" s="13" t="s">
        <v>1758</v>
      </c>
      <c r="G100" s="13"/>
      <c r="H100" s="13"/>
      <c r="I100" s="14"/>
    </row>
    <row r="101" spans="1:9" x14ac:dyDescent="0.3">
      <c r="A101" s="13">
        <f>IF(B101="","",COUNTA($B$4:B101))</f>
        <v>98</v>
      </c>
      <c r="B101" s="13" t="s">
        <v>158</v>
      </c>
      <c r="C101" s="13" t="s">
        <v>1777</v>
      </c>
      <c r="D101" s="13" t="s">
        <v>1454</v>
      </c>
      <c r="E101" s="13" t="s">
        <v>56</v>
      </c>
      <c r="F101" s="13" t="s">
        <v>1752</v>
      </c>
      <c r="G101" s="13">
        <v>1</v>
      </c>
      <c r="H101" s="13"/>
      <c r="I101" s="14"/>
    </row>
    <row r="102" spans="1:9" x14ac:dyDescent="0.3">
      <c r="A102" s="13">
        <f>IF(B102="","",COUNTA($B$4:B102))</f>
        <v>99</v>
      </c>
      <c r="B102" s="13" t="s">
        <v>158</v>
      </c>
      <c r="C102" s="13" t="s">
        <v>1821</v>
      </c>
      <c r="D102" s="13" t="s">
        <v>1496</v>
      </c>
      <c r="E102" s="13" t="s">
        <v>56</v>
      </c>
      <c r="F102" s="13" t="s">
        <v>1752</v>
      </c>
      <c r="G102" s="13">
        <v>1</v>
      </c>
      <c r="H102" s="13"/>
      <c r="I102" s="14"/>
    </row>
    <row r="103" spans="1:9" x14ac:dyDescent="0.3">
      <c r="A103" s="13">
        <f>IF(B103="","",COUNTA($B$4:B103))</f>
        <v>100</v>
      </c>
      <c r="B103" s="13" t="s">
        <v>158</v>
      </c>
      <c r="C103" s="13" t="s">
        <v>1822</v>
      </c>
      <c r="D103" s="13" t="s">
        <v>1495</v>
      </c>
      <c r="E103" s="13" t="s">
        <v>56</v>
      </c>
      <c r="F103" s="13" t="s">
        <v>1752</v>
      </c>
      <c r="G103" s="13">
        <v>1</v>
      </c>
      <c r="H103" s="13"/>
      <c r="I103" s="14"/>
    </row>
    <row r="104" spans="1:9" x14ac:dyDescent="0.3">
      <c r="A104" s="13">
        <f>IF(B104="","",COUNTA($B$4:B104))</f>
        <v>101</v>
      </c>
      <c r="B104" s="13" t="s">
        <v>158</v>
      </c>
      <c r="C104" s="13" t="s">
        <v>1772</v>
      </c>
      <c r="D104" s="13" t="s">
        <v>1773</v>
      </c>
      <c r="E104" s="13" t="s">
        <v>56</v>
      </c>
      <c r="F104" s="13" t="s">
        <v>1752</v>
      </c>
      <c r="G104" s="13">
        <v>3</v>
      </c>
      <c r="H104" s="13"/>
      <c r="I104" s="14"/>
    </row>
    <row r="105" spans="1:9" x14ac:dyDescent="0.3">
      <c r="A105" s="13">
        <f>IF(B105="","",COUNTA($B$4:B105))</f>
        <v>102</v>
      </c>
      <c r="B105" s="13" t="s">
        <v>158</v>
      </c>
      <c r="C105" s="7" t="s">
        <v>1774</v>
      </c>
      <c r="D105" s="2" t="s">
        <v>1452</v>
      </c>
      <c r="E105" s="7" t="s">
        <v>56</v>
      </c>
      <c r="F105" s="13" t="s">
        <v>1752</v>
      </c>
      <c r="G105" s="13">
        <v>30</v>
      </c>
      <c r="H105" s="13"/>
      <c r="I105" s="14"/>
    </row>
    <row r="106" spans="1:9" x14ac:dyDescent="0.3">
      <c r="A106" s="13">
        <f>IF(B106="","",COUNTA($B$4:B106))</f>
        <v>103</v>
      </c>
      <c r="B106" s="13" t="s">
        <v>158</v>
      </c>
      <c r="C106" s="13" t="s">
        <v>198</v>
      </c>
      <c r="D106" s="13" t="s">
        <v>1505</v>
      </c>
      <c r="E106" s="13" t="s">
        <v>56</v>
      </c>
      <c r="F106" s="13" t="s">
        <v>1771</v>
      </c>
      <c r="G106" s="13">
        <v>5</v>
      </c>
      <c r="H106" s="13"/>
      <c r="I106" s="14"/>
    </row>
    <row r="107" spans="1:9" x14ac:dyDescent="0.3">
      <c r="A107" s="13">
        <f>IF(B107="","",COUNTA($B$4:B107))</f>
        <v>104</v>
      </c>
      <c r="B107" s="13" t="s">
        <v>158</v>
      </c>
      <c r="C107" s="13" t="s">
        <v>1823</v>
      </c>
      <c r="D107" s="13" t="s">
        <v>1506</v>
      </c>
      <c r="E107" s="13" t="s">
        <v>56</v>
      </c>
      <c r="F107" s="13" t="s">
        <v>1771</v>
      </c>
      <c r="G107" s="13">
        <v>5</v>
      </c>
      <c r="H107" s="13"/>
      <c r="I107" s="14"/>
    </row>
    <row r="108" spans="1:9" x14ac:dyDescent="0.3">
      <c r="A108" s="13">
        <f>IF(B108="","",COUNTA($B$4:B108))</f>
        <v>105</v>
      </c>
      <c r="B108" s="13" t="s">
        <v>158</v>
      </c>
      <c r="C108" s="13" t="s">
        <v>1824</v>
      </c>
      <c r="D108" s="13" t="s">
        <v>1507</v>
      </c>
      <c r="E108" s="13" t="s">
        <v>56</v>
      </c>
      <c r="F108" s="13" t="s">
        <v>1771</v>
      </c>
      <c r="G108" s="13">
        <v>5</v>
      </c>
      <c r="H108" s="13"/>
      <c r="I108" s="14"/>
    </row>
    <row r="109" spans="1:9" x14ac:dyDescent="0.3">
      <c r="A109" s="13">
        <f>IF(B109="","",COUNTA($B$4:B109))</f>
        <v>106</v>
      </c>
      <c r="B109" s="13" t="s">
        <v>158</v>
      </c>
      <c r="C109" s="13" t="s">
        <v>1787</v>
      </c>
      <c r="D109" s="13" t="s">
        <v>1457</v>
      </c>
      <c r="E109" s="13" t="s">
        <v>56</v>
      </c>
      <c r="F109" s="13" t="s">
        <v>1771</v>
      </c>
      <c r="G109" s="13">
        <v>5</v>
      </c>
      <c r="H109" s="13"/>
      <c r="I109" s="14"/>
    </row>
    <row r="110" spans="1:9" x14ac:dyDescent="0.3">
      <c r="A110" s="13">
        <f>IF(B110="","",COUNTA($B$4:B110))</f>
        <v>107</v>
      </c>
      <c r="B110" s="13" t="s">
        <v>158</v>
      </c>
      <c r="C110" s="13" t="s">
        <v>1789</v>
      </c>
      <c r="D110" s="13" t="s">
        <v>1790</v>
      </c>
      <c r="E110" s="13" t="s">
        <v>1770</v>
      </c>
      <c r="F110" s="13" t="s">
        <v>1771</v>
      </c>
      <c r="G110" s="13">
        <v>5</v>
      </c>
      <c r="H110" s="13"/>
      <c r="I110" s="14"/>
    </row>
    <row r="111" spans="1:9" x14ac:dyDescent="0.3">
      <c r="A111" s="13">
        <f>IF(B111="","",COUNTA($B$4:B111))</f>
        <v>108</v>
      </c>
      <c r="B111" s="13" t="s">
        <v>158</v>
      </c>
      <c r="C111" s="13" t="s">
        <v>1825</v>
      </c>
      <c r="D111" s="13" t="s">
        <v>1459</v>
      </c>
      <c r="E111" s="13" t="s">
        <v>56</v>
      </c>
      <c r="F111" s="13" t="s">
        <v>1752</v>
      </c>
      <c r="G111" s="13">
        <v>4</v>
      </c>
      <c r="H111" s="13"/>
      <c r="I111" s="14"/>
    </row>
    <row r="112" spans="1:9" x14ac:dyDescent="0.3">
      <c r="A112" s="13">
        <f>IF(B112="","",COUNTA($B$4:B112))</f>
        <v>109</v>
      </c>
      <c r="B112" s="13" t="s">
        <v>158</v>
      </c>
      <c r="C112" s="13" t="s">
        <v>1826</v>
      </c>
      <c r="D112" s="13" t="s">
        <v>1827</v>
      </c>
      <c r="E112" s="13" t="s">
        <v>1770</v>
      </c>
      <c r="F112" s="13" t="s">
        <v>1771</v>
      </c>
      <c r="G112" s="13">
        <v>9</v>
      </c>
      <c r="H112" s="13">
        <v>2</v>
      </c>
      <c r="I112" s="14"/>
    </row>
    <row r="113" spans="1:9" x14ac:dyDescent="0.3">
      <c r="A113" s="13">
        <f>IF(B113="","",COUNTA($B$4:B113))</f>
        <v>110</v>
      </c>
      <c r="B113" s="13" t="s">
        <v>158</v>
      </c>
      <c r="C113" s="13" t="s">
        <v>1828</v>
      </c>
      <c r="D113" s="13" t="s">
        <v>1829</v>
      </c>
      <c r="E113" s="13" t="s">
        <v>56</v>
      </c>
      <c r="F113" s="13" t="s">
        <v>1752</v>
      </c>
      <c r="G113" s="13">
        <v>2</v>
      </c>
      <c r="H113" s="13"/>
      <c r="I113" s="14"/>
    </row>
    <row r="114" spans="1:9" x14ac:dyDescent="0.3">
      <c r="A114" s="13">
        <f>IF(B114="","",COUNTA($B$4:B114))</f>
        <v>111</v>
      </c>
      <c r="B114" s="13" t="s">
        <v>158</v>
      </c>
      <c r="C114" s="13" t="s">
        <v>492</v>
      </c>
      <c r="D114" s="13" t="s">
        <v>1830</v>
      </c>
      <c r="E114" s="13" t="s">
        <v>56</v>
      </c>
      <c r="F114" s="13" t="s">
        <v>1752</v>
      </c>
      <c r="G114" s="13">
        <v>4</v>
      </c>
      <c r="H114" s="13"/>
      <c r="I114" s="14"/>
    </row>
    <row r="115" spans="1:9" x14ac:dyDescent="0.3">
      <c r="A115" s="13">
        <f>IF(B115="","",COUNTA($B$4:B115))</f>
        <v>112</v>
      </c>
      <c r="B115" s="13" t="s">
        <v>158</v>
      </c>
      <c r="C115" s="13" t="s">
        <v>1783</v>
      </c>
      <c r="D115" s="13" t="s">
        <v>1456</v>
      </c>
      <c r="E115" s="13" t="s">
        <v>56</v>
      </c>
      <c r="F115" s="13" t="s">
        <v>1752</v>
      </c>
      <c r="G115" s="13">
        <v>30</v>
      </c>
      <c r="H115" s="13"/>
      <c r="I115" s="14"/>
    </row>
    <row r="116" spans="1:9" x14ac:dyDescent="0.3">
      <c r="A116" s="13">
        <f>IF(B116="","",COUNTA($B$4:B116))</f>
        <v>113</v>
      </c>
      <c r="B116" s="13" t="s">
        <v>158</v>
      </c>
      <c r="C116" s="13" t="s">
        <v>1785</v>
      </c>
      <c r="D116" s="13" t="s">
        <v>1786</v>
      </c>
      <c r="E116" s="13" t="s">
        <v>56</v>
      </c>
      <c r="F116" s="13" t="s">
        <v>1752</v>
      </c>
      <c r="G116" s="13">
        <v>30</v>
      </c>
      <c r="H116" s="13"/>
      <c r="I116" s="14"/>
    </row>
    <row r="117" spans="1:9" x14ac:dyDescent="0.3">
      <c r="A117" s="13">
        <f>IF(B117="","",COUNTA($B$4:B117))</f>
        <v>114</v>
      </c>
      <c r="B117" s="13" t="s">
        <v>158</v>
      </c>
      <c r="C117" s="13" t="s">
        <v>1784</v>
      </c>
      <c r="D117" s="13" t="s">
        <v>1508</v>
      </c>
      <c r="E117" s="13" t="s">
        <v>56</v>
      </c>
      <c r="F117" s="13" t="s">
        <v>1752</v>
      </c>
      <c r="G117" s="13">
        <v>2</v>
      </c>
      <c r="H117" s="13"/>
      <c r="I117" s="14"/>
    </row>
    <row r="118" spans="1:9" x14ac:dyDescent="0.3">
      <c r="A118" s="13">
        <f>IF(B118="","",COUNTA($B$4:B118))</f>
        <v>115</v>
      </c>
      <c r="B118" s="13" t="s">
        <v>158</v>
      </c>
      <c r="C118" s="13" t="s">
        <v>498</v>
      </c>
      <c r="D118" s="13" t="s">
        <v>1831</v>
      </c>
      <c r="E118" s="13" t="s">
        <v>1770</v>
      </c>
      <c r="F118" s="13" t="s">
        <v>1771</v>
      </c>
      <c r="G118" s="13">
        <v>5</v>
      </c>
      <c r="H118" s="13">
        <v>2</v>
      </c>
      <c r="I118" s="14"/>
    </row>
    <row r="119" spans="1:9" x14ac:dyDescent="0.3">
      <c r="A119" s="13">
        <f>IF(B119="","",COUNTA($B$4:B119))</f>
        <v>116</v>
      </c>
      <c r="B119" s="13" t="s">
        <v>158</v>
      </c>
      <c r="C119" s="13" t="s">
        <v>547</v>
      </c>
      <c r="D119" s="13" t="s">
        <v>1832</v>
      </c>
      <c r="E119" s="13" t="s">
        <v>1770</v>
      </c>
      <c r="F119" s="13" t="s">
        <v>1771</v>
      </c>
      <c r="G119" s="13">
        <v>4</v>
      </c>
      <c r="H119" s="13"/>
      <c r="I119" s="14"/>
    </row>
    <row r="120" spans="1:9" x14ac:dyDescent="0.3">
      <c r="A120" s="13">
        <f>IF(B120="","",COUNTA($B$4:B120))</f>
        <v>117</v>
      </c>
      <c r="B120" s="13" t="s">
        <v>158</v>
      </c>
      <c r="C120" s="13" t="s">
        <v>196</v>
      </c>
      <c r="D120" s="13" t="s">
        <v>1833</v>
      </c>
      <c r="E120" s="13" t="s">
        <v>1770</v>
      </c>
      <c r="F120" s="13" t="s">
        <v>1771</v>
      </c>
      <c r="G120" s="13">
        <v>5</v>
      </c>
      <c r="H120" s="13"/>
      <c r="I120" s="14"/>
    </row>
    <row r="121" spans="1:9" x14ac:dyDescent="0.3">
      <c r="A121" s="13">
        <f>IF(B121="","",COUNTA($B$4:B121))</f>
        <v>118</v>
      </c>
      <c r="B121" s="13" t="s">
        <v>158</v>
      </c>
      <c r="C121" s="13" t="s">
        <v>197</v>
      </c>
      <c r="D121" s="13" t="s">
        <v>1834</v>
      </c>
      <c r="E121" s="13" t="s">
        <v>1770</v>
      </c>
      <c r="F121" s="13" t="s">
        <v>1771</v>
      </c>
      <c r="G121" s="13">
        <v>5</v>
      </c>
      <c r="H121" s="13">
        <v>2</v>
      </c>
      <c r="I121" s="14"/>
    </row>
    <row r="122" spans="1:9" x14ac:dyDescent="0.3">
      <c r="A122" s="13">
        <f>IF(B122="","",COUNTA($B$4:B122))</f>
        <v>119</v>
      </c>
      <c r="B122" s="13" t="s">
        <v>158</v>
      </c>
      <c r="C122" s="13" t="s">
        <v>1835</v>
      </c>
      <c r="D122" s="13" t="s">
        <v>1836</v>
      </c>
      <c r="E122" s="13" t="s">
        <v>1770</v>
      </c>
      <c r="F122" s="13" t="s">
        <v>1771</v>
      </c>
      <c r="G122" s="13">
        <v>5</v>
      </c>
      <c r="H122" s="13"/>
      <c r="I122" s="14"/>
    </row>
    <row r="123" spans="1:9" x14ac:dyDescent="0.3">
      <c r="A123" s="13">
        <f>IF(B123="","",COUNTA($B$4:B123))</f>
        <v>120</v>
      </c>
      <c r="B123" s="13" t="s">
        <v>158</v>
      </c>
      <c r="C123" s="13" t="s">
        <v>1837</v>
      </c>
      <c r="D123" s="13" t="s">
        <v>1509</v>
      </c>
      <c r="E123" s="13" t="s">
        <v>56</v>
      </c>
      <c r="F123" s="13" t="s">
        <v>1752</v>
      </c>
      <c r="G123" s="13">
        <v>4</v>
      </c>
      <c r="H123" s="13"/>
      <c r="I123" s="14"/>
    </row>
    <row r="124" spans="1:9" x14ac:dyDescent="0.3">
      <c r="A124" s="13">
        <f>IF(B124="","",COUNTA($B$4:B124))</f>
        <v>121</v>
      </c>
      <c r="B124" s="13" t="s">
        <v>158</v>
      </c>
      <c r="C124" s="13" t="s">
        <v>1838</v>
      </c>
      <c r="D124" s="13" t="s">
        <v>1839</v>
      </c>
      <c r="E124" s="13" t="s">
        <v>1770</v>
      </c>
      <c r="F124" s="13" t="s">
        <v>1771</v>
      </c>
      <c r="G124" s="13">
        <v>5</v>
      </c>
      <c r="H124" s="13"/>
      <c r="I124" s="14"/>
    </row>
    <row r="125" spans="1:9" x14ac:dyDescent="0.3">
      <c r="A125" s="13">
        <f>IF(B125="","",COUNTA($B$4:B125))</f>
        <v>122</v>
      </c>
      <c r="B125" s="13" t="s">
        <v>158</v>
      </c>
      <c r="C125" s="13" t="s">
        <v>1840</v>
      </c>
      <c r="D125" s="13" t="s">
        <v>1297</v>
      </c>
      <c r="E125" s="13" t="s">
        <v>1770</v>
      </c>
      <c r="F125" s="13" t="s">
        <v>1771</v>
      </c>
      <c r="G125" s="13">
        <v>11</v>
      </c>
      <c r="H125" s="13">
        <v>2</v>
      </c>
      <c r="I125" s="14"/>
    </row>
    <row r="126" spans="1:9" x14ac:dyDescent="0.3">
      <c r="A126" s="13">
        <f>IF(B126="","",COUNTA($B$4:B126))</f>
        <v>123</v>
      </c>
      <c r="B126" s="13" t="s">
        <v>158</v>
      </c>
      <c r="C126" s="13" t="s">
        <v>1791</v>
      </c>
      <c r="D126" s="13" t="s">
        <v>1792</v>
      </c>
      <c r="E126" s="13" t="s">
        <v>56</v>
      </c>
      <c r="F126" s="13" t="s">
        <v>1752</v>
      </c>
      <c r="G126" s="13">
        <v>60</v>
      </c>
      <c r="H126" s="13" t="s">
        <v>1893</v>
      </c>
      <c r="I126" s="14"/>
    </row>
    <row r="127" spans="1:9" x14ac:dyDescent="0.3">
      <c r="A127" s="13">
        <f>IF(B127="","",COUNTA($B$4:B127))</f>
        <v>124</v>
      </c>
      <c r="B127" s="13" t="s">
        <v>158</v>
      </c>
      <c r="C127" s="13" t="s">
        <v>1793</v>
      </c>
      <c r="D127" s="13" t="s">
        <v>1460</v>
      </c>
      <c r="E127" s="13" t="s">
        <v>56</v>
      </c>
      <c r="F127" s="13" t="s">
        <v>1752</v>
      </c>
      <c r="G127" s="13">
        <v>1000</v>
      </c>
      <c r="H127" s="13" t="s">
        <v>1893</v>
      </c>
      <c r="I127" s="14"/>
    </row>
    <row r="128" spans="1:9" x14ac:dyDescent="0.3">
      <c r="A128" s="13">
        <f>IF(B128="","",COUNTA($B$4:B128))</f>
        <v>125</v>
      </c>
      <c r="B128" s="13" t="s">
        <v>158</v>
      </c>
      <c r="C128" s="13" t="s">
        <v>1753</v>
      </c>
      <c r="D128" s="13" t="s">
        <v>1533</v>
      </c>
      <c r="E128" s="13" t="s">
        <v>56</v>
      </c>
      <c r="F128" s="13" t="s">
        <v>1752</v>
      </c>
      <c r="G128" s="13">
        <v>4</v>
      </c>
      <c r="H128" s="13"/>
      <c r="I128" s="14"/>
    </row>
    <row r="129" spans="1:9" x14ac:dyDescent="0.3">
      <c r="A129" s="13">
        <f>IF(B129="","",COUNTA($B$4:B129))</f>
        <v>126</v>
      </c>
      <c r="B129" s="13" t="s">
        <v>158</v>
      </c>
      <c r="C129" s="13" t="s">
        <v>1754</v>
      </c>
      <c r="D129" s="13" t="s">
        <v>1433</v>
      </c>
      <c r="E129" s="13" t="s">
        <v>56</v>
      </c>
      <c r="F129" s="13" t="s">
        <v>1752</v>
      </c>
      <c r="G129" s="13">
        <v>4</v>
      </c>
      <c r="H129" s="13"/>
      <c r="I129" s="14"/>
    </row>
    <row r="130" spans="1:9" x14ac:dyDescent="0.3">
      <c r="A130" s="13">
        <f>IF(B130="","",COUNTA($B$4:B130))</f>
        <v>127</v>
      </c>
      <c r="B130" s="13" t="s">
        <v>158</v>
      </c>
      <c r="C130" s="13" t="s">
        <v>1755</v>
      </c>
      <c r="D130" s="13" t="s">
        <v>1434</v>
      </c>
      <c r="E130" s="13" t="s">
        <v>56</v>
      </c>
      <c r="F130" s="13" t="s">
        <v>1752</v>
      </c>
      <c r="G130" s="13">
        <v>20</v>
      </c>
      <c r="H130" s="13" t="s">
        <v>1893</v>
      </c>
      <c r="I130" s="14"/>
    </row>
    <row r="131" spans="1:9" x14ac:dyDescent="0.3">
      <c r="A131" s="13">
        <f>IF(B131="","",COUNTA($B$4:B131))</f>
        <v>128</v>
      </c>
      <c r="B131" s="13" t="s">
        <v>158</v>
      </c>
      <c r="C131" s="13" t="s">
        <v>1796</v>
      </c>
      <c r="D131" s="13" t="s">
        <v>1461</v>
      </c>
      <c r="E131" s="13" t="s">
        <v>56</v>
      </c>
      <c r="F131" s="13" t="s">
        <v>1752</v>
      </c>
      <c r="G131" s="13">
        <v>4</v>
      </c>
      <c r="H131" s="13"/>
      <c r="I131" s="14"/>
    </row>
    <row r="132" spans="1:9" x14ac:dyDescent="0.3">
      <c r="A132" s="13">
        <f>IF(B132="","",COUNTA($B$4:B132))</f>
        <v>129</v>
      </c>
      <c r="B132" s="13" t="s">
        <v>158</v>
      </c>
      <c r="C132" s="13" t="s">
        <v>1797</v>
      </c>
      <c r="D132" s="13" t="s">
        <v>1462</v>
      </c>
      <c r="E132" s="13" t="s">
        <v>56</v>
      </c>
      <c r="F132" s="13" t="s">
        <v>1752</v>
      </c>
      <c r="G132" s="13">
        <v>100</v>
      </c>
      <c r="H132" s="13"/>
      <c r="I132" s="14"/>
    </row>
    <row r="133" spans="1:9" x14ac:dyDescent="0.3">
      <c r="A133" s="13">
        <f>IF(B133="","",COUNTA($B$4:B133))</f>
        <v>130</v>
      </c>
      <c r="B133" s="13" t="s">
        <v>158</v>
      </c>
      <c r="C133" s="13" t="s">
        <v>1798</v>
      </c>
      <c r="D133" s="13" t="s">
        <v>1463</v>
      </c>
      <c r="E133" s="13" t="s">
        <v>56</v>
      </c>
      <c r="F133" s="13" t="s">
        <v>1752</v>
      </c>
      <c r="G133" s="13">
        <v>1</v>
      </c>
      <c r="H133" s="13" t="s">
        <v>1893</v>
      </c>
      <c r="I133" s="14"/>
    </row>
    <row r="134" spans="1:9" x14ac:dyDescent="0.3">
      <c r="A134" s="13">
        <f>IF(B134="","",COUNTA($B$4:B134))</f>
        <v>131</v>
      </c>
      <c r="B134" s="13" t="s">
        <v>158</v>
      </c>
      <c r="C134" s="13" t="s">
        <v>227</v>
      </c>
      <c r="D134" s="13" t="s">
        <v>1519</v>
      </c>
      <c r="E134" s="13" t="s">
        <v>56</v>
      </c>
      <c r="F134" s="13" t="s">
        <v>1752</v>
      </c>
      <c r="G134" s="13">
        <v>50</v>
      </c>
      <c r="H134" s="13" t="s">
        <v>1893</v>
      </c>
      <c r="I134" s="14"/>
    </row>
    <row r="135" spans="1:9" x14ac:dyDescent="0.3">
      <c r="A135" s="13">
        <f>IF(B135="","",COUNTA($B$4:B135))</f>
        <v>132</v>
      </c>
      <c r="B135" s="13" t="s">
        <v>158</v>
      </c>
      <c r="C135" s="13" t="s">
        <v>1841</v>
      </c>
      <c r="D135" s="13" t="s">
        <v>1577</v>
      </c>
      <c r="E135" s="13" t="s">
        <v>56</v>
      </c>
      <c r="F135" s="13" t="s">
        <v>1752</v>
      </c>
      <c r="G135" s="13">
        <v>1000</v>
      </c>
      <c r="H135" s="13" t="s">
        <v>1893</v>
      </c>
      <c r="I135" s="14"/>
    </row>
    <row r="136" spans="1:9" x14ac:dyDescent="0.3">
      <c r="A136" s="13">
        <f>IF(B136="","",COUNTA($B$4:B136))</f>
        <v>133</v>
      </c>
      <c r="B136" s="13" t="s">
        <v>158</v>
      </c>
      <c r="C136" s="13" t="s">
        <v>1842</v>
      </c>
      <c r="D136" s="13" t="s">
        <v>1575</v>
      </c>
      <c r="E136" s="13" t="s">
        <v>56</v>
      </c>
      <c r="F136" s="13" t="s">
        <v>1752</v>
      </c>
      <c r="G136" s="13">
        <v>20</v>
      </c>
      <c r="H136" s="13" t="s">
        <v>1893</v>
      </c>
      <c r="I136" s="14"/>
    </row>
    <row r="137" spans="1:9" x14ac:dyDescent="0.3">
      <c r="A137" s="13">
        <f>IF(B137="","",COUNTA($B$4:B137))</f>
        <v>134</v>
      </c>
      <c r="B137" s="13" t="s">
        <v>158</v>
      </c>
      <c r="C137" s="13" t="s">
        <v>1843</v>
      </c>
      <c r="D137" s="13" t="s">
        <v>1576</v>
      </c>
      <c r="E137" s="13" t="s">
        <v>56</v>
      </c>
      <c r="F137" s="13" t="s">
        <v>1752</v>
      </c>
      <c r="G137" s="13">
        <v>20</v>
      </c>
      <c r="H137" s="13" t="s">
        <v>1893</v>
      </c>
      <c r="I137" s="14"/>
    </row>
    <row r="138" spans="1:9" x14ac:dyDescent="0.3">
      <c r="A138" s="13">
        <f>IF(B138="","",COUNTA($B$4:B138))</f>
        <v>135</v>
      </c>
      <c r="B138" s="13" t="s">
        <v>158</v>
      </c>
      <c r="C138" s="13" t="s">
        <v>142</v>
      </c>
      <c r="D138" s="13" t="s">
        <v>1760</v>
      </c>
      <c r="E138" s="13" t="s">
        <v>56</v>
      </c>
      <c r="F138" s="13" t="s">
        <v>1752</v>
      </c>
      <c r="G138" s="13">
        <v>4</v>
      </c>
      <c r="H138" s="13" t="s">
        <v>1893</v>
      </c>
      <c r="I138" s="14"/>
    </row>
    <row r="139" spans="1:9" x14ac:dyDescent="0.3">
      <c r="A139" s="13">
        <f>IF(B139="","",COUNTA($B$4:B139))</f>
        <v>136</v>
      </c>
      <c r="B139" s="13" t="s">
        <v>158</v>
      </c>
      <c r="C139" s="13" t="s">
        <v>387</v>
      </c>
      <c r="D139" s="13" t="s">
        <v>1761</v>
      </c>
      <c r="E139" s="13" t="s">
        <v>56</v>
      </c>
      <c r="F139" s="13" t="s">
        <v>1752</v>
      </c>
      <c r="G139" s="13">
        <v>4</v>
      </c>
      <c r="H139" s="13" t="s">
        <v>1893</v>
      </c>
      <c r="I139" s="14"/>
    </row>
    <row r="140" spans="1:9" x14ac:dyDescent="0.3">
      <c r="A140" s="13">
        <f>IF(B140="","",COUNTA($B$4:B140))</f>
        <v>137</v>
      </c>
      <c r="B140" s="13" t="s">
        <v>158</v>
      </c>
      <c r="C140" s="13" t="s">
        <v>1762</v>
      </c>
      <c r="D140" s="13" t="s">
        <v>1763</v>
      </c>
      <c r="E140" s="13" t="s">
        <v>56</v>
      </c>
      <c r="F140" s="13" t="s">
        <v>1752</v>
      </c>
      <c r="G140" s="13">
        <v>10</v>
      </c>
      <c r="H140" s="13"/>
      <c r="I140" s="14"/>
    </row>
    <row r="141" spans="1:9" x14ac:dyDescent="0.3">
      <c r="A141" s="13">
        <f>IF(B141="","",COUNTA($B$4:B141))</f>
        <v>138</v>
      </c>
      <c r="B141" s="13" t="s">
        <v>158</v>
      </c>
      <c r="C141" s="13" t="s">
        <v>508</v>
      </c>
      <c r="D141" s="13" t="s">
        <v>1764</v>
      </c>
      <c r="E141" s="13" t="s">
        <v>56</v>
      </c>
      <c r="F141" s="13" t="s">
        <v>1752</v>
      </c>
      <c r="G141" s="13">
        <v>10</v>
      </c>
      <c r="H141" s="13"/>
      <c r="I141" s="14"/>
    </row>
    <row r="142" spans="1:9" x14ac:dyDescent="0.3">
      <c r="A142" s="13">
        <f>IF(B142="","",COUNTA($B$4:B142))</f>
        <v>139</v>
      </c>
      <c r="B142" s="13" t="s">
        <v>158</v>
      </c>
      <c r="C142" s="13" t="s">
        <v>512</v>
      </c>
      <c r="D142" s="13" t="s">
        <v>1765</v>
      </c>
      <c r="E142" s="13" t="s">
        <v>1757</v>
      </c>
      <c r="F142" s="13" t="s">
        <v>1758</v>
      </c>
      <c r="G142" s="13"/>
      <c r="H142" s="13"/>
      <c r="I142" s="14"/>
    </row>
    <row r="143" spans="1:9" x14ac:dyDescent="0.3">
      <c r="A143" s="13">
        <f>IF(B143="","",COUNTA($B$4:B143))</f>
        <v>140</v>
      </c>
      <c r="B143" s="13" t="s">
        <v>158</v>
      </c>
      <c r="C143" s="13" t="s">
        <v>1766</v>
      </c>
      <c r="D143" s="13" t="s">
        <v>1767</v>
      </c>
      <c r="E143" s="13" t="s">
        <v>56</v>
      </c>
      <c r="F143" s="13" t="s">
        <v>1752</v>
      </c>
      <c r="G143" s="13">
        <v>10</v>
      </c>
      <c r="H143" s="13"/>
      <c r="I143" s="14"/>
    </row>
    <row r="144" spans="1:9" x14ac:dyDescent="0.3">
      <c r="A144" s="13">
        <f>IF(B144="","",COUNTA($B$4:B144))</f>
        <v>141</v>
      </c>
      <c r="B144" s="13" t="s">
        <v>158</v>
      </c>
      <c r="C144" s="13" t="s">
        <v>354</v>
      </c>
      <c r="D144" s="13" t="s">
        <v>1768</v>
      </c>
      <c r="E144" s="13" t="s">
        <v>56</v>
      </c>
      <c r="F144" s="13" t="s">
        <v>1752</v>
      </c>
      <c r="G144" s="13">
        <v>10</v>
      </c>
      <c r="H144" s="13"/>
      <c r="I144" s="14"/>
    </row>
    <row r="145" spans="1:9" x14ac:dyDescent="0.3">
      <c r="A145" s="13">
        <f>IF(B145="","",COUNTA($B$4:B145))</f>
        <v>142</v>
      </c>
      <c r="B145" s="13" t="s">
        <v>158</v>
      </c>
      <c r="C145" s="13" t="s">
        <v>358</v>
      </c>
      <c r="D145" s="13" t="s">
        <v>1769</v>
      </c>
      <c r="E145" s="13" t="s">
        <v>1757</v>
      </c>
      <c r="F145" s="13" t="s">
        <v>1758</v>
      </c>
      <c r="G145" s="13"/>
      <c r="H145" s="13"/>
      <c r="I145" s="14"/>
    </row>
    <row r="146" spans="1:9" x14ac:dyDescent="0.3">
      <c r="A146" s="13">
        <f>IF(B146="","",COUNTA($B$4:B146))</f>
        <v>143</v>
      </c>
      <c r="B146" s="13" t="s">
        <v>1844</v>
      </c>
      <c r="C146" s="13" t="s">
        <v>1810</v>
      </c>
      <c r="D146" s="13" t="s">
        <v>1482</v>
      </c>
      <c r="E146" s="13" t="s">
        <v>56</v>
      </c>
      <c r="F146" s="13" t="s">
        <v>1752</v>
      </c>
      <c r="G146" s="13">
        <v>10</v>
      </c>
      <c r="H146" s="13" t="s">
        <v>1893</v>
      </c>
      <c r="I146" s="14"/>
    </row>
    <row r="147" spans="1:9" x14ac:dyDescent="0.3">
      <c r="A147" s="13">
        <f>IF(B147="","",COUNTA($B$4:B147))</f>
        <v>144</v>
      </c>
      <c r="B147" s="13" t="s">
        <v>1844</v>
      </c>
      <c r="C147" s="13" t="s">
        <v>1778</v>
      </c>
      <c r="D147" s="13" t="s">
        <v>1455</v>
      </c>
      <c r="E147" s="13" t="s">
        <v>56</v>
      </c>
      <c r="F147" s="13" t="s">
        <v>1752</v>
      </c>
      <c r="G147" s="13">
        <v>4</v>
      </c>
      <c r="H147" s="13"/>
      <c r="I147" s="14"/>
    </row>
    <row r="148" spans="1:9" x14ac:dyDescent="0.3">
      <c r="A148" s="13">
        <f>IF(B148="","",COUNTA($B$4:B148))</f>
        <v>145</v>
      </c>
      <c r="B148" s="13" t="s">
        <v>1844</v>
      </c>
      <c r="C148" s="13" t="s">
        <v>1510</v>
      </c>
      <c r="D148" s="13" t="s">
        <v>1520</v>
      </c>
      <c r="E148" s="13" t="s">
        <v>56</v>
      </c>
      <c r="F148" s="13" t="s">
        <v>1752</v>
      </c>
      <c r="G148" s="13">
        <v>100</v>
      </c>
      <c r="H148" s="13" t="s">
        <v>1893</v>
      </c>
      <c r="I148" s="14"/>
    </row>
    <row r="149" spans="1:9" x14ac:dyDescent="0.3">
      <c r="A149" s="13">
        <f>IF(B149="","",COUNTA($B$4:B149))</f>
        <v>146</v>
      </c>
      <c r="B149" s="13" t="s">
        <v>1844</v>
      </c>
      <c r="C149" s="13" t="s">
        <v>1845</v>
      </c>
      <c r="D149" s="13" t="s">
        <v>1846</v>
      </c>
      <c r="E149" s="13" t="s">
        <v>56</v>
      </c>
      <c r="F149" s="13" t="s">
        <v>1752</v>
      </c>
      <c r="G149" s="13">
        <v>100</v>
      </c>
      <c r="H149" s="13" t="s">
        <v>1893</v>
      </c>
      <c r="I149" s="14"/>
    </row>
    <row r="150" spans="1:9" x14ac:dyDescent="0.3">
      <c r="A150" s="13">
        <f>IF(B150="","",COUNTA($B$4:B150))</f>
        <v>147</v>
      </c>
      <c r="B150" s="13" t="s">
        <v>1844</v>
      </c>
      <c r="C150" s="13" t="s">
        <v>1847</v>
      </c>
      <c r="D150" s="13" t="s">
        <v>1848</v>
      </c>
      <c r="E150" s="13" t="s">
        <v>56</v>
      </c>
      <c r="F150" s="13" t="s">
        <v>1752</v>
      </c>
      <c r="G150" s="13">
        <v>100</v>
      </c>
      <c r="H150" s="13" t="s">
        <v>1893</v>
      </c>
      <c r="I150" s="14"/>
    </row>
    <row r="151" spans="1:9" x14ac:dyDescent="0.3">
      <c r="A151" s="13">
        <f>IF(B151="","",COUNTA($B$4:B151))</f>
        <v>148</v>
      </c>
      <c r="B151" s="13" t="s">
        <v>1844</v>
      </c>
      <c r="C151" s="13" t="s">
        <v>1849</v>
      </c>
      <c r="D151" s="13" t="s">
        <v>1850</v>
      </c>
      <c r="E151" s="13" t="s">
        <v>56</v>
      </c>
      <c r="F151" s="13" t="s">
        <v>1752</v>
      </c>
      <c r="G151" s="13">
        <v>100</v>
      </c>
      <c r="H151" s="13" t="s">
        <v>1893</v>
      </c>
      <c r="I151" s="14"/>
    </row>
    <row r="152" spans="1:9" x14ac:dyDescent="0.3">
      <c r="A152" s="13">
        <f>IF(B152="","",COUNTA($B$4:B152))</f>
        <v>149</v>
      </c>
      <c r="B152" s="13" t="s">
        <v>1844</v>
      </c>
      <c r="C152" s="13" t="s">
        <v>1851</v>
      </c>
      <c r="D152" s="13" t="s">
        <v>1852</v>
      </c>
      <c r="E152" s="13" t="s">
        <v>56</v>
      </c>
      <c r="F152" s="13" t="s">
        <v>1752</v>
      </c>
      <c r="G152" s="13">
        <v>100</v>
      </c>
      <c r="H152" s="13" t="s">
        <v>1893</v>
      </c>
      <c r="I152" s="14"/>
    </row>
    <row r="153" spans="1:9" x14ac:dyDescent="0.3">
      <c r="A153" s="13">
        <f>IF(B153="","",COUNTA($B$4:B153))</f>
        <v>150</v>
      </c>
      <c r="B153" s="13" t="s">
        <v>1844</v>
      </c>
      <c r="C153" s="13" t="s">
        <v>1853</v>
      </c>
      <c r="D153" s="13" t="s">
        <v>1854</v>
      </c>
      <c r="E153" s="13" t="s">
        <v>56</v>
      </c>
      <c r="F153" s="13" t="s">
        <v>1752</v>
      </c>
      <c r="G153" s="13">
        <v>100</v>
      </c>
      <c r="H153" s="13" t="s">
        <v>1893</v>
      </c>
      <c r="I153" s="14"/>
    </row>
    <row r="154" spans="1:9" x14ac:dyDescent="0.3">
      <c r="A154" s="13">
        <f>IF(B154="","",COUNTA($B$4:B154))</f>
        <v>151</v>
      </c>
      <c r="B154" s="13" t="s">
        <v>1844</v>
      </c>
      <c r="C154" s="13" t="s">
        <v>1855</v>
      </c>
      <c r="D154" s="13" t="s">
        <v>1856</v>
      </c>
      <c r="E154" s="13" t="s">
        <v>56</v>
      </c>
      <c r="F154" s="13" t="s">
        <v>1752</v>
      </c>
      <c r="G154" s="13">
        <v>100</v>
      </c>
      <c r="H154" s="13" t="s">
        <v>1893</v>
      </c>
      <c r="I154" s="14"/>
    </row>
    <row r="155" spans="1:9" x14ac:dyDescent="0.3">
      <c r="A155" s="13">
        <f>IF(B155="","",COUNTA($B$4:B155))</f>
        <v>152</v>
      </c>
      <c r="B155" s="13" t="s">
        <v>1844</v>
      </c>
      <c r="C155" s="13" t="s">
        <v>1857</v>
      </c>
      <c r="D155" s="13" t="s">
        <v>1858</v>
      </c>
      <c r="E155" s="13" t="s">
        <v>56</v>
      </c>
      <c r="F155" s="13" t="s">
        <v>1752</v>
      </c>
      <c r="G155" s="13">
        <v>100</v>
      </c>
      <c r="H155" s="13" t="s">
        <v>1893</v>
      </c>
      <c r="I155" s="14"/>
    </row>
    <row r="156" spans="1:9" x14ac:dyDescent="0.3">
      <c r="A156" s="13">
        <f>IF(B156="","",COUNTA($B$4:B156))</f>
        <v>153</v>
      </c>
      <c r="B156" s="13" t="s">
        <v>1844</v>
      </c>
      <c r="C156" s="13" t="s">
        <v>1859</v>
      </c>
      <c r="D156" s="13" t="s">
        <v>1860</v>
      </c>
      <c r="E156" s="13" t="s">
        <v>56</v>
      </c>
      <c r="F156" s="13" t="s">
        <v>1752</v>
      </c>
      <c r="G156" s="13">
        <v>100</v>
      </c>
      <c r="H156" s="13" t="s">
        <v>1893</v>
      </c>
      <c r="I156" s="14"/>
    </row>
    <row r="157" spans="1:9" x14ac:dyDescent="0.3">
      <c r="A157" s="13">
        <f>IF(B157="","",COUNTA($B$4:B157))</f>
        <v>154</v>
      </c>
      <c r="B157" s="13" t="s">
        <v>1844</v>
      </c>
      <c r="C157" s="13" t="s">
        <v>142</v>
      </c>
      <c r="D157" s="13" t="s">
        <v>1760</v>
      </c>
      <c r="E157" s="13" t="s">
        <v>56</v>
      </c>
      <c r="F157" s="13" t="s">
        <v>1752</v>
      </c>
      <c r="G157" s="13">
        <v>4</v>
      </c>
      <c r="H157" s="13" t="s">
        <v>1893</v>
      </c>
      <c r="I157" s="14"/>
    </row>
    <row r="158" spans="1:9" x14ac:dyDescent="0.3">
      <c r="A158" s="13">
        <f>IF(B158="","",COUNTA($B$4:B158))</f>
        <v>155</v>
      </c>
      <c r="B158" s="13" t="s">
        <v>1844</v>
      </c>
      <c r="C158" s="13" t="s">
        <v>387</v>
      </c>
      <c r="D158" s="13" t="s">
        <v>1761</v>
      </c>
      <c r="E158" s="13" t="s">
        <v>56</v>
      </c>
      <c r="F158" s="13" t="s">
        <v>1752</v>
      </c>
      <c r="G158" s="13">
        <v>4</v>
      </c>
      <c r="H158" s="13" t="s">
        <v>1893</v>
      </c>
      <c r="I158" s="14"/>
    </row>
    <row r="159" spans="1:9" x14ac:dyDescent="0.3">
      <c r="A159" s="13">
        <f>IF(B159="","",COUNTA($B$4:B159))</f>
        <v>156</v>
      </c>
      <c r="B159" s="13" t="s">
        <v>1844</v>
      </c>
      <c r="C159" s="13" t="s">
        <v>1762</v>
      </c>
      <c r="D159" s="13" t="s">
        <v>1763</v>
      </c>
      <c r="E159" s="13" t="s">
        <v>56</v>
      </c>
      <c r="F159" s="13" t="s">
        <v>1752</v>
      </c>
      <c r="G159" s="13">
        <v>10</v>
      </c>
      <c r="H159" s="13"/>
      <c r="I159" s="14"/>
    </row>
    <row r="160" spans="1:9" x14ac:dyDescent="0.3">
      <c r="A160" s="13">
        <f>IF(B160="","",COUNTA($B$4:B160))</f>
        <v>157</v>
      </c>
      <c r="B160" s="13" t="s">
        <v>1844</v>
      </c>
      <c r="C160" s="13" t="s">
        <v>508</v>
      </c>
      <c r="D160" s="13" t="s">
        <v>1764</v>
      </c>
      <c r="E160" s="13" t="s">
        <v>56</v>
      </c>
      <c r="F160" s="13" t="s">
        <v>1752</v>
      </c>
      <c r="G160" s="13">
        <v>10</v>
      </c>
      <c r="H160" s="13"/>
      <c r="I160" s="14"/>
    </row>
    <row r="161" spans="1:9" x14ac:dyDescent="0.3">
      <c r="A161" s="13">
        <f>IF(B161="","",COUNTA($B$4:B161))</f>
        <v>158</v>
      </c>
      <c r="B161" s="13" t="s">
        <v>1844</v>
      </c>
      <c r="C161" s="13" t="s">
        <v>512</v>
      </c>
      <c r="D161" s="13" t="s">
        <v>1765</v>
      </c>
      <c r="E161" s="13" t="s">
        <v>1757</v>
      </c>
      <c r="F161" s="13" t="s">
        <v>1758</v>
      </c>
      <c r="G161" s="13"/>
      <c r="H161" s="13"/>
      <c r="I161" s="14"/>
    </row>
    <row r="162" spans="1:9" x14ac:dyDescent="0.3">
      <c r="A162" s="13">
        <f>IF(B162="","",COUNTA($B$4:B162))</f>
        <v>159</v>
      </c>
      <c r="B162" s="13" t="s">
        <v>1844</v>
      </c>
      <c r="C162" s="13" t="s">
        <v>1766</v>
      </c>
      <c r="D162" s="13" t="s">
        <v>1767</v>
      </c>
      <c r="E162" s="13" t="s">
        <v>56</v>
      </c>
      <c r="F162" s="13" t="s">
        <v>1752</v>
      </c>
      <c r="G162" s="13">
        <v>10</v>
      </c>
      <c r="H162" s="13"/>
      <c r="I162" s="14"/>
    </row>
    <row r="163" spans="1:9" x14ac:dyDescent="0.3">
      <c r="A163" s="13">
        <f>IF(B163="","",COUNTA($B$4:B163))</f>
        <v>160</v>
      </c>
      <c r="B163" s="13" t="s">
        <v>1844</v>
      </c>
      <c r="C163" s="13" t="s">
        <v>354</v>
      </c>
      <c r="D163" s="13" t="s">
        <v>1768</v>
      </c>
      <c r="E163" s="13" t="s">
        <v>56</v>
      </c>
      <c r="F163" s="13" t="s">
        <v>1752</v>
      </c>
      <c r="G163" s="13">
        <v>10</v>
      </c>
      <c r="H163" s="13"/>
      <c r="I163" s="14"/>
    </row>
    <row r="164" spans="1:9" x14ac:dyDescent="0.3">
      <c r="A164" s="13">
        <f>IF(B164="","",COUNTA($B$4:B164))</f>
        <v>161</v>
      </c>
      <c r="B164" s="13" t="s">
        <v>1844</v>
      </c>
      <c r="C164" s="13" t="s">
        <v>358</v>
      </c>
      <c r="D164" s="13" t="s">
        <v>1769</v>
      </c>
      <c r="E164" s="13" t="s">
        <v>1757</v>
      </c>
      <c r="F164" s="13" t="s">
        <v>1758</v>
      </c>
      <c r="G164" s="13"/>
      <c r="H164" s="13"/>
      <c r="I164" s="14"/>
    </row>
    <row r="165" spans="1:9" x14ac:dyDescent="0.3">
      <c r="A165" s="13">
        <f>IF(B165="","",COUNTA($B$4:B165))</f>
        <v>162</v>
      </c>
      <c r="B165" s="13" t="s">
        <v>213</v>
      </c>
      <c r="C165" s="13" t="s">
        <v>1819</v>
      </c>
      <c r="D165" s="13" t="s">
        <v>1493</v>
      </c>
      <c r="E165" s="13" t="s">
        <v>56</v>
      </c>
      <c r="F165" s="13" t="s">
        <v>1752</v>
      </c>
      <c r="G165" s="13">
        <v>10</v>
      </c>
      <c r="H165" s="13" t="s">
        <v>1893</v>
      </c>
      <c r="I165" s="14"/>
    </row>
    <row r="166" spans="1:9" x14ac:dyDescent="0.3">
      <c r="A166" s="13">
        <f>IF(B166="","",COUNTA($B$4:B166))</f>
        <v>163</v>
      </c>
      <c r="B166" s="13" t="s">
        <v>213</v>
      </c>
      <c r="C166" s="13" t="s">
        <v>319</v>
      </c>
      <c r="D166" s="13" t="s">
        <v>1861</v>
      </c>
      <c r="E166" s="13" t="s">
        <v>56</v>
      </c>
      <c r="F166" s="13" t="s">
        <v>1752</v>
      </c>
      <c r="G166" s="13">
        <v>10</v>
      </c>
      <c r="H166" s="13" t="s">
        <v>1893</v>
      </c>
      <c r="I166" s="14"/>
    </row>
    <row r="167" spans="1:9" x14ac:dyDescent="0.3">
      <c r="A167" s="13">
        <f>IF(B167="","",COUNTA($B$4:B167))</f>
        <v>164</v>
      </c>
      <c r="B167" s="13" t="s">
        <v>213</v>
      </c>
      <c r="C167" s="13" t="s">
        <v>330</v>
      </c>
      <c r="D167" s="13" t="s">
        <v>1862</v>
      </c>
      <c r="E167" s="13" t="s">
        <v>56</v>
      </c>
      <c r="F167" s="13" t="s">
        <v>1752</v>
      </c>
      <c r="G167" s="13">
        <v>30</v>
      </c>
      <c r="H167" s="13" t="s">
        <v>1893</v>
      </c>
      <c r="I167" s="14"/>
    </row>
    <row r="168" spans="1:9" x14ac:dyDescent="0.3">
      <c r="A168" s="13">
        <f>IF(B168="","",COUNTA($B$4:B168))</f>
        <v>165</v>
      </c>
      <c r="B168" s="13" t="s">
        <v>213</v>
      </c>
      <c r="C168" s="13" t="s">
        <v>381</v>
      </c>
      <c r="D168" s="13" t="s">
        <v>1863</v>
      </c>
      <c r="E168" s="13" t="s">
        <v>56</v>
      </c>
      <c r="F168" s="13" t="s">
        <v>1758</v>
      </c>
      <c r="G168" s="13"/>
      <c r="H168" s="13" t="s">
        <v>1893</v>
      </c>
      <c r="I168" s="14"/>
    </row>
    <row r="169" spans="1:9" x14ac:dyDescent="0.3">
      <c r="A169" s="13">
        <f>IF(B169="","",COUNTA($B$4:B169))</f>
        <v>166</v>
      </c>
      <c r="B169" s="13" t="s">
        <v>213</v>
      </c>
      <c r="C169" s="13" t="s">
        <v>1864</v>
      </c>
      <c r="D169" s="13" t="s">
        <v>1865</v>
      </c>
      <c r="E169" s="13" t="s">
        <v>56</v>
      </c>
      <c r="F169" s="13" t="s">
        <v>1752</v>
      </c>
      <c r="G169" s="13">
        <v>6</v>
      </c>
      <c r="H169" s="13" t="s">
        <v>1893</v>
      </c>
      <c r="I169" s="14"/>
    </row>
    <row r="170" spans="1:9" x14ac:dyDescent="0.3">
      <c r="A170" s="13">
        <f>IF(B170="","",COUNTA($B$4:B170))</f>
        <v>167</v>
      </c>
      <c r="B170" s="13" t="s">
        <v>213</v>
      </c>
      <c r="C170" s="13" t="s">
        <v>1562</v>
      </c>
      <c r="D170" s="13" t="s">
        <v>1866</v>
      </c>
      <c r="E170" s="13" t="s">
        <v>56</v>
      </c>
      <c r="F170" s="13" t="s">
        <v>1752</v>
      </c>
      <c r="G170" s="13">
        <v>6</v>
      </c>
      <c r="H170" s="13" t="s">
        <v>1893</v>
      </c>
      <c r="I170" s="14"/>
    </row>
    <row r="171" spans="1:9" x14ac:dyDescent="0.3">
      <c r="A171" s="13">
        <f>IF(B171="","",COUNTA($B$4:B171))</f>
        <v>168</v>
      </c>
      <c r="B171" s="13" t="s">
        <v>213</v>
      </c>
      <c r="C171" s="13" t="s">
        <v>1867</v>
      </c>
      <c r="D171" s="13" t="s">
        <v>1413</v>
      </c>
      <c r="E171" s="13" t="s">
        <v>56</v>
      </c>
      <c r="F171" s="13" t="s">
        <v>1752</v>
      </c>
      <c r="G171" s="13">
        <v>6</v>
      </c>
      <c r="H171" s="13" t="s">
        <v>1893</v>
      </c>
      <c r="I171" s="14"/>
    </row>
    <row r="172" spans="1:9" x14ac:dyDescent="0.3">
      <c r="A172" s="13">
        <f>IF(B172="","",COUNTA($B$4:B172))</f>
        <v>169</v>
      </c>
      <c r="B172" s="13" t="s">
        <v>213</v>
      </c>
      <c r="C172" s="13" t="s">
        <v>142</v>
      </c>
      <c r="D172" s="13" t="s">
        <v>1760</v>
      </c>
      <c r="E172" s="13" t="s">
        <v>56</v>
      </c>
      <c r="F172" s="13" t="s">
        <v>1752</v>
      </c>
      <c r="G172" s="13">
        <v>4</v>
      </c>
      <c r="H172" s="13" t="s">
        <v>1893</v>
      </c>
      <c r="I172" s="14"/>
    </row>
    <row r="173" spans="1:9" x14ac:dyDescent="0.3">
      <c r="A173" s="13">
        <f>IF(B173="","",COUNTA($B$4:B173))</f>
        <v>170</v>
      </c>
      <c r="B173" s="13" t="s">
        <v>213</v>
      </c>
      <c r="C173" s="13" t="s">
        <v>387</v>
      </c>
      <c r="D173" s="13" t="s">
        <v>1761</v>
      </c>
      <c r="E173" s="13" t="s">
        <v>56</v>
      </c>
      <c r="F173" s="13" t="s">
        <v>1752</v>
      </c>
      <c r="G173" s="13">
        <v>4</v>
      </c>
      <c r="H173" s="13" t="s">
        <v>1893</v>
      </c>
      <c r="I173" s="14"/>
    </row>
    <row r="174" spans="1:9" x14ac:dyDescent="0.3">
      <c r="A174" s="13">
        <f>IF(B174="","",COUNTA($B$4:B174))</f>
        <v>171</v>
      </c>
      <c r="B174" s="13" t="s">
        <v>213</v>
      </c>
      <c r="C174" s="13" t="s">
        <v>1762</v>
      </c>
      <c r="D174" s="13" t="s">
        <v>1763</v>
      </c>
      <c r="E174" s="13" t="s">
        <v>56</v>
      </c>
      <c r="F174" s="13" t="s">
        <v>1752</v>
      </c>
      <c r="G174" s="13">
        <v>10</v>
      </c>
      <c r="H174" s="13"/>
      <c r="I174" s="14"/>
    </row>
    <row r="175" spans="1:9" x14ac:dyDescent="0.3">
      <c r="A175" s="13">
        <f>IF(B175="","",COUNTA($B$4:B175))</f>
        <v>172</v>
      </c>
      <c r="B175" s="13" t="s">
        <v>213</v>
      </c>
      <c r="C175" s="13" t="s">
        <v>508</v>
      </c>
      <c r="D175" s="13" t="s">
        <v>1764</v>
      </c>
      <c r="E175" s="13" t="s">
        <v>56</v>
      </c>
      <c r="F175" s="13" t="s">
        <v>1752</v>
      </c>
      <c r="G175" s="13">
        <v>10</v>
      </c>
      <c r="H175" s="13"/>
      <c r="I175" s="14"/>
    </row>
    <row r="176" spans="1:9" x14ac:dyDescent="0.3">
      <c r="A176" s="13">
        <f>IF(B176="","",COUNTA($B$4:B176))</f>
        <v>173</v>
      </c>
      <c r="B176" s="13" t="s">
        <v>213</v>
      </c>
      <c r="C176" s="13" t="s">
        <v>512</v>
      </c>
      <c r="D176" s="13" t="s">
        <v>1765</v>
      </c>
      <c r="E176" s="13" t="s">
        <v>1757</v>
      </c>
      <c r="F176" s="13" t="s">
        <v>1758</v>
      </c>
      <c r="G176" s="13"/>
      <c r="H176" s="13"/>
      <c r="I176" s="14"/>
    </row>
    <row r="177" spans="1:9" x14ac:dyDescent="0.3">
      <c r="A177" s="13">
        <f>IF(B177="","",COUNTA($B$4:B177))</f>
        <v>174</v>
      </c>
      <c r="B177" s="13" t="s">
        <v>213</v>
      </c>
      <c r="C177" s="13" t="s">
        <v>1766</v>
      </c>
      <c r="D177" s="13" t="s">
        <v>1767</v>
      </c>
      <c r="E177" s="13" t="s">
        <v>56</v>
      </c>
      <c r="F177" s="13" t="s">
        <v>1752</v>
      </c>
      <c r="G177" s="13">
        <v>10</v>
      </c>
      <c r="H177" s="13"/>
      <c r="I177" s="14"/>
    </row>
    <row r="178" spans="1:9" x14ac:dyDescent="0.3">
      <c r="A178" s="13">
        <f>IF(B178="","",COUNTA($B$4:B178))</f>
        <v>175</v>
      </c>
      <c r="B178" s="13" t="s">
        <v>213</v>
      </c>
      <c r="C178" s="13" t="s">
        <v>354</v>
      </c>
      <c r="D178" s="13" t="s">
        <v>1768</v>
      </c>
      <c r="E178" s="13" t="s">
        <v>56</v>
      </c>
      <c r="F178" s="13" t="s">
        <v>1752</v>
      </c>
      <c r="G178" s="13">
        <v>10</v>
      </c>
      <c r="H178" s="13"/>
      <c r="I178" s="14"/>
    </row>
    <row r="179" spans="1:9" x14ac:dyDescent="0.3">
      <c r="A179" s="13">
        <f>IF(B179="","",COUNTA($B$4:B179))</f>
        <v>176</v>
      </c>
      <c r="B179" s="13" t="s">
        <v>213</v>
      </c>
      <c r="C179" s="13" t="s">
        <v>358</v>
      </c>
      <c r="D179" s="13" t="s">
        <v>1769</v>
      </c>
      <c r="E179" s="13" t="s">
        <v>1757</v>
      </c>
      <c r="F179" s="13" t="s">
        <v>1758</v>
      </c>
      <c r="G179" s="13"/>
      <c r="H179" s="13"/>
      <c r="I179" s="14"/>
    </row>
    <row r="180" spans="1:9" x14ac:dyDescent="0.3">
      <c r="A180" s="13">
        <f>IF(B180="","",COUNTA($B$4:B180))</f>
        <v>177</v>
      </c>
      <c r="B180" s="13" t="s">
        <v>214</v>
      </c>
      <c r="C180" s="13" t="s">
        <v>1819</v>
      </c>
      <c r="D180" s="13" t="s">
        <v>1493</v>
      </c>
      <c r="E180" s="13" t="s">
        <v>56</v>
      </c>
      <c r="F180" s="13" t="s">
        <v>1752</v>
      </c>
      <c r="G180" s="13">
        <v>10</v>
      </c>
      <c r="H180" s="13" t="s">
        <v>1893</v>
      </c>
      <c r="I180" s="14"/>
    </row>
    <row r="181" spans="1:9" x14ac:dyDescent="0.3">
      <c r="A181" s="13">
        <f>IF(B181="","",COUNTA($B$4:B181))</f>
        <v>178</v>
      </c>
      <c r="B181" s="13" t="s">
        <v>214</v>
      </c>
      <c r="C181" s="13" t="s">
        <v>1778</v>
      </c>
      <c r="D181" s="13" t="s">
        <v>1455</v>
      </c>
      <c r="E181" s="13" t="s">
        <v>56</v>
      </c>
      <c r="F181" s="13" t="s">
        <v>1752</v>
      </c>
      <c r="G181" s="13">
        <v>30</v>
      </c>
      <c r="H181" s="13"/>
      <c r="I181" s="14"/>
    </row>
    <row r="182" spans="1:9" x14ac:dyDescent="0.3">
      <c r="A182" s="13">
        <f>IF(B182="","",COUNTA($B$4:B182))</f>
        <v>179</v>
      </c>
      <c r="B182" s="13" t="s">
        <v>214</v>
      </c>
      <c r="C182" s="13" t="s">
        <v>217</v>
      </c>
      <c r="D182" s="13" t="s">
        <v>1494</v>
      </c>
      <c r="E182" s="13" t="s">
        <v>1770</v>
      </c>
      <c r="F182" s="13" t="s">
        <v>1771</v>
      </c>
      <c r="G182" s="13">
        <v>5</v>
      </c>
      <c r="H182" s="13"/>
      <c r="I182" s="14"/>
    </row>
    <row r="183" spans="1:9" x14ac:dyDescent="0.3">
      <c r="A183" s="13">
        <f>IF(B183="","",COUNTA($B$4:B183))</f>
        <v>180</v>
      </c>
      <c r="B183" s="13" t="s">
        <v>214</v>
      </c>
      <c r="C183" s="13" t="s">
        <v>1749</v>
      </c>
      <c r="D183" s="13" t="s">
        <v>1557</v>
      </c>
      <c r="E183" s="13" t="s">
        <v>56</v>
      </c>
      <c r="F183" s="13" t="s">
        <v>1752</v>
      </c>
      <c r="G183" s="13">
        <v>10</v>
      </c>
      <c r="H183" s="13" t="s">
        <v>1893</v>
      </c>
      <c r="I183" s="14"/>
    </row>
    <row r="184" spans="1:9" x14ac:dyDescent="0.3">
      <c r="A184" s="13">
        <f>IF(B184="","",COUNTA($B$4:B184))</f>
        <v>181</v>
      </c>
      <c r="B184" s="13" t="s">
        <v>214</v>
      </c>
      <c r="C184" s="13" t="s">
        <v>1868</v>
      </c>
      <c r="D184" s="13" t="s">
        <v>1558</v>
      </c>
      <c r="E184" s="13" t="s">
        <v>1770</v>
      </c>
      <c r="F184" s="13" t="s">
        <v>1771</v>
      </c>
      <c r="G184" s="13">
        <v>5</v>
      </c>
      <c r="H184" s="13"/>
      <c r="I184" s="14"/>
    </row>
    <row r="185" spans="1:9" x14ac:dyDescent="0.3">
      <c r="A185" s="13">
        <f>IF(B185="","",COUNTA($B$4:B185))</f>
        <v>182</v>
      </c>
      <c r="B185" s="13" t="s">
        <v>214</v>
      </c>
      <c r="C185" s="13" t="s">
        <v>1869</v>
      </c>
      <c r="D185" s="13" t="s">
        <v>1553</v>
      </c>
      <c r="E185" s="13" t="s">
        <v>56</v>
      </c>
      <c r="F185" s="13" t="s">
        <v>1752</v>
      </c>
      <c r="G185" s="13">
        <v>10</v>
      </c>
      <c r="H185" s="13"/>
      <c r="I185" s="14"/>
    </row>
    <row r="186" spans="1:9" x14ac:dyDescent="0.3">
      <c r="A186" s="13">
        <f>IF(B186="","",COUNTA($B$4:B186))</f>
        <v>183</v>
      </c>
      <c r="B186" s="13" t="s">
        <v>214</v>
      </c>
      <c r="C186" s="13" t="s">
        <v>420</v>
      </c>
      <c r="D186" s="13" t="s">
        <v>1779</v>
      </c>
      <c r="E186" s="13" t="s">
        <v>56</v>
      </c>
      <c r="F186" s="13" t="s">
        <v>1752</v>
      </c>
      <c r="G186" s="13">
        <v>5</v>
      </c>
      <c r="H186" s="13"/>
      <c r="I186" s="14"/>
    </row>
    <row r="187" spans="1:9" x14ac:dyDescent="0.3">
      <c r="A187" s="13">
        <f>IF(B187="","",COUNTA($B$4:B187))</f>
        <v>184</v>
      </c>
      <c r="B187" s="13" t="s">
        <v>214</v>
      </c>
      <c r="C187" s="13" t="s">
        <v>531</v>
      </c>
      <c r="D187" s="13" t="s">
        <v>1780</v>
      </c>
      <c r="E187" s="13" t="s">
        <v>56</v>
      </c>
      <c r="F187" s="13" t="s">
        <v>1752</v>
      </c>
      <c r="G187" s="13">
        <v>12</v>
      </c>
      <c r="H187" s="13"/>
      <c r="I187" s="14"/>
    </row>
    <row r="188" spans="1:9" x14ac:dyDescent="0.3">
      <c r="A188" s="13">
        <f>IF(B188="","",COUNTA($B$4:B188))</f>
        <v>185</v>
      </c>
      <c r="B188" s="13" t="s">
        <v>214</v>
      </c>
      <c r="C188" s="13" t="s">
        <v>1781</v>
      </c>
      <c r="D188" s="13" t="s">
        <v>1782</v>
      </c>
      <c r="E188" s="13" t="s">
        <v>56</v>
      </c>
      <c r="F188" s="13" t="s">
        <v>1752</v>
      </c>
      <c r="G188" s="13">
        <v>30</v>
      </c>
      <c r="H188" s="13"/>
      <c r="I188" s="14"/>
    </row>
    <row r="189" spans="1:9" x14ac:dyDescent="0.3">
      <c r="A189" s="13">
        <f>IF(B189="","",COUNTA($B$4:B189))</f>
        <v>186</v>
      </c>
      <c r="B189" s="13" t="s">
        <v>214</v>
      </c>
      <c r="C189" s="13" t="s">
        <v>1870</v>
      </c>
      <c r="D189" s="13" t="s">
        <v>1530</v>
      </c>
      <c r="E189" s="13" t="s">
        <v>56</v>
      </c>
      <c r="F189" s="13" t="s">
        <v>1752</v>
      </c>
      <c r="G189" s="13">
        <v>3</v>
      </c>
      <c r="H189" s="13"/>
      <c r="I189" s="14"/>
    </row>
    <row r="190" spans="1:9" x14ac:dyDescent="0.3">
      <c r="A190" s="13">
        <f>IF(B190="","",COUNTA($B$4:B190))</f>
        <v>187</v>
      </c>
      <c r="B190" s="13" t="s">
        <v>214</v>
      </c>
      <c r="C190" s="13" t="s">
        <v>1871</v>
      </c>
      <c r="D190" s="13" t="s">
        <v>1531</v>
      </c>
      <c r="E190" s="13" t="s">
        <v>56</v>
      </c>
      <c r="F190" s="13" t="s">
        <v>1752</v>
      </c>
      <c r="G190" s="13">
        <v>30</v>
      </c>
      <c r="H190" s="13"/>
      <c r="I190" s="14"/>
    </row>
    <row r="191" spans="1:9" x14ac:dyDescent="0.3">
      <c r="A191" s="13">
        <f>IF(B191="","",COUNTA($B$4:B191))</f>
        <v>188</v>
      </c>
      <c r="B191" s="13" t="s">
        <v>214</v>
      </c>
      <c r="C191" s="13" t="s">
        <v>1864</v>
      </c>
      <c r="D191" s="13" t="s">
        <v>1865</v>
      </c>
      <c r="E191" s="13" t="s">
        <v>1757</v>
      </c>
      <c r="F191" s="13" t="s">
        <v>1758</v>
      </c>
      <c r="G191" s="13"/>
      <c r="H191" s="13"/>
      <c r="I191" s="14"/>
    </row>
    <row r="192" spans="1:9" x14ac:dyDescent="0.3">
      <c r="A192" s="13">
        <f>IF(B192="","",COUNTA($B$4:B192))</f>
        <v>189</v>
      </c>
      <c r="B192" s="13" t="s">
        <v>214</v>
      </c>
      <c r="C192" s="13" t="s">
        <v>1872</v>
      </c>
      <c r="D192" s="13" t="s">
        <v>1535</v>
      </c>
      <c r="E192" s="13" t="s">
        <v>56</v>
      </c>
      <c r="F192" s="13" t="s">
        <v>1752</v>
      </c>
      <c r="G192" s="13">
        <v>30</v>
      </c>
      <c r="H192" s="13"/>
      <c r="I192" s="14"/>
    </row>
    <row r="193" spans="1:9" x14ac:dyDescent="0.3">
      <c r="A193" s="13">
        <f>IF(B193="","",COUNTA($B$4:B193))</f>
        <v>190</v>
      </c>
      <c r="B193" s="13" t="s">
        <v>214</v>
      </c>
      <c r="C193" s="13" t="s">
        <v>1873</v>
      </c>
      <c r="D193" s="13" t="s">
        <v>1536</v>
      </c>
      <c r="E193" s="13" t="s">
        <v>1770</v>
      </c>
      <c r="F193" s="13" t="s">
        <v>1771</v>
      </c>
      <c r="G193" s="13">
        <v>11</v>
      </c>
      <c r="H193" s="13">
        <v>2</v>
      </c>
      <c r="I193" s="14"/>
    </row>
    <row r="194" spans="1:9" x14ac:dyDescent="0.3">
      <c r="A194" s="13">
        <f>IF(B194="","",COUNTA($B$4:B194))</f>
        <v>191</v>
      </c>
      <c r="B194" s="13" t="s">
        <v>214</v>
      </c>
      <c r="C194" s="13" t="s">
        <v>1825</v>
      </c>
      <c r="D194" s="13" t="s">
        <v>1459</v>
      </c>
      <c r="E194" s="13" t="s">
        <v>56</v>
      </c>
      <c r="F194" s="13" t="s">
        <v>1752</v>
      </c>
      <c r="G194" s="13">
        <v>4</v>
      </c>
      <c r="H194" s="13"/>
      <c r="I194" s="14"/>
    </row>
    <row r="195" spans="1:9" x14ac:dyDescent="0.3">
      <c r="A195" s="13">
        <f>IF(B195="","",COUNTA($B$4:B195))</f>
        <v>192</v>
      </c>
      <c r="B195" s="13" t="s">
        <v>214</v>
      </c>
      <c r="C195" s="13" t="s">
        <v>1826</v>
      </c>
      <c r="D195" s="13" t="s">
        <v>1827</v>
      </c>
      <c r="E195" s="13" t="s">
        <v>1770</v>
      </c>
      <c r="F195" s="13" t="s">
        <v>1771</v>
      </c>
      <c r="G195" s="13">
        <v>9</v>
      </c>
      <c r="H195" s="13">
        <v>2</v>
      </c>
      <c r="I195" s="14"/>
    </row>
    <row r="196" spans="1:9" x14ac:dyDescent="0.3">
      <c r="A196" s="13">
        <f>IF(B196="","",COUNTA($B$4:B196))</f>
        <v>193</v>
      </c>
      <c r="B196" s="13" t="s">
        <v>214</v>
      </c>
      <c r="C196" s="13" t="s">
        <v>1840</v>
      </c>
      <c r="D196" s="13" t="s">
        <v>1297</v>
      </c>
      <c r="E196" s="13" t="s">
        <v>1770</v>
      </c>
      <c r="F196" s="13" t="s">
        <v>1771</v>
      </c>
      <c r="G196" s="13">
        <v>9</v>
      </c>
      <c r="H196" s="13">
        <v>2</v>
      </c>
      <c r="I196" s="14"/>
    </row>
    <row r="197" spans="1:9" x14ac:dyDescent="0.3">
      <c r="A197" s="13">
        <f>IF(B197="","",COUNTA($B$4:B197))</f>
        <v>194</v>
      </c>
      <c r="B197" s="13" t="s">
        <v>214</v>
      </c>
      <c r="C197" s="13" t="s">
        <v>1298</v>
      </c>
      <c r="D197" s="13" t="s">
        <v>1299</v>
      </c>
      <c r="E197" s="13" t="s">
        <v>1770</v>
      </c>
      <c r="F197" s="13" t="s">
        <v>1771</v>
      </c>
      <c r="G197" s="13">
        <v>9</v>
      </c>
      <c r="H197" s="13">
        <v>2</v>
      </c>
      <c r="I197" s="14"/>
    </row>
    <row r="198" spans="1:9" x14ac:dyDescent="0.3">
      <c r="A198" s="13">
        <f>IF(B198="","",COUNTA($B$4:B198))</f>
        <v>195</v>
      </c>
      <c r="B198" s="13" t="s">
        <v>214</v>
      </c>
      <c r="C198" s="13" t="s">
        <v>498</v>
      </c>
      <c r="D198" s="13" t="s">
        <v>1831</v>
      </c>
      <c r="E198" s="13" t="s">
        <v>1770</v>
      </c>
      <c r="F198" s="13" t="s">
        <v>1771</v>
      </c>
      <c r="G198" s="13">
        <v>5</v>
      </c>
      <c r="H198" s="13">
        <v>2</v>
      </c>
      <c r="I198" s="14"/>
    </row>
    <row r="199" spans="1:9" x14ac:dyDescent="0.3">
      <c r="A199" s="13">
        <f>IF(B199="","",COUNTA($B$4:B199))</f>
        <v>196</v>
      </c>
      <c r="B199" s="13" t="s">
        <v>214</v>
      </c>
      <c r="C199" s="13" t="s">
        <v>547</v>
      </c>
      <c r="D199" s="13" t="s">
        <v>1832</v>
      </c>
      <c r="E199" s="13" t="s">
        <v>1770</v>
      </c>
      <c r="F199" s="13" t="s">
        <v>1771</v>
      </c>
      <c r="G199" s="13">
        <v>5</v>
      </c>
      <c r="H199" s="13"/>
      <c r="I199" s="14"/>
    </row>
    <row r="200" spans="1:9" x14ac:dyDescent="0.3">
      <c r="A200" s="13">
        <f>IF(B200="","",COUNTA($B$4:B200))</f>
        <v>197</v>
      </c>
      <c r="B200" s="13" t="s">
        <v>214</v>
      </c>
      <c r="C200" s="13" t="s">
        <v>196</v>
      </c>
      <c r="D200" s="13" t="s">
        <v>1833</v>
      </c>
      <c r="E200" s="13" t="s">
        <v>1770</v>
      </c>
      <c r="F200" s="13" t="s">
        <v>1771</v>
      </c>
      <c r="G200" s="13">
        <v>5</v>
      </c>
      <c r="H200" s="13"/>
      <c r="I200" s="14"/>
    </row>
    <row r="201" spans="1:9" x14ac:dyDescent="0.3">
      <c r="A201" s="13">
        <f>IF(B201="","",COUNTA($B$4:B201))</f>
        <v>198</v>
      </c>
      <c r="B201" s="13" t="s">
        <v>214</v>
      </c>
      <c r="C201" s="13" t="s">
        <v>197</v>
      </c>
      <c r="D201" s="13" t="s">
        <v>1834</v>
      </c>
      <c r="E201" s="13" t="s">
        <v>1770</v>
      </c>
      <c r="F201" s="13" t="s">
        <v>1771</v>
      </c>
      <c r="G201" s="13">
        <v>7</v>
      </c>
      <c r="H201" s="13">
        <v>2</v>
      </c>
      <c r="I201" s="14"/>
    </row>
    <row r="202" spans="1:9" x14ac:dyDescent="0.3">
      <c r="A202" s="13">
        <f>IF(B202="","",COUNTA($B$4:B202))</f>
        <v>199</v>
      </c>
      <c r="B202" s="13" t="s">
        <v>214</v>
      </c>
      <c r="C202" s="13" t="s">
        <v>198</v>
      </c>
      <c r="D202" s="13" t="s">
        <v>1505</v>
      </c>
      <c r="E202" s="13" t="s">
        <v>1770</v>
      </c>
      <c r="F202" s="13" t="s">
        <v>1771</v>
      </c>
      <c r="G202" s="13">
        <v>7</v>
      </c>
      <c r="H202" s="13">
        <v>2</v>
      </c>
      <c r="I202" s="14"/>
    </row>
    <row r="203" spans="1:9" x14ac:dyDescent="0.3">
      <c r="A203" s="13">
        <f>IF(B203="","",COUNTA($B$4:B203))</f>
        <v>200</v>
      </c>
      <c r="B203" s="13" t="s">
        <v>214</v>
      </c>
      <c r="C203" s="13" t="s">
        <v>1874</v>
      </c>
      <c r="D203" s="13" t="s">
        <v>1875</v>
      </c>
      <c r="E203" s="13" t="s">
        <v>56</v>
      </c>
      <c r="F203" s="13" t="s">
        <v>1752</v>
      </c>
      <c r="G203" s="13">
        <v>4</v>
      </c>
      <c r="H203" s="13"/>
      <c r="I203" s="14"/>
    </row>
    <row r="204" spans="1:9" x14ac:dyDescent="0.3">
      <c r="A204" s="13">
        <f>IF(B204="","",COUNTA($B$4:B204))</f>
        <v>201</v>
      </c>
      <c r="B204" s="13" t="s">
        <v>214</v>
      </c>
      <c r="C204" s="13" t="s">
        <v>1876</v>
      </c>
      <c r="D204" s="13" t="s">
        <v>1537</v>
      </c>
      <c r="E204" s="13" t="s">
        <v>1770</v>
      </c>
      <c r="F204" s="13" t="s">
        <v>1771</v>
      </c>
      <c r="G204" s="13">
        <v>5</v>
      </c>
      <c r="H204" s="13"/>
      <c r="I204" s="14"/>
    </row>
    <row r="205" spans="1:9" x14ac:dyDescent="0.3">
      <c r="A205" s="13">
        <f>IF(B205="","",COUNTA($B$4:B205))</f>
        <v>202</v>
      </c>
      <c r="B205" s="13" t="s">
        <v>214</v>
      </c>
      <c r="C205" s="13" t="s">
        <v>1877</v>
      </c>
      <c r="D205" s="13" t="s">
        <v>1538</v>
      </c>
      <c r="E205" s="13" t="s">
        <v>1770</v>
      </c>
      <c r="F205" s="13" t="s">
        <v>1771</v>
      </c>
      <c r="G205" s="13">
        <v>7</v>
      </c>
      <c r="H205" s="13">
        <v>2</v>
      </c>
      <c r="I205" s="14"/>
    </row>
    <row r="206" spans="1:9" x14ac:dyDescent="0.3">
      <c r="A206" s="13">
        <f>IF(B206="","",COUNTA($B$4:B206))</f>
        <v>203</v>
      </c>
      <c r="B206" s="13" t="s">
        <v>214</v>
      </c>
      <c r="C206" s="13" t="s">
        <v>1878</v>
      </c>
      <c r="D206" s="13" t="s">
        <v>1539</v>
      </c>
      <c r="E206" s="13" t="s">
        <v>1770</v>
      </c>
      <c r="F206" s="13" t="s">
        <v>1771</v>
      </c>
      <c r="G206" s="13">
        <v>5</v>
      </c>
      <c r="H206" s="13" t="s">
        <v>200</v>
      </c>
      <c r="I206" s="14"/>
    </row>
    <row r="207" spans="1:9" x14ac:dyDescent="0.3">
      <c r="A207" s="13">
        <f>IF(B207="","",COUNTA($B$4:B207))</f>
        <v>204</v>
      </c>
      <c r="B207" s="13" t="s">
        <v>214</v>
      </c>
      <c r="C207" s="13" t="s">
        <v>1879</v>
      </c>
      <c r="D207" s="13" t="s">
        <v>1540</v>
      </c>
      <c r="E207" s="13" t="s">
        <v>1770</v>
      </c>
      <c r="F207" s="13" t="s">
        <v>1771</v>
      </c>
      <c r="G207" s="13">
        <v>11</v>
      </c>
      <c r="H207" s="13" t="s">
        <v>200</v>
      </c>
      <c r="I207" s="14"/>
    </row>
    <row r="208" spans="1:9" x14ac:dyDescent="0.3">
      <c r="A208" s="13">
        <f>IF(B208="","",COUNTA($B$4:B208))</f>
        <v>205</v>
      </c>
      <c r="B208" s="13" t="s">
        <v>214</v>
      </c>
      <c r="C208" s="13" t="s">
        <v>1828</v>
      </c>
      <c r="D208" s="13" t="s">
        <v>1829</v>
      </c>
      <c r="E208" s="13" t="s">
        <v>56</v>
      </c>
      <c r="F208" s="13" t="s">
        <v>1752</v>
      </c>
      <c r="G208" s="13">
        <v>4</v>
      </c>
      <c r="H208" s="13" t="s">
        <v>1893</v>
      </c>
      <c r="I208" s="14"/>
    </row>
    <row r="209" spans="1:9" x14ac:dyDescent="0.3">
      <c r="A209" s="13">
        <f>IF(B209="","",COUNTA($B$4:B209))</f>
        <v>206</v>
      </c>
      <c r="B209" s="13" t="s">
        <v>214</v>
      </c>
      <c r="C209" s="13" t="s">
        <v>1880</v>
      </c>
      <c r="D209" s="13" t="s">
        <v>1380</v>
      </c>
      <c r="E209" s="13" t="s">
        <v>1770</v>
      </c>
      <c r="F209" s="13" t="s">
        <v>1771</v>
      </c>
      <c r="G209" s="13">
        <v>5</v>
      </c>
      <c r="H209" s="13">
        <v>2</v>
      </c>
      <c r="I209" s="14"/>
    </row>
    <row r="210" spans="1:9" x14ac:dyDescent="0.3">
      <c r="A210" s="13">
        <f>IF(B210="","",COUNTA($B$4:B210))</f>
        <v>207</v>
      </c>
      <c r="B210" s="13" t="s">
        <v>214</v>
      </c>
      <c r="C210" s="13" t="s">
        <v>1881</v>
      </c>
      <c r="D210" s="13" t="s">
        <v>1541</v>
      </c>
      <c r="E210" s="13" t="s">
        <v>56</v>
      </c>
      <c r="F210" s="13" t="s">
        <v>1752</v>
      </c>
      <c r="G210" s="13">
        <v>10</v>
      </c>
      <c r="H210" s="13"/>
      <c r="I210" s="14"/>
    </row>
    <row r="211" spans="1:9" x14ac:dyDescent="0.3">
      <c r="A211" s="13">
        <f>IF(B211="","",COUNTA($B$4:B211))</f>
        <v>208</v>
      </c>
      <c r="B211" s="13" t="s">
        <v>214</v>
      </c>
      <c r="C211" s="13" t="s">
        <v>1882</v>
      </c>
      <c r="D211" s="13" t="s">
        <v>1547</v>
      </c>
      <c r="E211" s="13" t="s">
        <v>56</v>
      </c>
      <c r="F211" s="13" t="s">
        <v>1752</v>
      </c>
      <c r="G211" s="13">
        <v>8</v>
      </c>
      <c r="H211" s="13" t="s">
        <v>1893</v>
      </c>
      <c r="I211" s="14"/>
    </row>
    <row r="212" spans="1:9" x14ac:dyDescent="0.3">
      <c r="A212" s="13">
        <f>IF(B212="","",COUNTA($B$4:B212))</f>
        <v>209</v>
      </c>
      <c r="B212" s="13" t="s">
        <v>214</v>
      </c>
      <c r="C212" s="13" t="s">
        <v>1883</v>
      </c>
      <c r="D212" s="13" t="s">
        <v>1548</v>
      </c>
      <c r="E212" s="13" t="s">
        <v>56</v>
      </c>
      <c r="F212" s="13" t="s">
        <v>1752</v>
      </c>
      <c r="G212" s="13">
        <v>8</v>
      </c>
      <c r="H212" s="13"/>
      <c r="I212" s="14"/>
    </row>
    <row r="213" spans="1:9" x14ac:dyDescent="0.3">
      <c r="A213" s="13">
        <f>IF(B213="","",COUNTA($B$4:B213))</f>
        <v>210</v>
      </c>
      <c r="B213" s="13" t="s">
        <v>214</v>
      </c>
      <c r="C213" s="13" t="s">
        <v>1884</v>
      </c>
      <c r="D213" s="13" t="s">
        <v>1544</v>
      </c>
      <c r="E213" s="13" t="s">
        <v>56</v>
      </c>
      <c r="F213" s="13" t="s">
        <v>1752</v>
      </c>
      <c r="G213" s="13">
        <v>30</v>
      </c>
      <c r="H213" s="13" t="s">
        <v>1893</v>
      </c>
      <c r="I213" s="14"/>
    </row>
    <row r="214" spans="1:9" x14ac:dyDescent="0.3">
      <c r="A214" s="13">
        <f>IF(B214="","",COUNTA($B$4:B214))</f>
        <v>211</v>
      </c>
      <c r="B214" s="13" t="s">
        <v>214</v>
      </c>
      <c r="C214" s="13" t="s">
        <v>1885</v>
      </c>
      <c r="D214" s="13" t="s">
        <v>1886</v>
      </c>
      <c r="E214" s="13" t="s">
        <v>56</v>
      </c>
      <c r="F214" s="13" t="s">
        <v>1752</v>
      </c>
      <c r="G214" s="13">
        <v>10</v>
      </c>
      <c r="H214" s="13"/>
      <c r="I214" s="14"/>
    </row>
    <row r="215" spans="1:9" x14ac:dyDescent="0.3">
      <c r="A215" s="13">
        <f>IF(B215="","",COUNTA($B$4:B215))</f>
        <v>212</v>
      </c>
      <c r="B215" s="13" t="s">
        <v>214</v>
      </c>
      <c r="C215" s="13" t="s">
        <v>1753</v>
      </c>
      <c r="D215" s="13" t="s">
        <v>1533</v>
      </c>
      <c r="E215" s="13" t="s">
        <v>56</v>
      </c>
      <c r="F215" s="13" t="s">
        <v>1752</v>
      </c>
      <c r="G215" s="13">
        <v>30</v>
      </c>
      <c r="H215" s="13"/>
      <c r="I215" s="14"/>
    </row>
    <row r="216" spans="1:9" x14ac:dyDescent="0.3">
      <c r="A216" s="13">
        <f>IF(B216="","",COUNTA($B$4:B216))</f>
        <v>213</v>
      </c>
      <c r="B216" s="13" t="s">
        <v>214</v>
      </c>
      <c r="C216" s="13" t="s">
        <v>1755</v>
      </c>
      <c r="D216" s="13" t="s">
        <v>1434</v>
      </c>
      <c r="E216" s="13" t="s">
        <v>56</v>
      </c>
      <c r="F216" s="13" t="s">
        <v>1752</v>
      </c>
      <c r="G216" s="13">
        <v>20</v>
      </c>
      <c r="H216" s="13"/>
      <c r="I216" s="14"/>
    </row>
    <row r="217" spans="1:9" x14ac:dyDescent="0.3">
      <c r="A217" s="13">
        <f>IF(B217="","",COUNTA($B$4:B217))</f>
        <v>214</v>
      </c>
      <c r="B217" s="13" t="s">
        <v>214</v>
      </c>
      <c r="C217" s="13" t="s">
        <v>1791</v>
      </c>
      <c r="D217" s="13" t="s">
        <v>1792</v>
      </c>
      <c r="E217" s="13" t="s">
        <v>56</v>
      </c>
      <c r="F217" s="13" t="s">
        <v>1752</v>
      </c>
      <c r="G217" s="13">
        <v>1000</v>
      </c>
      <c r="H217" s="13"/>
      <c r="I217" s="14"/>
    </row>
    <row r="218" spans="1:9" x14ac:dyDescent="0.3">
      <c r="A218" s="13">
        <f>IF(B218="","",COUNTA($B$4:B218))</f>
        <v>215</v>
      </c>
      <c r="B218" s="13" t="s">
        <v>214</v>
      </c>
      <c r="C218" s="13" t="s">
        <v>1887</v>
      </c>
      <c r="D218" s="13" t="s">
        <v>1543</v>
      </c>
      <c r="E218" s="13" t="s">
        <v>56</v>
      </c>
      <c r="F218" s="13" t="s">
        <v>1752</v>
      </c>
      <c r="G218" s="13">
        <v>1</v>
      </c>
      <c r="H218" s="13"/>
      <c r="I218" s="14"/>
    </row>
    <row r="219" spans="1:9" x14ac:dyDescent="0.3">
      <c r="A219" s="13">
        <f>IF(B219="","",COUNTA($B$4:B219))</f>
        <v>216</v>
      </c>
      <c r="B219" s="13" t="s">
        <v>214</v>
      </c>
      <c r="C219" s="13" t="s">
        <v>142</v>
      </c>
      <c r="D219" s="13" t="s">
        <v>1760</v>
      </c>
      <c r="E219" s="13" t="s">
        <v>56</v>
      </c>
      <c r="F219" s="13" t="s">
        <v>1752</v>
      </c>
      <c r="G219" s="13">
        <v>4</v>
      </c>
      <c r="H219" s="13"/>
      <c r="I219" s="14"/>
    </row>
    <row r="220" spans="1:9" x14ac:dyDescent="0.3">
      <c r="A220" s="13">
        <f>IF(B220="","",COUNTA($B$4:B220))</f>
        <v>217</v>
      </c>
      <c r="B220" s="13" t="s">
        <v>214</v>
      </c>
      <c r="C220" s="13" t="s">
        <v>387</v>
      </c>
      <c r="D220" s="13" t="s">
        <v>1761</v>
      </c>
      <c r="E220" s="13" t="s">
        <v>56</v>
      </c>
      <c r="F220" s="13" t="s">
        <v>1752</v>
      </c>
      <c r="G220" s="13">
        <v>4</v>
      </c>
      <c r="H220" s="13"/>
      <c r="I220" s="14"/>
    </row>
    <row r="221" spans="1:9" x14ac:dyDescent="0.3">
      <c r="A221" s="13">
        <f>IF(B221="","",COUNTA($B$4:B221))</f>
        <v>218</v>
      </c>
      <c r="B221" s="13" t="s">
        <v>214</v>
      </c>
      <c r="C221" s="13" t="s">
        <v>1762</v>
      </c>
      <c r="D221" s="13" t="s">
        <v>1763</v>
      </c>
      <c r="E221" s="13" t="s">
        <v>56</v>
      </c>
      <c r="F221" s="13" t="s">
        <v>1752</v>
      </c>
      <c r="G221" s="13">
        <v>10</v>
      </c>
      <c r="H221" s="13"/>
      <c r="I221" s="14"/>
    </row>
    <row r="222" spans="1:9" x14ac:dyDescent="0.3">
      <c r="A222" s="13">
        <f>IF(B222="","",COUNTA($B$4:B222))</f>
        <v>219</v>
      </c>
      <c r="B222" s="13" t="s">
        <v>214</v>
      </c>
      <c r="C222" s="13" t="s">
        <v>508</v>
      </c>
      <c r="D222" s="13" t="s">
        <v>1764</v>
      </c>
      <c r="E222" s="13" t="s">
        <v>56</v>
      </c>
      <c r="F222" s="13" t="s">
        <v>1752</v>
      </c>
      <c r="G222" s="13">
        <v>10</v>
      </c>
      <c r="H222" s="13"/>
      <c r="I222" s="14"/>
    </row>
    <row r="223" spans="1:9" x14ac:dyDescent="0.3">
      <c r="A223" s="13">
        <f>IF(B223="","",COUNTA($B$4:B223))</f>
        <v>220</v>
      </c>
      <c r="B223" s="13" t="s">
        <v>214</v>
      </c>
      <c r="C223" s="13" t="s">
        <v>512</v>
      </c>
      <c r="D223" s="13" t="s">
        <v>1765</v>
      </c>
      <c r="E223" s="13" t="s">
        <v>1757</v>
      </c>
      <c r="F223" s="13" t="s">
        <v>1758</v>
      </c>
      <c r="G223" s="13"/>
      <c r="H223" s="13"/>
      <c r="I223" s="14"/>
    </row>
    <row r="224" spans="1:9" x14ac:dyDescent="0.3">
      <c r="A224" s="13">
        <f>IF(B224="","",COUNTA($B$4:B224))</f>
        <v>221</v>
      </c>
      <c r="B224" s="13" t="s">
        <v>214</v>
      </c>
      <c r="C224" s="13" t="s">
        <v>1766</v>
      </c>
      <c r="D224" s="13" t="s">
        <v>1767</v>
      </c>
      <c r="E224" s="13" t="s">
        <v>56</v>
      </c>
      <c r="F224" s="13" t="s">
        <v>1752</v>
      </c>
      <c r="G224" s="13">
        <v>10</v>
      </c>
      <c r="H224" s="13"/>
      <c r="I224" s="14"/>
    </row>
    <row r="225" spans="1:9" x14ac:dyDescent="0.3">
      <c r="A225" s="13">
        <f>IF(B225="","",COUNTA($B$4:B225))</f>
        <v>222</v>
      </c>
      <c r="B225" s="13" t="s">
        <v>214</v>
      </c>
      <c r="C225" s="13" t="s">
        <v>354</v>
      </c>
      <c r="D225" s="13" t="s">
        <v>1768</v>
      </c>
      <c r="E225" s="13" t="s">
        <v>56</v>
      </c>
      <c r="F225" s="13" t="s">
        <v>1752</v>
      </c>
      <c r="G225" s="13">
        <v>10</v>
      </c>
      <c r="H225" s="13"/>
      <c r="I225" s="14"/>
    </row>
    <row r="226" spans="1:9" x14ac:dyDescent="0.3">
      <c r="A226" s="13">
        <f>IF(B226="","",COUNTA($B$4:B226))</f>
        <v>223</v>
      </c>
      <c r="B226" s="13" t="s">
        <v>214</v>
      </c>
      <c r="C226" s="13" t="s">
        <v>358</v>
      </c>
      <c r="D226" s="13" t="s">
        <v>1769</v>
      </c>
      <c r="E226" s="13" t="s">
        <v>1757</v>
      </c>
      <c r="F226" s="13" t="s">
        <v>1758</v>
      </c>
      <c r="G226" s="13"/>
      <c r="H226" s="13"/>
      <c r="I226" s="14"/>
    </row>
    <row r="227" spans="1:9" x14ac:dyDescent="0.3">
      <c r="A227" s="13">
        <f>IF(B227="","",COUNTA($B$4:B227))</f>
        <v>224</v>
      </c>
      <c r="B227" s="13" t="s">
        <v>1888</v>
      </c>
      <c r="C227" s="13" t="s">
        <v>1819</v>
      </c>
      <c r="D227" s="13" t="s">
        <v>1493</v>
      </c>
      <c r="E227" s="13" t="s">
        <v>56</v>
      </c>
      <c r="F227" s="13" t="s">
        <v>1752</v>
      </c>
      <c r="G227" s="13">
        <v>10</v>
      </c>
      <c r="H227" s="13"/>
      <c r="I227" s="14"/>
    </row>
    <row r="228" spans="1:9" x14ac:dyDescent="0.3">
      <c r="A228" s="13">
        <f>IF(B228="","",COUNTA($B$4:B228))</f>
        <v>225</v>
      </c>
      <c r="B228" s="13" t="s">
        <v>1888</v>
      </c>
      <c r="C228" s="13" t="s">
        <v>1778</v>
      </c>
      <c r="D228" s="13" t="s">
        <v>1455</v>
      </c>
      <c r="E228" s="13" t="s">
        <v>56</v>
      </c>
      <c r="F228" s="13" t="s">
        <v>1752</v>
      </c>
      <c r="G228" s="13">
        <v>4</v>
      </c>
      <c r="H228" s="13"/>
      <c r="I228" s="14"/>
    </row>
    <row r="229" spans="1:9" x14ac:dyDescent="0.3">
      <c r="A229" s="13">
        <f>IF(B229="","",COUNTA($B$4:B229))</f>
        <v>226</v>
      </c>
      <c r="B229" s="13" t="s">
        <v>1888</v>
      </c>
      <c r="C229" s="13" t="s">
        <v>217</v>
      </c>
      <c r="D229" s="13" t="s">
        <v>1494</v>
      </c>
      <c r="E229" s="13" t="s">
        <v>1770</v>
      </c>
      <c r="F229" s="13" t="s">
        <v>1771</v>
      </c>
      <c r="G229" s="13">
        <v>5</v>
      </c>
      <c r="H229" s="13"/>
      <c r="I229" s="14"/>
    </row>
    <row r="230" spans="1:9" x14ac:dyDescent="0.3">
      <c r="A230" s="13">
        <f>IF(B230="","",COUNTA($B$4:B230))</f>
        <v>227</v>
      </c>
      <c r="B230" s="13" t="s">
        <v>1888</v>
      </c>
      <c r="C230" s="13" t="s">
        <v>1563</v>
      </c>
      <c r="D230" s="13" t="s">
        <v>1549</v>
      </c>
      <c r="E230" s="13" t="s">
        <v>1770</v>
      </c>
      <c r="F230" s="13" t="s">
        <v>1771</v>
      </c>
      <c r="G230" s="13">
        <v>5</v>
      </c>
      <c r="H230" s="13"/>
      <c r="I230" s="14"/>
    </row>
    <row r="231" spans="1:9" x14ac:dyDescent="0.3">
      <c r="A231" s="13">
        <f>IF(B231="","",COUNTA($B$4:B231))</f>
        <v>228</v>
      </c>
      <c r="B231" s="13" t="s">
        <v>1888</v>
      </c>
      <c r="C231" s="13" t="s">
        <v>1889</v>
      </c>
      <c r="D231" s="13" t="s">
        <v>1550</v>
      </c>
      <c r="E231" s="13" t="s">
        <v>56</v>
      </c>
      <c r="F231" s="13" t="s">
        <v>1752</v>
      </c>
      <c r="G231" s="13">
        <v>10</v>
      </c>
      <c r="H231" s="13"/>
      <c r="I231" s="14"/>
    </row>
    <row r="232" spans="1:9" x14ac:dyDescent="0.3">
      <c r="A232" s="13">
        <f>IF(B232="","",COUNTA($B$4:B232))</f>
        <v>229</v>
      </c>
      <c r="B232" s="13" t="s">
        <v>1888</v>
      </c>
      <c r="C232" s="13" t="s">
        <v>1890</v>
      </c>
      <c r="D232" s="13" t="s">
        <v>1551</v>
      </c>
      <c r="E232" s="13" t="s">
        <v>1770</v>
      </c>
      <c r="F232" s="13" t="s">
        <v>1771</v>
      </c>
      <c r="G232" s="13">
        <v>5</v>
      </c>
      <c r="H232" s="13"/>
      <c r="I232" s="14"/>
    </row>
    <row r="233" spans="1:9" x14ac:dyDescent="0.3">
      <c r="A233" s="13">
        <f>IF(B233="","",COUNTA($B$4:B233))</f>
        <v>230</v>
      </c>
      <c r="B233" s="13" t="s">
        <v>1888</v>
      </c>
      <c r="C233" s="13" t="s">
        <v>142</v>
      </c>
      <c r="D233" s="13" t="s">
        <v>1760</v>
      </c>
      <c r="E233" s="13" t="s">
        <v>56</v>
      </c>
      <c r="F233" s="13" t="s">
        <v>1752</v>
      </c>
      <c r="G233" s="13">
        <v>4</v>
      </c>
      <c r="H233" s="13"/>
      <c r="I233" s="14"/>
    </row>
    <row r="234" spans="1:9" x14ac:dyDescent="0.3">
      <c r="A234" s="13">
        <f>IF(B234="","",COUNTA($B$4:B234))</f>
        <v>231</v>
      </c>
      <c r="B234" s="13" t="s">
        <v>1888</v>
      </c>
      <c r="C234" s="13" t="s">
        <v>387</v>
      </c>
      <c r="D234" s="13" t="s">
        <v>1761</v>
      </c>
      <c r="E234" s="13" t="s">
        <v>56</v>
      </c>
      <c r="F234" s="13" t="s">
        <v>1752</v>
      </c>
      <c r="G234" s="13">
        <v>4</v>
      </c>
      <c r="H234" s="13"/>
      <c r="I234" s="14"/>
    </row>
    <row r="235" spans="1:9" x14ac:dyDescent="0.3">
      <c r="A235" s="13">
        <f>IF(B235="","",COUNTA($B$4:B235))</f>
        <v>232</v>
      </c>
      <c r="B235" s="13" t="s">
        <v>1888</v>
      </c>
      <c r="C235" s="13" t="s">
        <v>1762</v>
      </c>
      <c r="D235" s="13" t="s">
        <v>1763</v>
      </c>
      <c r="E235" s="13" t="s">
        <v>56</v>
      </c>
      <c r="F235" s="13" t="s">
        <v>1752</v>
      </c>
      <c r="G235" s="13">
        <v>10</v>
      </c>
      <c r="H235" s="13"/>
      <c r="I235" s="14"/>
    </row>
    <row r="236" spans="1:9" x14ac:dyDescent="0.3">
      <c r="A236" s="13">
        <f>IF(B236="","",COUNTA($B$4:B236))</f>
        <v>233</v>
      </c>
      <c r="B236" s="13" t="s">
        <v>1888</v>
      </c>
      <c r="C236" s="13" t="s">
        <v>508</v>
      </c>
      <c r="D236" s="13" t="s">
        <v>1764</v>
      </c>
      <c r="E236" s="13" t="s">
        <v>56</v>
      </c>
      <c r="F236" s="13" t="s">
        <v>1752</v>
      </c>
      <c r="G236" s="13">
        <v>10</v>
      </c>
      <c r="H236" s="13"/>
      <c r="I236" s="14"/>
    </row>
    <row r="237" spans="1:9" x14ac:dyDescent="0.3">
      <c r="A237" s="13">
        <f>IF(B237="","",COUNTA($B$4:B237))</f>
        <v>234</v>
      </c>
      <c r="B237" s="13" t="s">
        <v>1888</v>
      </c>
      <c r="C237" s="13" t="s">
        <v>512</v>
      </c>
      <c r="D237" s="13" t="s">
        <v>1765</v>
      </c>
      <c r="E237" s="13" t="s">
        <v>1757</v>
      </c>
      <c r="F237" s="13" t="s">
        <v>1758</v>
      </c>
      <c r="G237" s="13"/>
      <c r="H237" s="13"/>
      <c r="I237" s="14"/>
    </row>
    <row r="238" spans="1:9" x14ac:dyDescent="0.3">
      <c r="A238" s="13">
        <f>IF(B238="","",COUNTA($B$4:B238))</f>
        <v>235</v>
      </c>
      <c r="B238" s="13" t="s">
        <v>1888</v>
      </c>
      <c r="C238" s="13" t="s">
        <v>1766</v>
      </c>
      <c r="D238" s="13" t="s">
        <v>1767</v>
      </c>
      <c r="E238" s="13" t="s">
        <v>56</v>
      </c>
      <c r="F238" s="13" t="s">
        <v>1752</v>
      </c>
      <c r="G238" s="13">
        <v>10</v>
      </c>
      <c r="H238" s="13"/>
      <c r="I238" s="14"/>
    </row>
    <row r="239" spans="1:9" x14ac:dyDescent="0.3">
      <c r="A239" s="13">
        <f>IF(B239="","",COUNTA($B$4:B239))</f>
        <v>236</v>
      </c>
      <c r="B239" s="13" t="s">
        <v>1888</v>
      </c>
      <c r="C239" s="13" t="s">
        <v>354</v>
      </c>
      <c r="D239" s="13" t="s">
        <v>1768</v>
      </c>
      <c r="E239" s="13" t="s">
        <v>56</v>
      </c>
      <c r="F239" s="13" t="s">
        <v>1752</v>
      </c>
      <c r="G239" s="13">
        <v>10</v>
      </c>
      <c r="H239" s="13"/>
      <c r="I239" s="14"/>
    </row>
    <row r="240" spans="1:9" x14ac:dyDescent="0.3">
      <c r="A240" s="13">
        <f>IF(B240="","",COUNTA($B$4:B240))</f>
        <v>237</v>
      </c>
      <c r="B240" s="13" t="s">
        <v>1888</v>
      </c>
      <c r="C240" s="13" t="s">
        <v>358</v>
      </c>
      <c r="D240" s="13" t="s">
        <v>1769</v>
      </c>
      <c r="E240" s="13" t="s">
        <v>1757</v>
      </c>
      <c r="F240" s="13" t="s">
        <v>1758</v>
      </c>
      <c r="G240" s="13"/>
      <c r="H240" s="13"/>
      <c r="I240" s="14"/>
    </row>
  </sheetData>
  <autoFilter ref="A3:I240" xr:uid="{00000000-0009-0000-0000-00000B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rgb="FF92D050"/>
  </sheetPr>
  <dimension ref="A1:I239"/>
  <sheetViews>
    <sheetView workbookViewId="0">
      <pane ySplit="3" topLeftCell="A4" activePane="bottomLeft" state="frozen"/>
      <selection sqref="A1:T4"/>
      <selection pane="bottomLeft" activeCell="D191" sqref="D191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88</v>
      </c>
      <c r="B3" s="11" t="s">
        <v>89</v>
      </c>
      <c r="C3" s="11" t="s">
        <v>90</v>
      </c>
      <c r="D3" s="11" t="s">
        <v>91</v>
      </c>
      <c r="E3" s="11" t="s">
        <v>92</v>
      </c>
      <c r="F3" s="11" t="s">
        <v>93</v>
      </c>
      <c r="G3" s="11" t="s">
        <v>94</v>
      </c>
      <c r="H3" s="11" t="s">
        <v>95</v>
      </c>
      <c r="I3" s="12" t="s">
        <v>96</v>
      </c>
    </row>
    <row r="4" spans="1:9" x14ac:dyDescent="0.3">
      <c r="A4" s="13">
        <f>IF(B4="","",COUNTA($B$4:B4))</f>
        <v>1</v>
      </c>
      <c r="B4" s="13" t="s">
        <v>1578</v>
      </c>
      <c r="C4" s="13" t="s">
        <v>1579</v>
      </c>
      <c r="D4" s="13" t="s">
        <v>1580</v>
      </c>
      <c r="E4" s="13" t="s">
        <v>113</v>
      </c>
      <c r="F4" s="13" t="s">
        <v>107</v>
      </c>
      <c r="G4" s="13">
        <v>10</v>
      </c>
      <c r="H4" s="13"/>
      <c r="I4" s="14"/>
    </row>
    <row r="5" spans="1:9" x14ac:dyDescent="0.3">
      <c r="A5" s="13">
        <f>IF(B5="","",COUNTA($B$4:B5))</f>
        <v>2</v>
      </c>
      <c r="B5" s="13" t="s">
        <v>1578</v>
      </c>
      <c r="C5" s="13" t="s">
        <v>1581</v>
      </c>
      <c r="D5" s="13" t="s">
        <v>1582</v>
      </c>
      <c r="E5" s="13" t="s">
        <v>113</v>
      </c>
      <c r="F5" s="13" t="s">
        <v>107</v>
      </c>
      <c r="G5" s="13">
        <v>4</v>
      </c>
      <c r="H5" s="13"/>
      <c r="I5" s="14"/>
    </row>
    <row r="6" spans="1:9" x14ac:dyDescent="0.3">
      <c r="A6" s="13">
        <f>IF(B6="","",COUNTA($B$4:B6))</f>
        <v>3</v>
      </c>
      <c r="B6" s="13" t="s">
        <v>1578</v>
      </c>
      <c r="C6" s="13" t="s">
        <v>1583</v>
      </c>
      <c r="D6" s="13" t="s">
        <v>1584</v>
      </c>
      <c r="E6" s="13" t="s">
        <v>113</v>
      </c>
      <c r="F6" s="13" t="s">
        <v>107</v>
      </c>
      <c r="G6" s="13">
        <v>4</v>
      </c>
      <c r="H6" s="13"/>
      <c r="I6" s="14"/>
    </row>
    <row r="7" spans="1:9" x14ac:dyDescent="0.3">
      <c r="A7" s="13">
        <f>IF(B7="","",COUNTA($B$4:B7))</f>
        <v>4</v>
      </c>
      <c r="B7" s="13" t="s">
        <v>1578</v>
      </c>
      <c r="C7" s="13" t="s">
        <v>206</v>
      </c>
      <c r="D7" s="13" t="s">
        <v>1585</v>
      </c>
      <c r="E7" s="13" t="s">
        <v>113</v>
      </c>
      <c r="F7" s="13" t="s">
        <v>107</v>
      </c>
      <c r="G7" s="13">
        <v>10</v>
      </c>
      <c r="H7" s="13"/>
      <c r="I7" s="14"/>
    </row>
    <row r="8" spans="1:9" x14ac:dyDescent="0.3">
      <c r="A8" s="13">
        <f>IF(B8="","",COUNTA($B$4:B8))</f>
        <v>5</v>
      </c>
      <c r="B8" s="13" t="s">
        <v>1578</v>
      </c>
      <c r="C8" s="13" t="s">
        <v>1586</v>
      </c>
      <c r="D8" s="13" t="s">
        <v>1587</v>
      </c>
      <c r="E8" s="13" t="s">
        <v>87</v>
      </c>
      <c r="F8" s="13" t="s">
        <v>109</v>
      </c>
      <c r="G8" s="13"/>
      <c r="H8" s="13"/>
      <c r="I8" s="14"/>
    </row>
    <row r="9" spans="1:9" x14ac:dyDescent="0.3">
      <c r="A9" s="13">
        <f>IF(B9="","",COUNTA($B$4:B9))</f>
        <v>6</v>
      </c>
      <c r="B9" s="13" t="s">
        <v>1578</v>
      </c>
      <c r="C9" s="13" t="s">
        <v>1588</v>
      </c>
      <c r="D9" s="13" t="s">
        <v>1589</v>
      </c>
      <c r="E9" s="13" t="s">
        <v>113</v>
      </c>
      <c r="F9" s="13" t="s">
        <v>107</v>
      </c>
      <c r="G9" s="13">
        <v>30</v>
      </c>
      <c r="H9" s="13"/>
      <c r="I9" s="14"/>
    </row>
    <row r="10" spans="1:9" x14ac:dyDescent="0.3">
      <c r="A10" s="13">
        <f>IF(B10="","",COUNTA($B$4:B10))</f>
        <v>7</v>
      </c>
      <c r="B10" s="13" t="s">
        <v>1578</v>
      </c>
      <c r="C10" s="13" t="s">
        <v>1590</v>
      </c>
      <c r="D10" s="13" t="s">
        <v>1591</v>
      </c>
      <c r="E10" s="13" t="s">
        <v>113</v>
      </c>
      <c r="F10" s="13" t="s">
        <v>1752</v>
      </c>
      <c r="G10" s="13">
        <v>100</v>
      </c>
      <c r="H10" s="13"/>
      <c r="I10" s="14"/>
    </row>
    <row r="11" spans="1:9" x14ac:dyDescent="0.3">
      <c r="A11" s="13">
        <f>IF(B11="","",COUNTA($B$4:B11))</f>
        <v>8</v>
      </c>
      <c r="B11" s="13" t="s">
        <v>1578</v>
      </c>
      <c r="C11" s="13" t="s">
        <v>1592</v>
      </c>
      <c r="D11" s="13" t="s">
        <v>389</v>
      </c>
      <c r="E11" s="13" t="s">
        <v>113</v>
      </c>
      <c r="F11" s="13" t="s">
        <v>107</v>
      </c>
      <c r="G11" s="13">
        <v>4</v>
      </c>
      <c r="H11" s="13"/>
      <c r="I11" s="14"/>
    </row>
    <row r="12" spans="1:9" x14ac:dyDescent="0.3">
      <c r="A12" s="13">
        <f>IF(B12="","",COUNTA($B$4:B12))</f>
        <v>9</v>
      </c>
      <c r="B12" s="13" t="s">
        <v>1578</v>
      </c>
      <c r="C12" s="13" t="s">
        <v>1593</v>
      </c>
      <c r="D12" s="13" t="s">
        <v>388</v>
      </c>
      <c r="E12" s="13" t="s">
        <v>113</v>
      </c>
      <c r="F12" s="13" t="s">
        <v>107</v>
      </c>
      <c r="G12" s="13">
        <v>4</v>
      </c>
      <c r="H12" s="13"/>
      <c r="I12" s="14"/>
    </row>
    <row r="13" spans="1:9" x14ac:dyDescent="0.3">
      <c r="A13" s="13">
        <f>IF(B13="","",COUNTA($B$4:B13))</f>
        <v>10</v>
      </c>
      <c r="B13" s="13" t="s">
        <v>1578</v>
      </c>
      <c r="C13" s="13" t="s">
        <v>1594</v>
      </c>
      <c r="D13" s="13" t="s">
        <v>581</v>
      </c>
      <c r="E13" s="13" t="s">
        <v>113</v>
      </c>
      <c r="F13" s="13" t="s">
        <v>107</v>
      </c>
      <c r="G13" s="13">
        <v>10</v>
      </c>
      <c r="H13" s="13"/>
      <c r="I13" s="14"/>
    </row>
    <row r="14" spans="1:9" x14ac:dyDescent="0.3">
      <c r="A14" s="13">
        <f>IF(B14="","",COUNTA($B$4:B14))</f>
        <v>11</v>
      </c>
      <c r="B14" s="13" t="s">
        <v>1578</v>
      </c>
      <c r="C14" s="13" t="s">
        <v>114</v>
      </c>
      <c r="D14" s="13" t="s">
        <v>509</v>
      </c>
      <c r="E14" s="13" t="s">
        <v>113</v>
      </c>
      <c r="F14" s="13" t="s">
        <v>107</v>
      </c>
      <c r="G14" s="13">
        <v>10</v>
      </c>
      <c r="H14" s="13"/>
      <c r="I14" s="14"/>
    </row>
    <row r="15" spans="1:9" x14ac:dyDescent="0.3">
      <c r="A15" s="13">
        <f>IF(B15="","",COUNTA($B$4:B15))</f>
        <v>12</v>
      </c>
      <c r="B15" s="13" t="s">
        <v>1578</v>
      </c>
      <c r="C15" s="13" t="s">
        <v>115</v>
      </c>
      <c r="D15" s="13" t="s">
        <v>513</v>
      </c>
      <c r="E15" s="13" t="s">
        <v>87</v>
      </c>
      <c r="F15" s="13" t="s">
        <v>109</v>
      </c>
      <c r="G15" s="13"/>
      <c r="H15" s="13"/>
      <c r="I15" s="14"/>
    </row>
    <row r="16" spans="1:9" x14ac:dyDescent="0.3">
      <c r="A16" s="13">
        <f>IF(B16="","",COUNTA($B$4:B16))</f>
        <v>13</v>
      </c>
      <c r="B16" s="13" t="s">
        <v>1578</v>
      </c>
      <c r="C16" s="13" t="s">
        <v>1431</v>
      </c>
      <c r="D16" s="13" t="s">
        <v>583</v>
      </c>
      <c r="E16" s="13" t="s">
        <v>113</v>
      </c>
      <c r="F16" s="13" t="s">
        <v>107</v>
      </c>
      <c r="G16" s="13">
        <v>10</v>
      </c>
      <c r="H16" s="13"/>
      <c r="I16" s="14"/>
    </row>
    <row r="17" spans="1:9" x14ac:dyDescent="0.3">
      <c r="A17" s="13">
        <f>IF(B17="","",COUNTA($B$4:B17))</f>
        <v>14</v>
      </c>
      <c r="B17" s="13" t="s">
        <v>1578</v>
      </c>
      <c r="C17" s="13" t="s">
        <v>116</v>
      </c>
      <c r="D17" s="13" t="s">
        <v>355</v>
      </c>
      <c r="E17" s="13" t="s">
        <v>113</v>
      </c>
      <c r="F17" s="13" t="s">
        <v>107</v>
      </c>
      <c r="G17" s="13">
        <v>10</v>
      </c>
      <c r="H17" s="13"/>
      <c r="I17" s="14"/>
    </row>
    <row r="18" spans="1:9" x14ac:dyDescent="0.3">
      <c r="A18" s="13">
        <f>IF(B18="","",COUNTA($B$4:B18))</f>
        <v>15</v>
      </c>
      <c r="B18" s="13" t="s">
        <v>1578</v>
      </c>
      <c r="C18" s="13" t="s">
        <v>117</v>
      </c>
      <c r="D18" s="13" t="s">
        <v>359</v>
      </c>
      <c r="E18" s="13" t="s">
        <v>87</v>
      </c>
      <c r="F18" s="13" t="s">
        <v>109</v>
      </c>
      <c r="G18" s="13"/>
      <c r="H18" s="13"/>
      <c r="I18" s="14"/>
    </row>
    <row r="19" spans="1:9" x14ac:dyDescent="0.3">
      <c r="A19" s="13">
        <f>IF(B19="","",COUNTA($B$4:B19))</f>
        <v>16</v>
      </c>
      <c r="B19" s="13" t="s">
        <v>1595</v>
      </c>
      <c r="C19" s="13" t="s">
        <v>1579</v>
      </c>
      <c r="D19" s="13" t="s">
        <v>1580</v>
      </c>
      <c r="E19" s="13" t="s">
        <v>113</v>
      </c>
      <c r="F19" s="13" t="s">
        <v>107</v>
      </c>
      <c r="G19" s="13">
        <v>10</v>
      </c>
      <c r="H19" s="13"/>
      <c r="I19" s="14"/>
    </row>
    <row r="20" spans="1:9" x14ac:dyDescent="0.3">
      <c r="A20" s="13">
        <f>IF(B20="","",COUNTA($B$4:B20))</f>
        <v>17</v>
      </c>
      <c r="B20" s="13" t="s">
        <v>1595</v>
      </c>
      <c r="C20" s="13" t="s">
        <v>1596</v>
      </c>
      <c r="D20" s="13" t="s">
        <v>1597</v>
      </c>
      <c r="E20" s="13" t="s">
        <v>108</v>
      </c>
      <c r="F20" s="13" t="s">
        <v>110</v>
      </c>
      <c r="G20" s="13">
        <v>5</v>
      </c>
      <c r="H20" s="13"/>
      <c r="I20" s="14"/>
    </row>
    <row r="21" spans="1:9" x14ac:dyDescent="0.3">
      <c r="A21" s="13">
        <f>IF(B21="","",COUNTA($B$4:B21))</f>
        <v>18</v>
      </c>
      <c r="B21" s="13" t="s">
        <v>1595</v>
      </c>
      <c r="C21" s="13" t="s">
        <v>1598</v>
      </c>
      <c r="D21" s="13" t="s">
        <v>1599</v>
      </c>
      <c r="E21" s="13" t="s">
        <v>113</v>
      </c>
      <c r="F21" s="13" t="s">
        <v>107</v>
      </c>
      <c r="G21" s="13">
        <v>4</v>
      </c>
      <c r="H21" s="13"/>
      <c r="I21" s="14"/>
    </row>
    <row r="22" spans="1:9" x14ac:dyDescent="0.3">
      <c r="A22" s="13">
        <f>IF(B22="","",COUNTA($B$4:B22))</f>
        <v>19</v>
      </c>
      <c r="B22" s="13" t="s">
        <v>1595</v>
      </c>
      <c r="C22" s="13" t="s">
        <v>1600</v>
      </c>
      <c r="D22" s="13" t="s">
        <v>1601</v>
      </c>
      <c r="E22" s="13" t="s">
        <v>113</v>
      </c>
      <c r="F22" s="13" t="s">
        <v>107</v>
      </c>
      <c r="G22" s="13">
        <v>3</v>
      </c>
      <c r="H22" s="13"/>
      <c r="I22" s="14"/>
    </row>
    <row r="23" spans="1:9" x14ac:dyDescent="0.3">
      <c r="A23" s="13">
        <f>IF(B23="","",COUNTA($B$4:B23))</f>
        <v>20</v>
      </c>
      <c r="B23" s="13" t="s">
        <v>1595</v>
      </c>
      <c r="C23" s="13" t="s">
        <v>1602</v>
      </c>
      <c r="D23" s="13" t="s">
        <v>1603</v>
      </c>
      <c r="E23" s="13" t="s">
        <v>113</v>
      </c>
      <c r="F23" s="13" t="s">
        <v>1752</v>
      </c>
      <c r="G23" s="13">
        <v>30</v>
      </c>
      <c r="H23" s="13"/>
      <c r="I23" s="14"/>
    </row>
    <row r="24" spans="1:9" x14ac:dyDescent="0.3">
      <c r="A24" s="13">
        <f>IF(B24="","",COUNTA($B$4:B24))</f>
        <v>21</v>
      </c>
      <c r="B24" s="13" t="s">
        <v>1595</v>
      </c>
      <c r="C24" s="13" t="s">
        <v>1604</v>
      </c>
      <c r="D24" s="13" t="s">
        <v>1605</v>
      </c>
      <c r="E24" s="13" t="s">
        <v>87</v>
      </c>
      <c r="F24" s="13" t="s">
        <v>109</v>
      </c>
      <c r="G24" s="13"/>
      <c r="H24" s="13"/>
      <c r="I24" s="14"/>
    </row>
    <row r="25" spans="1:9" x14ac:dyDescent="0.3">
      <c r="A25" s="13">
        <f>IF(B25="","",COUNTA($B$4:B25))</f>
        <v>22</v>
      </c>
      <c r="B25" s="13" t="s">
        <v>1595</v>
      </c>
      <c r="C25" s="13" t="s">
        <v>1606</v>
      </c>
      <c r="D25" s="13" t="s">
        <v>1607</v>
      </c>
      <c r="E25" s="13" t="s">
        <v>87</v>
      </c>
      <c r="F25" s="13" t="s">
        <v>109</v>
      </c>
      <c r="G25" s="13"/>
      <c r="H25" s="13"/>
      <c r="I25" s="14"/>
    </row>
    <row r="26" spans="1:9" x14ac:dyDescent="0.3">
      <c r="A26" s="13">
        <f>IF(B26="","",COUNTA($B$4:B26))</f>
        <v>23</v>
      </c>
      <c r="B26" s="13" t="s">
        <v>1595</v>
      </c>
      <c r="C26" s="13" t="s">
        <v>1608</v>
      </c>
      <c r="D26" s="13" t="s">
        <v>1609</v>
      </c>
      <c r="E26" s="13" t="s">
        <v>113</v>
      </c>
      <c r="F26" s="13" t="s">
        <v>107</v>
      </c>
      <c r="G26" s="13">
        <v>1</v>
      </c>
      <c r="H26" s="13"/>
      <c r="I26" s="14"/>
    </row>
    <row r="27" spans="1:9" x14ac:dyDescent="0.3">
      <c r="A27" s="13">
        <f>IF(B27="","",COUNTA($B$4:B27))</f>
        <v>24</v>
      </c>
      <c r="B27" s="13" t="s">
        <v>1595</v>
      </c>
      <c r="C27" s="13" t="s">
        <v>1610</v>
      </c>
      <c r="D27" s="13" t="s">
        <v>1611</v>
      </c>
      <c r="E27" s="13" t="s">
        <v>113</v>
      </c>
      <c r="F27" s="13" t="s">
        <v>107</v>
      </c>
      <c r="G27" s="13">
        <v>30</v>
      </c>
      <c r="H27" s="13"/>
      <c r="I27" s="14"/>
    </row>
    <row r="28" spans="1:9" x14ac:dyDescent="0.3">
      <c r="A28" s="13">
        <f>IF(B28="","",COUNTA($B$4:B28))</f>
        <v>25</v>
      </c>
      <c r="B28" s="13" t="s">
        <v>1595</v>
      </c>
      <c r="C28" s="13" t="s">
        <v>1560</v>
      </c>
      <c r="D28" s="13" t="s">
        <v>421</v>
      </c>
      <c r="E28" s="13" t="s">
        <v>113</v>
      </c>
      <c r="F28" s="13" t="s">
        <v>107</v>
      </c>
      <c r="G28" s="13">
        <v>5</v>
      </c>
      <c r="H28" s="13"/>
      <c r="I28" s="14"/>
    </row>
    <row r="29" spans="1:9" x14ac:dyDescent="0.3">
      <c r="A29" s="13">
        <f>IF(B29="","",COUNTA($B$4:B29))</f>
        <v>26</v>
      </c>
      <c r="B29" s="13" t="s">
        <v>1595</v>
      </c>
      <c r="C29" s="13" t="s">
        <v>156</v>
      </c>
      <c r="D29" s="13" t="s">
        <v>532</v>
      </c>
      <c r="E29" s="13" t="s">
        <v>113</v>
      </c>
      <c r="F29" s="13" t="s">
        <v>107</v>
      </c>
      <c r="G29" s="13">
        <v>20</v>
      </c>
      <c r="H29" s="13"/>
      <c r="I29" s="14"/>
    </row>
    <row r="30" spans="1:9" x14ac:dyDescent="0.3">
      <c r="A30" s="13">
        <f>IF(B30="","",COUNTA($B$4:B30))</f>
        <v>27</v>
      </c>
      <c r="B30" s="13" t="s">
        <v>1595</v>
      </c>
      <c r="C30" s="13" t="s">
        <v>1561</v>
      </c>
      <c r="D30" s="13" t="s">
        <v>616</v>
      </c>
      <c r="E30" s="13" t="s">
        <v>113</v>
      </c>
      <c r="F30" s="13" t="s">
        <v>107</v>
      </c>
      <c r="G30" s="13">
        <v>30</v>
      </c>
      <c r="H30" s="13"/>
      <c r="I30" s="14"/>
    </row>
    <row r="31" spans="1:9" x14ac:dyDescent="0.3">
      <c r="A31" s="13">
        <f>IF(B31="","",COUNTA($B$4:B31))</f>
        <v>28</v>
      </c>
      <c r="B31" s="13" t="s">
        <v>1595</v>
      </c>
      <c r="C31" s="13" t="s">
        <v>1612</v>
      </c>
      <c r="D31" s="13" t="s">
        <v>1613</v>
      </c>
      <c r="E31" s="13" t="s">
        <v>108</v>
      </c>
      <c r="F31" s="13" t="s">
        <v>110</v>
      </c>
      <c r="G31" s="13">
        <v>5</v>
      </c>
      <c r="H31" s="13"/>
      <c r="I31" s="14"/>
    </row>
    <row r="32" spans="1:9" x14ac:dyDescent="0.3">
      <c r="A32" s="13">
        <f>IF(B32="","",COUNTA($B$4:B32))</f>
        <v>29</v>
      </c>
      <c r="B32" s="13" t="s">
        <v>1595</v>
      </c>
      <c r="C32" s="13" t="s">
        <v>1614</v>
      </c>
      <c r="D32" s="13" t="s">
        <v>1615</v>
      </c>
      <c r="E32" s="13" t="s">
        <v>113</v>
      </c>
      <c r="F32" s="13" t="s">
        <v>107</v>
      </c>
      <c r="G32" s="13">
        <v>3</v>
      </c>
      <c r="H32" s="13"/>
      <c r="I32" s="14"/>
    </row>
    <row r="33" spans="1:9" x14ac:dyDescent="0.3">
      <c r="A33" s="13">
        <f>IF(B33="","",COUNTA($B$4:B33))</f>
        <v>30</v>
      </c>
      <c r="B33" s="13" t="s">
        <v>1595</v>
      </c>
      <c r="C33" s="13" t="s">
        <v>726</v>
      </c>
      <c r="D33" s="13" t="s">
        <v>727</v>
      </c>
      <c r="E33" s="13" t="s">
        <v>113</v>
      </c>
      <c r="F33" s="13" t="s">
        <v>1752</v>
      </c>
      <c r="G33" s="13">
        <v>30</v>
      </c>
      <c r="H33" s="13"/>
      <c r="I33" s="14"/>
    </row>
    <row r="34" spans="1:9" x14ac:dyDescent="0.3">
      <c r="A34" s="13">
        <f>IF(B34="","",COUNTA($B$4:B34))</f>
        <v>31</v>
      </c>
      <c r="B34" s="13" t="s">
        <v>1595</v>
      </c>
      <c r="C34" s="13" t="s">
        <v>1616</v>
      </c>
      <c r="D34" s="13" t="s">
        <v>1617</v>
      </c>
      <c r="E34" s="13" t="s">
        <v>113</v>
      </c>
      <c r="F34" s="13" t="s">
        <v>110</v>
      </c>
      <c r="G34" s="13">
        <v>5</v>
      </c>
      <c r="H34" s="13"/>
      <c r="I34" s="14"/>
    </row>
    <row r="35" spans="1:9" x14ac:dyDescent="0.3">
      <c r="A35" s="13">
        <f>IF(B35="","",COUNTA($B$4:B35))</f>
        <v>32</v>
      </c>
      <c r="B35" s="13" t="s">
        <v>1595</v>
      </c>
      <c r="C35" s="13" t="s">
        <v>1618</v>
      </c>
      <c r="D35" s="13" t="s">
        <v>1619</v>
      </c>
      <c r="E35" s="13" t="s">
        <v>113</v>
      </c>
      <c r="F35" s="13" t="s">
        <v>107</v>
      </c>
      <c r="G35" s="13">
        <v>4</v>
      </c>
      <c r="H35" s="13"/>
      <c r="I35" s="14"/>
    </row>
    <row r="36" spans="1:9" x14ac:dyDescent="0.3">
      <c r="A36" s="13">
        <f>IF(B36="","",COUNTA($B$4:B36))</f>
        <v>33</v>
      </c>
      <c r="B36" s="13" t="s">
        <v>1595</v>
      </c>
      <c r="C36" s="13" t="s">
        <v>1620</v>
      </c>
      <c r="D36" s="13" t="s">
        <v>667</v>
      </c>
      <c r="E36" s="13" t="s">
        <v>113</v>
      </c>
      <c r="F36" s="13" t="s">
        <v>110</v>
      </c>
      <c r="G36" s="13">
        <v>5</v>
      </c>
      <c r="H36" s="13"/>
      <c r="I36" s="14"/>
    </row>
    <row r="37" spans="1:9" x14ac:dyDescent="0.3">
      <c r="A37" s="13">
        <f>IF(B37="","",COUNTA($B$4:B37))</f>
        <v>34</v>
      </c>
      <c r="B37" s="13" t="s">
        <v>1595</v>
      </c>
      <c r="C37" s="13" t="s">
        <v>1621</v>
      </c>
      <c r="D37" s="13" t="s">
        <v>411</v>
      </c>
      <c r="E37" s="13" t="s">
        <v>113</v>
      </c>
      <c r="F37" s="13" t="s">
        <v>107</v>
      </c>
      <c r="G37" s="13">
        <v>4</v>
      </c>
      <c r="H37" s="13"/>
      <c r="I37" s="14"/>
    </row>
    <row r="38" spans="1:9" x14ac:dyDescent="0.3">
      <c r="A38" s="13">
        <f>IF(B38="","",COUNTA($B$4:B38))</f>
        <v>35</v>
      </c>
      <c r="B38" s="13" t="s">
        <v>1595</v>
      </c>
      <c r="C38" s="13" t="s">
        <v>1622</v>
      </c>
      <c r="D38" s="13" t="s">
        <v>629</v>
      </c>
      <c r="E38" s="13" t="s">
        <v>113</v>
      </c>
      <c r="F38" s="13" t="s">
        <v>1752</v>
      </c>
      <c r="G38" s="13">
        <v>50</v>
      </c>
      <c r="H38" s="13"/>
      <c r="I38" s="14"/>
    </row>
    <row r="39" spans="1:9" x14ac:dyDescent="0.3">
      <c r="A39" s="13">
        <f>IF(B39="","",COUNTA($B$4:B39))</f>
        <v>36</v>
      </c>
      <c r="B39" s="13" t="s">
        <v>1595</v>
      </c>
      <c r="C39" s="13" t="s">
        <v>1623</v>
      </c>
      <c r="D39" s="13" t="s">
        <v>1624</v>
      </c>
      <c r="E39" s="13" t="s">
        <v>113</v>
      </c>
      <c r="F39" s="13" t="s">
        <v>107</v>
      </c>
      <c r="G39" s="13">
        <v>200</v>
      </c>
      <c r="H39" s="13"/>
      <c r="I39" s="14"/>
    </row>
    <row r="40" spans="1:9" x14ac:dyDescent="0.3">
      <c r="A40" s="13">
        <f>IF(B40="","",COUNTA($B$4:B40))</f>
        <v>37</v>
      </c>
      <c r="B40" s="13" t="s">
        <v>1595</v>
      </c>
      <c r="C40" s="13" t="s">
        <v>1625</v>
      </c>
      <c r="D40" s="13" t="s">
        <v>399</v>
      </c>
      <c r="E40" s="13" t="s">
        <v>108</v>
      </c>
      <c r="F40" s="13" t="s">
        <v>110</v>
      </c>
      <c r="G40" s="13">
        <v>2</v>
      </c>
      <c r="H40" s="13"/>
      <c r="I40" s="14"/>
    </row>
    <row r="41" spans="1:9" x14ac:dyDescent="0.3">
      <c r="A41" s="13">
        <f>IF(B41="","",COUNTA($B$4:B41))</f>
        <v>38</v>
      </c>
      <c r="B41" s="13" t="s">
        <v>1595</v>
      </c>
      <c r="C41" s="13" t="s">
        <v>141</v>
      </c>
      <c r="D41" s="13" t="s">
        <v>372</v>
      </c>
      <c r="E41" s="13" t="s">
        <v>113</v>
      </c>
      <c r="F41" s="13" t="s">
        <v>107</v>
      </c>
      <c r="G41" s="13">
        <v>1</v>
      </c>
      <c r="H41" s="13"/>
      <c r="I41" s="14"/>
    </row>
    <row r="42" spans="1:9" x14ac:dyDescent="0.3">
      <c r="A42" s="13">
        <f>IF(B42="","",COUNTA($B$4:B42))</f>
        <v>39</v>
      </c>
      <c r="B42" s="13" t="s">
        <v>1595</v>
      </c>
      <c r="C42" s="13" t="s">
        <v>1626</v>
      </c>
      <c r="D42" s="13" t="s">
        <v>1627</v>
      </c>
      <c r="E42" s="13" t="s">
        <v>113</v>
      </c>
      <c r="F42" s="13" t="s">
        <v>107</v>
      </c>
      <c r="G42" s="13">
        <v>4</v>
      </c>
      <c r="H42" s="13"/>
      <c r="I42" s="14"/>
    </row>
    <row r="43" spans="1:9" x14ac:dyDescent="0.3">
      <c r="A43" s="13">
        <f>IF(B43="","",COUNTA($B$4:B43))</f>
        <v>40</v>
      </c>
      <c r="B43" s="13" t="s">
        <v>1595</v>
      </c>
      <c r="C43" s="13" t="s">
        <v>1628</v>
      </c>
      <c r="D43" s="13" t="s">
        <v>1629</v>
      </c>
      <c r="E43" s="13" t="s">
        <v>113</v>
      </c>
      <c r="F43" s="13" t="s">
        <v>1752</v>
      </c>
      <c r="G43" s="13">
        <v>50</v>
      </c>
      <c r="H43" s="13"/>
      <c r="I43" s="14"/>
    </row>
    <row r="44" spans="1:9" x14ac:dyDescent="0.3">
      <c r="A44" s="13">
        <f>IF(B44="","",COUNTA($B$4:B44))</f>
        <v>41</v>
      </c>
      <c r="B44" s="13" t="s">
        <v>1595</v>
      </c>
      <c r="C44" s="13" t="s">
        <v>1630</v>
      </c>
      <c r="D44" s="13" t="s">
        <v>1631</v>
      </c>
      <c r="E44" s="13" t="s">
        <v>113</v>
      </c>
      <c r="F44" s="13" t="s">
        <v>107</v>
      </c>
      <c r="G44" s="13">
        <v>1</v>
      </c>
      <c r="H44" s="13"/>
      <c r="I44" s="14"/>
    </row>
    <row r="45" spans="1:9" s="141" customFormat="1" x14ac:dyDescent="0.3">
      <c r="A45" s="139">
        <f>IF(B45="","",COUNTA($B$4:B45))</f>
        <v>42</v>
      </c>
      <c r="B45" s="139" t="s">
        <v>215</v>
      </c>
      <c r="C45" s="139" t="s">
        <v>2000</v>
      </c>
      <c r="D45" s="139" t="s">
        <v>2001</v>
      </c>
      <c r="E45" s="139" t="s">
        <v>56</v>
      </c>
      <c r="F45" s="139" t="s">
        <v>1752</v>
      </c>
      <c r="G45" s="139">
        <v>1</v>
      </c>
      <c r="H45" s="139" t="s">
        <v>1893</v>
      </c>
      <c r="I45" s="140"/>
    </row>
    <row r="46" spans="1:9" x14ac:dyDescent="0.3">
      <c r="A46" s="13">
        <f>IF(B46="","",COUNTA($B$4:B46))</f>
        <v>43</v>
      </c>
      <c r="B46" s="13" t="s">
        <v>1595</v>
      </c>
      <c r="C46" s="13" t="s">
        <v>1632</v>
      </c>
      <c r="D46" s="13" t="s">
        <v>1633</v>
      </c>
      <c r="E46" s="13" t="s">
        <v>113</v>
      </c>
      <c r="F46" s="13" t="s">
        <v>107</v>
      </c>
      <c r="G46" s="13">
        <v>4</v>
      </c>
      <c r="H46" s="13"/>
      <c r="I46" s="14"/>
    </row>
    <row r="47" spans="1:9" x14ac:dyDescent="0.3">
      <c r="A47" s="13">
        <f>IF(B47="","",COUNTA($B$4:B47))</f>
        <v>44</v>
      </c>
      <c r="B47" s="13" t="s">
        <v>1595</v>
      </c>
      <c r="C47" s="13" t="s">
        <v>1634</v>
      </c>
      <c r="D47" s="13" t="s">
        <v>1635</v>
      </c>
      <c r="E47" s="13" t="s">
        <v>113</v>
      </c>
      <c r="F47" s="13" t="s">
        <v>107</v>
      </c>
      <c r="G47" s="13">
        <v>4</v>
      </c>
      <c r="H47" s="13"/>
      <c r="I47" s="14"/>
    </row>
    <row r="48" spans="1:9" x14ac:dyDescent="0.3">
      <c r="A48" s="13">
        <f>IF(B48="","",COUNTA($B$4:B48))</f>
        <v>45</v>
      </c>
      <c r="B48" s="13" t="s">
        <v>1595</v>
      </c>
      <c r="C48" s="13" t="s">
        <v>1592</v>
      </c>
      <c r="D48" s="13" t="s">
        <v>389</v>
      </c>
      <c r="E48" s="13" t="s">
        <v>113</v>
      </c>
      <c r="F48" s="13" t="s">
        <v>107</v>
      </c>
      <c r="G48" s="13">
        <v>4</v>
      </c>
      <c r="H48" s="13"/>
      <c r="I48" s="14"/>
    </row>
    <row r="49" spans="1:9" x14ac:dyDescent="0.3">
      <c r="A49" s="13">
        <f>IF(B49="","",COUNTA($B$4:B49))</f>
        <v>46</v>
      </c>
      <c r="B49" s="13" t="s">
        <v>1595</v>
      </c>
      <c r="C49" s="13" t="s">
        <v>1593</v>
      </c>
      <c r="D49" s="13" t="s">
        <v>388</v>
      </c>
      <c r="E49" s="13" t="s">
        <v>113</v>
      </c>
      <c r="F49" s="13" t="s">
        <v>107</v>
      </c>
      <c r="G49" s="13">
        <v>4</v>
      </c>
      <c r="H49" s="13"/>
      <c r="I49" s="14"/>
    </row>
    <row r="50" spans="1:9" x14ac:dyDescent="0.3">
      <c r="A50" s="13">
        <f>IF(B50="","",COUNTA($B$4:B50))</f>
        <v>47</v>
      </c>
      <c r="B50" s="13" t="s">
        <v>1595</v>
      </c>
      <c r="C50" s="13" t="s">
        <v>1594</v>
      </c>
      <c r="D50" s="13" t="s">
        <v>581</v>
      </c>
      <c r="E50" s="13" t="s">
        <v>113</v>
      </c>
      <c r="F50" s="13" t="s">
        <v>107</v>
      </c>
      <c r="G50" s="13">
        <v>10</v>
      </c>
      <c r="H50" s="13"/>
      <c r="I50" s="14"/>
    </row>
    <row r="51" spans="1:9" x14ac:dyDescent="0.3">
      <c r="A51" s="13">
        <f>IF(B51="","",COUNTA($B$4:B51))</f>
        <v>48</v>
      </c>
      <c r="B51" s="13" t="s">
        <v>1595</v>
      </c>
      <c r="C51" s="13" t="s">
        <v>114</v>
      </c>
      <c r="D51" s="13" t="s">
        <v>509</v>
      </c>
      <c r="E51" s="13" t="s">
        <v>113</v>
      </c>
      <c r="F51" s="13" t="s">
        <v>107</v>
      </c>
      <c r="G51" s="13">
        <v>10</v>
      </c>
      <c r="H51" s="13"/>
      <c r="I51" s="14"/>
    </row>
    <row r="52" spans="1:9" x14ac:dyDescent="0.3">
      <c r="A52" s="13">
        <f>IF(B52="","",COUNTA($B$4:B52))</f>
        <v>49</v>
      </c>
      <c r="B52" s="13" t="s">
        <v>1595</v>
      </c>
      <c r="C52" s="13" t="s">
        <v>115</v>
      </c>
      <c r="D52" s="13" t="s">
        <v>513</v>
      </c>
      <c r="E52" s="13" t="s">
        <v>87</v>
      </c>
      <c r="F52" s="13" t="s">
        <v>109</v>
      </c>
      <c r="G52" s="13"/>
      <c r="H52" s="13"/>
      <c r="I52" s="14"/>
    </row>
    <row r="53" spans="1:9" x14ac:dyDescent="0.3">
      <c r="A53" s="13">
        <f>IF(B53="","",COUNTA($B$4:B53))</f>
        <v>50</v>
      </c>
      <c r="B53" s="13" t="s">
        <v>1595</v>
      </c>
      <c r="C53" s="13" t="s">
        <v>1431</v>
      </c>
      <c r="D53" s="13" t="s">
        <v>583</v>
      </c>
      <c r="E53" s="13" t="s">
        <v>113</v>
      </c>
      <c r="F53" s="13" t="s">
        <v>107</v>
      </c>
      <c r="G53" s="13">
        <v>10</v>
      </c>
      <c r="H53" s="13"/>
      <c r="I53" s="14"/>
    </row>
    <row r="54" spans="1:9" x14ac:dyDescent="0.3">
      <c r="A54" s="13">
        <f>IF(B54="","",COUNTA($B$4:B54))</f>
        <v>51</v>
      </c>
      <c r="B54" s="13" t="s">
        <v>1595</v>
      </c>
      <c r="C54" s="13" t="s">
        <v>116</v>
      </c>
      <c r="D54" s="13" t="s">
        <v>355</v>
      </c>
      <c r="E54" s="13" t="s">
        <v>113</v>
      </c>
      <c r="F54" s="13" t="s">
        <v>107</v>
      </c>
      <c r="G54" s="13">
        <v>10</v>
      </c>
      <c r="H54" s="13"/>
      <c r="I54" s="14"/>
    </row>
    <row r="55" spans="1:9" x14ac:dyDescent="0.3">
      <c r="A55" s="13">
        <f>IF(B55="","",COUNTA($B$4:B55))</f>
        <v>52</v>
      </c>
      <c r="B55" s="13" t="s">
        <v>1595</v>
      </c>
      <c r="C55" s="13" t="s">
        <v>117</v>
      </c>
      <c r="D55" s="13" t="s">
        <v>359</v>
      </c>
      <c r="E55" s="13" t="s">
        <v>87</v>
      </c>
      <c r="F55" s="13" t="s">
        <v>109</v>
      </c>
      <c r="G55" s="13"/>
      <c r="H55" s="13"/>
      <c r="I55" s="14"/>
    </row>
    <row r="56" spans="1:9" x14ac:dyDescent="0.3">
      <c r="A56" s="13">
        <f>IF(B56="","",COUNTA($B$4:B56))</f>
        <v>53</v>
      </c>
      <c r="B56" s="13" t="s">
        <v>1636</v>
      </c>
      <c r="C56" s="13" t="s">
        <v>1579</v>
      </c>
      <c r="D56" s="13" t="s">
        <v>1580</v>
      </c>
      <c r="E56" s="13" t="s">
        <v>113</v>
      </c>
      <c r="F56" s="13" t="s">
        <v>107</v>
      </c>
      <c r="G56" s="13">
        <v>10</v>
      </c>
      <c r="H56" s="13"/>
      <c r="I56" s="14"/>
    </row>
    <row r="57" spans="1:9" x14ac:dyDescent="0.3">
      <c r="A57" s="13">
        <f>IF(B57="","",COUNTA($B$4:B57))</f>
        <v>54</v>
      </c>
      <c r="B57" s="13" t="s">
        <v>1636</v>
      </c>
      <c r="C57" s="13" t="s">
        <v>129</v>
      </c>
      <c r="D57" s="13" t="s">
        <v>662</v>
      </c>
      <c r="E57" s="13" t="s">
        <v>108</v>
      </c>
      <c r="F57" s="13" t="s">
        <v>110</v>
      </c>
      <c r="G57" s="13">
        <v>5</v>
      </c>
      <c r="H57" s="13"/>
      <c r="I57" s="14"/>
    </row>
    <row r="58" spans="1:9" x14ac:dyDescent="0.3">
      <c r="A58" s="13">
        <f>IF(B58="","",COUNTA($B$4:B58))</f>
        <v>55</v>
      </c>
      <c r="B58" s="13" t="s">
        <v>1636</v>
      </c>
      <c r="C58" s="13" t="s">
        <v>1637</v>
      </c>
      <c r="D58" s="13" t="s">
        <v>1638</v>
      </c>
      <c r="E58" s="13" t="s">
        <v>108</v>
      </c>
      <c r="F58" s="13" t="s">
        <v>110</v>
      </c>
      <c r="G58" s="13">
        <v>5</v>
      </c>
      <c r="H58" s="13"/>
      <c r="I58" s="14"/>
    </row>
    <row r="59" spans="1:9" x14ac:dyDescent="0.3">
      <c r="A59" s="13">
        <f>IF(B59="","",COUNTA($B$4:B59))</f>
        <v>56</v>
      </c>
      <c r="B59" s="13" t="s">
        <v>1636</v>
      </c>
      <c r="C59" s="13" t="s">
        <v>1639</v>
      </c>
      <c r="D59" s="13" t="s">
        <v>1640</v>
      </c>
      <c r="E59" s="13" t="s">
        <v>113</v>
      </c>
      <c r="F59" s="13" t="s">
        <v>107</v>
      </c>
      <c r="G59" s="13">
        <v>20</v>
      </c>
      <c r="H59" s="13"/>
      <c r="I59" s="14"/>
    </row>
    <row r="60" spans="1:9" x14ac:dyDescent="0.3">
      <c r="A60" s="13">
        <f>IF(B60="","",COUNTA($B$4:B60))</f>
        <v>57</v>
      </c>
      <c r="B60" s="13" t="s">
        <v>1636</v>
      </c>
      <c r="C60" s="13" t="s">
        <v>1641</v>
      </c>
      <c r="D60" s="13" t="s">
        <v>1642</v>
      </c>
      <c r="E60" s="13" t="s">
        <v>1470</v>
      </c>
      <c r="F60" s="13" t="s">
        <v>1471</v>
      </c>
      <c r="G60" s="13"/>
      <c r="H60" s="13"/>
      <c r="I60" s="14"/>
    </row>
    <row r="61" spans="1:9" x14ac:dyDescent="0.3">
      <c r="A61" s="13">
        <f>IF(B61="","",COUNTA($B$4:B61))</f>
        <v>58</v>
      </c>
      <c r="B61" s="13" t="s">
        <v>1636</v>
      </c>
      <c r="C61" s="13" t="s">
        <v>1592</v>
      </c>
      <c r="D61" s="13" t="s">
        <v>389</v>
      </c>
      <c r="E61" s="13" t="s">
        <v>113</v>
      </c>
      <c r="F61" s="13" t="s">
        <v>107</v>
      </c>
      <c r="G61" s="13">
        <v>4</v>
      </c>
      <c r="H61" s="13"/>
      <c r="I61" s="14"/>
    </row>
    <row r="62" spans="1:9" x14ac:dyDescent="0.3">
      <c r="A62" s="13">
        <f>IF(B62="","",COUNTA($B$4:B62))</f>
        <v>59</v>
      </c>
      <c r="B62" s="13" t="s">
        <v>1636</v>
      </c>
      <c r="C62" s="13" t="s">
        <v>1593</v>
      </c>
      <c r="D62" s="13" t="s">
        <v>388</v>
      </c>
      <c r="E62" s="13" t="s">
        <v>113</v>
      </c>
      <c r="F62" s="13" t="s">
        <v>107</v>
      </c>
      <c r="G62" s="13">
        <v>4</v>
      </c>
      <c r="H62" s="13"/>
      <c r="I62" s="14"/>
    </row>
    <row r="63" spans="1:9" x14ac:dyDescent="0.3">
      <c r="A63" s="13">
        <f>IF(B63="","",COUNTA($B$4:B63))</f>
        <v>60</v>
      </c>
      <c r="B63" s="13" t="s">
        <v>1636</v>
      </c>
      <c r="C63" s="13" t="s">
        <v>1594</v>
      </c>
      <c r="D63" s="13" t="s">
        <v>581</v>
      </c>
      <c r="E63" s="13" t="s">
        <v>113</v>
      </c>
      <c r="F63" s="13" t="s">
        <v>107</v>
      </c>
      <c r="G63" s="13">
        <v>10</v>
      </c>
      <c r="H63" s="13"/>
      <c r="I63" s="14"/>
    </row>
    <row r="64" spans="1:9" x14ac:dyDescent="0.3">
      <c r="A64" s="13">
        <f>IF(B64="","",COUNTA($B$4:B64))</f>
        <v>61</v>
      </c>
      <c r="B64" s="13" t="s">
        <v>1636</v>
      </c>
      <c r="C64" s="13" t="s">
        <v>114</v>
      </c>
      <c r="D64" s="13" t="s">
        <v>509</v>
      </c>
      <c r="E64" s="13" t="s">
        <v>113</v>
      </c>
      <c r="F64" s="13" t="s">
        <v>107</v>
      </c>
      <c r="G64" s="13">
        <v>10</v>
      </c>
      <c r="H64" s="13"/>
      <c r="I64" s="14"/>
    </row>
    <row r="65" spans="1:9" x14ac:dyDescent="0.3">
      <c r="A65" s="13">
        <f>IF(B65="","",COUNTA($B$4:B65))</f>
        <v>62</v>
      </c>
      <c r="B65" s="13" t="s">
        <v>1636</v>
      </c>
      <c r="C65" s="13" t="s">
        <v>115</v>
      </c>
      <c r="D65" s="13" t="s">
        <v>513</v>
      </c>
      <c r="E65" s="13" t="s">
        <v>113</v>
      </c>
      <c r="F65" s="13" t="s">
        <v>107</v>
      </c>
      <c r="G65" s="13">
        <v>10</v>
      </c>
      <c r="H65" s="13"/>
      <c r="I65" s="14"/>
    </row>
    <row r="66" spans="1:9" x14ac:dyDescent="0.3">
      <c r="A66" s="13">
        <f>IF(B66="","",COUNTA($B$4:B66))</f>
        <v>63</v>
      </c>
      <c r="B66" s="13" t="s">
        <v>1636</v>
      </c>
      <c r="C66" s="13" t="s">
        <v>1431</v>
      </c>
      <c r="D66" s="13" t="s">
        <v>583</v>
      </c>
      <c r="E66" s="13" t="s">
        <v>87</v>
      </c>
      <c r="F66" s="13" t="s">
        <v>109</v>
      </c>
      <c r="G66" s="13"/>
      <c r="H66" s="13"/>
      <c r="I66" s="14"/>
    </row>
    <row r="67" spans="1:9" x14ac:dyDescent="0.3">
      <c r="A67" s="13">
        <f>IF(B67="","",COUNTA($B$4:B67))</f>
        <v>64</v>
      </c>
      <c r="B67" s="13" t="s">
        <v>1636</v>
      </c>
      <c r="C67" s="13" t="s">
        <v>116</v>
      </c>
      <c r="D67" s="13" t="s">
        <v>355</v>
      </c>
      <c r="E67" s="13" t="s">
        <v>113</v>
      </c>
      <c r="F67" s="13" t="s">
        <v>107</v>
      </c>
      <c r="G67" s="13">
        <v>10</v>
      </c>
      <c r="H67" s="13"/>
      <c r="I67" s="14"/>
    </row>
    <row r="68" spans="1:9" x14ac:dyDescent="0.3">
      <c r="A68" s="13">
        <f>IF(B68="","",COUNTA($B$4:B68))</f>
        <v>65</v>
      </c>
      <c r="B68" s="13" t="s">
        <v>1636</v>
      </c>
      <c r="C68" s="13" t="s">
        <v>117</v>
      </c>
      <c r="D68" s="13" t="s">
        <v>359</v>
      </c>
      <c r="E68" s="13" t="s">
        <v>87</v>
      </c>
      <c r="F68" s="13" t="s">
        <v>109</v>
      </c>
      <c r="G68" s="13"/>
      <c r="H68" s="13"/>
      <c r="I68" s="14"/>
    </row>
    <row r="69" spans="1:9" x14ac:dyDescent="0.3">
      <c r="A69" s="13">
        <f>IF(B69="","",COUNTA($B$4:B69))</f>
        <v>66</v>
      </c>
      <c r="B69" s="13" t="s">
        <v>1643</v>
      </c>
      <c r="C69" s="13" t="s">
        <v>1644</v>
      </c>
      <c r="D69" s="13" t="s">
        <v>1645</v>
      </c>
      <c r="E69" s="13" t="s">
        <v>113</v>
      </c>
      <c r="F69" s="13" t="s">
        <v>107</v>
      </c>
      <c r="G69" s="13">
        <v>10</v>
      </c>
      <c r="H69" s="13"/>
      <c r="I69" s="14"/>
    </row>
    <row r="70" spans="1:9" x14ac:dyDescent="0.3">
      <c r="A70" s="13">
        <f>IF(B70="","",COUNTA($B$4:B70))</f>
        <v>67</v>
      </c>
      <c r="B70" s="13" t="s">
        <v>1643</v>
      </c>
      <c r="C70" s="13" t="s">
        <v>1588</v>
      </c>
      <c r="D70" s="13" t="s">
        <v>1589</v>
      </c>
      <c r="E70" s="13" t="s">
        <v>113</v>
      </c>
      <c r="F70" s="13" t="s">
        <v>107</v>
      </c>
      <c r="G70" s="13">
        <v>30</v>
      </c>
      <c r="H70" s="13"/>
      <c r="I70" s="14"/>
    </row>
    <row r="71" spans="1:9" x14ac:dyDescent="0.3">
      <c r="A71" s="13">
        <f>IF(B71="","",COUNTA($B$4:B71))</f>
        <v>68</v>
      </c>
      <c r="B71" s="13" t="s">
        <v>1643</v>
      </c>
      <c r="C71" s="13" t="s">
        <v>1646</v>
      </c>
      <c r="D71" s="13" t="s">
        <v>1647</v>
      </c>
      <c r="E71" s="13" t="s">
        <v>113</v>
      </c>
      <c r="F71" s="13" t="s">
        <v>107</v>
      </c>
      <c r="G71" s="13">
        <v>10</v>
      </c>
      <c r="H71" s="13"/>
      <c r="I71" s="14"/>
    </row>
    <row r="72" spans="1:9" x14ac:dyDescent="0.3">
      <c r="A72" s="13">
        <f>IF(B72="","",COUNTA($B$4:B72))</f>
        <v>69</v>
      </c>
      <c r="B72" s="13" t="s">
        <v>1643</v>
      </c>
      <c r="C72" s="13" t="s">
        <v>1648</v>
      </c>
      <c r="D72" s="13" t="s">
        <v>1649</v>
      </c>
      <c r="E72" s="13" t="s">
        <v>113</v>
      </c>
      <c r="F72" s="13" t="s">
        <v>107</v>
      </c>
      <c r="G72" s="13">
        <v>30</v>
      </c>
      <c r="H72" s="13"/>
      <c r="I72" s="14"/>
    </row>
    <row r="73" spans="1:9" x14ac:dyDescent="0.3">
      <c r="A73" s="13">
        <f>IF(B73="","",COUNTA($B$4:B73))</f>
        <v>70</v>
      </c>
      <c r="B73" s="13" t="s">
        <v>1643</v>
      </c>
      <c r="C73" s="13" t="s">
        <v>1650</v>
      </c>
      <c r="D73" s="13" t="s">
        <v>1651</v>
      </c>
      <c r="E73" s="13" t="s">
        <v>113</v>
      </c>
      <c r="F73" s="13" t="s">
        <v>107</v>
      </c>
      <c r="G73" s="13">
        <v>30</v>
      </c>
      <c r="H73" s="13"/>
      <c r="I73" s="14"/>
    </row>
    <row r="74" spans="1:9" x14ac:dyDescent="0.3">
      <c r="A74" s="13">
        <f>IF(B74="","",COUNTA($B$4:B74))</f>
        <v>71</v>
      </c>
      <c r="B74" s="13" t="s">
        <v>1643</v>
      </c>
      <c r="C74" s="13" t="s">
        <v>1652</v>
      </c>
      <c r="D74" s="13" t="s">
        <v>1653</v>
      </c>
      <c r="E74" s="13" t="s">
        <v>87</v>
      </c>
      <c r="F74" s="13" t="s">
        <v>109</v>
      </c>
      <c r="G74" s="13"/>
      <c r="H74" s="13"/>
      <c r="I74" s="14"/>
    </row>
    <row r="75" spans="1:9" x14ac:dyDescent="0.3">
      <c r="A75" s="13">
        <f>IF(B75="","",COUNTA($B$4:B75))</f>
        <v>72</v>
      </c>
      <c r="B75" s="13" t="s">
        <v>1643</v>
      </c>
      <c r="C75" s="13" t="s">
        <v>1598</v>
      </c>
      <c r="D75" s="13" t="s">
        <v>1599</v>
      </c>
      <c r="E75" s="13" t="s">
        <v>113</v>
      </c>
      <c r="F75" s="13" t="s">
        <v>107</v>
      </c>
      <c r="G75" s="13">
        <v>30</v>
      </c>
      <c r="H75" s="13"/>
      <c r="I75" s="14"/>
    </row>
    <row r="76" spans="1:9" x14ac:dyDescent="0.3">
      <c r="A76" s="13">
        <f>IF(B76="","",COUNTA($B$4:B76))</f>
        <v>73</v>
      </c>
      <c r="B76" s="13" t="s">
        <v>1643</v>
      </c>
      <c r="C76" s="13" t="s">
        <v>1625</v>
      </c>
      <c r="D76" s="13" t="s">
        <v>399</v>
      </c>
      <c r="E76" s="13" t="s">
        <v>108</v>
      </c>
      <c r="F76" s="13" t="s">
        <v>110</v>
      </c>
      <c r="G76" s="13">
        <v>2</v>
      </c>
      <c r="H76" s="13"/>
      <c r="I76" s="14"/>
    </row>
    <row r="77" spans="1:9" x14ac:dyDescent="0.3">
      <c r="A77" s="13">
        <f>IF(B77="","",COUNTA($B$4:B77))</f>
        <v>74</v>
      </c>
      <c r="B77" s="13" t="s">
        <v>1643</v>
      </c>
      <c r="C77" s="13" t="s">
        <v>1590</v>
      </c>
      <c r="D77" s="13" t="s">
        <v>1591</v>
      </c>
      <c r="E77" s="13" t="s">
        <v>113</v>
      </c>
      <c r="F77" s="13" t="s">
        <v>107</v>
      </c>
      <c r="G77" s="13">
        <v>100</v>
      </c>
      <c r="H77" s="13"/>
      <c r="I77" s="14"/>
    </row>
    <row r="78" spans="1:9" x14ac:dyDescent="0.3">
      <c r="A78" s="13">
        <f>IF(B78="","",COUNTA($B$4:B78))</f>
        <v>75</v>
      </c>
      <c r="B78" s="13" t="s">
        <v>1643</v>
      </c>
      <c r="C78" s="13" t="s">
        <v>1654</v>
      </c>
      <c r="D78" s="13" t="s">
        <v>1655</v>
      </c>
      <c r="E78" s="13" t="s">
        <v>87</v>
      </c>
      <c r="F78" s="13" t="s">
        <v>109</v>
      </c>
      <c r="G78" s="13"/>
      <c r="H78" s="13"/>
      <c r="I78" s="14"/>
    </row>
    <row r="79" spans="1:9" x14ac:dyDescent="0.3">
      <c r="A79" s="13">
        <f>IF(B79="","",COUNTA($B$4:B79))</f>
        <v>76</v>
      </c>
      <c r="B79" s="13" t="s">
        <v>1643</v>
      </c>
      <c r="C79" s="13" t="s">
        <v>1592</v>
      </c>
      <c r="D79" s="13" t="s">
        <v>389</v>
      </c>
      <c r="E79" s="13" t="s">
        <v>113</v>
      </c>
      <c r="F79" s="13" t="s">
        <v>107</v>
      </c>
      <c r="G79" s="13">
        <v>4</v>
      </c>
      <c r="H79" s="13"/>
      <c r="I79" s="14"/>
    </row>
    <row r="80" spans="1:9" x14ac:dyDescent="0.3">
      <c r="A80" s="13">
        <f>IF(B80="","",COUNTA($B$4:B80))</f>
        <v>77</v>
      </c>
      <c r="B80" s="13" t="s">
        <v>1643</v>
      </c>
      <c r="C80" s="13" t="s">
        <v>1593</v>
      </c>
      <c r="D80" s="13" t="s">
        <v>388</v>
      </c>
      <c r="E80" s="13" t="s">
        <v>113</v>
      </c>
      <c r="F80" s="13" t="s">
        <v>107</v>
      </c>
      <c r="G80" s="13">
        <v>4</v>
      </c>
      <c r="H80" s="13"/>
      <c r="I80" s="14"/>
    </row>
    <row r="81" spans="1:9" x14ac:dyDescent="0.3">
      <c r="A81" s="13">
        <f>IF(B81="","",COUNTA($B$4:B81))</f>
        <v>78</v>
      </c>
      <c r="B81" s="13" t="s">
        <v>1643</v>
      </c>
      <c r="C81" s="13" t="s">
        <v>1594</v>
      </c>
      <c r="D81" s="13" t="s">
        <v>581</v>
      </c>
      <c r="E81" s="13" t="s">
        <v>113</v>
      </c>
      <c r="F81" s="13" t="s">
        <v>107</v>
      </c>
      <c r="G81" s="13">
        <v>10</v>
      </c>
      <c r="H81" s="13"/>
      <c r="I81" s="14"/>
    </row>
    <row r="82" spans="1:9" x14ac:dyDescent="0.3">
      <c r="A82" s="13">
        <f>IF(B82="","",COUNTA($B$4:B82))</f>
        <v>79</v>
      </c>
      <c r="B82" s="13" t="s">
        <v>1643</v>
      </c>
      <c r="C82" s="13" t="s">
        <v>114</v>
      </c>
      <c r="D82" s="13" t="s">
        <v>509</v>
      </c>
      <c r="E82" s="13" t="s">
        <v>113</v>
      </c>
      <c r="F82" s="13" t="s">
        <v>107</v>
      </c>
      <c r="G82" s="13">
        <v>10</v>
      </c>
      <c r="H82" s="13"/>
      <c r="I82" s="14"/>
    </row>
    <row r="83" spans="1:9" x14ac:dyDescent="0.3">
      <c r="A83" s="13">
        <f>IF(B83="","",COUNTA($B$4:B83))</f>
        <v>80</v>
      </c>
      <c r="B83" s="13" t="s">
        <v>1643</v>
      </c>
      <c r="C83" s="13" t="s">
        <v>115</v>
      </c>
      <c r="D83" s="13" t="s">
        <v>513</v>
      </c>
      <c r="E83" s="13" t="s">
        <v>87</v>
      </c>
      <c r="F83" s="13" t="s">
        <v>109</v>
      </c>
      <c r="G83" s="13"/>
      <c r="H83" s="13"/>
      <c r="I83" s="14"/>
    </row>
    <row r="84" spans="1:9" x14ac:dyDescent="0.3">
      <c r="A84" s="13">
        <f>IF(B84="","",COUNTA($B$4:B84))</f>
        <v>81</v>
      </c>
      <c r="B84" s="13" t="s">
        <v>1643</v>
      </c>
      <c r="C84" s="13" t="s">
        <v>1431</v>
      </c>
      <c r="D84" s="13" t="s">
        <v>583</v>
      </c>
      <c r="E84" s="13" t="s">
        <v>113</v>
      </c>
      <c r="F84" s="13" t="s">
        <v>107</v>
      </c>
      <c r="G84" s="13">
        <v>10</v>
      </c>
      <c r="H84" s="13"/>
      <c r="I84" s="14"/>
    </row>
    <row r="85" spans="1:9" x14ac:dyDescent="0.3">
      <c r="A85" s="13">
        <f>IF(B85="","",COUNTA($B$4:B85))</f>
        <v>82</v>
      </c>
      <c r="B85" s="13" t="s">
        <v>1643</v>
      </c>
      <c r="C85" s="13" t="s">
        <v>116</v>
      </c>
      <c r="D85" s="13" t="s">
        <v>355</v>
      </c>
      <c r="E85" s="13" t="s">
        <v>113</v>
      </c>
      <c r="F85" s="13" t="s">
        <v>107</v>
      </c>
      <c r="G85" s="13">
        <v>10</v>
      </c>
      <c r="H85" s="13"/>
      <c r="I85" s="14"/>
    </row>
    <row r="86" spans="1:9" x14ac:dyDescent="0.3">
      <c r="A86" s="13">
        <f>IF(B86="","",COUNTA($B$4:B86))</f>
        <v>83</v>
      </c>
      <c r="B86" s="13" t="s">
        <v>1643</v>
      </c>
      <c r="C86" s="13" t="s">
        <v>117</v>
      </c>
      <c r="D86" s="13" t="s">
        <v>359</v>
      </c>
      <c r="E86" s="13" t="s">
        <v>87</v>
      </c>
      <c r="F86" s="13" t="s">
        <v>109</v>
      </c>
      <c r="G86" s="13"/>
      <c r="H86" s="13"/>
      <c r="I86" s="14"/>
    </row>
    <row r="87" spans="1:9" x14ac:dyDescent="0.3">
      <c r="A87" s="13">
        <f>IF(B87="","",COUNTA($B$4:B87))</f>
        <v>84</v>
      </c>
      <c r="B87" s="13" t="s">
        <v>1656</v>
      </c>
      <c r="C87" s="13" t="s">
        <v>1644</v>
      </c>
      <c r="D87" s="13" t="s">
        <v>1645</v>
      </c>
      <c r="E87" s="13" t="s">
        <v>113</v>
      </c>
      <c r="F87" s="13" t="s">
        <v>107</v>
      </c>
      <c r="G87" s="13">
        <v>10</v>
      </c>
      <c r="H87" s="13"/>
      <c r="I87" s="14"/>
    </row>
    <row r="88" spans="1:9" x14ac:dyDescent="0.3">
      <c r="A88" s="13">
        <f>IF(B88="","",COUNTA($B$4:B88))</f>
        <v>85</v>
      </c>
      <c r="B88" s="13" t="s">
        <v>1656</v>
      </c>
      <c r="C88" s="13" t="s">
        <v>1610</v>
      </c>
      <c r="D88" s="13" t="s">
        <v>1611</v>
      </c>
      <c r="E88" s="13" t="s">
        <v>113</v>
      </c>
      <c r="F88" s="13" t="s">
        <v>107</v>
      </c>
      <c r="G88" s="13">
        <v>30</v>
      </c>
      <c r="H88" s="13"/>
      <c r="I88" s="14"/>
    </row>
    <row r="89" spans="1:9" x14ac:dyDescent="0.3">
      <c r="A89" s="13">
        <f>IF(B89="","",COUNTA($B$4:B89))</f>
        <v>86</v>
      </c>
      <c r="B89" s="13" t="s">
        <v>1656</v>
      </c>
      <c r="C89" s="13" t="s">
        <v>1657</v>
      </c>
      <c r="D89" s="13" t="s">
        <v>1658</v>
      </c>
      <c r="E89" s="13" t="s">
        <v>108</v>
      </c>
      <c r="F89" s="13" t="s">
        <v>110</v>
      </c>
      <c r="G89" s="13">
        <v>5</v>
      </c>
      <c r="H89" s="13"/>
      <c r="I89" s="14"/>
    </row>
    <row r="90" spans="1:9" x14ac:dyDescent="0.3">
      <c r="A90" s="13">
        <f>IF(B90="","",COUNTA($B$4:B90))</f>
        <v>87</v>
      </c>
      <c r="B90" s="13" t="s">
        <v>1656</v>
      </c>
      <c r="C90" s="13" t="s">
        <v>1659</v>
      </c>
      <c r="D90" s="13" t="s">
        <v>707</v>
      </c>
      <c r="E90" s="13" t="s">
        <v>113</v>
      </c>
      <c r="F90" s="13" t="s">
        <v>107</v>
      </c>
      <c r="G90" s="13">
        <v>1</v>
      </c>
      <c r="H90" s="13"/>
      <c r="I90" s="14"/>
    </row>
    <row r="91" spans="1:9" x14ac:dyDescent="0.3">
      <c r="A91" s="13">
        <f>IF(B91="","",COUNTA($B$4:B91))</f>
        <v>88</v>
      </c>
      <c r="B91" s="13" t="s">
        <v>1656</v>
      </c>
      <c r="C91" s="13" t="s">
        <v>1579</v>
      </c>
      <c r="D91" s="13" t="s">
        <v>1580</v>
      </c>
      <c r="E91" s="13" t="s">
        <v>113</v>
      </c>
      <c r="F91" s="13" t="s">
        <v>107</v>
      </c>
      <c r="G91" s="13">
        <v>10</v>
      </c>
      <c r="H91" s="13"/>
      <c r="I91" s="14"/>
    </row>
    <row r="92" spans="1:9" x14ac:dyDescent="0.3">
      <c r="A92" s="13">
        <f>IF(B92="","",COUNTA($B$4:B92))</f>
        <v>89</v>
      </c>
      <c r="B92" s="13" t="s">
        <v>1656</v>
      </c>
      <c r="C92" s="13" t="s">
        <v>1596</v>
      </c>
      <c r="D92" s="13" t="s">
        <v>1597</v>
      </c>
      <c r="E92" s="13" t="s">
        <v>108</v>
      </c>
      <c r="F92" s="13" t="s">
        <v>110</v>
      </c>
      <c r="G92" s="13">
        <v>5</v>
      </c>
      <c r="H92" s="13"/>
      <c r="I92" s="14"/>
    </row>
    <row r="93" spans="1:9" x14ac:dyDescent="0.3">
      <c r="A93" s="13">
        <f>IF(B93="","",COUNTA($B$4:B93))</f>
        <v>90</v>
      </c>
      <c r="B93" s="13" t="s">
        <v>1656</v>
      </c>
      <c r="C93" s="13" t="s">
        <v>1660</v>
      </c>
      <c r="D93" s="13" t="s">
        <v>1661</v>
      </c>
      <c r="E93" s="13" t="s">
        <v>113</v>
      </c>
      <c r="F93" s="13" t="s">
        <v>107</v>
      </c>
      <c r="G93" s="13">
        <v>10</v>
      </c>
      <c r="H93" s="13"/>
      <c r="I93" s="14"/>
    </row>
    <row r="94" spans="1:9" x14ac:dyDescent="0.3">
      <c r="A94" s="13">
        <f>IF(B94="","",COUNTA($B$4:B94))</f>
        <v>91</v>
      </c>
      <c r="B94" s="13" t="s">
        <v>1656</v>
      </c>
      <c r="C94" s="13" t="s">
        <v>1662</v>
      </c>
      <c r="D94" s="13" t="s">
        <v>1663</v>
      </c>
      <c r="E94" s="13" t="s">
        <v>108</v>
      </c>
      <c r="F94" s="13" t="s">
        <v>110</v>
      </c>
      <c r="G94" s="13">
        <v>5</v>
      </c>
      <c r="H94" s="13"/>
      <c r="I94" s="14"/>
    </row>
    <row r="95" spans="1:9" x14ac:dyDescent="0.3">
      <c r="A95" s="13">
        <f>IF(B95="","",COUNTA($B$4:B95))</f>
        <v>92</v>
      </c>
      <c r="B95" s="13" t="s">
        <v>1656</v>
      </c>
      <c r="C95" s="13" t="s">
        <v>1664</v>
      </c>
      <c r="D95" s="13" t="s">
        <v>530</v>
      </c>
      <c r="E95" s="13" t="s">
        <v>108</v>
      </c>
      <c r="F95" s="13" t="s">
        <v>110</v>
      </c>
      <c r="G95" s="13">
        <v>3</v>
      </c>
      <c r="H95" s="13"/>
      <c r="I95" s="14"/>
    </row>
    <row r="96" spans="1:9" x14ac:dyDescent="0.3">
      <c r="A96" s="13">
        <f>IF(B96="","",COUNTA($B$4:B96))</f>
        <v>93</v>
      </c>
      <c r="B96" s="13" t="s">
        <v>1656</v>
      </c>
      <c r="C96" s="13" t="s">
        <v>1560</v>
      </c>
      <c r="D96" s="13" t="s">
        <v>421</v>
      </c>
      <c r="E96" s="13" t="s">
        <v>113</v>
      </c>
      <c r="F96" s="13" t="s">
        <v>107</v>
      </c>
      <c r="G96" s="13">
        <v>5</v>
      </c>
      <c r="H96" s="13"/>
      <c r="I96" s="14"/>
    </row>
    <row r="97" spans="1:9" x14ac:dyDescent="0.3">
      <c r="A97" s="13">
        <f>IF(B97="","",COUNTA($B$4:B97))</f>
        <v>94</v>
      </c>
      <c r="B97" s="13" t="s">
        <v>1656</v>
      </c>
      <c r="C97" s="13" t="s">
        <v>156</v>
      </c>
      <c r="D97" s="13" t="s">
        <v>532</v>
      </c>
      <c r="E97" s="13" t="s">
        <v>113</v>
      </c>
      <c r="F97" s="13" t="s">
        <v>107</v>
      </c>
      <c r="G97" s="13">
        <v>20</v>
      </c>
      <c r="H97" s="13"/>
      <c r="I97" s="14"/>
    </row>
    <row r="98" spans="1:9" x14ac:dyDescent="0.3">
      <c r="A98" s="13">
        <f>IF(B98="","",COUNTA($B$4:B98))</f>
        <v>95</v>
      </c>
      <c r="B98" s="13" t="s">
        <v>1656</v>
      </c>
      <c r="C98" s="13" t="s">
        <v>1561</v>
      </c>
      <c r="D98" s="13" t="s">
        <v>616</v>
      </c>
      <c r="E98" s="13" t="s">
        <v>113</v>
      </c>
      <c r="F98" s="13" t="s">
        <v>107</v>
      </c>
      <c r="G98" s="13">
        <v>30</v>
      </c>
      <c r="H98" s="13"/>
      <c r="I98" s="14"/>
    </row>
    <row r="99" spans="1:9" x14ac:dyDescent="0.3">
      <c r="A99" s="13">
        <f>IF(B99="","",COUNTA($B$4:B99))</f>
        <v>96</v>
      </c>
      <c r="B99" s="13" t="s">
        <v>1656</v>
      </c>
      <c r="C99" s="13" t="s">
        <v>1604</v>
      </c>
      <c r="D99" s="13" t="s">
        <v>1605</v>
      </c>
      <c r="E99" s="13" t="s">
        <v>87</v>
      </c>
      <c r="F99" s="13" t="s">
        <v>109</v>
      </c>
      <c r="G99" s="13"/>
      <c r="H99" s="13"/>
      <c r="I99" s="14"/>
    </row>
    <row r="100" spans="1:9" x14ac:dyDescent="0.3">
      <c r="A100" s="13">
        <f>IF(B100="","",COUNTA($B$4:B100))</f>
        <v>97</v>
      </c>
      <c r="B100" s="13" t="s">
        <v>1656</v>
      </c>
      <c r="C100" s="13" t="s">
        <v>1606</v>
      </c>
      <c r="D100" s="13" t="s">
        <v>1607</v>
      </c>
      <c r="E100" s="13" t="s">
        <v>87</v>
      </c>
      <c r="F100" s="13" t="s">
        <v>109</v>
      </c>
      <c r="G100" s="13"/>
      <c r="H100" s="13"/>
      <c r="I100" s="14"/>
    </row>
    <row r="101" spans="1:9" x14ac:dyDescent="0.3">
      <c r="A101" s="13">
        <f>IF(B101="","",COUNTA($B$4:B101))</f>
        <v>98</v>
      </c>
      <c r="B101" s="13" t="s">
        <v>1656</v>
      </c>
      <c r="C101" s="13" t="s">
        <v>1608</v>
      </c>
      <c r="D101" s="13" t="s">
        <v>1609</v>
      </c>
      <c r="E101" s="13" t="s">
        <v>113</v>
      </c>
      <c r="F101" s="13" t="s">
        <v>107</v>
      </c>
      <c r="G101" s="13">
        <v>1</v>
      </c>
      <c r="H101" s="13"/>
      <c r="I101" s="14"/>
    </row>
    <row r="102" spans="1:9" x14ac:dyDescent="0.3">
      <c r="A102" s="13">
        <f>IF(B102="","",COUNTA($B$4:B102))</f>
        <v>99</v>
      </c>
      <c r="B102" s="13" t="s">
        <v>1656</v>
      </c>
      <c r="C102" s="13" t="s">
        <v>1665</v>
      </c>
      <c r="D102" s="13" t="s">
        <v>1666</v>
      </c>
      <c r="E102" s="13" t="s">
        <v>113</v>
      </c>
      <c r="F102" s="13" t="s">
        <v>107</v>
      </c>
      <c r="G102" s="13">
        <v>1</v>
      </c>
      <c r="H102" s="13"/>
      <c r="I102" s="14"/>
    </row>
    <row r="103" spans="1:9" x14ac:dyDescent="0.3">
      <c r="A103" s="13">
        <f>IF(B103="","",COUNTA($B$4:B103))</f>
        <v>100</v>
      </c>
      <c r="B103" s="13" t="s">
        <v>1656</v>
      </c>
      <c r="C103" s="13" t="s">
        <v>1667</v>
      </c>
      <c r="D103" s="13" t="s">
        <v>1668</v>
      </c>
      <c r="E103" s="13" t="s">
        <v>113</v>
      </c>
      <c r="F103" s="13" t="s">
        <v>107</v>
      </c>
      <c r="G103" s="13">
        <v>1</v>
      </c>
      <c r="H103" s="13"/>
      <c r="I103" s="14"/>
    </row>
    <row r="104" spans="1:9" x14ac:dyDescent="0.3">
      <c r="A104" s="13">
        <f>IF(B104="","",COUNTA($B$4:B104))</f>
        <v>101</v>
      </c>
      <c r="B104" s="13" t="s">
        <v>1656</v>
      </c>
      <c r="C104" s="7" t="s">
        <v>1600</v>
      </c>
      <c r="D104" s="2" t="s">
        <v>1601</v>
      </c>
      <c r="E104" s="7" t="s">
        <v>113</v>
      </c>
      <c r="F104" s="13" t="s">
        <v>107</v>
      </c>
      <c r="G104" s="13">
        <v>3</v>
      </c>
      <c r="H104" s="13"/>
      <c r="I104" s="14"/>
    </row>
    <row r="105" spans="1:9" x14ac:dyDescent="0.3">
      <c r="A105" s="13">
        <f>IF(B105="","",COUNTA($B$4:B105))</f>
        <v>102</v>
      </c>
      <c r="B105" s="13" t="s">
        <v>1656</v>
      </c>
      <c r="C105" s="13" t="s">
        <v>1602</v>
      </c>
      <c r="D105" s="13" t="s">
        <v>1603</v>
      </c>
      <c r="E105" s="13" t="s">
        <v>113</v>
      </c>
      <c r="F105" s="13" t="s">
        <v>1752</v>
      </c>
      <c r="G105" s="13">
        <v>30</v>
      </c>
      <c r="H105" s="13"/>
      <c r="I105" s="14"/>
    </row>
    <row r="106" spans="1:9" x14ac:dyDescent="0.3">
      <c r="A106" s="13">
        <f>IF(B106="","",COUNTA($B$4:B106))</f>
        <v>103</v>
      </c>
      <c r="B106" s="13" t="s">
        <v>1656</v>
      </c>
      <c r="C106" s="13" t="s">
        <v>1669</v>
      </c>
      <c r="D106" s="13" t="s">
        <v>1670</v>
      </c>
      <c r="E106" s="13" t="s">
        <v>113</v>
      </c>
      <c r="F106" s="13" t="s">
        <v>110</v>
      </c>
      <c r="G106" s="13">
        <v>5</v>
      </c>
      <c r="H106" s="13"/>
      <c r="I106" s="14"/>
    </row>
    <row r="107" spans="1:9" x14ac:dyDescent="0.3">
      <c r="A107" s="13">
        <f>IF(B107="","",COUNTA($B$4:B107))</f>
        <v>104</v>
      </c>
      <c r="B107" s="13" t="s">
        <v>1656</v>
      </c>
      <c r="C107" s="13" t="s">
        <v>1671</v>
      </c>
      <c r="D107" s="13" t="s">
        <v>1672</v>
      </c>
      <c r="E107" s="13" t="s">
        <v>113</v>
      </c>
      <c r="F107" s="13" t="s">
        <v>110</v>
      </c>
      <c r="G107" s="13">
        <v>5</v>
      </c>
      <c r="H107" s="13"/>
      <c r="I107" s="14"/>
    </row>
    <row r="108" spans="1:9" x14ac:dyDescent="0.3">
      <c r="A108" s="13">
        <f>IF(B108="","",COUNTA($B$4:B108))</f>
        <v>105</v>
      </c>
      <c r="B108" s="13" t="s">
        <v>1656</v>
      </c>
      <c r="C108" s="13" t="s">
        <v>1673</v>
      </c>
      <c r="D108" s="13" t="s">
        <v>1674</v>
      </c>
      <c r="E108" s="13" t="s">
        <v>113</v>
      </c>
      <c r="F108" s="13" t="s">
        <v>110</v>
      </c>
      <c r="G108" s="13">
        <v>5</v>
      </c>
      <c r="H108" s="13"/>
      <c r="I108" s="14"/>
    </row>
    <row r="109" spans="1:9" x14ac:dyDescent="0.3">
      <c r="A109" s="13">
        <f>IF(B109="","",COUNTA($B$4:B109))</f>
        <v>106</v>
      </c>
      <c r="B109" s="13" t="s">
        <v>1656</v>
      </c>
      <c r="C109" s="13" t="s">
        <v>1616</v>
      </c>
      <c r="D109" s="13" t="s">
        <v>1617</v>
      </c>
      <c r="E109" s="13" t="s">
        <v>113</v>
      </c>
      <c r="F109" s="13" t="s">
        <v>110</v>
      </c>
      <c r="G109" s="13">
        <v>5</v>
      </c>
      <c r="H109" s="13"/>
      <c r="I109" s="14"/>
    </row>
    <row r="110" spans="1:9" x14ac:dyDescent="0.3">
      <c r="A110" s="13">
        <f>IF(B110="","",COUNTA($B$4:B110))</f>
        <v>107</v>
      </c>
      <c r="B110" s="13" t="s">
        <v>1656</v>
      </c>
      <c r="C110" s="13" t="s">
        <v>1620</v>
      </c>
      <c r="D110" s="13" t="s">
        <v>667</v>
      </c>
      <c r="E110" s="13" t="s">
        <v>108</v>
      </c>
      <c r="F110" s="13" t="s">
        <v>110</v>
      </c>
      <c r="G110" s="13">
        <v>5</v>
      </c>
      <c r="H110" s="13"/>
      <c r="I110" s="14"/>
    </row>
    <row r="111" spans="1:9" x14ac:dyDescent="0.3">
      <c r="A111" s="13">
        <f>IF(B111="","",COUNTA($B$4:B111))</f>
        <v>108</v>
      </c>
      <c r="B111" s="13" t="s">
        <v>1656</v>
      </c>
      <c r="C111" s="13" t="s">
        <v>1675</v>
      </c>
      <c r="D111" s="13" t="s">
        <v>411</v>
      </c>
      <c r="E111" s="13" t="s">
        <v>113</v>
      </c>
      <c r="F111" s="13" t="s">
        <v>107</v>
      </c>
      <c r="G111" s="13">
        <v>4</v>
      </c>
      <c r="H111" s="13"/>
      <c r="I111" s="14"/>
    </row>
    <row r="112" spans="1:9" x14ac:dyDescent="0.3">
      <c r="A112" s="13">
        <f>IF(B112="","",COUNTA($B$4:B112))</f>
        <v>109</v>
      </c>
      <c r="B112" s="13" t="s">
        <v>1656</v>
      </c>
      <c r="C112" s="13" t="s">
        <v>1676</v>
      </c>
      <c r="D112" s="13" t="s">
        <v>1677</v>
      </c>
      <c r="E112" s="13" t="s">
        <v>108</v>
      </c>
      <c r="F112" s="13" t="s">
        <v>110</v>
      </c>
      <c r="G112" s="13">
        <v>9</v>
      </c>
      <c r="H112" s="13">
        <v>2</v>
      </c>
      <c r="I112" s="14"/>
    </row>
    <row r="113" spans="1:9" x14ac:dyDescent="0.3">
      <c r="A113" s="13">
        <f>IF(B113="","",COUNTA($B$4:B113))</f>
        <v>110</v>
      </c>
      <c r="B113" s="13" t="s">
        <v>1656</v>
      </c>
      <c r="C113" s="13" t="s">
        <v>1678</v>
      </c>
      <c r="D113" s="13" t="s">
        <v>1679</v>
      </c>
      <c r="E113" s="13" t="s">
        <v>113</v>
      </c>
      <c r="F113" s="13" t="s">
        <v>107</v>
      </c>
      <c r="G113" s="13">
        <v>2</v>
      </c>
      <c r="H113" s="13"/>
      <c r="I113" s="14"/>
    </row>
    <row r="114" spans="1:9" x14ac:dyDescent="0.3">
      <c r="A114" s="13">
        <f>IF(B114="","",COUNTA($B$4:B114))</f>
        <v>111</v>
      </c>
      <c r="B114" s="13" t="s">
        <v>1656</v>
      </c>
      <c r="C114" s="13" t="s">
        <v>1680</v>
      </c>
      <c r="D114" s="13" t="s">
        <v>493</v>
      </c>
      <c r="E114" s="13" t="s">
        <v>113</v>
      </c>
      <c r="F114" s="13" t="s">
        <v>107</v>
      </c>
      <c r="G114" s="13">
        <v>4</v>
      </c>
      <c r="H114" s="13"/>
      <c r="I114" s="14"/>
    </row>
    <row r="115" spans="1:9" x14ac:dyDescent="0.3">
      <c r="A115" s="13">
        <f>IF(B115="","",COUNTA($B$4:B115))</f>
        <v>112</v>
      </c>
      <c r="B115" s="13" t="s">
        <v>1656</v>
      </c>
      <c r="C115" s="13" t="s">
        <v>1612</v>
      </c>
      <c r="D115" s="13" t="s">
        <v>1613</v>
      </c>
      <c r="E115" s="13" t="s">
        <v>113</v>
      </c>
      <c r="F115" s="13" t="s">
        <v>107</v>
      </c>
      <c r="G115" s="13">
        <v>30</v>
      </c>
      <c r="H115" s="13"/>
      <c r="I115" s="14"/>
    </row>
    <row r="116" spans="1:9" x14ac:dyDescent="0.3">
      <c r="A116" s="13">
        <f>IF(B116="","",COUNTA($B$4:B116))</f>
        <v>113</v>
      </c>
      <c r="B116" s="13" t="s">
        <v>1656</v>
      </c>
      <c r="C116" s="13" t="s">
        <v>726</v>
      </c>
      <c r="D116" s="13" t="s">
        <v>727</v>
      </c>
      <c r="E116" s="13" t="s">
        <v>113</v>
      </c>
      <c r="F116" s="13" t="s">
        <v>1752</v>
      </c>
      <c r="G116" s="13">
        <v>30</v>
      </c>
      <c r="H116" s="13"/>
      <c r="I116" s="14"/>
    </row>
    <row r="117" spans="1:9" x14ac:dyDescent="0.3">
      <c r="A117" s="13">
        <f>IF(B117="","",COUNTA($B$4:B117))</f>
        <v>114</v>
      </c>
      <c r="B117" s="13" t="s">
        <v>1656</v>
      </c>
      <c r="C117" s="13" t="s">
        <v>1614</v>
      </c>
      <c r="D117" s="13" t="s">
        <v>1615</v>
      </c>
      <c r="E117" s="13" t="s">
        <v>113</v>
      </c>
      <c r="F117" s="13" t="s">
        <v>107</v>
      </c>
      <c r="G117" s="13">
        <v>2</v>
      </c>
      <c r="H117" s="13"/>
      <c r="I117" s="14"/>
    </row>
    <row r="118" spans="1:9" x14ac:dyDescent="0.3">
      <c r="A118" s="13">
        <f>IF(B118="","",COUNTA($B$4:B118))</f>
        <v>115</v>
      </c>
      <c r="B118" s="13" t="s">
        <v>1656</v>
      </c>
      <c r="C118" s="13" t="s">
        <v>1681</v>
      </c>
      <c r="D118" s="13" t="s">
        <v>499</v>
      </c>
      <c r="E118" s="13" t="s">
        <v>108</v>
      </c>
      <c r="F118" s="13" t="s">
        <v>110</v>
      </c>
      <c r="G118" s="13">
        <v>5</v>
      </c>
      <c r="H118" s="13">
        <v>2</v>
      </c>
      <c r="I118" s="14"/>
    </row>
    <row r="119" spans="1:9" x14ac:dyDescent="0.3">
      <c r="A119" s="13">
        <f>IF(B119="","",COUNTA($B$4:B119))</f>
        <v>116</v>
      </c>
      <c r="B119" s="13" t="s">
        <v>1656</v>
      </c>
      <c r="C119" s="13" t="s">
        <v>1682</v>
      </c>
      <c r="D119" s="13" t="s">
        <v>548</v>
      </c>
      <c r="E119" s="13" t="s">
        <v>108</v>
      </c>
      <c r="F119" s="13" t="s">
        <v>110</v>
      </c>
      <c r="G119" s="13">
        <v>4</v>
      </c>
      <c r="H119" s="13"/>
      <c r="I119" s="14"/>
    </row>
    <row r="120" spans="1:9" x14ac:dyDescent="0.3">
      <c r="A120" s="13">
        <f>IF(B120="","",COUNTA($B$4:B120))</f>
        <v>117</v>
      </c>
      <c r="B120" s="13" t="s">
        <v>1656</v>
      </c>
      <c r="C120" s="13" t="s">
        <v>1683</v>
      </c>
      <c r="D120" s="13" t="s">
        <v>491</v>
      </c>
      <c r="E120" s="13" t="s">
        <v>108</v>
      </c>
      <c r="F120" s="13" t="s">
        <v>110</v>
      </c>
      <c r="G120" s="13">
        <v>5</v>
      </c>
      <c r="H120" s="13"/>
      <c r="I120" s="14"/>
    </row>
    <row r="121" spans="1:9" x14ac:dyDescent="0.3">
      <c r="A121" s="13">
        <f>IF(B121="","",COUNTA($B$4:B121))</f>
        <v>118</v>
      </c>
      <c r="B121" s="13" t="s">
        <v>1656</v>
      </c>
      <c r="C121" s="13" t="s">
        <v>1684</v>
      </c>
      <c r="D121" s="13" t="s">
        <v>1083</v>
      </c>
      <c r="E121" s="13" t="s">
        <v>108</v>
      </c>
      <c r="F121" s="13" t="s">
        <v>110</v>
      </c>
      <c r="G121" s="13">
        <v>5</v>
      </c>
      <c r="H121" s="13">
        <v>2</v>
      </c>
      <c r="I121" s="14"/>
    </row>
    <row r="122" spans="1:9" x14ac:dyDescent="0.3">
      <c r="A122" s="13">
        <f>IF(B122="","",COUNTA($B$4:B122))</f>
        <v>119</v>
      </c>
      <c r="B122" s="13" t="s">
        <v>1656</v>
      </c>
      <c r="C122" s="13" t="s">
        <v>1685</v>
      </c>
      <c r="D122" s="13" t="s">
        <v>765</v>
      </c>
      <c r="E122" s="13" t="s">
        <v>108</v>
      </c>
      <c r="F122" s="13" t="s">
        <v>110</v>
      </c>
      <c r="G122" s="13">
        <v>5</v>
      </c>
      <c r="H122" s="13"/>
      <c r="I122" s="14"/>
    </row>
    <row r="123" spans="1:9" x14ac:dyDescent="0.3">
      <c r="A123" s="13">
        <f>IF(B123="","",COUNTA($B$4:B123))</f>
        <v>120</v>
      </c>
      <c r="B123" s="13" t="s">
        <v>1656</v>
      </c>
      <c r="C123" s="13" t="s">
        <v>1686</v>
      </c>
      <c r="D123" s="13" t="s">
        <v>1687</v>
      </c>
      <c r="E123" s="13" t="s">
        <v>113</v>
      </c>
      <c r="F123" s="13" t="s">
        <v>107</v>
      </c>
      <c r="G123" s="13">
        <v>4</v>
      </c>
      <c r="H123" s="13"/>
      <c r="I123" s="14"/>
    </row>
    <row r="124" spans="1:9" x14ac:dyDescent="0.3">
      <c r="A124" s="13">
        <f>IF(B124="","",COUNTA($B$4:B124))</f>
        <v>121</v>
      </c>
      <c r="B124" s="13" t="s">
        <v>1656</v>
      </c>
      <c r="C124" s="13" t="s">
        <v>1688</v>
      </c>
      <c r="D124" s="13" t="s">
        <v>781</v>
      </c>
      <c r="E124" s="13" t="s">
        <v>108</v>
      </c>
      <c r="F124" s="13" t="s">
        <v>110</v>
      </c>
      <c r="G124" s="13">
        <v>5</v>
      </c>
      <c r="H124" s="13"/>
      <c r="I124" s="14"/>
    </row>
    <row r="125" spans="1:9" x14ac:dyDescent="0.3">
      <c r="A125" s="13">
        <f>IF(B125="","",COUNTA($B$4:B125))</f>
        <v>122</v>
      </c>
      <c r="B125" s="13" t="s">
        <v>1656</v>
      </c>
      <c r="C125" s="13" t="s">
        <v>1296</v>
      </c>
      <c r="D125" s="13" t="s">
        <v>1689</v>
      </c>
      <c r="E125" s="13" t="s">
        <v>108</v>
      </c>
      <c r="F125" s="13" t="s">
        <v>110</v>
      </c>
      <c r="G125" s="13">
        <v>11</v>
      </c>
      <c r="H125" s="13">
        <v>2</v>
      </c>
      <c r="I125" s="14"/>
    </row>
    <row r="126" spans="1:9" x14ac:dyDescent="0.3">
      <c r="A126" s="13">
        <f>IF(B126="","",COUNTA($B$4:B126))</f>
        <v>123</v>
      </c>
      <c r="B126" s="13" t="s">
        <v>1656</v>
      </c>
      <c r="C126" s="13" t="s">
        <v>1622</v>
      </c>
      <c r="D126" s="13" t="s">
        <v>629</v>
      </c>
      <c r="E126" s="13" t="s">
        <v>113</v>
      </c>
      <c r="F126" s="13" t="s">
        <v>107</v>
      </c>
      <c r="G126" s="13">
        <v>60</v>
      </c>
      <c r="H126" s="13"/>
      <c r="I126" s="14"/>
    </row>
    <row r="127" spans="1:9" x14ac:dyDescent="0.3">
      <c r="A127" s="13">
        <f>IF(B127="","",COUNTA($B$4:B127))</f>
        <v>124</v>
      </c>
      <c r="B127" s="13" t="s">
        <v>1656</v>
      </c>
      <c r="C127" s="13" t="s">
        <v>1623</v>
      </c>
      <c r="D127" s="13" t="s">
        <v>1624</v>
      </c>
      <c r="E127" s="13" t="s">
        <v>113</v>
      </c>
      <c r="F127" s="13" t="s">
        <v>107</v>
      </c>
      <c r="G127" s="13">
        <v>1000</v>
      </c>
      <c r="H127" s="13"/>
      <c r="I127" s="14"/>
    </row>
    <row r="128" spans="1:9" x14ac:dyDescent="0.3">
      <c r="A128" s="13">
        <f>IF(B128="","",COUNTA($B$4:B128))</f>
        <v>125</v>
      </c>
      <c r="B128" s="13" t="s">
        <v>1656</v>
      </c>
      <c r="C128" s="13" t="s">
        <v>1581</v>
      </c>
      <c r="D128" s="13" t="s">
        <v>1582</v>
      </c>
      <c r="E128" s="13" t="s">
        <v>113</v>
      </c>
      <c r="F128" s="13" t="s">
        <v>107</v>
      </c>
      <c r="G128" s="13">
        <v>4</v>
      </c>
      <c r="H128" s="13"/>
      <c r="I128" s="14"/>
    </row>
    <row r="129" spans="1:9" x14ac:dyDescent="0.3">
      <c r="A129" s="13">
        <f>IF(B129="","",COUNTA($B$4:B129))</f>
        <v>126</v>
      </c>
      <c r="B129" s="13" t="s">
        <v>1656</v>
      </c>
      <c r="C129" s="13" t="s">
        <v>1583</v>
      </c>
      <c r="D129" s="13" t="s">
        <v>1584</v>
      </c>
      <c r="E129" s="13" t="s">
        <v>113</v>
      </c>
      <c r="F129" s="13" t="s">
        <v>107</v>
      </c>
      <c r="G129" s="13">
        <v>4</v>
      </c>
      <c r="H129" s="13"/>
      <c r="I129" s="14"/>
    </row>
    <row r="130" spans="1:9" x14ac:dyDescent="0.3">
      <c r="A130" s="13">
        <f>IF(B130="","",COUNTA($B$4:B130))</f>
        <v>127</v>
      </c>
      <c r="B130" s="13" t="s">
        <v>1656</v>
      </c>
      <c r="C130" s="13" t="s">
        <v>206</v>
      </c>
      <c r="D130" s="13" t="s">
        <v>1585</v>
      </c>
      <c r="E130" s="13" t="s">
        <v>113</v>
      </c>
      <c r="F130" s="13" t="s">
        <v>107</v>
      </c>
      <c r="G130" s="13">
        <v>20</v>
      </c>
      <c r="H130" s="13"/>
      <c r="I130" s="14"/>
    </row>
    <row r="131" spans="1:9" x14ac:dyDescent="0.3">
      <c r="A131" s="13">
        <f>IF(B131="","",COUNTA($B$4:B131))</f>
        <v>128</v>
      </c>
      <c r="B131" s="13" t="s">
        <v>1656</v>
      </c>
      <c r="C131" s="13" t="s">
        <v>1626</v>
      </c>
      <c r="D131" s="13" t="s">
        <v>1627</v>
      </c>
      <c r="E131" s="13" t="s">
        <v>113</v>
      </c>
      <c r="F131" s="13" t="s">
        <v>107</v>
      </c>
      <c r="G131" s="13">
        <v>4</v>
      </c>
      <c r="H131" s="13"/>
      <c r="I131" s="14"/>
    </row>
    <row r="132" spans="1:9" x14ac:dyDescent="0.3">
      <c r="A132" s="13">
        <f>IF(B132="","",COUNTA($B$4:B132))</f>
        <v>129</v>
      </c>
      <c r="B132" s="13" t="s">
        <v>1656</v>
      </c>
      <c r="C132" s="13" t="s">
        <v>1628</v>
      </c>
      <c r="D132" s="13" t="s">
        <v>1629</v>
      </c>
      <c r="E132" s="13" t="s">
        <v>113</v>
      </c>
      <c r="F132" s="13" t="s">
        <v>107</v>
      </c>
      <c r="G132" s="13">
        <v>100</v>
      </c>
      <c r="H132" s="13"/>
      <c r="I132" s="14"/>
    </row>
    <row r="133" spans="1:9" x14ac:dyDescent="0.3">
      <c r="A133" s="13">
        <f>IF(B133="","",COUNTA($B$4:B133))</f>
        <v>130</v>
      </c>
      <c r="B133" s="13" t="s">
        <v>1656</v>
      </c>
      <c r="C133" s="13" t="s">
        <v>1630</v>
      </c>
      <c r="D133" s="13" t="s">
        <v>1631</v>
      </c>
      <c r="E133" s="13" t="s">
        <v>113</v>
      </c>
      <c r="F133" s="13" t="s">
        <v>107</v>
      </c>
      <c r="G133" s="13">
        <v>1</v>
      </c>
      <c r="H133" s="13"/>
      <c r="I133" s="14"/>
    </row>
    <row r="134" spans="1:9" x14ac:dyDescent="0.3">
      <c r="A134" s="13">
        <f>IF(B134="","",COUNTA($B$4:B134))</f>
        <v>131</v>
      </c>
      <c r="B134" s="13" t="s">
        <v>1656</v>
      </c>
      <c r="C134" s="13" t="s">
        <v>1690</v>
      </c>
      <c r="D134" s="13" t="s">
        <v>1691</v>
      </c>
      <c r="E134" s="13" t="s">
        <v>113</v>
      </c>
      <c r="F134" s="13" t="s">
        <v>107</v>
      </c>
      <c r="G134" s="13">
        <v>50</v>
      </c>
      <c r="H134" s="13"/>
      <c r="I134" s="14"/>
    </row>
    <row r="135" spans="1:9" x14ac:dyDescent="0.3">
      <c r="A135" s="13">
        <f>IF(B135="","",COUNTA($B$4:B135))</f>
        <v>132</v>
      </c>
      <c r="B135" s="13" t="s">
        <v>1656</v>
      </c>
      <c r="C135" s="13" t="s">
        <v>1692</v>
      </c>
      <c r="D135" s="13" t="s">
        <v>1693</v>
      </c>
      <c r="E135" s="13" t="s">
        <v>113</v>
      </c>
      <c r="F135" s="13" t="s">
        <v>107</v>
      </c>
      <c r="G135" s="13">
        <v>1000</v>
      </c>
      <c r="H135" s="13"/>
      <c r="I135" s="14"/>
    </row>
    <row r="136" spans="1:9" x14ac:dyDescent="0.3">
      <c r="A136" s="13">
        <f>IF(B136="","",COUNTA($B$4:B136))</f>
        <v>133</v>
      </c>
      <c r="B136" s="13" t="s">
        <v>1656</v>
      </c>
      <c r="C136" s="13" t="s">
        <v>1694</v>
      </c>
      <c r="D136" s="13" t="s">
        <v>1695</v>
      </c>
      <c r="E136" s="13" t="s">
        <v>113</v>
      </c>
      <c r="F136" s="13" t="s">
        <v>107</v>
      </c>
      <c r="G136" s="13">
        <v>20</v>
      </c>
      <c r="H136" s="13"/>
      <c r="I136" s="14"/>
    </row>
    <row r="137" spans="1:9" x14ac:dyDescent="0.3">
      <c r="A137" s="13">
        <f>IF(B137="","",COUNTA($B$4:B137))</f>
        <v>134</v>
      </c>
      <c r="B137" s="13" t="s">
        <v>1656</v>
      </c>
      <c r="C137" s="13" t="s">
        <v>1696</v>
      </c>
      <c r="D137" s="13" t="s">
        <v>1697</v>
      </c>
      <c r="E137" s="13" t="s">
        <v>113</v>
      </c>
      <c r="F137" s="13" t="s">
        <v>107</v>
      </c>
      <c r="G137" s="13">
        <v>20</v>
      </c>
      <c r="H137" s="13"/>
      <c r="I137" s="14"/>
    </row>
    <row r="138" spans="1:9" x14ac:dyDescent="0.3">
      <c r="A138" s="13">
        <f>IF(B138="","",COUNTA($B$4:B138))</f>
        <v>135</v>
      </c>
      <c r="B138" s="13" t="s">
        <v>1656</v>
      </c>
      <c r="C138" s="13" t="s">
        <v>1592</v>
      </c>
      <c r="D138" s="13" t="s">
        <v>389</v>
      </c>
      <c r="E138" s="13" t="s">
        <v>113</v>
      </c>
      <c r="F138" s="13" t="s">
        <v>107</v>
      </c>
      <c r="G138" s="13">
        <v>4</v>
      </c>
      <c r="H138" s="13"/>
      <c r="I138" s="14"/>
    </row>
    <row r="139" spans="1:9" x14ac:dyDescent="0.3">
      <c r="A139" s="13">
        <f>IF(B139="","",COUNTA($B$4:B139))</f>
        <v>136</v>
      </c>
      <c r="B139" s="13" t="s">
        <v>1656</v>
      </c>
      <c r="C139" s="13" t="s">
        <v>1593</v>
      </c>
      <c r="D139" s="13" t="s">
        <v>388</v>
      </c>
      <c r="E139" s="13" t="s">
        <v>113</v>
      </c>
      <c r="F139" s="13" t="s">
        <v>107</v>
      </c>
      <c r="G139" s="13">
        <v>4</v>
      </c>
      <c r="H139" s="13"/>
      <c r="I139" s="14"/>
    </row>
    <row r="140" spans="1:9" x14ac:dyDescent="0.3">
      <c r="A140" s="13">
        <f>IF(B140="","",COUNTA($B$4:B140))</f>
        <v>137</v>
      </c>
      <c r="B140" s="13" t="s">
        <v>1656</v>
      </c>
      <c r="C140" s="13" t="s">
        <v>1594</v>
      </c>
      <c r="D140" s="13" t="s">
        <v>581</v>
      </c>
      <c r="E140" s="13" t="s">
        <v>113</v>
      </c>
      <c r="F140" s="13" t="s">
        <v>107</v>
      </c>
      <c r="G140" s="13">
        <v>10</v>
      </c>
      <c r="H140" s="13"/>
      <c r="I140" s="14"/>
    </row>
    <row r="141" spans="1:9" x14ac:dyDescent="0.3">
      <c r="A141" s="13">
        <f>IF(B141="","",COUNTA($B$4:B141))</f>
        <v>138</v>
      </c>
      <c r="B141" s="13" t="s">
        <v>1656</v>
      </c>
      <c r="C141" s="13" t="s">
        <v>114</v>
      </c>
      <c r="D141" s="13" t="s">
        <v>509</v>
      </c>
      <c r="E141" s="13" t="s">
        <v>113</v>
      </c>
      <c r="F141" s="13" t="s">
        <v>107</v>
      </c>
      <c r="G141" s="13">
        <v>10</v>
      </c>
      <c r="H141" s="13"/>
      <c r="I141" s="14"/>
    </row>
    <row r="142" spans="1:9" x14ac:dyDescent="0.3">
      <c r="A142" s="13">
        <f>IF(B142="","",COUNTA($B$4:B142))</f>
        <v>139</v>
      </c>
      <c r="B142" s="13" t="s">
        <v>1656</v>
      </c>
      <c r="C142" s="13" t="s">
        <v>115</v>
      </c>
      <c r="D142" s="13" t="s">
        <v>513</v>
      </c>
      <c r="E142" s="13" t="s">
        <v>87</v>
      </c>
      <c r="F142" s="13" t="s">
        <v>109</v>
      </c>
      <c r="G142" s="13"/>
      <c r="H142" s="13"/>
      <c r="I142" s="14"/>
    </row>
    <row r="143" spans="1:9" x14ac:dyDescent="0.3">
      <c r="A143" s="13">
        <f>IF(B143="","",COUNTA($B$4:B143))</f>
        <v>140</v>
      </c>
      <c r="B143" s="13" t="s">
        <v>1656</v>
      </c>
      <c r="C143" s="13" t="s">
        <v>1431</v>
      </c>
      <c r="D143" s="13" t="s">
        <v>583</v>
      </c>
      <c r="E143" s="13" t="s">
        <v>113</v>
      </c>
      <c r="F143" s="13" t="s">
        <v>107</v>
      </c>
      <c r="G143" s="13">
        <v>10</v>
      </c>
      <c r="H143" s="13"/>
      <c r="I143" s="14"/>
    </row>
    <row r="144" spans="1:9" x14ac:dyDescent="0.3">
      <c r="A144" s="13">
        <f>IF(B144="","",COUNTA($B$4:B144))</f>
        <v>141</v>
      </c>
      <c r="B144" s="13" t="s">
        <v>1656</v>
      </c>
      <c r="C144" s="13" t="s">
        <v>116</v>
      </c>
      <c r="D144" s="13" t="s">
        <v>355</v>
      </c>
      <c r="E144" s="13" t="s">
        <v>113</v>
      </c>
      <c r="F144" s="13" t="s">
        <v>107</v>
      </c>
      <c r="G144" s="13">
        <v>10</v>
      </c>
      <c r="H144" s="13"/>
      <c r="I144" s="14"/>
    </row>
    <row r="145" spans="1:9" x14ac:dyDescent="0.3">
      <c r="A145" s="13">
        <f>IF(B145="","",COUNTA($B$4:B145))</f>
        <v>142</v>
      </c>
      <c r="B145" s="13" t="s">
        <v>1656</v>
      </c>
      <c r="C145" s="13" t="s">
        <v>117</v>
      </c>
      <c r="D145" s="13" t="s">
        <v>359</v>
      </c>
      <c r="E145" s="13" t="s">
        <v>87</v>
      </c>
      <c r="F145" s="13" t="s">
        <v>109</v>
      </c>
      <c r="G145" s="13"/>
      <c r="H145" s="13"/>
      <c r="I145" s="14"/>
    </row>
    <row r="146" spans="1:9" x14ac:dyDescent="0.3">
      <c r="A146" s="13">
        <f>IF(B146="","",COUNTA($B$4:B146))</f>
        <v>143</v>
      </c>
      <c r="B146" s="13" t="s">
        <v>1698</v>
      </c>
      <c r="C146" s="13" t="s">
        <v>1644</v>
      </c>
      <c r="D146" s="13" t="s">
        <v>1645</v>
      </c>
      <c r="E146" s="13" t="s">
        <v>113</v>
      </c>
      <c r="F146" s="13" t="s">
        <v>107</v>
      </c>
      <c r="G146" s="13">
        <v>10</v>
      </c>
      <c r="H146" s="13"/>
      <c r="I146" s="14"/>
    </row>
    <row r="147" spans="1:9" x14ac:dyDescent="0.3">
      <c r="A147" s="13">
        <f>IF(B147="","",COUNTA($B$4:B147))</f>
        <v>144</v>
      </c>
      <c r="B147" s="13" t="s">
        <v>1698</v>
      </c>
      <c r="C147" s="13" t="s">
        <v>1610</v>
      </c>
      <c r="D147" s="13" t="s">
        <v>1611</v>
      </c>
      <c r="E147" s="13" t="s">
        <v>113</v>
      </c>
      <c r="F147" s="13" t="s">
        <v>107</v>
      </c>
      <c r="G147" s="13">
        <v>4</v>
      </c>
      <c r="H147" s="13"/>
      <c r="I147" s="14"/>
    </row>
    <row r="148" spans="1:9" x14ac:dyDescent="0.3">
      <c r="A148" s="13">
        <f>IF(B148="","",COUNTA($B$4:B148))</f>
        <v>145</v>
      </c>
      <c r="B148" s="13" t="s">
        <v>1698</v>
      </c>
      <c r="C148" s="13" t="s">
        <v>1699</v>
      </c>
      <c r="D148" s="13" t="s">
        <v>1700</v>
      </c>
      <c r="E148" s="13" t="s">
        <v>113</v>
      </c>
      <c r="F148" s="13" t="s">
        <v>107</v>
      </c>
      <c r="G148" s="13">
        <v>100</v>
      </c>
      <c r="H148" s="13"/>
      <c r="I148" s="14"/>
    </row>
    <row r="149" spans="1:9" x14ac:dyDescent="0.3">
      <c r="A149" s="13">
        <f>IF(B149="","",COUNTA($B$4:B149))</f>
        <v>146</v>
      </c>
      <c r="B149" s="13" t="s">
        <v>1698</v>
      </c>
      <c r="C149" s="13" t="s">
        <v>1511</v>
      </c>
      <c r="D149" s="13" t="s">
        <v>1521</v>
      </c>
      <c r="E149" s="13" t="s">
        <v>113</v>
      </c>
      <c r="F149" s="13" t="s">
        <v>107</v>
      </c>
      <c r="G149" s="13">
        <v>100</v>
      </c>
      <c r="H149" s="13"/>
      <c r="I149" s="14"/>
    </row>
    <row r="150" spans="1:9" x14ac:dyDescent="0.3">
      <c r="A150" s="13">
        <f>IF(B150="","",COUNTA($B$4:B150))</f>
        <v>147</v>
      </c>
      <c r="B150" s="13" t="s">
        <v>1698</v>
      </c>
      <c r="C150" s="13" t="s">
        <v>1512</v>
      </c>
      <c r="D150" s="13" t="s">
        <v>1522</v>
      </c>
      <c r="E150" s="13" t="s">
        <v>113</v>
      </c>
      <c r="F150" s="13" t="s">
        <v>107</v>
      </c>
      <c r="G150" s="13">
        <v>100</v>
      </c>
      <c r="H150" s="13"/>
      <c r="I150" s="14"/>
    </row>
    <row r="151" spans="1:9" x14ac:dyDescent="0.3">
      <c r="A151" s="13">
        <f>IF(B151="","",COUNTA($B$4:B151))</f>
        <v>148</v>
      </c>
      <c r="B151" s="13" t="s">
        <v>1698</v>
      </c>
      <c r="C151" s="13" t="s">
        <v>1513</v>
      </c>
      <c r="D151" s="13" t="s">
        <v>1523</v>
      </c>
      <c r="E151" s="13" t="s">
        <v>113</v>
      </c>
      <c r="F151" s="13" t="s">
        <v>107</v>
      </c>
      <c r="G151" s="13">
        <v>100</v>
      </c>
      <c r="H151" s="13"/>
      <c r="I151" s="14"/>
    </row>
    <row r="152" spans="1:9" x14ac:dyDescent="0.3">
      <c r="A152" s="13">
        <f>IF(B152="","",COUNTA($B$4:B152))</f>
        <v>149</v>
      </c>
      <c r="B152" s="13" t="s">
        <v>1698</v>
      </c>
      <c r="C152" s="13" t="s">
        <v>1514</v>
      </c>
      <c r="D152" s="13" t="s">
        <v>1524</v>
      </c>
      <c r="E152" s="13" t="s">
        <v>113</v>
      </c>
      <c r="F152" s="13" t="s">
        <v>107</v>
      </c>
      <c r="G152" s="13">
        <v>100</v>
      </c>
      <c r="H152" s="13"/>
      <c r="I152" s="14"/>
    </row>
    <row r="153" spans="1:9" x14ac:dyDescent="0.3">
      <c r="A153" s="13">
        <f>IF(B153="","",COUNTA($B$4:B153))</f>
        <v>150</v>
      </c>
      <c r="B153" s="13" t="s">
        <v>1698</v>
      </c>
      <c r="C153" s="13" t="s">
        <v>1515</v>
      </c>
      <c r="D153" s="13" t="s">
        <v>1525</v>
      </c>
      <c r="E153" s="13" t="s">
        <v>113</v>
      </c>
      <c r="F153" s="13" t="s">
        <v>107</v>
      </c>
      <c r="G153" s="13">
        <v>100</v>
      </c>
      <c r="H153" s="13"/>
      <c r="I153" s="14"/>
    </row>
    <row r="154" spans="1:9" x14ac:dyDescent="0.3">
      <c r="A154" s="13">
        <f>IF(B154="","",COUNTA($B$4:B154))</f>
        <v>151</v>
      </c>
      <c r="B154" s="13" t="s">
        <v>1698</v>
      </c>
      <c r="C154" s="13" t="s">
        <v>1516</v>
      </c>
      <c r="D154" s="13" t="s">
        <v>1526</v>
      </c>
      <c r="E154" s="13" t="s">
        <v>113</v>
      </c>
      <c r="F154" s="13" t="s">
        <v>107</v>
      </c>
      <c r="G154" s="13">
        <v>100</v>
      </c>
      <c r="H154" s="13"/>
      <c r="I154" s="14"/>
    </row>
    <row r="155" spans="1:9" x14ac:dyDescent="0.3">
      <c r="A155" s="13">
        <f>IF(B155="","",COUNTA($B$4:B155))</f>
        <v>152</v>
      </c>
      <c r="B155" s="13" t="s">
        <v>1698</v>
      </c>
      <c r="C155" s="13" t="s">
        <v>1517</v>
      </c>
      <c r="D155" s="13" t="s">
        <v>1527</v>
      </c>
      <c r="E155" s="13" t="s">
        <v>113</v>
      </c>
      <c r="F155" s="13" t="s">
        <v>107</v>
      </c>
      <c r="G155" s="13">
        <v>100</v>
      </c>
      <c r="H155" s="13"/>
      <c r="I155" s="14"/>
    </row>
    <row r="156" spans="1:9" x14ac:dyDescent="0.3">
      <c r="A156" s="13">
        <f>IF(B156="","",COUNTA($B$4:B156))</f>
        <v>153</v>
      </c>
      <c r="B156" s="13" t="s">
        <v>1698</v>
      </c>
      <c r="C156" s="13" t="s">
        <v>1518</v>
      </c>
      <c r="D156" s="13" t="s">
        <v>1528</v>
      </c>
      <c r="E156" s="13" t="s">
        <v>113</v>
      </c>
      <c r="F156" s="13" t="s">
        <v>107</v>
      </c>
      <c r="G156" s="13">
        <v>100</v>
      </c>
      <c r="H156" s="13"/>
      <c r="I156" s="14"/>
    </row>
    <row r="157" spans="1:9" x14ac:dyDescent="0.3">
      <c r="A157" s="13">
        <f>IF(B157="","",COUNTA($B$4:B157))</f>
        <v>154</v>
      </c>
      <c r="B157" s="13" t="s">
        <v>1698</v>
      </c>
      <c r="C157" s="13" t="s">
        <v>1592</v>
      </c>
      <c r="D157" s="13" t="s">
        <v>389</v>
      </c>
      <c r="E157" s="13" t="s">
        <v>113</v>
      </c>
      <c r="F157" s="13" t="s">
        <v>107</v>
      </c>
      <c r="G157" s="13">
        <v>4</v>
      </c>
      <c r="H157" s="13"/>
      <c r="I157" s="14"/>
    </row>
    <row r="158" spans="1:9" x14ac:dyDescent="0.3">
      <c r="A158" s="13">
        <f>IF(B158="","",COUNTA($B$4:B158))</f>
        <v>155</v>
      </c>
      <c r="B158" s="13" t="s">
        <v>1698</v>
      </c>
      <c r="C158" s="13" t="s">
        <v>1593</v>
      </c>
      <c r="D158" s="13" t="s">
        <v>388</v>
      </c>
      <c r="E158" s="13" t="s">
        <v>113</v>
      </c>
      <c r="F158" s="13" t="s">
        <v>107</v>
      </c>
      <c r="G158" s="13">
        <v>4</v>
      </c>
      <c r="H158" s="13"/>
      <c r="I158" s="14"/>
    </row>
    <row r="159" spans="1:9" x14ac:dyDescent="0.3">
      <c r="A159" s="13">
        <f>IF(B159="","",COUNTA($B$4:B159))</f>
        <v>156</v>
      </c>
      <c r="B159" s="13" t="s">
        <v>1698</v>
      </c>
      <c r="C159" s="13" t="s">
        <v>1594</v>
      </c>
      <c r="D159" s="13" t="s">
        <v>581</v>
      </c>
      <c r="E159" s="13" t="s">
        <v>113</v>
      </c>
      <c r="F159" s="13" t="s">
        <v>107</v>
      </c>
      <c r="G159" s="13">
        <v>10</v>
      </c>
      <c r="H159" s="13"/>
      <c r="I159" s="14"/>
    </row>
    <row r="160" spans="1:9" x14ac:dyDescent="0.3">
      <c r="A160" s="13">
        <f>IF(B160="","",COUNTA($B$4:B160))</f>
        <v>157</v>
      </c>
      <c r="B160" s="13" t="s">
        <v>1698</v>
      </c>
      <c r="C160" s="13" t="s">
        <v>114</v>
      </c>
      <c r="D160" s="13" t="s">
        <v>509</v>
      </c>
      <c r="E160" s="13" t="s">
        <v>113</v>
      </c>
      <c r="F160" s="13" t="s">
        <v>107</v>
      </c>
      <c r="G160" s="13">
        <v>10</v>
      </c>
      <c r="H160" s="13"/>
      <c r="I160" s="14"/>
    </row>
    <row r="161" spans="1:9" x14ac:dyDescent="0.3">
      <c r="A161" s="13">
        <f>IF(B161="","",COUNTA($B$4:B161))</f>
        <v>158</v>
      </c>
      <c r="B161" s="13" t="s">
        <v>1698</v>
      </c>
      <c r="C161" s="13" t="s">
        <v>115</v>
      </c>
      <c r="D161" s="13" t="s">
        <v>513</v>
      </c>
      <c r="E161" s="13" t="s">
        <v>87</v>
      </c>
      <c r="F161" s="13" t="s">
        <v>109</v>
      </c>
      <c r="G161" s="13"/>
      <c r="H161" s="13"/>
      <c r="I161" s="14"/>
    </row>
    <row r="162" spans="1:9" x14ac:dyDescent="0.3">
      <c r="A162" s="13">
        <f>IF(B162="","",COUNTA($B$4:B162))</f>
        <v>159</v>
      </c>
      <c r="B162" s="13" t="s">
        <v>1698</v>
      </c>
      <c r="C162" s="13" t="s">
        <v>1431</v>
      </c>
      <c r="D162" s="13" t="s">
        <v>583</v>
      </c>
      <c r="E162" s="13" t="s">
        <v>113</v>
      </c>
      <c r="F162" s="13" t="s">
        <v>107</v>
      </c>
      <c r="G162" s="13">
        <v>10</v>
      </c>
      <c r="H162" s="13"/>
      <c r="I162" s="14"/>
    </row>
    <row r="163" spans="1:9" x14ac:dyDescent="0.3">
      <c r="A163" s="13">
        <f>IF(B163="","",COUNTA($B$4:B163))</f>
        <v>160</v>
      </c>
      <c r="B163" s="13" t="s">
        <v>1698</v>
      </c>
      <c r="C163" s="13" t="s">
        <v>116</v>
      </c>
      <c r="D163" s="13" t="s">
        <v>355</v>
      </c>
      <c r="E163" s="13" t="s">
        <v>113</v>
      </c>
      <c r="F163" s="13" t="s">
        <v>107</v>
      </c>
      <c r="G163" s="13">
        <v>10</v>
      </c>
      <c r="H163" s="13"/>
      <c r="I163" s="14"/>
    </row>
    <row r="164" spans="1:9" x14ac:dyDescent="0.3">
      <c r="A164" s="13">
        <f>IF(B164="","",COUNTA($B$4:B164))</f>
        <v>161</v>
      </c>
      <c r="B164" s="13" t="s">
        <v>1698</v>
      </c>
      <c r="C164" s="13" t="s">
        <v>117</v>
      </c>
      <c r="D164" s="13" t="s">
        <v>359</v>
      </c>
      <c r="E164" s="13" t="s">
        <v>87</v>
      </c>
      <c r="F164" s="13" t="s">
        <v>109</v>
      </c>
      <c r="G164" s="13"/>
      <c r="H164" s="13"/>
      <c r="I164" s="14"/>
    </row>
    <row r="165" spans="1:9" x14ac:dyDescent="0.3">
      <c r="A165" s="13">
        <f>IF(B165="","",COUNTA($B$4:B165))</f>
        <v>162</v>
      </c>
      <c r="B165" s="13" t="s">
        <v>1701</v>
      </c>
      <c r="C165" s="13" t="s">
        <v>1660</v>
      </c>
      <c r="D165" s="13" t="s">
        <v>1661</v>
      </c>
      <c r="E165" s="13" t="s">
        <v>113</v>
      </c>
      <c r="F165" s="13" t="s">
        <v>107</v>
      </c>
      <c r="G165" s="13">
        <v>10</v>
      </c>
      <c r="H165" s="13"/>
      <c r="I165" s="14"/>
    </row>
    <row r="166" spans="1:9" x14ac:dyDescent="0.3">
      <c r="A166" s="13">
        <f>IF(B166="","",COUNTA($B$4:B166))</f>
        <v>163</v>
      </c>
      <c r="B166" s="13" t="s">
        <v>1701</v>
      </c>
      <c r="C166" s="13" t="s">
        <v>1702</v>
      </c>
      <c r="D166" s="13" t="s">
        <v>320</v>
      </c>
      <c r="E166" s="13" t="s">
        <v>113</v>
      </c>
      <c r="F166" s="13" t="s">
        <v>107</v>
      </c>
      <c r="G166" s="13">
        <v>10</v>
      </c>
      <c r="H166" s="13"/>
      <c r="I166" s="14"/>
    </row>
    <row r="167" spans="1:9" x14ac:dyDescent="0.3">
      <c r="A167" s="13">
        <f>IF(B167="","",COUNTA($B$4:B167))</f>
        <v>164</v>
      </c>
      <c r="B167" s="13" t="s">
        <v>1701</v>
      </c>
      <c r="C167" s="13" t="s">
        <v>1703</v>
      </c>
      <c r="D167" s="13" t="s">
        <v>331</v>
      </c>
      <c r="E167" s="13" t="s">
        <v>113</v>
      </c>
      <c r="F167" s="13" t="s">
        <v>107</v>
      </c>
      <c r="G167" s="13">
        <v>30</v>
      </c>
      <c r="H167" s="13"/>
      <c r="I167" s="14"/>
    </row>
    <row r="168" spans="1:9" x14ac:dyDescent="0.3">
      <c r="A168" s="13">
        <f>IF(B168="","",COUNTA($B$4:B168))</f>
        <v>165</v>
      </c>
      <c r="B168" s="13" t="s">
        <v>1701</v>
      </c>
      <c r="C168" s="13" t="s">
        <v>1704</v>
      </c>
      <c r="D168" s="13" t="s">
        <v>382</v>
      </c>
      <c r="E168" s="13" t="s">
        <v>113</v>
      </c>
      <c r="F168" s="13" t="s">
        <v>109</v>
      </c>
      <c r="G168" s="13"/>
      <c r="H168" s="13"/>
      <c r="I168" s="14"/>
    </row>
    <row r="169" spans="1:9" x14ac:dyDescent="0.3">
      <c r="A169" s="13">
        <f>IF(B169="","",COUNTA($B$4:B169))</f>
        <v>166</v>
      </c>
      <c r="B169" s="13" t="s">
        <v>1701</v>
      </c>
      <c r="C169" s="13" t="s">
        <v>1705</v>
      </c>
      <c r="D169" s="13" t="s">
        <v>1706</v>
      </c>
      <c r="E169" s="13" t="s">
        <v>113</v>
      </c>
      <c r="F169" s="13" t="s">
        <v>107</v>
      </c>
      <c r="G169" s="13">
        <v>6</v>
      </c>
      <c r="H169" s="13"/>
      <c r="I169" s="14"/>
    </row>
    <row r="170" spans="1:9" x14ac:dyDescent="0.3">
      <c r="A170" s="13">
        <f>IF(B170="","",COUNTA($B$4:B170))</f>
        <v>167</v>
      </c>
      <c r="B170" s="13" t="s">
        <v>1701</v>
      </c>
      <c r="C170" s="13" t="s">
        <v>1707</v>
      </c>
      <c r="D170" s="13" t="s">
        <v>1708</v>
      </c>
      <c r="E170" s="13" t="s">
        <v>113</v>
      </c>
      <c r="F170" s="13" t="s">
        <v>107</v>
      </c>
      <c r="G170" s="13">
        <v>6</v>
      </c>
      <c r="H170" s="13"/>
      <c r="I170" s="14"/>
    </row>
    <row r="171" spans="1:9" x14ac:dyDescent="0.3">
      <c r="A171" s="13">
        <f>IF(B171="","",COUNTA($B$4:B171))</f>
        <v>168</v>
      </c>
      <c r="B171" s="13" t="s">
        <v>1701</v>
      </c>
      <c r="C171" s="13" t="s">
        <v>1709</v>
      </c>
      <c r="D171" s="13" t="s">
        <v>1710</v>
      </c>
      <c r="E171" s="13" t="s">
        <v>113</v>
      </c>
      <c r="F171" s="13" t="s">
        <v>107</v>
      </c>
      <c r="G171" s="13">
        <v>6</v>
      </c>
      <c r="H171" s="13"/>
      <c r="I171" s="14"/>
    </row>
    <row r="172" spans="1:9" x14ac:dyDescent="0.3">
      <c r="A172" s="13">
        <f>IF(B172="","",COUNTA($B$4:B172))</f>
        <v>169</v>
      </c>
      <c r="B172" s="13" t="s">
        <v>1701</v>
      </c>
      <c r="C172" s="13" t="s">
        <v>1592</v>
      </c>
      <c r="D172" s="13" t="s">
        <v>389</v>
      </c>
      <c r="E172" s="13" t="s">
        <v>113</v>
      </c>
      <c r="F172" s="13" t="s">
        <v>107</v>
      </c>
      <c r="G172" s="13">
        <v>4</v>
      </c>
      <c r="H172" s="13"/>
      <c r="I172" s="14"/>
    </row>
    <row r="173" spans="1:9" x14ac:dyDescent="0.3">
      <c r="A173" s="13">
        <f>IF(B173="","",COUNTA($B$4:B173))</f>
        <v>170</v>
      </c>
      <c r="B173" s="13" t="s">
        <v>1701</v>
      </c>
      <c r="C173" s="13" t="s">
        <v>1593</v>
      </c>
      <c r="D173" s="13" t="s">
        <v>388</v>
      </c>
      <c r="E173" s="13" t="s">
        <v>113</v>
      </c>
      <c r="F173" s="13" t="s">
        <v>107</v>
      </c>
      <c r="G173" s="13">
        <v>4</v>
      </c>
      <c r="H173" s="13"/>
      <c r="I173" s="14"/>
    </row>
    <row r="174" spans="1:9" x14ac:dyDescent="0.3">
      <c r="A174" s="13">
        <f>IF(B174="","",COUNTA($B$4:B174))</f>
        <v>171</v>
      </c>
      <c r="B174" s="13" t="s">
        <v>1701</v>
      </c>
      <c r="C174" s="13" t="s">
        <v>1594</v>
      </c>
      <c r="D174" s="13" t="s">
        <v>581</v>
      </c>
      <c r="E174" s="13" t="s">
        <v>113</v>
      </c>
      <c r="F174" s="13" t="s">
        <v>107</v>
      </c>
      <c r="G174" s="13">
        <v>10</v>
      </c>
      <c r="H174" s="13"/>
      <c r="I174" s="14"/>
    </row>
    <row r="175" spans="1:9" x14ac:dyDescent="0.3">
      <c r="A175" s="13">
        <f>IF(B175="","",COUNTA($B$4:B175))</f>
        <v>172</v>
      </c>
      <c r="B175" s="13" t="s">
        <v>1701</v>
      </c>
      <c r="C175" s="13" t="s">
        <v>114</v>
      </c>
      <c r="D175" s="13" t="s">
        <v>509</v>
      </c>
      <c r="E175" s="13" t="s">
        <v>113</v>
      </c>
      <c r="F175" s="13" t="s">
        <v>107</v>
      </c>
      <c r="G175" s="13">
        <v>10</v>
      </c>
      <c r="H175" s="13"/>
      <c r="I175" s="14"/>
    </row>
    <row r="176" spans="1:9" x14ac:dyDescent="0.3">
      <c r="A176" s="13">
        <f>IF(B176="","",COUNTA($B$4:B176))</f>
        <v>173</v>
      </c>
      <c r="B176" s="13" t="s">
        <v>1701</v>
      </c>
      <c r="C176" s="13" t="s">
        <v>115</v>
      </c>
      <c r="D176" s="13" t="s">
        <v>513</v>
      </c>
      <c r="E176" s="13" t="s">
        <v>87</v>
      </c>
      <c r="F176" s="13" t="s">
        <v>109</v>
      </c>
      <c r="G176" s="13"/>
      <c r="H176" s="13"/>
      <c r="I176" s="14"/>
    </row>
    <row r="177" spans="1:9" x14ac:dyDescent="0.3">
      <c r="A177" s="13">
        <f>IF(B177="","",COUNTA($B$4:B177))</f>
        <v>174</v>
      </c>
      <c r="B177" s="13" t="s">
        <v>1701</v>
      </c>
      <c r="C177" s="13" t="s">
        <v>1431</v>
      </c>
      <c r="D177" s="13" t="s">
        <v>583</v>
      </c>
      <c r="E177" s="13" t="s">
        <v>113</v>
      </c>
      <c r="F177" s="13" t="s">
        <v>107</v>
      </c>
      <c r="G177" s="13">
        <v>10</v>
      </c>
      <c r="H177" s="13"/>
      <c r="I177" s="14"/>
    </row>
    <row r="178" spans="1:9" x14ac:dyDescent="0.3">
      <c r="A178" s="13">
        <f>IF(B178="","",COUNTA($B$4:B178))</f>
        <v>175</v>
      </c>
      <c r="B178" s="13" t="s">
        <v>1701</v>
      </c>
      <c r="C178" s="13" t="s">
        <v>116</v>
      </c>
      <c r="D178" s="13" t="s">
        <v>355</v>
      </c>
      <c r="E178" s="13" t="s">
        <v>113</v>
      </c>
      <c r="F178" s="13" t="s">
        <v>107</v>
      </c>
      <c r="G178" s="13">
        <v>10</v>
      </c>
      <c r="H178" s="13"/>
      <c r="I178" s="14"/>
    </row>
    <row r="179" spans="1:9" x14ac:dyDescent="0.3">
      <c r="A179" s="13">
        <f>IF(B179="","",COUNTA($B$4:B179))</f>
        <v>176</v>
      </c>
      <c r="B179" s="13" t="s">
        <v>1701</v>
      </c>
      <c r="C179" s="13" t="s">
        <v>117</v>
      </c>
      <c r="D179" s="13" t="s">
        <v>359</v>
      </c>
      <c r="E179" s="13" t="s">
        <v>87</v>
      </c>
      <c r="F179" s="13" t="s">
        <v>109</v>
      </c>
      <c r="G179" s="13"/>
      <c r="H179" s="13"/>
      <c r="I179" s="14"/>
    </row>
    <row r="180" spans="1:9" x14ac:dyDescent="0.3">
      <c r="A180" s="13">
        <f>IF(B180="","",COUNTA($B$4:B180))</f>
        <v>177</v>
      </c>
      <c r="B180" s="13" t="s">
        <v>1711</v>
      </c>
      <c r="C180" s="13" t="s">
        <v>1660</v>
      </c>
      <c r="D180" s="13" t="s">
        <v>1661</v>
      </c>
      <c r="E180" s="13" t="s">
        <v>113</v>
      </c>
      <c r="F180" s="13" t="s">
        <v>107</v>
      </c>
      <c r="G180" s="13">
        <v>10</v>
      </c>
      <c r="H180" s="13"/>
      <c r="I180" s="14"/>
    </row>
    <row r="181" spans="1:9" x14ac:dyDescent="0.3">
      <c r="A181" s="13">
        <f>IF(B181="","",COUNTA($B$4:B181))</f>
        <v>178</v>
      </c>
      <c r="B181" s="13" t="s">
        <v>1711</v>
      </c>
      <c r="C181" s="13" t="s">
        <v>1610</v>
      </c>
      <c r="D181" s="13" t="s">
        <v>1611</v>
      </c>
      <c r="E181" s="13" t="s">
        <v>113</v>
      </c>
      <c r="F181" s="13" t="s">
        <v>107</v>
      </c>
      <c r="G181" s="13">
        <v>30</v>
      </c>
      <c r="H181" s="13"/>
      <c r="I181" s="14"/>
    </row>
    <row r="182" spans="1:9" x14ac:dyDescent="0.3">
      <c r="A182" s="13">
        <f>IF(B182="","",COUNTA($B$4:B182))</f>
        <v>179</v>
      </c>
      <c r="B182" s="13" t="s">
        <v>1711</v>
      </c>
      <c r="C182" s="13" t="s">
        <v>1662</v>
      </c>
      <c r="D182" s="13" t="s">
        <v>1663</v>
      </c>
      <c r="E182" s="13" t="s">
        <v>108</v>
      </c>
      <c r="F182" s="13" t="s">
        <v>110</v>
      </c>
      <c r="G182" s="13">
        <v>5</v>
      </c>
      <c r="H182" s="13"/>
      <c r="I182" s="14"/>
    </row>
    <row r="183" spans="1:9" x14ac:dyDescent="0.3">
      <c r="A183" s="13">
        <f>IF(B183="","",COUNTA($B$4:B183))</f>
        <v>180</v>
      </c>
      <c r="B183" s="13" t="s">
        <v>1711</v>
      </c>
      <c r="C183" s="13" t="s">
        <v>1712</v>
      </c>
      <c r="D183" s="13" t="s">
        <v>1713</v>
      </c>
      <c r="E183" s="13" t="s">
        <v>113</v>
      </c>
      <c r="F183" s="13" t="s">
        <v>107</v>
      </c>
      <c r="G183" s="13">
        <v>10</v>
      </c>
      <c r="H183" s="13"/>
      <c r="I183" s="14"/>
    </row>
    <row r="184" spans="1:9" x14ac:dyDescent="0.3">
      <c r="A184" s="13">
        <f>IF(B184="","",COUNTA($B$4:B184))</f>
        <v>181</v>
      </c>
      <c r="B184" s="13" t="s">
        <v>1711</v>
      </c>
      <c r="C184" s="13" t="s">
        <v>1714</v>
      </c>
      <c r="D184" s="13" t="s">
        <v>1715</v>
      </c>
      <c r="E184" s="13" t="s">
        <v>108</v>
      </c>
      <c r="F184" s="13" t="s">
        <v>110</v>
      </c>
      <c r="G184" s="13">
        <v>5</v>
      </c>
      <c r="H184" s="13"/>
      <c r="I184" s="14"/>
    </row>
    <row r="185" spans="1:9" x14ac:dyDescent="0.3">
      <c r="A185" s="13">
        <f>IF(B185="","",COUNTA($B$4:B185))</f>
        <v>182</v>
      </c>
      <c r="B185" s="13" t="s">
        <v>1711</v>
      </c>
      <c r="C185" s="13" t="s">
        <v>1716</v>
      </c>
      <c r="D185" s="13" t="s">
        <v>957</v>
      </c>
      <c r="E185" s="13" t="s">
        <v>113</v>
      </c>
      <c r="F185" s="13" t="s">
        <v>107</v>
      </c>
      <c r="G185" s="13">
        <v>10</v>
      </c>
      <c r="H185" s="13"/>
      <c r="I185" s="14"/>
    </row>
    <row r="186" spans="1:9" x14ac:dyDescent="0.3">
      <c r="A186" s="13">
        <f>IF(B186="","",COUNTA($B$4:B186))</f>
        <v>183</v>
      </c>
      <c r="B186" s="13" t="s">
        <v>1711</v>
      </c>
      <c r="C186" s="13" t="s">
        <v>156</v>
      </c>
      <c r="D186" s="13" t="s">
        <v>532</v>
      </c>
      <c r="E186" s="13" t="s">
        <v>113</v>
      </c>
      <c r="F186" s="13" t="s">
        <v>107</v>
      </c>
      <c r="G186" s="13">
        <v>12</v>
      </c>
      <c r="H186" s="13"/>
      <c r="I186" s="14"/>
    </row>
    <row r="187" spans="1:9" x14ac:dyDescent="0.3">
      <c r="A187" s="13">
        <f>IF(B187="","",COUNTA($B$4:B187))</f>
        <v>184</v>
      </c>
      <c r="B187" s="13" t="s">
        <v>1711</v>
      </c>
      <c r="C187" s="13" t="s">
        <v>1561</v>
      </c>
      <c r="D187" s="13" t="s">
        <v>616</v>
      </c>
      <c r="E187" s="13" t="s">
        <v>113</v>
      </c>
      <c r="F187" s="13" t="s">
        <v>1752</v>
      </c>
      <c r="G187" s="13">
        <v>30</v>
      </c>
      <c r="H187" s="13"/>
      <c r="I187" s="14"/>
    </row>
    <row r="188" spans="1:9" x14ac:dyDescent="0.3">
      <c r="A188" s="13">
        <f>IF(B188="","",COUNTA($B$4:B188))</f>
        <v>185</v>
      </c>
      <c r="B188" s="13" t="s">
        <v>1711</v>
      </c>
      <c r="C188" s="13" t="s">
        <v>1717</v>
      </c>
      <c r="D188" s="13" t="s">
        <v>1718</v>
      </c>
      <c r="E188" s="13" t="s">
        <v>113</v>
      </c>
      <c r="F188" s="13" t="s">
        <v>107</v>
      </c>
      <c r="G188" s="13">
        <v>3</v>
      </c>
      <c r="H188" s="13"/>
      <c r="I188" s="14"/>
    </row>
    <row r="189" spans="1:9" x14ac:dyDescent="0.3">
      <c r="A189" s="13">
        <f>IF(B189="","",COUNTA($B$4:B189))</f>
        <v>186</v>
      </c>
      <c r="B189" s="13" t="s">
        <v>1711</v>
      </c>
      <c r="C189" s="13" t="s">
        <v>188</v>
      </c>
      <c r="D189" s="13" t="s">
        <v>1719</v>
      </c>
      <c r="E189" s="13" t="s">
        <v>113</v>
      </c>
      <c r="F189" s="13" t="s">
        <v>1752</v>
      </c>
      <c r="G189" s="13">
        <v>30</v>
      </c>
      <c r="H189" s="13"/>
      <c r="I189" s="14"/>
    </row>
    <row r="190" spans="1:9" x14ac:dyDescent="0.3">
      <c r="A190" s="13">
        <f>IF(B190="","",COUNTA($B$4:B190))</f>
        <v>187</v>
      </c>
      <c r="B190" s="13" t="s">
        <v>1711</v>
      </c>
      <c r="C190" s="13" t="s">
        <v>1705</v>
      </c>
      <c r="D190" s="13" t="s">
        <v>1706</v>
      </c>
      <c r="E190" s="13" t="s">
        <v>87</v>
      </c>
      <c r="F190" s="13" t="s">
        <v>109</v>
      </c>
      <c r="G190" s="13"/>
      <c r="H190" s="13"/>
      <c r="I190" s="14"/>
    </row>
    <row r="191" spans="1:9" x14ac:dyDescent="0.3">
      <c r="A191" s="13">
        <f>IF(B191="","",COUNTA($B$4:B191))</f>
        <v>188</v>
      </c>
      <c r="B191" s="13" t="s">
        <v>1711</v>
      </c>
      <c r="C191" s="13" t="s">
        <v>1720</v>
      </c>
      <c r="D191" s="13" t="s">
        <v>2022</v>
      </c>
      <c r="E191" s="13" t="s">
        <v>113</v>
      </c>
      <c r="F191" s="13" t="s">
        <v>107</v>
      </c>
      <c r="G191" s="13">
        <v>30</v>
      </c>
      <c r="H191" s="13"/>
      <c r="I191" s="14"/>
    </row>
    <row r="192" spans="1:9" x14ac:dyDescent="0.3">
      <c r="A192" s="13">
        <f>IF(B192="","",COUNTA($B$4:B192))</f>
        <v>189</v>
      </c>
      <c r="B192" s="13" t="s">
        <v>1711</v>
      </c>
      <c r="C192" s="13" t="s">
        <v>1721</v>
      </c>
      <c r="D192" s="13" t="s">
        <v>1722</v>
      </c>
      <c r="E192" s="13" t="s">
        <v>108</v>
      </c>
      <c r="F192" s="13" t="s">
        <v>110</v>
      </c>
      <c r="G192" s="13">
        <v>11</v>
      </c>
      <c r="H192" s="13">
        <v>2</v>
      </c>
      <c r="I192" s="14"/>
    </row>
    <row r="193" spans="1:9" x14ac:dyDescent="0.3">
      <c r="A193" s="13">
        <f>IF(B193="","",COUNTA($B$4:B193))</f>
        <v>190</v>
      </c>
      <c r="B193" s="13" t="s">
        <v>1711</v>
      </c>
      <c r="C193" s="13" t="s">
        <v>1675</v>
      </c>
      <c r="D193" s="13" t="s">
        <v>411</v>
      </c>
      <c r="E193" s="13" t="s">
        <v>113</v>
      </c>
      <c r="F193" s="13" t="s">
        <v>107</v>
      </c>
      <c r="G193" s="13">
        <v>4</v>
      </c>
      <c r="H193" s="13"/>
      <c r="I193" s="14"/>
    </row>
    <row r="194" spans="1:9" x14ac:dyDescent="0.3">
      <c r="A194" s="13">
        <f>IF(B194="","",COUNTA($B$4:B194))</f>
        <v>191</v>
      </c>
      <c r="B194" s="13" t="s">
        <v>1711</v>
      </c>
      <c r="C194" s="13" t="s">
        <v>1676</v>
      </c>
      <c r="D194" s="13" t="s">
        <v>1677</v>
      </c>
      <c r="E194" s="13" t="s">
        <v>108</v>
      </c>
      <c r="F194" s="13" t="s">
        <v>110</v>
      </c>
      <c r="G194" s="13">
        <v>9</v>
      </c>
      <c r="H194" s="13">
        <v>2</v>
      </c>
      <c r="I194" s="14"/>
    </row>
    <row r="195" spans="1:9" x14ac:dyDescent="0.3">
      <c r="A195" s="13">
        <f>IF(B195="","",COUNTA($B$4:B195))</f>
        <v>192</v>
      </c>
      <c r="B195" s="13" t="s">
        <v>1711</v>
      </c>
      <c r="C195" s="13" t="s">
        <v>1296</v>
      </c>
      <c r="D195" s="13" t="s">
        <v>1689</v>
      </c>
      <c r="E195" s="13" t="s">
        <v>108</v>
      </c>
      <c r="F195" s="13" t="s">
        <v>110</v>
      </c>
      <c r="G195" s="13">
        <v>9</v>
      </c>
      <c r="H195" s="13">
        <v>2</v>
      </c>
      <c r="I195" s="14"/>
    </row>
    <row r="196" spans="1:9" x14ac:dyDescent="0.3">
      <c r="A196" s="13">
        <f>IF(B196="","",COUNTA($B$4:B196))</f>
        <v>193</v>
      </c>
      <c r="B196" s="13" t="s">
        <v>1711</v>
      </c>
      <c r="C196" s="13" t="s">
        <v>1534</v>
      </c>
      <c r="D196" s="13" t="s">
        <v>1723</v>
      </c>
      <c r="E196" s="13" t="s">
        <v>108</v>
      </c>
      <c r="F196" s="13" t="s">
        <v>110</v>
      </c>
      <c r="G196" s="13">
        <v>9</v>
      </c>
      <c r="H196" s="13">
        <v>2</v>
      </c>
      <c r="I196" s="14"/>
    </row>
    <row r="197" spans="1:9" x14ac:dyDescent="0.3">
      <c r="A197" s="13">
        <f>IF(B197="","",COUNTA($B$4:B197))</f>
        <v>194</v>
      </c>
      <c r="B197" s="13" t="s">
        <v>1711</v>
      </c>
      <c r="C197" s="13" t="s">
        <v>1681</v>
      </c>
      <c r="D197" s="13" t="s">
        <v>499</v>
      </c>
      <c r="E197" s="13" t="s">
        <v>108</v>
      </c>
      <c r="F197" s="13" t="s">
        <v>110</v>
      </c>
      <c r="G197" s="13">
        <v>5</v>
      </c>
      <c r="H197" s="13">
        <v>2</v>
      </c>
      <c r="I197" s="14"/>
    </row>
    <row r="198" spans="1:9" x14ac:dyDescent="0.3">
      <c r="A198" s="13">
        <f>IF(B198="","",COUNTA($B$4:B198))</f>
        <v>195</v>
      </c>
      <c r="B198" s="13" t="s">
        <v>1711</v>
      </c>
      <c r="C198" s="13" t="s">
        <v>1682</v>
      </c>
      <c r="D198" s="13" t="s">
        <v>548</v>
      </c>
      <c r="E198" s="13" t="s">
        <v>108</v>
      </c>
      <c r="F198" s="13" t="s">
        <v>110</v>
      </c>
      <c r="G198" s="13">
        <v>5</v>
      </c>
      <c r="H198" s="13"/>
      <c r="I198" s="14"/>
    </row>
    <row r="199" spans="1:9" x14ac:dyDescent="0.3">
      <c r="A199" s="13">
        <f>IF(B199="","",COUNTA($B$4:B199))</f>
        <v>196</v>
      </c>
      <c r="B199" s="13" t="s">
        <v>1711</v>
      </c>
      <c r="C199" s="13" t="s">
        <v>1683</v>
      </c>
      <c r="D199" s="13" t="s">
        <v>491</v>
      </c>
      <c r="E199" s="13" t="s">
        <v>108</v>
      </c>
      <c r="F199" s="13" t="s">
        <v>110</v>
      </c>
      <c r="G199" s="13">
        <v>5</v>
      </c>
      <c r="H199" s="13"/>
      <c r="I199" s="14"/>
    </row>
    <row r="200" spans="1:9" x14ac:dyDescent="0.3">
      <c r="A200" s="13">
        <f>IF(B200="","",COUNTA($B$4:B200))</f>
        <v>197</v>
      </c>
      <c r="B200" s="13" t="s">
        <v>1711</v>
      </c>
      <c r="C200" s="13" t="s">
        <v>1684</v>
      </c>
      <c r="D200" s="13" t="s">
        <v>1083</v>
      </c>
      <c r="E200" s="13" t="s">
        <v>108</v>
      </c>
      <c r="F200" s="13" t="s">
        <v>110</v>
      </c>
      <c r="G200" s="13">
        <v>7</v>
      </c>
      <c r="H200" s="13">
        <v>2</v>
      </c>
      <c r="I200" s="14"/>
    </row>
    <row r="201" spans="1:9" x14ac:dyDescent="0.3">
      <c r="A201" s="13">
        <f>IF(B201="","",COUNTA($B$4:B201))</f>
        <v>198</v>
      </c>
      <c r="B201" s="13" t="s">
        <v>1711</v>
      </c>
      <c r="C201" s="13" t="s">
        <v>1669</v>
      </c>
      <c r="D201" s="13" t="s">
        <v>1670</v>
      </c>
      <c r="E201" s="13" t="s">
        <v>108</v>
      </c>
      <c r="F201" s="13" t="s">
        <v>110</v>
      </c>
      <c r="G201" s="13">
        <v>7</v>
      </c>
      <c r="H201" s="13">
        <v>2</v>
      </c>
      <c r="I201" s="14"/>
    </row>
    <row r="202" spans="1:9" x14ac:dyDescent="0.3">
      <c r="A202" s="13">
        <f>IF(B202="","",COUNTA($B$4:B202))</f>
        <v>199</v>
      </c>
      <c r="B202" s="13" t="s">
        <v>1711</v>
      </c>
      <c r="C202" s="13" t="s">
        <v>1184</v>
      </c>
      <c r="D202" s="13" t="s">
        <v>1724</v>
      </c>
      <c r="E202" s="13" t="s">
        <v>113</v>
      </c>
      <c r="F202" s="13" t="s">
        <v>107</v>
      </c>
      <c r="G202" s="13">
        <v>4</v>
      </c>
      <c r="H202" s="13"/>
      <c r="I202" s="14"/>
    </row>
    <row r="203" spans="1:9" x14ac:dyDescent="0.3">
      <c r="A203" s="13">
        <f>IF(B203="","",COUNTA($B$4:B203))</f>
        <v>200</v>
      </c>
      <c r="B203" s="13" t="s">
        <v>1711</v>
      </c>
      <c r="C203" s="13" t="s">
        <v>243</v>
      </c>
      <c r="D203" s="13" t="s">
        <v>1725</v>
      </c>
      <c r="E203" s="13" t="s">
        <v>108</v>
      </c>
      <c r="F203" s="13" t="s">
        <v>110</v>
      </c>
      <c r="G203" s="13">
        <v>5</v>
      </c>
      <c r="H203" s="13"/>
      <c r="I203" s="14"/>
    </row>
    <row r="204" spans="1:9" x14ac:dyDescent="0.3">
      <c r="A204" s="13">
        <f>IF(B204="","",COUNTA($B$4:B204))</f>
        <v>201</v>
      </c>
      <c r="B204" s="13" t="s">
        <v>1711</v>
      </c>
      <c r="C204" s="13" t="s">
        <v>244</v>
      </c>
      <c r="D204" s="13" t="s">
        <v>1726</v>
      </c>
      <c r="E204" s="13" t="s">
        <v>108</v>
      </c>
      <c r="F204" s="13" t="s">
        <v>110</v>
      </c>
      <c r="G204" s="13">
        <v>7</v>
      </c>
      <c r="H204" s="13">
        <v>2</v>
      </c>
      <c r="I204" s="14"/>
    </row>
    <row r="205" spans="1:9" x14ac:dyDescent="0.3">
      <c r="A205" s="13">
        <f>IF(B205="","",COUNTA($B$4:B205))</f>
        <v>202</v>
      </c>
      <c r="B205" s="13" t="s">
        <v>1711</v>
      </c>
      <c r="C205" s="13" t="s">
        <v>1727</v>
      </c>
      <c r="D205" s="13" t="s">
        <v>1728</v>
      </c>
      <c r="E205" s="13" t="s">
        <v>108</v>
      </c>
      <c r="F205" s="13" t="s">
        <v>110</v>
      </c>
      <c r="G205" s="13">
        <v>5</v>
      </c>
      <c r="H205" s="13" t="s">
        <v>1729</v>
      </c>
      <c r="I205" s="14"/>
    </row>
    <row r="206" spans="1:9" x14ac:dyDescent="0.3">
      <c r="A206" s="13">
        <f>IF(B206="","",COUNTA($B$4:B206))</f>
        <v>203</v>
      </c>
      <c r="B206" s="13" t="s">
        <v>1711</v>
      </c>
      <c r="C206" s="13" t="s">
        <v>1730</v>
      </c>
      <c r="D206" s="13" t="s">
        <v>1731</v>
      </c>
      <c r="E206" s="13" t="s">
        <v>108</v>
      </c>
      <c r="F206" s="13" t="s">
        <v>110</v>
      </c>
      <c r="G206" s="13">
        <v>11</v>
      </c>
      <c r="H206" s="13" t="s">
        <v>1729</v>
      </c>
      <c r="I206" s="14"/>
    </row>
    <row r="207" spans="1:9" x14ac:dyDescent="0.3">
      <c r="A207" s="13">
        <f>IF(B207="","",COUNTA($B$4:B207))</f>
        <v>204</v>
      </c>
      <c r="B207" s="13" t="s">
        <v>1711</v>
      </c>
      <c r="C207" s="13" t="s">
        <v>1678</v>
      </c>
      <c r="D207" s="13" t="s">
        <v>1679</v>
      </c>
      <c r="E207" s="13" t="s">
        <v>113</v>
      </c>
      <c r="F207" s="13" t="s">
        <v>107</v>
      </c>
      <c r="G207" s="13">
        <v>4</v>
      </c>
      <c r="H207" s="13"/>
      <c r="I207" s="14"/>
    </row>
    <row r="208" spans="1:9" x14ac:dyDescent="0.3">
      <c r="A208" s="13">
        <f>IF(B208="","",COUNTA($B$4:B208))</f>
        <v>205</v>
      </c>
      <c r="B208" s="13" t="s">
        <v>1711</v>
      </c>
      <c r="C208" s="13" t="s">
        <v>201</v>
      </c>
      <c r="D208" s="13" t="s">
        <v>1732</v>
      </c>
      <c r="E208" s="13" t="s">
        <v>108</v>
      </c>
      <c r="F208" s="13" t="s">
        <v>110</v>
      </c>
      <c r="G208" s="13">
        <v>5</v>
      </c>
      <c r="H208" s="13">
        <v>2</v>
      </c>
      <c r="I208" s="14"/>
    </row>
    <row r="209" spans="1:9" x14ac:dyDescent="0.3">
      <c r="A209" s="13">
        <f>IF(B209="","",COUNTA($B$4:B209))</f>
        <v>206</v>
      </c>
      <c r="B209" s="13" t="s">
        <v>1711</v>
      </c>
      <c r="C209" s="13" t="s">
        <v>202</v>
      </c>
      <c r="D209" s="13" t="s">
        <v>1733</v>
      </c>
      <c r="E209" s="13" t="s">
        <v>113</v>
      </c>
      <c r="F209" s="13" t="s">
        <v>107</v>
      </c>
      <c r="G209" s="13">
        <v>10</v>
      </c>
      <c r="H209" s="13"/>
      <c r="I209" s="14"/>
    </row>
    <row r="210" spans="1:9" x14ac:dyDescent="0.3">
      <c r="A210" s="13">
        <f>IF(B210="","",COUNTA($B$4:B210))</f>
        <v>207</v>
      </c>
      <c r="B210" s="13" t="s">
        <v>1711</v>
      </c>
      <c r="C210" s="13" t="s">
        <v>1734</v>
      </c>
      <c r="D210" s="13" t="s">
        <v>1735</v>
      </c>
      <c r="E210" s="13" t="s">
        <v>113</v>
      </c>
      <c r="F210" s="13" t="s">
        <v>107</v>
      </c>
      <c r="G210" s="13">
        <v>8</v>
      </c>
      <c r="H210" s="13"/>
      <c r="I210" s="14"/>
    </row>
    <row r="211" spans="1:9" x14ac:dyDescent="0.3">
      <c r="A211" s="13">
        <f>IF(B211="","",COUNTA($B$4:B211))</f>
        <v>208</v>
      </c>
      <c r="B211" s="13" t="s">
        <v>1711</v>
      </c>
      <c r="C211" s="13" t="s">
        <v>1736</v>
      </c>
      <c r="D211" s="13" t="s">
        <v>1737</v>
      </c>
      <c r="E211" s="13" t="s">
        <v>113</v>
      </c>
      <c r="F211" s="13" t="s">
        <v>107</v>
      </c>
      <c r="G211" s="13">
        <v>8</v>
      </c>
      <c r="H211" s="13"/>
      <c r="I211" s="14"/>
    </row>
    <row r="212" spans="1:9" x14ac:dyDescent="0.3">
      <c r="A212" s="13">
        <f>IF(B212="","",COUNTA($B$4:B212))</f>
        <v>209</v>
      </c>
      <c r="B212" s="13" t="s">
        <v>1711</v>
      </c>
      <c r="C212" s="13" t="s">
        <v>211</v>
      </c>
      <c r="D212" s="13" t="s">
        <v>1738</v>
      </c>
      <c r="E212" s="13" t="s">
        <v>113</v>
      </c>
      <c r="F212" s="13" t="s">
        <v>1752</v>
      </c>
      <c r="G212" s="13">
        <v>30</v>
      </c>
      <c r="H212" s="13"/>
      <c r="I212" s="14"/>
    </row>
    <row r="213" spans="1:9" x14ac:dyDescent="0.3">
      <c r="A213" s="13">
        <f>IF(B213="","",COUNTA($B$4:B213))</f>
        <v>210</v>
      </c>
      <c r="B213" s="13" t="s">
        <v>1711</v>
      </c>
      <c r="C213" s="13" t="s">
        <v>1739</v>
      </c>
      <c r="D213" s="13" t="s">
        <v>1031</v>
      </c>
      <c r="E213" s="13" t="s">
        <v>113</v>
      </c>
      <c r="F213" s="13" t="s">
        <v>107</v>
      </c>
      <c r="G213" s="13">
        <v>10</v>
      </c>
      <c r="H213" s="13"/>
      <c r="I213" s="14"/>
    </row>
    <row r="214" spans="1:9" x14ac:dyDescent="0.3">
      <c r="A214" s="13">
        <f>IF(B214="","",COUNTA($B$4:B214))</f>
        <v>211</v>
      </c>
      <c r="B214" s="13" t="s">
        <v>1711</v>
      </c>
      <c r="C214" s="13" t="s">
        <v>1581</v>
      </c>
      <c r="D214" s="13" t="s">
        <v>1582</v>
      </c>
      <c r="E214" s="13" t="s">
        <v>113</v>
      </c>
      <c r="F214" s="13" t="s">
        <v>107</v>
      </c>
      <c r="G214" s="13">
        <v>30</v>
      </c>
      <c r="H214" s="13"/>
      <c r="I214" s="14"/>
    </row>
    <row r="215" spans="1:9" x14ac:dyDescent="0.3">
      <c r="A215" s="13">
        <f>IF(B215="","",COUNTA($B$4:B215))</f>
        <v>212</v>
      </c>
      <c r="B215" s="13" t="s">
        <v>1711</v>
      </c>
      <c r="C215" s="13" t="s">
        <v>206</v>
      </c>
      <c r="D215" s="13" t="s">
        <v>1585</v>
      </c>
      <c r="E215" s="13" t="s">
        <v>113</v>
      </c>
      <c r="F215" s="13" t="s">
        <v>107</v>
      </c>
      <c r="G215" s="13">
        <v>20</v>
      </c>
      <c r="H215" s="13"/>
      <c r="I215" s="14"/>
    </row>
    <row r="216" spans="1:9" x14ac:dyDescent="0.3">
      <c r="A216" s="13">
        <f>IF(B216="","",COUNTA($B$4:B216))</f>
        <v>213</v>
      </c>
      <c r="B216" s="13" t="s">
        <v>1711</v>
      </c>
      <c r="C216" s="13" t="s">
        <v>1622</v>
      </c>
      <c r="D216" s="13" t="s">
        <v>629</v>
      </c>
      <c r="E216" s="13" t="s">
        <v>113</v>
      </c>
      <c r="F216" s="13" t="s">
        <v>107</v>
      </c>
      <c r="G216" s="13">
        <v>1000</v>
      </c>
      <c r="H216" s="13"/>
      <c r="I216" s="14"/>
    </row>
    <row r="217" spans="1:9" x14ac:dyDescent="0.3">
      <c r="A217" s="13">
        <f>IF(B217="","",COUNTA($B$4:B217))</f>
        <v>214</v>
      </c>
      <c r="B217" s="13" t="s">
        <v>1711</v>
      </c>
      <c r="C217" s="13" t="s">
        <v>1740</v>
      </c>
      <c r="D217" s="13" t="s">
        <v>1741</v>
      </c>
      <c r="E217" s="13" t="s">
        <v>113</v>
      </c>
      <c r="F217" s="13" t="s">
        <v>107</v>
      </c>
      <c r="G217" s="13">
        <v>1</v>
      </c>
      <c r="H217" s="13"/>
      <c r="I217" s="14"/>
    </row>
    <row r="218" spans="1:9" x14ac:dyDescent="0.3">
      <c r="A218" s="13">
        <f>IF(B218="","",COUNTA($B$4:B218))</f>
        <v>215</v>
      </c>
      <c r="B218" s="13" t="s">
        <v>1711</v>
      </c>
      <c r="C218" s="13" t="s">
        <v>1592</v>
      </c>
      <c r="D218" s="13" t="s">
        <v>389</v>
      </c>
      <c r="E218" s="13" t="s">
        <v>113</v>
      </c>
      <c r="F218" s="13" t="s">
        <v>107</v>
      </c>
      <c r="G218" s="13">
        <v>4</v>
      </c>
      <c r="H218" s="13"/>
      <c r="I218" s="14"/>
    </row>
    <row r="219" spans="1:9" x14ac:dyDescent="0.3">
      <c r="A219" s="13">
        <f>IF(B219="","",COUNTA($B$4:B219))</f>
        <v>216</v>
      </c>
      <c r="B219" s="13" t="s">
        <v>1711</v>
      </c>
      <c r="C219" s="13" t="s">
        <v>1593</v>
      </c>
      <c r="D219" s="13" t="s">
        <v>388</v>
      </c>
      <c r="E219" s="13" t="s">
        <v>113</v>
      </c>
      <c r="F219" s="13" t="s">
        <v>107</v>
      </c>
      <c r="G219" s="13">
        <v>4</v>
      </c>
      <c r="H219" s="13"/>
      <c r="I219" s="14"/>
    </row>
    <row r="220" spans="1:9" x14ac:dyDescent="0.3">
      <c r="A220" s="13">
        <f>IF(B220="","",COUNTA($B$4:B220))</f>
        <v>217</v>
      </c>
      <c r="B220" s="13" t="s">
        <v>1711</v>
      </c>
      <c r="C220" s="13" t="s">
        <v>1594</v>
      </c>
      <c r="D220" s="13" t="s">
        <v>581</v>
      </c>
      <c r="E220" s="13" t="s">
        <v>113</v>
      </c>
      <c r="F220" s="13" t="s">
        <v>107</v>
      </c>
      <c r="G220" s="13">
        <v>10</v>
      </c>
      <c r="H220" s="13"/>
      <c r="I220" s="14"/>
    </row>
    <row r="221" spans="1:9" x14ac:dyDescent="0.3">
      <c r="A221" s="13">
        <f>IF(B221="","",COUNTA($B$4:B221))</f>
        <v>218</v>
      </c>
      <c r="B221" s="13" t="s">
        <v>1711</v>
      </c>
      <c r="C221" s="13" t="s">
        <v>114</v>
      </c>
      <c r="D221" s="13" t="s">
        <v>509</v>
      </c>
      <c r="E221" s="13" t="s">
        <v>113</v>
      </c>
      <c r="F221" s="13" t="s">
        <v>107</v>
      </c>
      <c r="G221" s="13">
        <v>10</v>
      </c>
      <c r="H221" s="13"/>
      <c r="I221" s="14"/>
    </row>
    <row r="222" spans="1:9" x14ac:dyDescent="0.3">
      <c r="A222" s="13">
        <f>IF(B222="","",COUNTA($B$4:B222))</f>
        <v>219</v>
      </c>
      <c r="B222" s="13" t="s">
        <v>1711</v>
      </c>
      <c r="C222" s="13" t="s">
        <v>115</v>
      </c>
      <c r="D222" s="13" t="s">
        <v>513</v>
      </c>
      <c r="E222" s="13" t="s">
        <v>87</v>
      </c>
      <c r="F222" s="13" t="s">
        <v>109</v>
      </c>
      <c r="G222" s="13"/>
      <c r="H222" s="13"/>
      <c r="I222" s="14"/>
    </row>
    <row r="223" spans="1:9" x14ac:dyDescent="0.3">
      <c r="A223" s="13">
        <f>IF(B223="","",COUNTA($B$4:B223))</f>
        <v>220</v>
      </c>
      <c r="B223" s="13" t="s">
        <v>1711</v>
      </c>
      <c r="C223" s="13" t="s">
        <v>1431</v>
      </c>
      <c r="D223" s="13" t="s">
        <v>583</v>
      </c>
      <c r="E223" s="13" t="s">
        <v>113</v>
      </c>
      <c r="F223" s="13" t="s">
        <v>107</v>
      </c>
      <c r="G223" s="13">
        <v>10</v>
      </c>
      <c r="H223" s="13"/>
      <c r="I223" s="14"/>
    </row>
    <row r="224" spans="1:9" x14ac:dyDescent="0.3">
      <c r="A224" s="13">
        <f>IF(B224="","",COUNTA($B$4:B224))</f>
        <v>221</v>
      </c>
      <c r="B224" s="13" t="s">
        <v>1711</v>
      </c>
      <c r="C224" s="13" t="s">
        <v>116</v>
      </c>
      <c r="D224" s="13" t="s">
        <v>355</v>
      </c>
      <c r="E224" s="13" t="s">
        <v>113</v>
      </c>
      <c r="F224" s="13" t="s">
        <v>107</v>
      </c>
      <c r="G224" s="13">
        <v>10</v>
      </c>
      <c r="H224" s="13"/>
      <c r="I224" s="14"/>
    </row>
    <row r="225" spans="1:9" x14ac:dyDescent="0.3">
      <c r="A225" s="13">
        <f>IF(B225="","",COUNTA($B$4:B225))</f>
        <v>222</v>
      </c>
      <c r="B225" s="13" t="s">
        <v>1711</v>
      </c>
      <c r="C225" s="13" t="s">
        <v>117</v>
      </c>
      <c r="D225" s="13" t="s">
        <v>359</v>
      </c>
      <c r="E225" s="13" t="s">
        <v>87</v>
      </c>
      <c r="F225" s="13" t="s">
        <v>109</v>
      </c>
      <c r="G225" s="13"/>
      <c r="H225" s="13"/>
      <c r="I225" s="14"/>
    </row>
    <row r="226" spans="1:9" x14ac:dyDescent="0.3">
      <c r="A226" s="13">
        <f>IF(B226="","",COUNTA($B$4:B226))</f>
        <v>223</v>
      </c>
      <c r="B226" s="13" t="s">
        <v>1742</v>
      </c>
      <c r="C226" s="13" t="s">
        <v>1660</v>
      </c>
      <c r="D226" s="13" t="s">
        <v>1661</v>
      </c>
      <c r="E226" s="13" t="s">
        <v>113</v>
      </c>
      <c r="F226" s="13" t="s">
        <v>107</v>
      </c>
      <c r="G226" s="13">
        <v>10</v>
      </c>
      <c r="H226" s="13"/>
      <c r="I226" s="14"/>
    </row>
    <row r="227" spans="1:9" x14ac:dyDescent="0.3">
      <c r="A227" s="13">
        <f>IF(B227="","",COUNTA($B$4:B227))</f>
        <v>224</v>
      </c>
      <c r="B227" s="13" t="s">
        <v>1742</v>
      </c>
      <c r="C227" s="13" t="s">
        <v>1610</v>
      </c>
      <c r="D227" s="13" t="s">
        <v>1611</v>
      </c>
      <c r="E227" s="13" t="s">
        <v>113</v>
      </c>
      <c r="F227" s="13" t="s">
        <v>107</v>
      </c>
      <c r="G227" s="13">
        <v>4</v>
      </c>
      <c r="H227" s="13"/>
      <c r="I227" s="14"/>
    </row>
    <row r="228" spans="1:9" x14ac:dyDescent="0.3">
      <c r="A228" s="13">
        <f>IF(B228="","",COUNTA($B$4:B228))</f>
        <v>225</v>
      </c>
      <c r="B228" s="13" t="s">
        <v>1742</v>
      </c>
      <c r="C228" s="13" t="s">
        <v>1662</v>
      </c>
      <c r="D228" s="13" t="s">
        <v>1663</v>
      </c>
      <c r="E228" s="13" t="s">
        <v>108</v>
      </c>
      <c r="F228" s="13" t="s">
        <v>110</v>
      </c>
      <c r="G228" s="13">
        <v>5</v>
      </c>
      <c r="H228" s="13"/>
      <c r="I228" s="14"/>
    </row>
    <row r="229" spans="1:9" x14ac:dyDescent="0.3">
      <c r="A229" s="13">
        <f>IF(B229="","",COUNTA($B$4:B229))</f>
        <v>226</v>
      </c>
      <c r="B229" s="13" t="s">
        <v>1742</v>
      </c>
      <c r="C229" s="13" t="s">
        <v>1743</v>
      </c>
      <c r="D229" s="13" t="s">
        <v>1744</v>
      </c>
      <c r="E229" s="13" t="s">
        <v>108</v>
      </c>
      <c r="F229" s="13" t="s">
        <v>110</v>
      </c>
      <c r="G229" s="13">
        <v>5</v>
      </c>
      <c r="H229" s="13"/>
      <c r="I229" s="14"/>
    </row>
    <row r="230" spans="1:9" x14ac:dyDescent="0.3">
      <c r="A230" s="13">
        <f>IF(B230="","",COUNTA($B$4:B230))</f>
        <v>227</v>
      </c>
      <c r="B230" s="13" t="s">
        <v>1742</v>
      </c>
      <c r="C230" s="13" t="s">
        <v>1745</v>
      </c>
      <c r="D230" s="13" t="s">
        <v>1746</v>
      </c>
      <c r="E230" s="13" t="s">
        <v>113</v>
      </c>
      <c r="F230" s="13" t="s">
        <v>107</v>
      </c>
      <c r="G230" s="13">
        <v>10</v>
      </c>
      <c r="H230" s="13"/>
      <c r="I230" s="14"/>
    </row>
    <row r="231" spans="1:9" x14ac:dyDescent="0.3">
      <c r="A231" s="13">
        <f>IF(B231="","",COUNTA($B$4:B231))</f>
        <v>228</v>
      </c>
      <c r="B231" s="13" t="s">
        <v>1742</v>
      </c>
      <c r="C231" s="13" t="s">
        <v>1747</v>
      </c>
      <c r="D231" s="13" t="s">
        <v>1748</v>
      </c>
      <c r="E231" s="13" t="s">
        <v>108</v>
      </c>
      <c r="F231" s="13" t="s">
        <v>110</v>
      </c>
      <c r="G231" s="13">
        <v>5</v>
      </c>
      <c r="H231" s="13"/>
      <c r="I231" s="14"/>
    </row>
    <row r="232" spans="1:9" x14ac:dyDescent="0.3">
      <c r="A232" s="13">
        <f>IF(B232="","",COUNTA($B$4:B232))</f>
        <v>229</v>
      </c>
      <c r="B232" s="13" t="s">
        <v>1742</v>
      </c>
      <c r="C232" s="13" t="s">
        <v>1592</v>
      </c>
      <c r="D232" s="13" t="s">
        <v>389</v>
      </c>
      <c r="E232" s="13" t="s">
        <v>113</v>
      </c>
      <c r="F232" s="13" t="s">
        <v>107</v>
      </c>
      <c r="G232" s="13">
        <v>4</v>
      </c>
      <c r="H232" s="13"/>
      <c r="I232" s="14"/>
    </row>
    <row r="233" spans="1:9" x14ac:dyDescent="0.3">
      <c r="A233" s="13">
        <f>IF(B233="","",COUNTA($B$4:B233))</f>
        <v>230</v>
      </c>
      <c r="B233" s="13" t="s">
        <v>1742</v>
      </c>
      <c r="C233" s="13" t="s">
        <v>1593</v>
      </c>
      <c r="D233" s="13" t="s">
        <v>388</v>
      </c>
      <c r="E233" s="13" t="s">
        <v>113</v>
      </c>
      <c r="F233" s="13" t="s">
        <v>107</v>
      </c>
      <c r="G233" s="13">
        <v>4</v>
      </c>
      <c r="H233" s="13"/>
      <c r="I233" s="14"/>
    </row>
    <row r="234" spans="1:9" x14ac:dyDescent="0.3">
      <c r="A234" s="13">
        <f>IF(B234="","",COUNTA($B$4:B234))</f>
        <v>231</v>
      </c>
      <c r="B234" s="13" t="s">
        <v>1742</v>
      </c>
      <c r="C234" s="13" t="s">
        <v>1594</v>
      </c>
      <c r="D234" s="13" t="s">
        <v>581</v>
      </c>
      <c r="E234" s="13" t="s">
        <v>113</v>
      </c>
      <c r="F234" s="13" t="s">
        <v>107</v>
      </c>
      <c r="G234" s="13">
        <v>10</v>
      </c>
      <c r="H234" s="13"/>
      <c r="I234" s="14"/>
    </row>
    <row r="235" spans="1:9" x14ac:dyDescent="0.3">
      <c r="A235" s="13">
        <f>IF(B235="","",COUNTA($B$4:B235))</f>
        <v>232</v>
      </c>
      <c r="B235" s="13" t="s">
        <v>1742</v>
      </c>
      <c r="C235" s="13" t="s">
        <v>114</v>
      </c>
      <c r="D235" s="13" t="s">
        <v>509</v>
      </c>
      <c r="E235" s="13" t="s">
        <v>113</v>
      </c>
      <c r="F235" s="13" t="s">
        <v>107</v>
      </c>
      <c r="G235" s="13">
        <v>10</v>
      </c>
      <c r="H235" s="13"/>
      <c r="I235" s="14"/>
    </row>
    <row r="236" spans="1:9" x14ac:dyDescent="0.3">
      <c r="A236" s="13">
        <f>IF(B236="","",COUNTA($B$4:B236))</f>
        <v>233</v>
      </c>
      <c r="B236" s="13" t="s">
        <v>1742</v>
      </c>
      <c r="C236" s="13" t="s">
        <v>115</v>
      </c>
      <c r="D236" s="13" t="s">
        <v>513</v>
      </c>
      <c r="E236" s="13" t="s">
        <v>87</v>
      </c>
      <c r="F236" s="13" t="s">
        <v>109</v>
      </c>
      <c r="G236" s="13"/>
      <c r="H236" s="13"/>
      <c r="I236" s="14"/>
    </row>
    <row r="237" spans="1:9" x14ac:dyDescent="0.3">
      <c r="A237" s="13">
        <f>IF(B237="","",COUNTA($B$4:B237))</f>
        <v>234</v>
      </c>
      <c r="B237" s="13" t="s">
        <v>1742</v>
      </c>
      <c r="C237" s="13" t="s">
        <v>1431</v>
      </c>
      <c r="D237" s="13" t="s">
        <v>583</v>
      </c>
      <c r="E237" s="13" t="s">
        <v>113</v>
      </c>
      <c r="F237" s="13" t="s">
        <v>107</v>
      </c>
      <c r="G237" s="13">
        <v>10</v>
      </c>
      <c r="H237" s="13"/>
      <c r="I237" s="14"/>
    </row>
    <row r="238" spans="1:9" x14ac:dyDescent="0.3">
      <c r="A238" s="13">
        <f>IF(B238="","",COUNTA($B$4:B238))</f>
        <v>235</v>
      </c>
      <c r="B238" s="13" t="s">
        <v>1742</v>
      </c>
      <c r="C238" s="13" t="s">
        <v>116</v>
      </c>
      <c r="D238" s="13" t="s">
        <v>355</v>
      </c>
      <c r="E238" s="13" t="s">
        <v>113</v>
      </c>
      <c r="F238" s="13" t="s">
        <v>107</v>
      </c>
      <c r="G238" s="13">
        <v>10</v>
      </c>
      <c r="H238" s="13"/>
      <c r="I238" s="14"/>
    </row>
    <row r="239" spans="1:9" x14ac:dyDescent="0.3">
      <c r="A239" s="13">
        <f>IF(B239="","",COUNTA($B$4:B239))</f>
        <v>236</v>
      </c>
      <c r="B239" s="13" t="s">
        <v>1742</v>
      </c>
      <c r="C239" s="13" t="s">
        <v>117</v>
      </c>
      <c r="D239" s="13" t="s">
        <v>359</v>
      </c>
      <c r="E239" s="13" t="s">
        <v>87</v>
      </c>
      <c r="F239" s="13" t="s">
        <v>109</v>
      </c>
      <c r="G239" s="13"/>
      <c r="H239" s="13"/>
      <c r="I239" s="14"/>
    </row>
  </sheetData>
  <autoFilter ref="A3:I239" xr:uid="{00000000-0009-0000-0000-00000C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B4E1-D168-4F1E-8BE1-1838715594A6}">
  <sheetPr codeName="Sheet10"/>
  <dimension ref="A1:K697"/>
  <sheetViews>
    <sheetView topLeftCell="A616" workbookViewId="0">
      <selection activeCell="B633" sqref="B633"/>
    </sheetView>
  </sheetViews>
  <sheetFormatPr defaultRowHeight="14.4" x14ac:dyDescent="0.3"/>
  <cols>
    <col min="1" max="1" width="18.453125" bestFit="1" customWidth="1"/>
    <col min="2" max="2" width="25.453125" bestFit="1" customWidth="1"/>
  </cols>
  <sheetData>
    <row r="1" spans="1:6" ht="15" x14ac:dyDescent="0.3">
      <c r="A1" s="67" t="s">
        <v>245</v>
      </c>
      <c r="B1" s="67" t="s">
        <v>246</v>
      </c>
      <c r="F1" s="79"/>
    </row>
    <row r="2" spans="1:6" ht="15" x14ac:dyDescent="0.3">
      <c r="A2" s="68" t="s">
        <v>247</v>
      </c>
      <c r="B2" s="68" t="s">
        <v>248</v>
      </c>
      <c r="F2" s="82" t="s">
        <v>1430</v>
      </c>
    </row>
    <row r="3" spans="1:6" ht="15" x14ac:dyDescent="0.3">
      <c r="A3" s="68" t="s">
        <v>249</v>
      </c>
      <c r="B3" s="68" t="s">
        <v>250</v>
      </c>
      <c r="F3" s="79"/>
    </row>
    <row r="4" spans="1:6" ht="15" x14ac:dyDescent="0.3">
      <c r="A4" s="68" t="s">
        <v>251</v>
      </c>
      <c r="B4" s="68" t="s">
        <v>252</v>
      </c>
    </row>
    <row r="5" spans="1:6" ht="15" x14ac:dyDescent="0.3">
      <c r="A5" s="68" t="s">
        <v>253</v>
      </c>
      <c r="B5" s="68" t="s">
        <v>254</v>
      </c>
    </row>
    <row r="6" spans="1:6" ht="15" x14ac:dyDescent="0.3">
      <c r="A6" s="69" t="s">
        <v>255</v>
      </c>
      <c r="B6" s="68" t="s">
        <v>256</v>
      </c>
    </row>
    <row r="7" spans="1:6" ht="15" x14ac:dyDescent="0.3">
      <c r="A7" s="69" t="s">
        <v>257</v>
      </c>
      <c r="B7" s="68" t="s">
        <v>258</v>
      </c>
    </row>
    <row r="8" spans="1:6" ht="15" x14ac:dyDescent="0.3">
      <c r="A8" s="68" t="s">
        <v>259</v>
      </c>
      <c r="B8" s="68" t="s">
        <v>260</v>
      </c>
    </row>
    <row r="9" spans="1:6" ht="15" x14ac:dyDescent="0.3">
      <c r="A9" s="68" t="s">
        <v>261</v>
      </c>
      <c r="B9" s="68" t="s">
        <v>262</v>
      </c>
    </row>
    <row r="10" spans="1:6" ht="15" x14ac:dyDescent="0.3">
      <c r="A10" s="68" t="s">
        <v>263</v>
      </c>
      <c r="B10" s="68" t="s">
        <v>264</v>
      </c>
    </row>
    <row r="11" spans="1:6" ht="15" x14ac:dyDescent="0.3">
      <c r="A11" s="68" t="s">
        <v>265</v>
      </c>
      <c r="B11" s="68" t="s">
        <v>266</v>
      </c>
    </row>
    <row r="12" spans="1:6" ht="15" x14ac:dyDescent="0.3">
      <c r="A12" s="68" t="s">
        <v>267</v>
      </c>
      <c r="B12" s="68" t="s">
        <v>268</v>
      </c>
    </row>
    <row r="13" spans="1:6" ht="15" x14ac:dyDescent="0.3">
      <c r="A13" s="68" t="s">
        <v>269</v>
      </c>
      <c r="B13" s="68" t="s">
        <v>270</v>
      </c>
    </row>
    <row r="14" spans="1:6" ht="15" x14ac:dyDescent="0.3">
      <c r="A14" s="68" t="s">
        <v>271</v>
      </c>
      <c r="B14" s="68" t="s">
        <v>272</v>
      </c>
    </row>
    <row r="15" spans="1:6" ht="15" x14ac:dyDescent="0.3">
      <c r="A15" s="68" t="s">
        <v>273</v>
      </c>
      <c r="B15" s="68" t="s">
        <v>274</v>
      </c>
    </row>
    <row r="16" spans="1:6" ht="15" x14ac:dyDescent="0.3">
      <c r="A16" s="68" t="s">
        <v>275</v>
      </c>
      <c r="B16" s="68" t="s">
        <v>276</v>
      </c>
    </row>
    <row r="17" spans="1:2" ht="15" x14ac:dyDescent="0.3">
      <c r="A17" s="68" t="s">
        <v>277</v>
      </c>
      <c r="B17" s="68" t="s">
        <v>278</v>
      </c>
    </row>
    <row r="18" spans="1:2" ht="15" x14ac:dyDescent="0.3">
      <c r="A18" s="68" t="s">
        <v>279</v>
      </c>
      <c r="B18" s="68" t="s">
        <v>280</v>
      </c>
    </row>
    <row r="19" spans="1:2" ht="15" x14ac:dyDescent="0.3">
      <c r="A19" s="68" t="s">
        <v>281</v>
      </c>
      <c r="B19" s="68" t="s">
        <v>282</v>
      </c>
    </row>
    <row r="20" spans="1:2" ht="15" x14ac:dyDescent="0.3">
      <c r="A20" s="68" t="s">
        <v>283</v>
      </c>
      <c r="B20" s="68" t="s">
        <v>284</v>
      </c>
    </row>
    <row r="21" spans="1:2" ht="15" x14ac:dyDescent="0.3">
      <c r="A21" s="68" t="s">
        <v>285</v>
      </c>
      <c r="B21" s="68" t="s">
        <v>286</v>
      </c>
    </row>
    <row r="22" spans="1:2" ht="15" x14ac:dyDescent="0.3">
      <c r="A22" s="68" t="s">
        <v>287</v>
      </c>
      <c r="B22" s="68" t="s">
        <v>288</v>
      </c>
    </row>
    <row r="23" spans="1:2" ht="15" x14ac:dyDescent="0.3">
      <c r="A23" s="68" t="s">
        <v>289</v>
      </c>
      <c r="B23" s="68" t="s">
        <v>290</v>
      </c>
    </row>
    <row r="24" spans="1:2" ht="15" x14ac:dyDescent="0.3">
      <c r="A24" s="68" t="s">
        <v>291</v>
      </c>
      <c r="B24" s="68" t="s">
        <v>292</v>
      </c>
    </row>
    <row r="25" spans="1:2" ht="15" x14ac:dyDescent="0.3">
      <c r="A25" s="68" t="s">
        <v>293</v>
      </c>
      <c r="B25" s="68" t="s">
        <v>294</v>
      </c>
    </row>
    <row r="26" spans="1:2" ht="15" x14ac:dyDescent="0.3">
      <c r="A26" s="68" t="s">
        <v>295</v>
      </c>
      <c r="B26" s="68" t="s">
        <v>296</v>
      </c>
    </row>
    <row r="27" spans="1:2" ht="15" x14ac:dyDescent="0.3">
      <c r="A27" s="69" t="s">
        <v>297</v>
      </c>
      <c r="B27" s="69" t="s">
        <v>298</v>
      </c>
    </row>
    <row r="28" spans="1:2" ht="15" x14ac:dyDescent="0.3">
      <c r="A28" s="68" t="s">
        <v>299</v>
      </c>
      <c r="B28" s="68" t="s">
        <v>300</v>
      </c>
    </row>
    <row r="29" spans="1:2" ht="15" x14ac:dyDescent="0.3">
      <c r="A29" s="68" t="s">
        <v>301</v>
      </c>
      <c r="B29" s="68" t="s">
        <v>302</v>
      </c>
    </row>
    <row r="30" spans="1:2" ht="15" x14ac:dyDescent="0.3">
      <c r="A30" s="68" t="s">
        <v>303</v>
      </c>
      <c r="B30" s="68" t="s">
        <v>304</v>
      </c>
    </row>
    <row r="31" spans="1:2" ht="15" x14ac:dyDescent="0.3">
      <c r="A31" s="69" t="s">
        <v>305</v>
      </c>
      <c r="B31" s="68" t="s">
        <v>306</v>
      </c>
    </row>
    <row r="32" spans="1:2" ht="15" x14ac:dyDescent="0.3">
      <c r="A32" s="69" t="s">
        <v>307</v>
      </c>
      <c r="B32" s="68" t="s">
        <v>308</v>
      </c>
    </row>
    <row r="33" spans="1:2" ht="15" x14ac:dyDescent="0.3">
      <c r="A33" s="68" t="s">
        <v>309</v>
      </c>
      <c r="B33" s="68" t="s">
        <v>310</v>
      </c>
    </row>
    <row r="34" spans="1:2" ht="15" x14ac:dyDescent="0.3">
      <c r="A34" s="68" t="s">
        <v>311</v>
      </c>
      <c r="B34" s="68" t="s">
        <v>312</v>
      </c>
    </row>
    <row r="35" spans="1:2" ht="15" x14ac:dyDescent="0.3">
      <c r="A35" s="68" t="s">
        <v>313</v>
      </c>
      <c r="B35" s="68" t="s">
        <v>314</v>
      </c>
    </row>
    <row r="36" spans="1:2" ht="15" x14ac:dyDescent="0.3">
      <c r="A36" s="68" t="s">
        <v>315</v>
      </c>
      <c r="B36" s="68" t="s">
        <v>316</v>
      </c>
    </row>
    <row r="37" spans="1:2" ht="15" x14ac:dyDescent="0.3">
      <c r="A37" s="68" t="s">
        <v>317</v>
      </c>
      <c r="B37" s="68" t="s">
        <v>318</v>
      </c>
    </row>
    <row r="38" spans="1:2" ht="15" x14ac:dyDescent="0.3">
      <c r="A38" s="68" t="s">
        <v>319</v>
      </c>
      <c r="B38" s="68" t="s">
        <v>320</v>
      </c>
    </row>
    <row r="39" spans="1:2" ht="15" x14ac:dyDescent="0.3">
      <c r="A39" s="68" t="s">
        <v>321</v>
      </c>
      <c r="B39" s="68" t="s">
        <v>1994</v>
      </c>
    </row>
    <row r="40" spans="1:2" ht="15" x14ac:dyDescent="0.3">
      <c r="A40" s="68" t="s">
        <v>322</v>
      </c>
      <c r="B40" s="68" t="s">
        <v>323</v>
      </c>
    </row>
    <row r="41" spans="1:2" ht="15" x14ac:dyDescent="0.3">
      <c r="A41" s="68" t="s">
        <v>324</v>
      </c>
      <c r="B41" s="68" t="s">
        <v>325</v>
      </c>
    </row>
    <row r="42" spans="1:2" ht="15" x14ac:dyDescent="0.3">
      <c r="A42" s="68" t="s">
        <v>326</v>
      </c>
      <c r="B42" s="68" t="s">
        <v>327</v>
      </c>
    </row>
    <row r="43" spans="1:2" ht="15" x14ac:dyDescent="0.3">
      <c r="A43" s="68" t="s">
        <v>328</v>
      </c>
      <c r="B43" s="68" t="s">
        <v>329</v>
      </c>
    </row>
    <row r="44" spans="1:2" ht="15" x14ac:dyDescent="0.3">
      <c r="A44" s="68" t="s">
        <v>330</v>
      </c>
      <c r="B44" s="68" t="s">
        <v>331</v>
      </c>
    </row>
    <row r="45" spans="1:2" ht="15" x14ac:dyDescent="0.3">
      <c r="A45" s="68" t="s">
        <v>332</v>
      </c>
      <c r="B45" s="68" t="s">
        <v>333</v>
      </c>
    </row>
    <row r="46" spans="1:2" ht="15" x14ac:dyDescent="0.3">
      <c r="A46" s="68" t="s">
        <v>334</v>
      </c>
      <c r="B46" s="68" t="s">
        <v>335</v>
      </c>
    </row>
    <row r="47" spans="1:2" ht="15" x14ac:dyDescent="0.3">
      <c r="A47" s="68" t="s">
        <v>336</v>
      </c>
      <c r="B47" s="68" t="s">
        <v>337</v>
      </c>
    </row>
    <row r="48" spans="1:2" ht="15" x14ac:dyDescent="0.3">
      <c r="A48" s="68" t="s">
        <v>338</v>
      </c>
      <c r="B48" s="68" t="s">
        <v>339</v>
      </c>
    </row>
    <row r="49" spans="1:2" ht="15" x14ac:dyDescent="0.3">
      <c r="A49" s="68" t="s">
        <v>340</v>
      </c>
      <c r="B49" s="68" t="s">
        <v>341</v>
      </c>
    </row>
    <row r="50" spans="1:2" ht="15" x14ac:dyDescent="0.3">
      <c r="A50" s="68" t="s">
        <v>342</v>
      </c>
      <c r="B50" s="68" t="s">
        <v>343</v>
      </c>
    </row>
    <row r="51" spans="1:2" ht="15" x14ac:dyDescent="0.3">
      <c r="A51" s="68" t="s">
        <v>344</v>
      </c>
      <c r="B51" s="68" t="s">
        <v>345</v>
      </c>
    </row>
    <row r="52" spans="1:2" ht="15" x14ac:dyDescent="0.3">
      <c r="A52" s="68" t="s">
        <v>346</v>
      </c>
      <c r="B52" s="68" t="s">
        <v>347</v>
      </c>
    </row>
    <row r="53" spans="1:2" ht="15" x14ac:dyDescent="0.3">
      <c r="A53" s="68" t="s">
        <v>348</v>
      </c>
      <c r="B53" s="68" t="s">
        <v>349</v>
      </c>
    </row>
    <row r="54" spans="1:2" ht="15" x14ac:dyDescent="0.3">
      <c r="A54" s="68" t="s">
        <v>350</v>
      </c>
      <c r="B54" s="68" t="s">
        <v>351</v>
      </c>
    </row>
    <row r="55" spans="1:2" ht="15" x14ac:dyDescent="0.3">
      <c r="A55" s="68" t="s">
        <v>352</v>
      </c>
      <c r="B55" s="68" t="s">
        <v>353</v>
      </c>
    </row>
    <row r="56" spans="1:2" ht="15" x14ac:dyDescent="0.3">
      <c r="A56" s="68" t="s">
        <v>354</v>
      </c>
      <c r="B56" s="68" t="s">
        <v>355</v>
      </c>
    </row>
    <row r="57" spans="1:2" ht="15" x14ac:dyDescent="0.3">
      <c r="A57" s="68" t="s">
        <v>356</v>
      </c>
      <c r="B57" s="68" t="s">
        <v>357</v>
      </c>
    </row>
    <row r="58" spans="1:2" ht="15" x14ac:dyDescent="0.3">
      <c r="A58" s="68" t="s">
        <v>358</v>
      </c>
      <c r="B58" s="68" t="s">
        <v>359</v>
      </c>
    </row>
    <row r="59" spans="1:2" ht="15" x14ac:dyDescent="0.3">
      <c r="A59" s="68" t="s">
        <v>360</v>
      </c>
      <c r="B59" s="68" t="s">
        <v>361</v>
      </c>
    </row>
    <row r="60" spans="1:2" ht="15" x14ac:dyDescent="0.3">
      <c r="A60" s="68" t="s">
        <v>362</v>
      </c>
      <c r="B60" s="68" t="s">
        <v>363</v>
      </c>
    </row>
    <row r="61" spans="1:2" ht="15" x14ac:dyDescent="0.3">
      <c r="A61" s="68" t="s">
        <v>364</v>
      </c>
      <c r="B61" s="68" t="s">
        <v>365</v>
      </c>
    </row>
    <row r="62" spans="1:2" ht="15" x14ac:dyDescent="0.3">
      <c r="A62" s="68" t="s">
        <v>366</v>
      </c>
      <c r="B62" s="68" t="s">
        <v>1468</v>
      </c>
    </row>
    <row r="63" spans="1:2" ht="15" x14ac:dyDescent="0.3">
      <c r="A63" s="68" t="s">
        <v>367</v>
      </c>
      <c r="B63" s="68" t="s">
        <v>368</v>
      </c>
    </row>
    <row r="64" spans="1:2" ht="15" x14ac:dyDescent="0.3">
      <c r="A64" s="68" t="s">
        <v>369</v>
      </c>
      <c r="B64" s="68" t="s">
        <v>370</v>
      </c>
    </row>
    <row r="65" spans="1:2" ht="15" x14ac:dyDescent="0.3">
      <c r="A65" s="68" t="s">
        <v>371</v>
      </c>
      <c r="B65" s="68" t="s">
        <v>372</v>
      </c>
    </row>
    <row r="66" spans="1:2" ht="15" x14ac:dyDescent="0.3">
      <c r="A66" s="68" t="s">
        <v>373</v>
      </c>
      <c r="B66" s="68" t="s">
        <v>374</v>
      </c>
    </row>
    <row r="67" spans="1:2" ht="15" x14ac:dyDescent="0.3">
      <c r="A67" s="68" t="s">
        <v>375</v>
      </c>
      <c r="B67" s="68" t="s">
        <v>376</v>
      </c>
    </row>
    <row r="68" spans="1:2" ht="15" x14ac:dyDescent="0.3">
      <c r="A68" s="70" t="s">
        <v>377</v>
      </c>
      <c r="B68" s="71" t="s">
        <v>378</v>
      </c>
    </row>
    <row r="69" spans="1:2" ht="15" x14ac:dyDescent="0.3">
      <c r="A69" s="68" t="s">
        <v>379</v>
      </c>
      <c r="B69" s="68" t="s">
        <v>380</v>
      </c>
    </row>
    <row r="70" spans="1:2" ht="15" x14ac:dyDescent="0.3">
      <c r="A70" s="68" t="s">
        <v>381</v>
      </c>
      <c r="B70" s="68" t="s">
        <v>382</v>
      </c>
    </row>
    <row r="71" spans="1:2" ht="15" x14ac:dyDescent="0.3">
      <c r="A71" s="68" t="s">
        <v>383</v>
      </c>
      <c r="B71" s="68" t="s">
        <v>384</v>
      </c>
    </row>
    <row r="72" spans="1:2" ht="15" x14ac:dyDescent="0.3">
      <c r="A72" s="68" t="s">
        <v>385</v>
      </c>
      <c r="B72" s="68" t="s">
        <v>386</v>
      </c>
    </row>
    <row r="73" spans="1:2" ht="15" x14ac:dyDescent="0.3">
      <c r="A73" s="68" t="s">
        <v>387</v>
      </c>
      <c r="B73" s="68" t="s">
        <v>388</v>
      </c>
    </row>
    <row r="74" spans="1:2" ht="15" x14ac:dyDescent="0.3">
      <c r="A74" s="68" t="s">
        <v>142</v>
      </c>
      <c r="B74" s="68" t="s">
        <v>389</v>
      </c>
    </row>
    <row r="75" spans="1:2" ht="15" x14ac:dyDescent="0.3">
      <c r="A75" s="68" t="s">
        <v>390</v>
      </c>
      <c r="B75" s="68" t="s">
        <v>391</v>
      </c>
    </row>
    <row r="76" spans="1:2" ht="15" x14ac:dyDescent="0.3">
      <c r="A76" s="68" t="s">
        <v>392</v>
      </c>
      <c r="B76" s="68" t="s">
        <v>393</v>
      </c>
    </row>
    <row r="77" spans="1:2" ht="15" x14ac:dyDescent="0.3">
      <c r="A77" s="68" t="s">
        <v>394</v>
      </c>
      <c r="B77" s="68" t="s">
        <v>395</v>
      </c>
    </row>
    <row r="78" spans="1:2" ht="15" x14ac:dyDescent="0.3">
      <c r="A78" s="68" t="s">
        <v>396</v>
      </c>
      <c r="B78" s="68" t="s">
        <v>397</v>
      </c>
    </row>
    <row r="79" spans="1:2" ht="15" x14ac:dyDescent="0.3">
      <c r="A79" s="68" t="s">
        <v>398</v>
      </c>
      <c r="B79" s="68" t="s">
        <v>399</v>
      </c>
    </row>
    <row r="80" spans="1:2" ht="15" x14ac:dyDescent="0.3">
      <c r="A80" s="68" t="s">
        <v>400</v>
      </c>
      <c r="B80" s="69" t="s">
        <v>401</v>
      </c>
    </row>
    <row r="81" spans="1:2" ht="15" x14ac:dyDescent="0.3">
      <c r="A81" s="68" t="s">
        <v>402</v>
      </c>
      <c r="B81" s="68" t="s">
        <v>403</v>
      </c>
    </row>
    <row r="82" spans="1:2" ht="15" x14ac:dyDescent="0.3">
      <c r="A82" s="69" t="s">
        <v>404</v>
      </c>
      <c r="B82" s="69" t="s">
        <v>405</v>
      </c>
    </row>
    <row r="83" spans="1:2" ht="15" x14ac:dyDescent="0.3">
      <c r="A83" s="68" t="s">
        <v>406</v>
      </c>
      <c r="B83" s="68" t="s">
        <v>407</v>
      </c>
    </row>
    <row r="84" spans="1:2" ht="15" x14ac:dyDescent="0.3">
      <c r="A84" s="68" t="s">
        <v>408</v>
      </c>
      <c r="B84" s="68" t="s">
        <v>409</v>
      </c>
    </row>
    <row r="85" spans="1:2" ht="15" x14ac:dyDescent="0.3">
      <c r="A85" s="68" t="s">
        <v>410</v>
      </c>
      <c r="B85" s="68" t="s">
        <v>411</v>
      </c>
    </row>
    <row r="86" spans="1:2" ht="15" x14ac:dyDescent="0.3">
      <c r="A86" s="68" t="s">
        <v>412</v>
      </c>
      <c r="B86" s="68" t="s">
        <v>413</v>
      </c>
    </row>
    <row r="87" spans="1:2" ht="15" x14ac:dyDescent="0.3">
      <c r="A87" s="68" t="s">
        <v>414</v>
      </c>
      <c r="B87" s="68" t="s">
        <v>415</v>
      </c>
    </row>
    <row r="88" spans="1:2" ht="15" x14ac:dyDescent="0.3">
      <c r="A88" s="68" t="s">
        <v>416</v>
      </c>
      <c r="B88" s="68" t="s">
        <v>417</v>
      </c>
    </row>
    <row r="89" spans="1:2" ht="15" x14ac:dyDescent="0.3">
      <c r="A89" s="68" t="s">
        <v>418</v>
      </c>
      <c r="B89" s="68" t="s">
        <v>419</v>
      </c>
    </row>
    <row r="90" spans="1:2" ht="15" x14ac:dyDescent="0.3">
      <c r="A90" s="68" t="s">
        <v>420</v>
      </c>
      <c r="B90" s="68" t="s">
        <v>421</v>
      </c>
    </row>
    <row r="91" spans="1:2" ht="15" x14ac:dyDescent="0.3">
      <c r="A91" s="68" t="s">
        <v>422</v>
      </c>
      <c r="B91" s="68" t="s">
        <v>423</v>
      </c>
    </row>
    <row r="92" spans="1:2" ht="15" x14ac:dyDescent="0.3">
      <c r="A92" s="68" t="s">
        <v>424</v>
      </c>
      <c r="B92" s="68" t="s">
        <v>425</v>
      </c>
    </row>
    <row r="93" spans="1:2" ht="15" x14ac:dyDescent="0.3">
      <c r="A93" s="68" t="s">
        <v>426</v>
      </c>
      <c r="B93" s="68" t="s">
        <v>427</v>
      </c>
    </row>
    <row r="94" spans="1:2" ht="15" x14ac:dyDescent="0.3">
      <c r="A94" s="68" t="s">
        <v>428</v>
      </c>
      <c r="B94" s="68" t="s">
        <v>429</v>
      </c>
    </row>
    <row r="95" spans="1:2" ht="15" x14ac:dyDescent="0.3">
      <c r="A95" s="68" t="s">
        <v>430</v>
      </c>
      <c r="B95" s="68" t="s">
        <v>431</v>
      </c>
    </row>
    <row r="96" spans="1:2" ht="15" x14ac:dyDescent="0.3">
      <c r="A96" s="68" t="s">
        <v>432</v>
      </c>
      <c r="B96" s="68" t="s">
        <v>433</v>
      </c>
    </row>
    <row r="97" spans="1:2" ht="15" x14ac:dyDescent="0.3">
      <c r="A97" s="68" t="s">
        <v>434</v>
      </c>
      <c r="B97" s="68" t="s">
        <v>435</v>
      </c>
    </row>
    <row r="98" spans="1:2" ht="15" x14ac:dyDescent="0.3">
      <c r="A98" s="68" t="s">
        <v>436</v>
      </c>
      <c r="B98" s="68" t="s">
        <v>437</v>
      </c>
    </row>
    <row r="99" spans="1:2" ht="15" x14ac:dyDescent="0.3">
      <c r="A99" s="68" t="s">
        <v>438</v>
      </c>
      <c r="B99" s="68" t="s">
        <v>439</v>
      </c>
    </row>
    <row r="100" spans="1:2" ht="15" x14ac:dyDescent="0.3">
      <c r="A100" s="68" t="s">
        <v>440</v>
      </c>
      <c r="B100" s="68" t="s">
        <v>441</v>
      </c>
    </row>
    <row r="101" spans="1:2" ht="15" x14ac:dyDescent="0.3">
      <c r="A101" s="68" t="s">
        <v>442</v>
      </c>
      <c r="B101" s="68" t="s">
        <v>443</v>
      </c>
    </row>
    <row r="102" spans="1:2" ht="15" x14ac:dyDescent="0.3">
      <c r="A102" s="68" t="s">
        <v>444</v>
      </c>
      <c r="B102" s="68" t="s">
        <v>445</v>
      </c>
    </row>
    <row r="103" spans="1:2" ht="15" x14ac:dyDescent="0.3">
      <c r="A103" s="68" t="s">
        <v>446</v>
      </c>
      <c r="B103" s="68" t="s">
        <v>447</v>
      </c>
    </row>
    <row r="104" spans="1:2" ht="15" x14ac:dyDescent="0.3">
      <c r="A104" s="68" t="s">
        <v>448</v>
      </c>
      <c r="B104" s="68" t="s">
        <v>449</v>
      </c>
    </row>
    <row r="105" spans="1:2" ht="15" x14ac:dyDescent="0.3">
      <c r="A105" s="68" t="s">
        <v>450</v>
      </c>
      <c r="B105" s="68" t="s">
        <v>451</v>
      </c>
    </row>
    <row r="106" spans="1:2" ht="15" x14ac:dyDescent="0.3">
      <c r="A106" s="68" t="s">
        <v>452</v>
      </c>
      <c r="B106" s="68" t="s">
        <v>453</v>
      </c>
    </row>
    <row r="107" spans="1:2" ht="15" x14ac:dyDescent="0.3">
      <c r="A107" s="68" t="s">
        <v>454</v>
      </c>
      <c r="B107" s="68" t="s">
        <v>455</v>
      </c>
    </row>
    <row r="108" spans="1:2" ht="15" x14ac:dyDescent="0.3">
      <c r="A108" s="68" t="s">
        <v>203</v>
      </c>
      <c r="B108" s="68" t="s">
        <v>456</v>
      </c>
    </row>
    <row r="109" spans="1:2" ht="15" x14ac:dyDescent="0.3">
      <c r="A109" s="68" t="s">
        <v>457</v>
      </c>
      <c r="B109" s="68" t="s">
        <v>458</v>
      </c>
    </row>
    <row r="110" spans="1:2" ht="15" x14ac:dyDescent="0.3">
      <c r="A110" s="68" t="s">
        <v>459</v>
      </c>
      <c r="B110" s="68" t="s">
        <v>460</v>
      </c>
    </row>
    <row r="111" spans="1:2" ht="15" x14ac:dyDescent="0.3">
      <c r="A111" s="68" t="s">
        <v>461</v>
      </c>
      <c r="B111" s="68" t="s">
        <v>462</v>
      </c>
    </row>
    <row r="112" spans="1:2" ht="15" x14ac:dyDescent="0.3">
      <c r="A112" s="68" t="s">
        <v>463</v>
      </c>
      <c r="B112" s="68" t="s">
        <v>464</v>
      </c>
    </row>
    <row r="113" spans="1:2" ht="15" x14ac:dyDescent="0.3">
      <c r="A113" s="68" t="s">
        <v>465</v>
      </c>
      <c r="B113" s="68" t="s">
        <v>466</v>
      </c>
    </row>
    <row r="114" spans="1:2" ht="15" x14ac:dyDescent="0.3">
      <c r="A114" s="68" t="s">
        <v>467</v>
      </c>
      <c r="B114" s="69" t="s">
        <v>468</v>
      </c>
    </row>
    <row r="115" spans="1:2" ht="15" x14ac:dyDescent="0.3">
      <c r="A115" s="68" t="s">
        <v>469</v>
      </c>
      <c r="B115" s="68" t="s">
        <v>470</v>
      </c>
    </row>
    <row r="116" spans="1:2" ht="15" x14ac:dyDescent="0.3">
      <c r="A116" s="68" t="s">
        <v>471</v>
      </c>
      <c r="B116" s="68" t="s">
        <v>472</v>
      </c>
    </row>
    <row r="117" spans="1:2" ht="15" x14ac:dyDescent="0.3">
      <c r="A117" s="68" t="s">
        <v>473</v>
      </c>
      <c r="B117" s="68" t="s">
        <v>474</v>
      </c>
    </row>
    <row r="118" spans="1:2" ht="15" x14ac:dyDescent="0.3">
      <c r="A118" s="68" t="s">
        <v>475</v>
      </c>
      <c r="B118" s="68" t="s">
        <v>476</v>
      </c>
    </row>
    <row r="119" spans="1:2" ht="15" x14ac:dyDescent="0.3">
      <c r="A119" s="68" t="s">
        <v>477</v>
      </c>
      <c r="B119" s="68" t="s">
        <v>478</v>
      </c>
    </row>
    <row r="120" spans="1:2" ht="15" x14ac:dyDescent="0.3">
      <c r="A120" s="68" t="s">
        <v>479</v>
      </c>
      <c r="B120" s="68" t="s">
        <v>480</v>
      </c>
    </row>
    <row r="121" spans="1:2" ht="15" x14ac:dyDescent="0.3">
      <c r="A121" s="68" t="s">
        <v>481</v>
      </c>
      <c r="B121" s="68" t="s">
        <v>482</v>
      </c>
    </row>
    <row r="122" spans="1:2" ht="15" x14ac:dyDescent="0.3">
      <c r="A122" s="68" t="s">
        <v>483</v>
      </c>
      <c r="B122" s="68" t="s">
        <v>484</v>
      </c>
    </row>
    <row r="123" spans="1:2" ht="15" x14ac:dyDescent="0.3">
      <c r="A123" s="68" t="s">
        <v>485</v>
      </c>
      <c r="B123" s="68" t="s">
        <v>486</v>
      </c>
    </row>
    <row r="124" spans="1:2" ht="15" x14ac:dyDescent="0.3">
      <c r="A124" s="68" t="s">
        <v>487</v>
      </c>
      <c r="B124" s="68" t="s">
        <v>488</v>
      </c>
    </row>
    <row r="125" spans="1:2" ht="15" x14ac:dyDescent="0.3">
      <c r="A125" s="68" t="s">
        <v>489</v>
      </c>
      <c r="B125" s="69" t="s">
        <v>490</v>
      </c>
    </row>
    <row r="126" spans="1:2" ht="15" x14ac:dyDescent="0.3">
      <c r="A126" s="68" t="s">
        <v>196</v>
      </c>
      <c r="B126" s="68" t="s">
        <v>491</v>
      </c>
    </row>
    <row r="127" spans="1:2" ht="15" x14ac:dyDescent="0.3">
      <c r="A127" s="68" t="s">
        <v>492</v>
      </c>
      <c r="B127" s="68" t="s">
        <v>493</v>
      </c>
    </row>
    <row r="128" spans="1:2" ht="15" x14ac:dyDescent="0.3">
      <c r="A128" s="68" t="s">
        <v>494</v>
      </c>
      <c r="B128" s="68" t="s">
        <v>495</v>
      </c>
    </row>
    <row r="129" spans="1:2" ht="15" x14ac:dyDescent="0.3">
      <c r="A129" s="68" t="s">
        <v>496</v>
      </c>
      <c r="B129" s="68" t="s">
        <v>497</v>
      </c>
    </row>
    <row r="130" spans="1:2" ht="15" x14ac:dyDescent="0.3">
      <c r="A130" s="68" t="s">
        <v>498</v>
      </c>
      <c r="B130" s="68" t="s">
        <v>499</v>
      </c>
    </row>
    <row r="131" spans="1:2" ht="15" x14ac:dyDescent="0.3">
      <c r="A131" s="68" t="s">
        <v>500</v>
      </c>
      <c r="B131" s="68" t="s">
        <v>501</v>
      </c>
    </row>
    <row r="132" spans="1:2" ht="15" x14ac:dyDescent="0.3">
      <c r="A132" s="69" t="s">
        <v>502</v>
      </c>
      <c r="B132" s="68" t="s">
        <v>503</v>
      </c>
    </row>
    <row r="133" spans="1:2" ht="15" x14ac:dyDescent="0.3">
      <c r="A133" s="68" t="s">
        <v>504</v>
      </c>
      <c r="B133" s="68" t="s">
        <v>505</v>
      </c>
    </row>
    <row r="134" spans="1:2" ht="15" x14ac:dyDescent="0.3">
      <c r="A134" s="68" t="s">
        <v>506</v>
      </c>
      <c r="B134" s="68" t="s">
        <v>507</v>
      </c>
    </row>
    <row r="135" spans="1:2" ht="15" x14ac:dyDescent="0.3">
      <c r="A135" s="68" t="s">
        <v>508</v>
      </c>
      <c r="B135" s="68" t="s">
        <v>509</v>
      </c>
    </row>
    <row r="136" spans="1:2" ht="15" x14ac:dyDescent="0.3">
      <c r="A136" s="68" t="s">
        <v>510</v>
      </c>
      <c r="B136" s="68" t="s">
        <v>511</v>
      </c>
    </row>
    <row r="137" spans="1:2" ht="15" x14ac:dyDescent="0.3">
      <c r="A137" s="68" t="s">
        <v>512</v>
      </c>
      <c r="B137" s="68" t="s">
        <v>513</v>
      </c>
    </row>
    <row r="138" spans="1:2" ht="15" x14ac:dyDescent="0.3">
      <c r="A138" s="68" t="s">
        <v>514</v>
      </c>
      <c r="B138" s="68" t="s">
        <v>515</v>
      </c>
    </row>
    <row r="139" spans="1:2" ht="15" x14ac:dyDescent="0.3">
      <c r="A139" s="68" t="s">
        <v>516</v>
      </c>
      <c r="B139" s="68" t="s">
        <v>517</v>
      </c>
    </row>
    <row r="140" spans="1:2" ht="15" x14ac:dyDescent="0.3">
      <c r="A140" s="68" t="s">
        <v>518</v>
      </c>
      <c r="B140" s="68" t="s">
        <v>1451</v>
      </c>
    </row>
    <row r="141" spans="1:2" ht="15" x14ac:dyDescent="0.3">
      <c r="A141" s="68" t="s">
        <v>519</v>
      </c>
      <c r="B141" s="68" t="s">
        <v>520</v>
      </c>
    </row>
    <row r="142" spans="1:2" ht="15" x14ac:dyDescent="0.3">
      <c r="A142" s="68" t="s">
        <v>521</v>
      </c>
      <c r="B142" s="68" t="s">
        <v>522</v>
      </c>
    </row>
    <row r="143" spans="1:2" ht="15" x14ac:dyDescent="0.3">
      <c r="A143" s="68" t="s">
        <v>523</v>
      </c>
      <c r="B143" s="68" t="s">
        <v>524</v>
      </c>
    </row>
    <row r="144" spans="1:2" ht="15" x14ac:dyDescent="0.3">
      <c r="A144" s="68" t="s">
        <v>525</v>
      </c>
      <c r="B144" s="68" t="s">
        <v>526</v>
      </c>
    </row>
    <row r="145" spans="1:2" ht="15" x14ac:dyDescent="0.3">
      <c r="A145" s="68" t="s">
        <v>527</v>
      </c>
      <c r="B145" s="68" t="s">
        <v>528</v>
      </c>
    </row>
    <row r="146" spans="1:2" ht="15" x14ac:dyDescent="0.3">
      <c r="A146" s="68" t="s">
        <v>529</v>
      </c>
      <c r="B146" s="68" t="s">
        <v>530</v>
      </c>
    </row>
    <row r="147" spans="1:2" ht="15" x14ac:dyDescent="0.3">
      <c r="A147" s="68" t="s">
        <v>531</v>
      </c>
      <c r="B147" s="68" t="s">
        <v>532</v>
      </c>
    </row>
    <row r="148" spans="1:2" ht="15" x14ac:dyDescent="0.3">
      <c r="A148" s="68" t="s">
        <v>533</v>
      </c>
      <c r="B148" s="68" t="s">
        <v>534</v>
      </c>
    </row>
    <row r="149" spans="1:2" ht="15" x14ac:dyDescent="0.3">
      <c r="A149" s="68" t="s">
        <v>535</v>
      </c>
      <c r="B149" s="68" t="s">
        <v>536</v>
      </c>
    </row>
    <row r="150" spans="1:2" ht="15" x14ac:dyDescent="0.3">
      <c r="A150" s="68" t="s">
        <v>537</v>
      </c>
      <c r="B150" s="68" t="s">
        <v>538</v>
      </c>
    </row>
    <row r="151" spans="1:2" ht="15" x14ac:dyDescent="0.3">
      <c r="A151" s="68" t="s">
        <v>539</v>
      </c>
      <c r="B151" s="68" t="s">
        <v>540</v>
      </c>
    </row>
    <row r="152" spans="1:2" ht="15" x14ac:dyDescent="0.3">
      <c r="A152" s="68" t="s">
        <v>541</v>
      </c>
      <c r="B152" s="68" t="s">
        <v>542</v>
      </c>
    </row>
    <row r="153" spans="1:2" ht="15" x14ac:dyDescent="0.3">
      <c r="A153" s="68" t="s">
        <v>543</v>
      </c>
      <c r="B153" s="68" t="s">
        <v>544</v>
      </c>
    </row>
    <row r="154" spans="1:2" ht="15" x14ac:dyDescent="0.3">
      <c r="A154" s="68" t="s">
        <v>545</v>
      </c>
      <c r="B154" s="68" t="s">
        <v>546</v>
      </c>
    </row>
    <row r="155" spans="1:2" ht="15" x14ac:dyDescent="0.3">
      <c r="A155" s="68" t="s">
        <v>547</v>
      </c>
      <c r="B155" s="68" t="s">
        <v>548</v>
      </c>
    </row>
    <row r="156" spans="1:2" ht="15" x14ac:dyDescent="0.3">
      <c r="A156" s="68" t="s">
        <v>204</v>
      </c>
      <c r="B156" s="68" t="s">
        <v>549</v>
      </c>
    </row>
    <row r="157" spans="1:2" ht="15" x14ac:dyDescent="0.3">
      <c r="A157" s="68" t="s">
        <v>550</v>
      </c>
      <c r="B157" s="68" t="s">
        <v>551</v>
      </c>
    </row>
    <row r="158" spans="1:2" ht="15" x14ac:dyDescent="0.3">
      <c r="A158" s="68" t="s">
        <v>552</v>
      </c>
      <c r="B158" s="69" t="s">
        <v>553</v>
      </c>
    </row>
    <row r="159" spans="1:2" ht="15" x14ac:dyDescent="0.3">
      <c r="A159" s="68" t="s">
        <v>554</v>
      </c>
      <c r="B159" s="69" t="s">
        <v>555</v>
      </c>
    </row>
    <row r="160" spans="1:2" ht="15" x14ac:dyDescent="0.3">
      <c r="A160" s="68" t="s">
        <v>556</v>
      </c>
      <c r="B160" s="68" t="s">
        <v>557</v>
      </c>
    </row>
    <row r="161" spans="1:2" ht="15" x14ac:dyDescent="0.3">
      <c r="A161" s="68" t="s">
        <v>558</v>
      </c>
      <c r="B161" s="68" t="s">
        <v>559</v>
      </c>
    </row>
    <row r="162" spans="1:2" ht="15" x14ac:dyDescent="0.3">
      <c r="A162" s="68" t="s">
        <v>560</v>
      </c>
      <c r="B162" s="68" t="s">
        <v>561</v>
      </c>
    </row>
    <row r="163" spans="1:2" ht="15" x14ac:dyDescent="0.3">
      <c r="A163" s="68" t="s">
        <v>562</v>
      </c>
      <c r="B163" s="68" t="s">
        <v>563</v>
      </c>
    </row>
    <row r="164" spans="1:2" ht="15" x14ac:dyDescent="0.3">
      <c r="A164" s="68" t="s">
        <v>564</v>
      </c>
      <c r="B164" s="68" t="s">
        <v>565</v>
      </c>
    </row>
    <row r="165" spans="1:2" ht="15" x14ac:dyDescent="0.3">
      <c r="A165" s="68" t="s">
        <v>566</v>
      </c>
      <c r="B165" s="68" t="s">
        <v>567</v>
      </c>
    </row>
    <row r="166" spans="1:2" ht="15" x14ac:dyDescent="0.3">
      <c r="A166" s="68" t="s">
        <v>568</v>
      </c>
      <c r="B166" s="68" t="s">
        <v>569</v>
      </c>
    </row>
    <row r="167" spans="1:2" ht="15" x14ac:dyDescent="0.3">
      <c r="A167" s="68" t="s">
        <v>570</v>
      </c>
      <c r="B167" s="68" t="s">
        <v>571</v>
      </c>
    </row>
    <row r="168" spans="1:2" ht="15" x14ac:dyDescent="0.3">
      <c r="A168" s="68" t="s">
        <v>572</v>
      </c>
      <c r="B168" s="68" t="s">
        <v>573</v>
      </c>
    </row>
    <row r="169" spans="1:2" ht="15" x14ac:dyDescent="0.3">
      <c r="A169" s="69" t="s">
        <v>574</v>
      </c>
      <c r="B169" s="68" t="s">
        <v>575</v>
      </c>
    </row>
    <row r="170" spans="1:2" ht="15" x14ac:dyDescent="0.3">
      <c r="A170" s="72" t="s">
        <v>576</v>
      </c>
      <c r="B170" s="69" t="s">
        <v>577</v>
      </c>
    </row>
    <row r="171" spans="1:2" ht="15" x14ac:dyDescent="0.3">
      <c r="A171" s="68" t="s">
        <v>578</v>
      </c>
      <c r="B171" s="68" t="s">
        <v>579</v>
      </c>
    </row>
    <row r="172" spans="1:2" ht="15" x14ac:dyDescent="0.3">
      <c r="A172" s="73" t="s">
        <v>580</v>
      </c>
      <c r="B172" s="68" t="s">
        <v>581</v>
      </c>
    </row>
    <row r="173" spans="1:2" ht="15" x14ac:dyDescent="0.3">
      <c r="A173" s="73" t="s">
        <v>582</v>
      </c>
      <c r="B173" s="68" t="s">
        <v>583</v>
      </c>
    </row>
    <row r="174" spans="1:2" ht="15" x14ac:dyDescent="0.3">
      <c r="A174" s="68" t="s">
        <v>584</v>
      </c>
      <c r="B174" s="68" t="s">
        <v>585</v>
      </c>
    </row>
    <row r="175" spans="1:2" ht="15" x14ac:dyDescent="0.3">
      <c r="A175" s="68" t="s">
        <v>586</v>
      </c>
      <c r="B175" s="68" t="s">
        <v>587</v>
      </c>
    </row>
    <row r="176" spans="1:2" ht="15" x14ac:dyDescent="0.3">
      <c r="A176" s="68" t="s">
        <v>588</v>
      </c>
      <c r="B176" s="68" t="s">
        <v>589</v>
      </c>
    </row>
    <row r="177" spans="1:2" ht="15" x14ac:dyDescent="0.3">
      <c r="A177" s="68" t="s">
        <v>590</v>
      </c>
      <c r="B177" s="68" t="s">
        <v>591</v>
      </c>
    </row>
    <row r="178" spans="1:2" ht="15" x14ac:dyDescent="0.3">
      <c r="A178" s="68" t="s">
        <v>592</v>
      </c>
      <c r="B178" s="68" t="s">
        <v>593</v>
      </c>
    </row>
    <row r="179" spans="1:2" ht="15" x14ac:dyDescent="0.3">
      <c r="A179" s="68" t="s">
        <v>594</v>
      </c>
      <c r="B179" s="68" t="s">
        <v>595</v>
      </c>
    </row>
    <row r="180" spans="1:2" ht="15" x14ac:dyDescent="0.3">
      <c r="A180" s="68" t="s">
        <v>596</v>
      </c>
      <c r="B180" s="68" t="s">
        <v>597</v>
      </c>
    </row>
    <row r="181" spans="1:2" ht="15" x14ac:dyDescent="0.3">
      <c r="A181" s="68" t="s">
        <v>598</v>
      </c>
      <c r="B181" s="68" t="s">
        <v>599</v>
      </c>
    </row>
    <row r="182" spans="1:2" ht="15" x14ac:dyDescent="0.3">
      <c r="A182" s="68" t="s">
        <v>600</v>
      </c>
      <c r="B182" s="68" t="s">
        <v>601</v>
      </c>
    </row>
    <row r="183" spans="1:2" ht="15" x14ac:dyDescent="0.3">
      <c r="A183" s="68" t="s">
        <v>602</v>
      </c>
      <c r="B183" s="68" t="s">
        <v>603</v>
      </c>
    </row>
    <row r="184" spans="1:2" ht="15" x14ac:dyDescent="0.3">
      <c r="A184" s="68" t="s">
        <v>604</v>
      </c>
      <c r="B184" s="68" t="s">
        <v>605</v>
      </c>
    </row>
    <row r="185" spans="1:2" ht="15" x14ac:dyDescent="0.3">
      <c r="A185" s="68" t="s">
        <v>606</v>
      </c>
      <c r="B185" s="68" t="s">
        <v>607</v>
      </c>
    </row>
    <row r="186" spans="1:2" ht="15" x14ac:dyDescent="0.3">
      <c r="A186" s="68" t="s">
        <v>608</v>
      </c>
      <c r="B186" s="68" t="s">
        <v>609</v>
      </c>
    </row>
    <row r="187" spans="1:2" ht="15" x14ac:dyDescent="0.3">
      <c r="A187" s="68" t="s">
        <v>610</v>
      </c>
      <c r="B187" s="68" t="s">
        <v>1469</v>
      </c>
    </row>
    <row r="188" spans="1:2" ht="15" x14ac:dyDescent="0.3">
      <c r="A188" s="68" t="s">
        <v>611</v>
      </c>
      <c r="B188" s="68" t="s">
        <v>612</v>
      </c>
    </row>
    <row r="189" spans="1:2" ht="15" x14ac:dyDescent="0.3">
      <c r="A189" s="68" t="s">
        <v>613</v>
      </c>
      <c r="B189" s="68" t="s">
        <v>614</v>
      </c>
    </row>
    <row r="190" spans="1:2" ht="15" x14ac:dyDescent="0.3">
      <c r="A190" s="68" t="s">
        <v>615</v>
      </c>
      <c r="B190" s="68" t="s">
        <v>616</v>
      </c>
    </row>
    <row r="191" spans="1:2" ht="15" x14ac:dyDescent="0.3">
      <c r="A191" s="68" t="s">
        <v>617</v>
      </c>
      <c r="B191" s="68" t="s">
        <v>618</v>
      </c>
    </row>
    <row r="192" spans="1:2" ht="15" x14ac:dyDescent="0.3">
      <c r="A192" s="68" t="s">
        <v>619</v>
      </c>
      <c r="B192" s="68" t="s">
        <v>620</v>
      </c>
    </row>
    <row r="193" spans="1:2" ht="15" x14ac:dyDescent="0.3">
      <c r="A193" s="68" t="s">
        <v>621</v>
      </c>
      <c r="B193" s="68" t="s">
        <v>622</v>
      </c>
    </row>
    <row r="194" spans="1:2" ht="15" x14ac:dyDescent="0.3">
      <c r="A194" s="68" t="s">
        <v>623</v>
      </c>
      <c r="B194" s="68" t="s">
        <v>624</v>
      </c>
    </row>
    <row r="195" spans="1:2" ht="15" x14ac:dyDescent="0.3">
      <c r="A195" s="68" t="s">
        <v>625</v>
      </c>
      <c r="B195" s="68" t="s">
        <v>626</v>
      </c>
    </row>
    <row r="196" spans="1:2" ht="15" x14ac:dyDescent="0.3">
      <c r="A196" s="68" t="s">
        <v>627</v>
      </c>
      <c r="B196" s="68" t="s">
        <v>628</v>
      </c>
    </row>
    <row r="197" spans="1:2" ht="15" x14ac:dyDescent="0.3">
      <c r="A197" s="68" t="s">
        <v>111</v>
      </c>
      <c r="B197" s="68" t="s">
        <v>629</v>
      </c>
    </row>
    <row r="198" spans="1:2" ht="15" x14ac:dyDescent="0.3">
      <c r="A198" s="68" t="s">
        <v>630</v>
      </c>
      <c r="B198" s="68" t="s">
        <v>631</v>
      </c>
    </row>
    <row r="199" spans="1:2" ht="15" x14ac:dyDescent="0.3">
      <c r="A199" s="68" t="s">
        <v>632</v>
      </c>
      <c r="B199" s="68" t="s">
        <v>633</v>
      </c>
    </row>
    <row r="200" spans="1:2" ht="15" x14ac:dyDescent="0.3">
      <c r="A200" s="68" t="s">
        <v>634</v>
      </c>
      <c r="B200" s="68" t="s">
        <v>635</v>
      </c>
    </row>
    <row r="201" spans="1:2" ht="15" x14ac:dyDescent="0.3">
      <c r="A201" s="68" t="s">
        <v>636</v>
      </c>
      <c r="B201" s="68" t="s">
        <v>637</v>
      </c>
    </row>
    <row r="202" spans="1:2" ht="15" x14ac:dyDescent="0.3">
      <c r="A202" s="68" t="s">
        <v>638</v>
      </c>
      <c r="B202" s="68" t="s">
        <v>639</v>
      </c>
    </row>
    <row r="203" spans="1:2" ht="15" x14ac:dyDescent="0.3">
      <c r="A203" s="68" t="s">
        <v>640</v>
      </c>
      <c r="B203" s="68" t="s">
        <v>641</v>
      </c>
    </row>
    <row r="204" spans="1:2" ht="15" x14ac:dyDescent="0.3">
      <c r="A204" s="68" t="s">
        <v>642</v>
      </c>
      <c r="B204" s="68" t="s">
        <v>643</v>
      </c>
    </row>
    <row r="205" spans="1:2" ht="15" x14ac:dyDescent="0.3">
      <c r="A205" s="68" t="s">
        <v>644</v>
      </c>
      <c r="B205" s="68" t="s">
        <v>645</v>
      </c>
    </row>
    <row r="206" spans="1:2" ht="15" x14ac:dyDescent="0.3">
      <c r="A206" s="68" t="s">
        <v>646</v>
      </c>
      <c r="B206" s="68" t="s">
        <v>647</v>
      </c>
    </row>
    <row r="207" spans="1:2" ht="15" x14ac:dyDescent="0.3">
      <c r="A207" s="68" t="s">
        <v>648</v>
      </c>
      <c r="B207" s="68" t="s">
        <v>649</v>
      </c>
    </row>
    <row r="208" spans="1:2" ht="15" x14ac:dyDescent="0.3">
      <c r="A208" s="68" t="s">
        <v>650</v>
      </c>
      <c r="B208" s="68" t="s">
        <v>651</v>
      </c>
    </row>
    <row r="209" spans="1:2" ht="15" x14ac:dyDescent="0.3">
      <c r="A209" s="68" t="s">
        <v>652</v>
      </c>
      <c r="B209" s="68" t="s">
        <v>653</v>
      </c>
    </row>
    <row r="210" spans="1:2" ht="15" x14ac:dyDescent="0.3">
      <c r="A210" s="68" t="s">
        <v>654</v>
      </c>
      <c r="B210" s="68" t="s">
        <v>655</v>
      </c>
    </row>
    <row r="211" spans="1:2" ht="15" x14ac:dyDescent="0.3">
      <c r="A211" s="68" t="s">
        <v>656</v>
      </c>
      <c r="B211" s="68" t="s">
        <v>657</v>
      </c>
    </row>
    <row r="212" spans="1:2" ht="15" x14ac:dyDescent="0.3">
      <c r="A212" s="68" t="s">
        <v>658</v>
      </c>
      <c r="B212" s="68" t="s">
        <v>659</v>
      </c>
    </row>
    <row r="213" spans="1:2" ht="15" x14ac:dyDescent="0.3">
      <c r="A213" s="68" t="s">
        <v>660</v>
      </c>
      <c r="B213" s="68" t="s">
        <v>661</v>
      </c>
    </row>
    <row r="214" spans="1:2" ht="15" x14ac:dyDescent="0.3">
      <c r="A214" s="68" t="s">
        <v>210</v>
      </c>
      <c r="B214" s="68" t="s">
        <v>662</v>
      </c>
    </row>
    <row r="215" spans="1:2" ht="15" x14ac:dyDescent="0.3">
      <c r="A215" s="68" t="s">
        <v>663</v>
      </c>
      <c r="B215" s="68" t="s">
        <v>664</v>
      </c>
    </row>
    <row r="216" spans="1:2" ht="15" x14ac:dyDescent="0.3">
      <c r="A216" s="68" t="s">
        <v>665</v>
      </c>
      <c r="B216" s="68" t="s">
        <v>666</v>
      </c>
    </row>
    <row r="217" spans="1:2" ht="15" x14ac:dyDescent="0.3">
      <c r="A217" s="68" t="s">
        <v>112</v>
      </c>
      <c r="B217" s="68" t="s">
        <v>667</v>
      </c>
    </row>
    <row r="218" spans="1:2" ht="15" x14ac:dyDescent="0.3">
      <c r="A218" s="68" t="s">
        <v>668</v>
      </c>
      <c r="B218" s="68" t="s">
        <v>669</v>
      </c>
    </row>
    <row r="219" spans="1:2" ht="15" x14ac:dyDescent="0.3">
      <c r="A219" s="68" t="s">
        <v>670</v>
      </c>
      <c r="B219" s="68" t="s">
        <v>671</v>
      </c>
    </row>
    <row r="220" spans="1:2" ht="15" x14ac:dyDescent="0.3">
      <c r="A220" s="68" t="s">
        <v>672</v>
      </c>
      <c r="B220" s="68" t="s">
        <v>673</v>
      </c>
    </row>
    <row r="221" spans="1:2" ht="15" x14ac:dyDescent="0.3">
      <c r="A221" s="68" t="s">
        <v>674</v>
      </c>
      <c r="B221" s="68" t="s">
        <v>675</v>
      </c>
    </row>
    <row r="222" spans="1:2" ht="15" x14ac:dyDescent="0.3">
      <c r="A222" s="68" t="s">
        <v>676</v>
      </c>
      <c r="B222" s="68" t="s">
        <v>677</v>
      </c>
    </row>
    <row r="223" spans="1:2" ht="15" x14ac:dyDescent="0.3">
      <c r="A223" s="68" t="s">
        <v>678</v>
      </c>
      <c r="B223" s="68" t="s">
        <v>679</v>
      </c>
    </row>
    <row r="224" spans="1:2" ht="15" x14ac:dyDescent="0.3">
      <c r="A224" s="68" t="s">
        <v>680</v>
      </c>
      <c r="B224" s="68" t="s">
        <v>681</v>
      </c>
    </row>
    <row r="225" spans="1:2" ht="15" x14ac:dyDescent="0.3">
      <c r="A225" s="68" t="s">
        <v>682</v>
      </c>
      <c r="B225" s="68" t="s">
        <v>683</v>
      </c>
    </row>
    <row r="226" spans="1:2" ht="15" x14ac:dyDescent="0.3">
      <c r="A226" s="68" t="s">
        <v>684</v>
      </c>
      <c r="B226" s="68" t="s">
        <v>685</v>
      </c>
    </row>
    <row r="227" spans="1:2" ht="15" x14ac:dyDescent="0.3">
      <c r="A227" s="68" t="s">
        <v>686</v>
      </c>
      <c r="B227" s="68" t="s">
        <v>687</v>
      </c>
    </row>
    <row r="228" spans="1:2" ht="15" x14ac:dyDescent="0.3">
      <c r="A228" s="68" t="s">
        <v>688</v>
      </c>
      <c r="B228" s="69" t="s">
        <v>689</v>
      </c>
    </row>
    <row r="229" spans="1:2" ht="15" x14ac:dyDescent="0.3">
      <c r="A229" s="68" t="s">
        <v>690</v>
      </c>
      <c r="B229" s="68" t="s">
        <v>691</v>
      </c>
    </row>
    <row r="230" spans="1:2" ht="15" x14ac:dyDescent="0.3">
      <c r="A230" s="68" t="s">
        <v>692</v>
      </c>
      <c r="B230" s="68" t="s">
        <v>693</v>
      </c>
    </row>
    <row r="231" spans="1:2" ht="15" x14ac:dyDescent="0.3">
      <c r="A231" s="74" t="s">
        <v>694</v>
      </c>
      <c r="B231" s="74" t="s">
        <v>695</v>
      </c>
    </row>
    <row r="232" spans="1:2" ht="15" x14ac:dyDescent="0.3">
      <c r="A232" s="68" t="s">
        <v>696</v>
      </c>
      <c r="B232" s="68" t="s">
        <v>697</v>
      </c>
    </row>
    <row r="233" spans="1:2" ht="15" x14ac:dyDescent="0.3">
      <c r="A233" s="68" t="s">
        <v>698</v>
      </c>
      <c r="B233" s="68" t="s">
        <v>699</v>
      </c>
    </row>
    <row r="234" spans="1:2" ht="15" x14ac:dyDescent="0.3">
      <c r="A234" s="74" t="s">
        <v>700</v>
      </c>
      <c r="B234" s="74" t="s">
        <v>701</v>
      </c>
    </row>
    <row r="235" spans="1:2" ht="15" x14ac:dyDescent="0.3">
      <c r="A235" s="75" t="s">
        <v>702</v>
      </c>
      <c r="B235" s="68" t="s">
        <v>703</v>
      </c>
    </row>
    <row r="236" spans="1:2" ht="15" x14ac:dyDescent="0.3">
      <c r="A236" s="76" t="s">
        <v>704</v>
      </c>
      <c r="B236" s="76" t="s">
        <v>705</v>
      </c>
    </row>
    <row r="237" spans="1:2" ht="15" x14ac:dyDescent="0.3">
      <c r="A237" s="76" t="s">
        <v>706</v>
      </c>
      <c r="B237" s="74" t="s">
        <v>707</v>
      </c>
    </row>
    <row r="238" spans="1:2" ht="15" x14ac:dyDescent="0.3">
      <c r="A238" s="74" t="s">
        <v>708</v>
      </c>
      <c r="B238" s="74" t="s">
        <v>709</v>
      </c>
    </row>
    <row r="239" spans="1:2" ht="15" x14ac:dyDescent="0.3">
      <c r="A239" s="74" t="s">
        <v>710</v>
      </c>
      <c r="B239" s="74" t="s">
        <v>711</v>
      </c>
    </row>
    <row r="240" spans="1:2" ht="15" x14ac:dyDescent="0.3">
      <c r="A240" s="74" t="s">
        <v>712</v>
      </c>
      <c r="B240" s="74" t="s">
        <v>713</v>
      </c>
    </row>
    <row r="241" spans="1:2" ht="15" x14ac:dyDescent="0.3">
      <c r="A241" s="74" t="s">
        <v>714</v>
      </c>
      <c r="B241" s="74" t="s">
        <v>715</v>
      </c>
    </row>
    <row r="242" spans="1:2" ht="15" x14ac:dyDescent="0.3">
      <c r="A242" s="75" t="s">
        <v>716</v>
      </c>
      <c r="B242" s="68" t="s">
        <v>717</v>
      </c>
    </row>
    <row r="243" spans="1:2" ht="15" x14ac:dyDescent="0.3">
      <c r="A243" s="75" t="s">
        <v>718</v>
      </c>
      <c r="B243" s="68" t="s">
        <v>719</v>
      </c>
    </row>
    <row r="244" spans="1:2" ht="15" x14ac:dyDescent="0.3">
      <c r="A244" s="75" t="s">
        <v>720</v>
      </c>
      <c r="B244" s="68" t="s">
        <v>721</v>
      </c>
    </row>
    <row r="245" spans="1:2" ht="15" x14ac:dyDescent="0.3">
      <c r="A245" s="74" t="s">
        <v>722</v>
      </c>
      <c r="B245" s="74" t="s">
        <v>723</v>
      </c>
    </row>
    <row r="246" spans="1:2" ht="15" x14ac:dyDescent="0.3">
      <c r="A246" s="74" t="s">
        <v>724</v>
      </c>
      <c r="B246" s="74" t="s">
        <v>725</v>
      </c>
    </row>
    <row r="247" spans="1:2" ht="15" x14ac:dyDescent="0.3">
      <c r="A247" s="68" t="s">
        <v>726</v>
      </c>
      <c r="B247" s="68" t="s">
        <v>727</v>
      </c>
    </row>
    <row r="248" spans="1:2" ht="15" x14ac:dyDescent="0.3">
      <c r="A248" s="68" t="s">
        <v>728</v>
      </c>
      <c r="B248" s="68" t="s">
        <v>729</v>
      </c>
    </row>
    <row r="249" spans="1:2" ht="15" x14ac:dyDescent="0.3">
      <c r="A249" s="68" t="s">
        <v>730</v>
      </c>
      <c r="B249" s="68" t="s">
        <v>731</v>
      </c>
    </row>
    <row r="250" spans="1:2" ht="15" x14ac:dyDescent="0.3">
      <c r="A250" s="68" t="s">
        <v>732</v>
      </c>
      <c r="B250" s="68" t="s">
        <v>733</v>
      </c>
    </row>
    <row r="251" spans="1:2" ht="15" x14ac:dyDescent="0.3">
      <c r="A251" s="68" t="s">
        <v>734</v>
      </c>
      <c r="B251" s="68" t="s">
        <v>735</v>
      </c>
    </row>
    <row r="252" spans="1:2" ht="15" x14ac:dyDescent="0.3">
      <c r="A252" s="68" t="s">
        <v>736</v>
      </c>
      <c r="B252" s="68" t="s">
        <v>737</v>
      </c>
    </row>
    <row r="253" spans="1:2" ht="15" x14ac:dyDescent="0.3">
      <c r="A253" s="68" t="s">
        <v>738</v>
      </c>
      <c r="B253" s="68" t="s">
        <v>739</v>
      </c>
    </row>
    <row r="254" spans="1:2" ht="15" x14ac:dyDescent="0.3">
      <c r="A254" s="68" t="s">
        <v>740</v>
      </c>
      <c r="B254" s="68" t="s">
        <v>741</v>
      </c>
    </row>
    <row r="255" spans="1:2" ht="15" x14ac:dyDescent="0.3">
      <c r="A255" s="68" t="s">
        <v>742</v>
      </c>
      <c r="B255" s="68" t="s">
        <v>743</v>
      </c>
    </row>
    <row r="256" spans="1:2" ht="15" x14ac:dyDescent="0.3">
      <c r="A256" s="68" t="s">
        <v>744</v>
      </c>
      <c r="B256" s="68" t="s">
        <v>745</v>
      </c>
    </row>
    <row r="257" spans="1:2" ht="15" x14ac:dyDescent="0.3">
      <c r="A257" s="68" t="s">
        <v>746</v>
      </c>
      <c r="B257" s="68" t="s">
        <v>747</v>
      </c>
    </row>
    <row r="258" spans="1:2" ht="15" x14ac:dyDescent="0.3">
      <c r="A258" s="68" t="s">
        <v>748</v>
      </c>
      <c r="B258" s="68" t="s">
        <v>749</v>
      </c>
    </row>
    <row r="259" spans="1:2" ht="15" x14ac:dyDescent="0.3">
      <c r="A259" s="68" t="s">
        <v>750</v>
      </c>
      <c r="B259" s="68" t="s">
        <v>751</v>
      </c>
    </row>
    <row r="260" spans="1:2" ht="15" x14ac:dyDescent="0.3">
      <c r="A260" s="68" t="s">
        <v>752</v>
      </c>
      <c r="B260" s="68" t="s">
        <v>753</v>
      </c>
    </row>
    <row r="261" spans="1:2" ht="15" x14ac:dyDescent="0.3">
      <c r="A261" s="68" t="s">
        <v>754</v>
      </c>
      <c r="B261" s="68" t="s">
        <v>755</v>
      </c>
    </row>
    <row r="262" spans="1:2" ht="15" x14ac:dyDescent="0.3">
      <c r="A262" s="68" t="s">
        <v>756</v>
      </c>
      <c r="B262" s="68" t="s">
        <v>757</v>
      </c>
    </row>
    <row r="263" spans="1:2" ht="15" x14ac:dyDescent="0.3">
      <c r="A263" s="68" t="s">
        <v>758</v>
      </c>
      <c r="B263" s="68" t="s">
        <v>759</v>
      </c>
    </row>
    <row r="264" spans="1:2" ht="15" x14ac:dyDescent="0.3">
      <c r="A264" s="68" t="s">
        <v>760</v>
      </c>
      <c r="B264" s="68" t="s">
        <v>761</v>
      </c>
    </row>
    <row r="265" spans="1:2" ht="15" x14ac:dyDescent="0.3">
      <c r="A265" s="68" t="s">
        <v>762</v>
      </c>
      <c r="B265" s="68" t="s">
        <v>763</v>
      </c>
    </row>
    <row r="266" spans="1:2" ht="15" x14ac:dyDescent="0.3">
      <c r="A266" s="68" t="s">
        <v>764</v>
      </c>
      <c r="B266" s="68" t="s">
        <v>765</v>
      </c>
    </row>
    <row r="267" spans="1:2" ht="15" x14ac:dyDescent="0.3">
      <c r="A267" s="68" t="s">
        <v>766</v>
      </c>
      <c r="B267" s="68" t="s">
        <v>767</v>
      </c>
    </row>
    <row r="268" spans="1:2" ht="15" x14ac:dyDescent="0.3">
      <c r="A268" s="68" t="s">
        <v>768</v>
      </c>
      <c r="B268" s="68" t="s">
        <v>769</v>
      </c>
    </row>
    <row r="269" spans="1:2" ht="15" x14ac:dyDescent="0.3">
      <c r="A269" s="68" t="s">
        <v>770</v>
      </c>
      <c r="B269" s="68" t="s">
        <v>771</v>
      </c>
    </row>
    <row r="270" spans="1:2" ht="15" x14ac:dyDescent="0.3">
      <c r="A270" s="68" t="s">
        <v>772</v>
      </c>
      <c r="B270" s="68" t="s">
        <v>773</v>
      </c>
    </row>
    <row r="271" spans="1:2" ht="15" x14ac:dyDescent="0.3">
      <c r="A271" s="68" t="s">
        <v>774</v>
      </c>
      <c r="B271" s="68" t="s">
        <v>775</v>
      </c>
    </row>
    <row r="272" spans="1:2" ht="15" x14ac:dyDescent="0.3">
      <c r="A272" s="68" t="s">
        <v>776</v>
      </c>
      <c r="B272" s="68" t="s">
        <v>777</v>
      </c>
    </row>
    <row r="273" spans="1:2" ht="15" x14ac:dyDescent="0.3">
      <c r="A273" s="68" t="s">
        <v>778</v>
      </c>
      <c r="B273" s="69" t="s">
        <v>779</v>
      </c>
    </row>
    <row r="274" spans="1:2" ht="15" x14ac:dyDescent="0.3">
      <c r="A274" s="68" t="s">
        <v>780</v>
      </c>
      <c r="B274" s="68" t="s">
        <v>781</v>
      </c>
    </row>
    <row r="275" spans="1:2" ht="15" x14ac:dyDescent="0.3">
      <c r="A275" s="68" t="s">
        <v>782</v>
      </c>
      <c r="B275" s="68" t="s">
        <v>783</v>
      </c>
    </row>
    <row r="276" spans="1:2" ht="15" x14ac:dyDescent="0.3">
      <c r="A276" s="68" t="s">
        <v>784</v>
      </c>
      <c r="B276" s="68" t="s">
        <v>785</v>
      </c>
    </row>
    <row r="277" spans="1:2" ht="15" x14ac:dyDescent="0.3">
      <c r="A277" s="68" t="s">
        <v>786</v>
      </c>
      <c r="B277" s="68" t="s">
        <v>787</v>
      </c>
    </row>
    <row r="278" spans="1:2" ht="15" x14ac:dyDescent="0.3">
      <c r="A278" s="68" t="s">
        <v>788</v>
      </c>
      <c r="B278" s="68" t="s">
        <v>1982</v>
      </c>
    </row>
    <row r="279" spans="1:2" ht="15" x14ac:dyDescent="0.3">
      <c r="A279" s="68" t="s">
        <v>789</v>
      </c>
      <c r="B279" s="68" t="s">
        <v>347</v>
      </c>
    </row>
    <row r="280" spans="1:2" ht="15" x14ac:dyDescent="0.3">
      <c r="A280" s="68" t="s">
        <v>790</v>
      </c>
      <c r="B280" s="68" t="s">
        <v>791</v>
      </c>
    </row>
    <row r="281" spans="1:2" ht="15" x14ac:dyDescent="0.3">
      <c r="A281" s="68" t="s">
        <v>792</v>
      </c>
      <c r="B281" s="68" t="s">
        <v>793</v>
      </c>
    </row>
    <row r="282" spans="1:2" ht="15" x14ac:dyDescent="0.3">
      <c r="A282" s="68" t="s">
        <v>794</v>
      </c>
      <c r="B282" s="68" t="s">
        <v>795</v>
      </c>
    </row>
    <row r="283" spans="1:2" ht="15" x14ac:dyDescent="0.3">
      <c r="A283" s="68" t="s">
        <v>796</v>
      </c>
      <c r="B283" s="68" t="s">
        <v>797</v>
      </c>
    </row>
    <row r="284" spans="1:2" ht="15" x14ac:dyDescent="0.3">
      <c r="A284" s="68" t="s">
        <v>798</v>
      </c>
      <c r="B284" s="68" t="s">
        <v>799</v>
      </c>
    </row>
    <row r="285" spans="1:2" ht="15" x14ac:dyDescent="0.3">
      <c r="A285" s="68" t="s">
        <v>800</v>
      </c>
      <c r="B285" s="68" t="s">
        <v>801</v>
      </c>
    </row>
    <row r="286" spans="1:2" ht="15" x14ac:dyDescent="0.3">
      <c r="A286" s="68" t="s">
        <v>802</v>
      </c>
      <c r="B286" s="68" t="s">
        <v>803</v>
      </c>
    </row>
    <row r="287" spans="1:2" ht="15" x14ac:dyDescent="0.3">
      <c r="A287" s="68" t="s">
        <v>804</v>
      </c>
      <c r="B287" s="68" t="s">
        <v>793</v>
      </c>
    </row>
    <row r="288" spans="1:2" ht="15" x14ac:dyDescent="0.3">
      <c r="A288" s="68" t="s">
        <v>805</v>
      </c>
      <c r="B288" s="68" t="s">
        <v>806</v>
      </c>
    </row>
    <row r="289" spans="1:2" ht="15" x14ac:dyDescent="0.3">
      <c r="A289" s="68" t="s">
        <v>807</v>
      </c>
      <c r="B289" s="68" t="s">
        <v>808</v>
      </c>
    </row>
    <row r="290" spans="1:2" ht="15" x14ac:dyDescent="0.3">
      <c r="A290" s="68" t="s">
        <v>809</v>
      </c>
      <c r="B290" s="68" t="s">
        <v>810</v>
      </c>
    </row>
    <row r="291" spans="1:2" ht="15" x14ac:dyDescent="0.3">
      <c r="A291" s="68" t="s">
        <v>811</v>
      </c>
      <c r="B291" s="68" t="s">
        <v>812</v>
      </c>
    </row>
    <row r="292" spans="1:2" ht="15" x14ac:dyDescent="0.3">
      <c r="A292" s="68" t="s">
        <v>813</v>
      </c>
      <c r="B292" s="68" t="s">
        <v>814</v>
      </c>
    </row>
    <row r="293" spans="1:2" ht="15" x14ac:dyDescent="0.3">
      <c r="A293" s="68" t="s">
        <v>815</v>
      </c>
      <c r="B293" s="68" t="s">
        <v>816</v>
      </c>
    </row>
    <row r="294" spans="1:2" ht="15" x14ac:dyDescent="0.3">
      <c r="A294" s="68" t="s">
        <v>817</v>
      </c>
      <c r="B294" s="68" t="s">
        <v>818</v>
      </c>
    </row>
    <row r="295" spans="1:2" ht="15" x14ac:dyDescent="0.3">
      <c r="A295" s="68" t="s">
        <v>819</v>
      </c>
      <c r="B295" s="68" t="s">
        <v>820</v>
      </c>
    </row>
    <row r="296" spans="1:2" ht="15" x14ac:dyDescent="0.3">
      <c r="A296" s="68" t="s">
        <v>821</v>
      </c>
      <c r="B296" s="68" t="s">
        <v>822</v>
      </c>
    </row>
    <row r="297" spans="1:2" ht="15" x14ac:dyDescent="0.3">
      <c r="A297" s="68" t="s">
        <v>823</v>
      </c>
      <c r="B297" s="68" t="s">
        <v>824</v>
      </c>
    </row>
    <row r="298" spans="1:2" ht="15" x14ac:dyDescent="0.3">
      <c r="A298" s="68" t="s">
        <v>825</v>
      </c>
      <c r="B298" s="68" t="s">
        <v>826</v>
      </c>
    </row>
    <row r="299" spans="1:2" ht="15" x14ac:dyDescent="0.3">
      <c r="A299" s="68" t="s">
        <v>827</v>
      </c>
      <c r="B299" s="68" t="s">
        <v>828</v>
      </c>
    </row>
    <row r="300" spans="1:2" ht="15" x14ac:dyDescent="0.3">
      <c r="A300" s="68" t="s">
        <v>829</v>
      </c>
      <c r="B300" s="68" t="s">
        <v>830</v>
      </c>
    </row>
    <row r="301" spans="1:2" ht="15" x14ac:dyDescent="0.3">
      <c r="A301" s="68" t="s">
        <v>831</v>
      </c>
      <c r="B301" s="68" t="s">
        <v>832</v>
      </c>
    </row>
    <row r="302" spans="1:2" ht="15" x14ac:dyDescent="0.3">
      <c r="A302" s="68" t="s">
        <v>833</v>
      </c>
      <c r="B302" s="68" t="s">
        <v>834</v>
      </c>
    </row>
    <row r="303" spans="1:2" ht="15" x14ac:dyDescent="0.3">
      <c r="A303" s="68" t="s">
        <v>835</v>
      </c>
      <c r="B303" s="68" t="s">
        <v>836</v>
      </c>
    </row>
    <row r="304" spans="1:2" ht="15" x14ac:dyDescent="0.3">
      <c r="A304" s="68" t="s">
        <v>837</v>
      </c>
      <c r="B304" s="68" t="s">
        <v>838</v>
      </c>
    </row>
    <row r="305" spans="1:2" ht="15" x14ac:dyDescent="0.3">
      <c r="A305" s="68" t="s">
        <v>839</v>
      </c>
      <c r="B305" s="68" t="s">
        <v>840</v>
      </c>
    </row>
    <row r="306" spans="1:2" ht="15" x14ac:dyDescent="0.3">
      <c r="A306" s="68" t="s">
        <v>841</v>
      </c>
      <c r="B306" s="68" t="s">
        <v>842</v>
      </c>
    </row>
    <row r="307" spans="1:2" ht="15" x14ac:dyDescent="0.3">
      <c r="A307" s="68" t="s">
        <v>843</v>
      </c>
      <c r="B307" s="68" t="s">
        <v>844</v>
      </c>
    </row>
    <row r="308" spans="1:2" ht="15" x14ac:dyDescent="0.3">
      <c r="A308" s="68" t="s">
        <v>845</v>
      </c>
      <c r="B308" s="68" t="s">
        <v>846</v>
      </c>
    </row>
    <row r="309" spans="1:2" ht="15" x14ac:dyDescent="0.3">
      <c r="A309" s="68" t="s">
        <v>847</v>
      </c>
      <c r="B309" s="68" t="s">
        <v>848</v>
      </c>
    </row>
    <row r="310" spans="1:2" ht="15" x14ac:dyDescent="0.3">
      <c r="A310" s="68" t="s">
        <v>849</v>
      </c>
      <c r="B310" s="68" t="s">
        <v>850</v>
      </c>
    </row>
    <row r="311" spans="1:2" ht="15" x14ac:dyDescent="0.3">
      <c r="A311" s="68" t="s">
        <v>851</v>
      </c>
      <c r="B311" s="68" t="s">
        <v>852</v>
      </c>
    </row>
    <row r="312" spans="1:2" ht="15" x14ac:dyDescent="0.3">
      <c r="A312" s="68" t="s">
        <v>853</v>
      </c>
      <c r="B312" s="68" t="s">
        <v>854</v>
      </c>
    </row>
    <row r="313" spans="1:2" ht="15" x14ac:dyDescent="0.3">
      <c r="A313" s="68" t="s">
        <v>855</v>
      </c>
      <c r="B313" s="68" t="s">
        <v>856</v>
      </c>
    </row>
    <row r="314" spans="1:2" ht="15" x14ac:dyDescent="0.3">
      <c r="A314" s="68" t="s">
        <v>857</v>
      </c>
      <c r="B314" s="68" t="s">
        <v>858</v>
      </c>
    </row>
    <row r="315" spans="1:2" ht="15" x14ac:dyDescent="0.3">
      <c r="A315" s="68" t="s">
        <v>859</v>
      </c>
      <c r="B315" s="68" t="s">
        <v>860</v>
      </c>
    </row>
    <row r="316" spans="1:2" ht="15" x14ac:dyDescent="0.3">
      <c r="A316" s="68" t="s">
        <v>861</v>
      </c>
      <c r="B316" s="68" t="s">
        <v>862</v>
      </c>
    </row>
    <row r="317" spans="1:2" ht="15" x14ac:dyDescent="0.3">
      <c r="A317" s="68" t="s">
        <v>863</v>
      </c>
      <c r="B317" s="68" t="s">
        <v>864</v>
      </c>
    </row>
    <row r="318" spans="1:2" ht="15" x14ac:dyDescent="0.3">
      <c r="A318" s="68" t="s">
        <v>865</v>
      </c>
      <c r="B318" s="68" t="s">
        <v>866</v>
      </c>
    </row>
    <row r="319" spans="1:2" ht="15" x14ac:dyDescent="0.3">
      <c r="A319" s="77" t="s">
        <v>867</v>
      </c>
      <c r="B319" s="68" t="s">
        <v>868</v>
      </c>
    </row>
    <row r="320" spans="1:2" ht="15" x14ac:dyDescent="0.3">
      <c r="A320" s="68" t="s">
        <v>869</v>
      </c>
      <c r="B320" s="68" t="s">
        <v>2008</v>
      </c>
    </row>
    <row r="321" spans="1:2" ht="15" x14ac:dyDescent="0.3">
      <c r="A321" s="68" t="s">
        <v>870</v>
      </c>
      <c r="B321" s="68" t="s">
        <v>871</v>
      </c>
    </row>
    <row r="322" spans="1:2" ht="15" x14ac:dyDescent="0.3">
      <c r="A322" s="68" t="s">
        <v>872</v>
      </c>
      <c r="B322" s="68" t="s">
        <v>873</v>
      </c>
    </row>
    <row r="323" spans="1:2" ht="15" x14ac:dyDescent="0.3">
      <c r="A323" s="68" t="s">
        <v>874</v>
      </c>
      <c r="B323" s="68" t="s">
        <v>875</v>
      </c>
    </row>
    <row r="324" spans="1:2" ht="15" x14ac:dyDescent="0.3">
      <c r="A324" s="68" t="s">
        <v>876</v>
      </c>
      <c r="B324" s="68" t="s">
        <v>877</v>
      </c>
    </row>
    <row r="325" spans="1:2" ht="15" x14ac:dyDescent="0.3">
      <c r="A325" s="68" t="s">
        <v>878</v>
      </c>
      <c r="B325" s="68" t="s">
        <v>879</v>
      </c>
    </row>
    <row r="326" spans="1:2" ht="15" x14ac:dyDescent="0.3">
      <c r="A326" s="68" t="s">
        <v>880</v>
      </c>
      <c r="B326" s="68" t="s">
        <v>881</v>
      </c>
    </row>
    <row r="327" spans="1:2" ht="15" x14ac:dyDescent="0.3">
      <c r="A327" s="68" t="s">
        <v>882</v>
      </c>
      <c r="B327" s="68" t="s">
        <v>883</v>
      </c>
    </row>
    <row r="328" spans="1:2" ht="15" x14ac:dyDescent="0.3">
      <c r="A328" s="68" t="s">
        <v>884</v>
      </c>
      <c r="B328" s="68" t="s">
        <v>885</v>
      </c>
    </row>
    <row r="329" spans="1:2" ht="15" x14ac:dyDescent="0.3">
      <c r="A329" s="68" t="s">
        <v>886</v>
      </c>
      <c r="B329" s="68" t="s">
        <v>887</v>
      </c>
    </row>
    <row r="330" spans="1:2" ht="15" x14ac:dyDescent="0.3">
      <c r="A330" s="68" t="s">
        <v>888</v>
      </c>
      <c r="B330" s="68" t="s">
        <v>889</v>
      </c>
    </row>
    <row r="331" spans="1:2" ht="15" x14ac:dyDescent="0.3">
      <c r="A331" s="68" t="s">
        <v>890</v>
      </c>
      <c r="B331" s="68" t="s">
        <v>891</v>
      </c>
    </row>
    <row r="332" spans="1:2" ht="15" x14ac:dyDescent="0.3">
      <c r="A332" s="68" t="s">
        <v>892</v>
      </c>
      <c r="B332" s="68" t="s">
        <v>893</v>
      </c>
    </row>
    <row r="333" spans="1:2" ht="15" x14ac:dyDescent="0.3">
      <c r="A333" s="68" t="s">
        <v>894</v>
      </c>
      <c r="B333" s="68" t="s">
        <v>895</v>
      </c>
    </row>
    <row r="334" spans="1:2" ht="15" x14ac:dyDescent="0.3">
      <c r="A334" s="68" t="s">
        <v>896</v>
      </c>
      <c r="B334" s="68" t="s">
        <v>897</v>
      </c>
    </row>
    <row r="335" spans="1:2" ht="15" x14ac:dyDescent="0.3">
      <c r="A335" s="68" t="s">
        <v>898</v>
      </c>
      <c r="B335" s="68" t="s">
        <v>899</v>
      </c>
    </row>
    <row r="336" spans="1:2" ht="15" x14ac:dyDescent="0.3">
      <c r="A336" s="68" t="s">
        <v>900</v>
      </c>
      <c r="B336" s="68" t="s">
        <v>901</v>
      </c>
    </row>
    <row r="337" spans="1:2" ht="15" x14ac:dyDescent="0.3">
      <c r="A337" s="68" t="s">
        <v>902</v>
      </c>
      <c r="B337" s="68" t="s">
        <v>903</v>
      </c>
    </row>
    <row r="338" spans="1:2" ht="15" x14ac:dyDescent="0.3">
      <c r="A338" s="68" t="s">
        <v>904</v>
      </c>
      <c r="B338" s="68" t="s">
        <v>905</v>
      </c>
    </row>
    <row r="339" spans="1:2" ht="15" x14ac:dyDescent="0.3">
      <c r="A339" s="68" t="s">
        <v>906</v>
      </c>
      <c r="B339" s="68" t="s">
        <v>907</v>
      </c>
    </row>
    <row r="340" spans="1:2" ht="15" x14ac:dyDescent="0.3">
      <c r="A340" s="68" t="s">
        <v>908</v>
      </c>
      <c r="B340" s="68" t="s">
        <v>909</v>
      </c>
    </row>
    <row r="341" spans="1:2" ht="15" x14ac:dyDescent="0.3">
      <c r="A341" s="68" t="s">
        <v>910</v>
      </c>
      <c r="B341" s="68" t="s">
        <v>911</v>
      </c>
    </row>
    <row r="342" spans="1:2" ht="15" x14ac:dyDescent="0.3">
      <c r="A342" s="68" t="s">
        <v>912</v>
      </c>
      <c r="B342" s="68" t="s">
        <v>913</v>
      </c>
    </row>
    <row r="343" spans="1:2" ht="15" x14ac:dyDescent="0.3">
      <c r="A343" s="68" t="s">
        <v>914</v>
      </c>
      <c r="B343" s="68" t="s">
        <v>915</v>
      </c>
    </row>
    <row r="344" spans="1:2" ht="15" x14ac:dyDescent="0.3">
      <c r="A344" s="68" t="s">
        <v>916</v>
      </c>
      <c r="B344" s="68" t="s">
        <v>917</v>
      </c>
    </row>
    <row r="345" spans="1:2" ht="15" x14ac:dyDescent="0.3">
      <c r="A345" s="68" t="s">
        <v>918</v>
      </c>
      <c r="B345" s="68" t="s">
        <v>919</v>
      </c>
    </row>
    <row r="346" spans="1:2" ht="15" x14ac:dyDescent="0.3">
      <c r="A346" s="68" t="s">
        <v>920</v>
      </c>
      <c r="B346" s="68" t="s">
        <v>921</v>
      </c>
    </row>
    <row r="347" spans="1:2" ht="15" x14ac:dyDescent="0.3">
      <c r="A347" s="68" t="s">
        <v>922</v>
      </c>
      <c r="B347" s="68" t="s">
        <v>923</v>
      </c>
    </row>
    <row r="348" spans="1:2" ht="15" x14ac:dyDescent="0.3">
      <c r="A348" s="68" t="s">
        <v>924</v>
      </c>
      <c r="B348" s="68" t="s">
        <v>925</v>
      </c>
    </row>
    <row r="349" spans="1:2" ht="15" x14ac:dyDescent="0.3">
      <c r="A349" s="68" t="s">
        <v>926</v>
      </c>
      <c r="B349" s="68" t="s">
        <v>927</v>
      </c>
    </row>
    <row r="350" spans="1:2" ht="15" x14ac:dyDescent="0.3">
      <c r="A350" s="68" t="s">
        <v>928</v>
      </c>
      <c r="B350" s="68" t="s">
        <v>929</v>
      </c>
    </row>
    <row r="351" spans="1:2" ht="15" x14ac:dyDescent="0.3">
      <c r="A351" s="68" t="s">
        <v>930</v>
      </c>
      <c r="B351" s="68" t="s">
        <v>931</v>
      </c>
    </row>
    <row r="352" spans="1:2" ht="15" x14ac:dyDescent="0.3">
      <c r="A352" s="68" t="s">
        <v>932</v>
      </c>
      <c r="B352" s="68" t="s">
        <v>933</v>
      </c>
    </row>
    <row r="353" spans="1:2" ht="15" x14ac:dyDescent="0.3">
      <c r="A353" s="68" t="s">
        <v>934</v>
      </c>
      <c r="B353" s="68" t="s">
        <v>935</v>
      </c>
    </row>
    <row r="354" spans="1:2" ht="15" x14ac:dyDescent="0.3">
      <c r="A354" s="68" t="s">
        <v>936</v>
      </c>
      <c r="B354" s="68" t="s">
        <v>937</v>
      </c>
    </row>
    <row r="355" spans="1:2" ht="15" x14ac:dyDescent="0.3">
      <c r="A355" s="68" t="s">
        <v>938</v>
      </c>
      <c r="B355" s="68" t="s">
        <v>939</v>
      </c>
    </row>
    <row r="356" spans="1:2" ht="15" x14ac:dyDescent="0.3">
      <c r="A356" s="68" t="s">
        <v>940</v>
      </c>
      <c r="B356" s="68" t="s">
        <v>941</v>
      </c>
    </row>
    <row r="357" spans="1:2" ht="15" x14ac:dyDescent="0.3">
      <c r="A357" s="68" t="s">
        <v>942</v>
      </c>
      <c r="B357" s="68" t="s">
        <v>943</v>
      </c>
    </row>
    <row r="358" spans="1:2" ht="15" x14ac:dyDescent="0.3">
      <c r="A358" s="68" t="s">
        <v>944</v>
      </c>
      <c r="B358" s="68" t="s">
        <v>945</v>
      </c>
    </row>
    <row r="359" spans="1:2" ht="15" x14ac:dyDescent="0.3">
      <c r="A359" s="68" t="s">
        <v>946</v>
      </c>
      <c r="B359" s="68" t="s">
        <v>947</v>
      </c>
    </row>
    <row r="360" spans="1:2" ht="15" x14ac:dyDescent="0.3">
      <c r="A360" s="68" t="s">
        <v>948</v>
      </c>
      <c r="B360" s="68" t="s">
        <v>949</v>
      </c>
    </row>
    <row r="361" spans="1:2" ht="15" x14ac:dyDescent="0.3">
      <c r="A361" s="68" t="s">
        <v>950</v>
      </c>
      <c r="B361" s="68" t="s">
        <v>951</v>
      </c>
    </row>
    <row r="362" spans="1:2" ht="15" x14ac:dyDescent="0.3">
      <c r="A362" s="68" t="s">
        <v>952</v>
      </c>
      <c r="B362" s="68" t="s">
        <v>953</v>
      </c>
    </row>
    <row r="363" spans="1:2" ht="15" x14ac:dyDescent="0.3">
      <c r="A363" s="68" t="s">
        <v>954</v>
      </c>
      <c r="B363" s="68" t="s">
        <v>955</v>
      </c>
    </row>
    <row r="364" spans="1:2" ht="15" x14ac:dyDescent="0.3">
      <c r="A364" s="68" t="s">
        <v>956</v>
      </c>
      <c r="B364" s="68" t="s">
        <v>957</v>
      </c>
    </row>
    <row r="365" spans="1:2" ht="15" x14ac:dyDescent="0.3">
      <c r="A365" s="68" t="s">
        <v>958</v>
      </c>
      <c r="B365" s="68" t="s">
        <v>959</v>
      </c>
    </row>
    <row r="366" spans="1:2" ht="15" x14ac:dyDescent="0.3">
      <c r="A366" s="68" t="s">
        <v>960</v>
      </c>
      <c r="B366" s="68" t="s">
        <v>961</v>
      </c>
    </row>
    <row r="367" spans="1:2" ht="15" x14ac:dyDescent="0.3">
      <c r="A367" s="68" t="s">
        <v>962</v>
      </c>
      <c r="B367" s="68" t="s">
        <v>963</v>
      </c>
    </row>
    <row r="368" spans="1:2" ht="15" x14ac:dyDescent="0.3">
      <c r="A368" s="68" t="s">
        <v>964</v>
      </c>
      <c r="B368" s="68" t="s">
        <v>965</v>
      </c>
    </row>
    <row r="369" spans="1:2" ht="15" x14ac:dyDescent="0.3">
      <c r="A369" s="68" t="s">
        <v>966</v>
      </c>
      <c r="B369" s="68" t="s">
        <v>967</v>
      </c>
    </row>
    <row r="370" spans="1:2" ht="15" x14ac:dyDescent="0.3">
      <c r="A370" s="68" t="s">
        <v>968</v>
      </c>
      <c r="B370" s="68" t="s">
        <v>969</v>
      </c>
    </row>
    <row r="371" spans="1:2" ht="15" x14ac:dyDescent="0.3">
      <c r="A371" s="68" t="s">
        <v>970</v>
      </c>
      <c r="B371" s="68" t="s">
        <v>971</v>
      </c>
    </row>
    <row r="372" spans="1:2" ht="15" x14ac:dyDescent="0.3">
      <c r="A372" s="68" t="s">
        <v>972</v>
      </c>
      <c r="B372" s="68" t="s">
        <v>973</v>
      </c>
    </row>
    <row r="373" spans="1:2" ht="15" x14ac:dyDescent="0.3">
      <c r="A373" s="68" t="s">
        <v>974</v>
      </c>
      <c r="B373" s="68" t="s">
        <v>975</v>
      </c>
    </row>
    <row r="374" spans="1:2" ht="15" x14ac:dyDescent="0.3">
      <c r="A374" s="68" t="s">
        <v>976</v>
      </c>
      <c r="B374" s="68" t="s">
        <v>977</v>
      </c>
    </row>
    <row r="375" spans="1:2" ht="15" x14ac:dyDescent="0.3">
      <c r="A375" s="68" t="s">
        <v>978</v>
      </c>
      <c r="B375" s="68" t="s">
        <v>979</v>
      </c>
    </row>
    <row r="376" spans="1:2" ht="15" x14ac:dyDescent="0.3">
      <c r="A376" s="68" t="s">
        <v>980</v>
      </c>
      <c r="B376" s="68" t="s">
        <v>981</v>
      </c>
    </row>
    <row r="377" spans="1:2" ht="15" x14ac:dyDescent="0.3">
      <c r="A377" s="68" t="s">
        <v>982</v>
      </c>
      <c r="B377" s="68" t="s">
        <v>983</v>
      </c>
    </row>
    <row r="378" spans="1:2" ht="15" x14ac:dyDescent="0.3">
      <c r="A378" s="68" t="s">
        <v>984</v>
      </c>
      <c r="B378" s="68" t="s">
        <v>985</v>
      </c>
    </row>
    <row r="379" spans="1:2" ht="15" x14ac:dyDescent="0.3">
      <c r="A379" s="68" t="s">
        <v>986</v>
      </c>
      <c r="B379" s="68" t="s">
        <v>987</v>
      </c>
    </row>
    <row r="380" spans="1:2" ht="15" x14ac:dyDescent="0.3">
      <c r="A380" s="68" t="s">
        <v>988</v>
      </c>
      <c r="B380" s="68" t="s">
        <v>989</v>
      </c>
    </row>
    <row r="381" spans="1:2" ht="15" x14ac:dyDescent="0.3">
      <c r="A381" s="68" t="s">
        <v>990</v>
      </c>
      <c r="B381" s="68" t="s">
        <v>991</v>
      </c>
    </row>
    <row r="382" spans="1:2" ht="15" x14ac:dyDescent="0.3">
      <c r="A382" s="68" t="s">
        <v>992</v>
      </c>
      <c r="B382" s="68" t="s">
        <v>993</v>
      </c>
    </row>
    <row r="383" spans="1:2" ht="15" x14ac:dyDescent="0.3">
      <c r="A383" s="68" t="s">
        <v>994</v>
      </c>
      <c r="B383" s="68" t="s">
        <v>995</v>
      </c>
    </row>
    <row r="384" spans="1:2" ht="15" x14ac:dyDescent="0.3">
      <c r="A384" s="68" t="s">
        <v>996</v>
      </c>
      <c r="B384" s="68" t="s">
        <v>997</v>
      </c>
    </row>
    <row r="385" spans="1:2" ht="15" x14ac:dyDescent="0.3">
      <c r="A385" s="68" t="s">
        <v>998</v>
      </c>
      <c r="B385" s="68" t="s">
        <v>999</v>
      </c>
    </row>
    <row r="386" spans="1:2" ht="15" x14ac:dyDescent="0.3">
      <c r="A386" s="68" t="s">
        <v>1000</v>
      </c>
      <c r="B386" s="68" t="s">
        <v>1001</v>
      </c>
    </row>
    <row r="387" spans="1:2" ht="15" x14ac:dyDescent="0.3">
      <c r="A387" s="68" t="s">
        <v>1002</v>
      </c>
      <c r="B387" s="68" t="s">
        <v>1003</v>
      </c>
    </row>
    <row r="388" spans="1:2" ht="15" x14ac:dyDescent="0.3">
      <c r="A388" s="68" t="s">
        <v>1004</v>
      </c>
      <c r="B388" s="68" t="s">
        <v>1005</v>
      </c>
    </row>
    <row r="389" spans="1:2" ht="15" x14ac:dyDescent="0.3">
      <c r="A389" s="68" t="s">
        <v>1006</v>
      </c>
      <c r="B389" s="68" t="s">
        <v>1007</v>
      </c>
    </row>
    <row r="390" spans="1:2" ht="15" x14ac:dyDescent="0.3">
      <c r="A390" s="68" t="s">
        <v>1008</v>
      </c>
      <c r="B390" s="68" t="s">
        <v>1009</v>
      </c>
    </row>
    <row r="391" spans="1:2" ht="15" x14ac:dyDescent="0.3">
      <c r="A391" s="68" t="s">
        <v>1010</v>
      </c>
      <c r="B391" s="68" t="s">
        <v>1011</v>
      </c>
    </row>
    <row r="392" spans="1:2" ht="15" x14ac:dyDescent="0.3">
      <c r="A392" s="68" t="s">
        <v>1012</v>
      </c>
      <c r="B392" s="68" t="s">
        <v>1013</v>
      </c>
    </row>
    <row r="393" spans="1:2" ht="15" x14ac:dyDescent="0.3">
      <c r="A393" s="68" t="s">
        <v>1014</v>
      </c>
      <c r="B393" s="68" t="s">
        <v>1015</v>
      </c>
    </row>
    <row r="394" spans="1:2" ht="15" x14ac:dyDescent="0.3">
      <c r="A394" s="68" t="s">
        <v>1016</v>
      </c>
      <c r="B394" s="68" t="s">
        <v>1017</v>
      </c>
    </row>
    <row r="395" spans="1:2" ht="15" x14ac:dyDescent="0.3">
      <c r="A395" s="68" t="s">
        <v>1018</v>
      </c>
      <c r="B395" s="68" t="s">
        <v>1019</v>
      </c>
    </row>
    <row r="396" spans="1:2" ht="15" x14ac:dyDescent="0.3">
      <c r="A396" s="68" t="s">
        <v>1020</v>
      </c>
      <c r="B396" s="68" t="s">
        <v>1021</v>
      </c>
    </row>
    <row r="397" spans="1:2" ht="15" x14ac:dyDescent="0.3">
      <c r="A397" s="68" t="s">
        <v>1022</v>
      </c>
      <c r="B397" s="68" t="s">
        <v>1023</v>
      </c>
    </row>
    <row r="398" spans="1:2" ht="15" x14ac:dyDescent="0.3">
      <c r="A398" s="68" t="s">
        <v>1024</v>
      </c>
      <c r="B398" s="68" t="s">
        <v>1025</v>
      </c>
    </row>
    <row r="399" spans="1:2" ht="15" x14ac:dyDescent="0.3">
      <c r="A399" s="68" t="s">
        <v>1026</v>
      </c>
      <c r="B399" s="68" t="s">
        <v>1027</v>
      </c>
    </row>
    <row r="400" spans="1:2" ht="15" x14ac:dyDescent="0.3">
      <c r="A400" s="68" t="s">
        <v>1028</v>
      </c>
      <c r="B400" s="68" t="s">
        <v>1029</v>
      </c>
    </row>
    <row r="401" spans="1:2" ht="15" x14ac:dyDescent="0.3">
      <c r="A401" s="68" t="s">
        <v>1030</v>
      </c>
      <c r="B401" s="68" t="s">
        <v>1031</v>
      </c>
    </row>
    <row r="402" spans="1:2" ht="15" x14ac:dyDescent="0.3">
      <c r="A402" s="68" t="s">
        <v>1032</v>
      </c>
      <c r="B402" s="68" t="s">
        <v>1033</v>
      </c>
    </row>
    <row r="403" spans="1:2" ht="15" x14ac:dyDescent="0.3">
      <c r="A403" s="68" t="s">
        <v>1034</v>
      </c>
      <c r="B403" s="68" t="s">
        <v>1035</v>
      </c>
    </row>
    <row r="404" spans="1:2" ht="15" x14ac:dyDescent="0.3">
      <c r="A404" s="68" t="s">
        <v>1036</v>
      </c>
      <c r="B404" s="68" t="s">
        <v>1037</v>
      </c>
    </row>
    <row r="405" spans="1:2" ht="15" x14ac:dyDescent="0.3">
      <c r="A405" s="68" t="s">
        <v>1038</v>
      </c>
      <c r="B405" s="68" t="s">
        <v>1039</v>
      </c>
    </row>
    <row r="406" spans="1:2" ht="15" x14ac:dyDescent="0.3">
      <c r="A406" s="68" t="s">
        <v>1040</v>
      </c>
      <c r="B406" s="68" t="s">
        <v>1041</v>
      </c>
    </row>
    <row r="407" spans="1:2" ht="15" x14ac:dyDescent="0.3">
      <c r="A407" s="68" t="s">
        <v>1042</v>
      </c>
      <c r="B407" s="68" t="s">
        <v>1043</v>
      </c>
    </row>
    <row r="408" spans="1:2" ht="15" x14ac:dyDescent="0.3">
      <c r="A408" s="68" t="s">
        <v>1044</v>
      </c>
      <c r="B408" s="68" t="s">
        <v>1045</v>
      </c>
    </row>
    <row r="409" spans="1:2" ht="15" x14ac:dyDescent="0.3">
      <c r="A409" s="68" t="s">
        <v>1046</v>
      </c>
      <c r="B409" s="68" t="s">
        <v>1047</v>
      </c>
    </row>
    <row r="410" spans="1:2" ht="15" x14ac:dyDescent="0.3">
      <c r="A410" s="68" t="s">
        <v>1048</v>
      </c>
      <c r="B410" s="68" t="s">
        <v>1049</v>
      </c>
    </row>
    <row r="411" spans="1:2" ht="15" x14ac:dyDescent="0.3">
      <c r="A411" s="68" t="s">
        <v>1050</v>
      </c>
      <c r="B411" s="68" t="s">
        <v>1051</v>
      </c>
    </row>
    <row r="412" spans="1:2" ht="15" x14ac:dyDescent="0.3">
      <c r="A412" s="68" t="s">
        <v>1052</v>
      </c>
      <c r="B412" s="68" t="s">
        <v>1053</v>
      </c>
    </row>
    <row r="413" spans="1:2" ht="15" x14ac:dyDescent="0.3">
      <c r="A413" s="68" t="s">
        <v>1054</v>
      </c>
      <c r="B413" s="68" t="s">
        <v>1055</v>
      </c>
    </row>
    <row r="414" spans="1:2" ht="15" x14ac:dyDescent="0.3">
      <c r="A414" s="68" t="s">
        <v>1056</v>
      </c>
      <c r="B414" s="68" t="s">
        <v>1057</v>
      </c>
    </row>
    <row r="415" spans="1:2" ht="15" x14ac:dyDescent="0.3">
      <c r="A415" s="68" t="s">
        <v>1058</v>
      </c>
      <c r="B415" s="68" t="s">
        <v>1059</v>
      </c>
    </row>
    <row r="416" spans="1:2" ht="15" x14ac:dyDescent="0.3">
      <c r="A416" s="68" t="s">
        <v>1060</v>
      </c>
      <c r="B416" s="68" t="s">
        <v>1061</v>
      </c>
    </row>
    <row r="417" spans="1:2" ht="15" x14ac:dyDescent="0.3">
      <c r="A417" s="68" t="s">
        <v>1062</v>
      </c>
      <c r="B417" s="68" t="s">
        <v>1063</v>
      </c>
    </row>
    <row r="418" spans="1:2" ht="15" x14ac:dyDescent="0.3">
      <c r="A418" s="68" t="s">
        <v>1064</v>
      </c>
      <c r="B418" s="68" t="s">
        <v>1065</v>
      </c>
    </row>
    <row r="419" spans="1:2" ht="15" x14ac:dyDescent="0.3">
      <c r="A419" s="68" t="s">
        <v>1066</v>
      </c>
      <c r="B419" s="68" t="s">
        <v>1067</v>
      </c>
    </row>
    <row r="420" spans="1:2" ht="15" x14ac:dyDescent="0.3">
      <c r="A420" s="68" t="s">
        <v>1068</v>
      </c>
      <c r="B420" s="68" t="s">
        <v>1069</v>
      </c>
    </row>
    <row r="421" spans="1:2" ht="15" x14ac:dyDescent="0.3">
      <c r="A421" s="68" t="s">
        <v>1070</v>
      </c>
      <c r="B421" s="68" t="s">
        <v>1071</v>
      </c>
    </row>
    <row r="422" spans="1:2" ht="15" x14ac:dyDescent="0.3">
      <c r="A422" s="68" t="s">
        <v>1072</v>
      </c>
      <c r="B422" s="68" t="s">
        <v>1073</v>
      </c>
    </row>
    <row r="423" spans="1:2" ht="15" x14ac:dyDescent="0.3">
      <c r="A423" s="68" t="s">
        <v>1074</v>
      </c>
      <c r="B423" s="68" t="s">
        <v>1075</v>
      </c>
    </row>
    <row r="424" spans="1:2" ht="15" x14ac:dyDescent="0.3">
      <c r="A424" s="68" t="s">
        <v>1076</v>
      </c>
      <c r="B424" s="68" t="s">
        <v>1077</v>
      </c>
    </row>
    <row r="425" spans="1:2" ht="15" x14ac:dyDescent="0.3">
      <c r="A425" s="68" t="s">
        <v>1078</v>
      </c>
      <c r="B425" s="68" t="s">
        <v>1079</v>
      </c>
    </row>
    <row r="426" spans="1:2" ht="15" x14ac:dyDescent="0.3">
      <c r="A426" s="68" t="s">
        <v>1080</v>
      </c>
      <c r="B426" s="68" t="s">
        <v>1081</v>
      </c>
    </row>
    <row r="427" spans="1:2" ht="15" x14ac:dyDescent="0.3">
      <c r="A427" s="68" t="s">
        <v>1082</v>
      </c>
      <c r="B427" s="68" t="s">
        <v>1083</v>
      </c>
    </row>
    <row r="428" spans="1:2" ht="15" x14ac:dyDescent="0.3">
      <c r="A428" s="68" t="s">
        <v>1084</v>
      </c>
      <c r="B428" s="68" t="s">
        <v>1085</v>
      </c>
    </row>
    <row r="429" spans="1:2" ht="15" x14ac:dyDescent="0.3">
      <c r="A429" s="68" t="s">
        <v>1086</v>
      </c>
      <c r="B429" s="68" t="s">
        <v>1087</v>
      </c>
    </row>
    <row r="430" spans="1:2" ht="15" x14ac:dyDescent="0.3">
      <c r="A430" s="68" t="s">
        <v>1088</v>
      </c>
      <c r="B430" s="68" t="s">
        <v>1089</v>
      </c>
    </row>
    <row r="431" spans="1:2" ht="15" x14ac:dyDescent="0.3">
      <c r="A431" s="68" t="s">
        <v>1090</v>
      </c>
      <c r="B431" s="68" t="s">
        <v>1091</v>
      </c>
    </row>
    <row r="432" spans="1:2" ht="15" x14ac:dyDescent="0.3">
      <c r="A432" s="68" t="s">
        <v>1092</v>
      </c>
      <c r="B432" s="68" t="s">
        <v>1093</v>
      </c>
    </row>
    <row r="433" spans="1:2" ht="15" x14ac:dyDescent="0.3">
      <c r="A433" s="68" t="s">
        <v>1094</v>
      </c>
      <c r="B433" s="68" t="s">
        <v>1095</v>
      </c>
    </row>
    <row r="434" spans="1:2" ht="15" x14ac:dyDescent="0.3">
      <c r="A434" s="68" t="s">
        <v>1096</v>
      </c>
      <c r="B434" s="68" t="s">
        <v>1097</v>
      </c>
    </row>
    <row r="435" spans="1:2" ht="15" x14ac:dyDescent="0.3">
      <c r="A435" s="68" t="s">
        <v>1098</v>
      </c>
      <c r="B435" s="68" t="s">
        <v>1099</v>
      </c>
    </row>
    <row r="436" spans="1:2" ht="15" x14ac:dyDescent="0.3">
      <c r="A436" s="68" t="s">
        <v>1100</v>
      </c>
      <c r="B436" s="68" t="s">
        <v>614</v>
      </c>
    </row>
    <row r="437" spans="1:2" ht="15" x14ac:dyDescent="0.3">
      <c r="A437" s="69" t="s">
        <v>1101</v>
      </c>
      <c r="B437" s="68" t="s">
        <v>1102</v>
      </c>
    </row>
    <row r="438" spans="1:2" ht="15" x14ac:dyDescent="0.3">
      <c r="A438" s="69" t="s">
        <v>1103</v>
      </c>
      <c r="B438" s="69" t="s">
        <v>1104</v>
      </c>
    </row>
    <row r="439" spans="1:2" ht="15" x14ac:dyDescent="0.3">
      <c r="A439" s="68" t="s">
        <v>1105</v>
      </c>
      <c r="B439" s="68" t="s">
        <v>1106</v>
      </c>
    </row>
    <row r="440" spans="1:2" ht="15" x14ac:dyDescent="0.3">
      <c r="A440" s="68" t="s">
        <v>1107</v>
      </c>
      <c r="B440" s="68" t="s">
        <v>1108</v>
      </c>
    </row>
    <row r="441" spans="1:2" ht="15" x14ac:dyDescent="0.3">
      <c r="A441" s="68" t="s">
        <v>1109</v>
      </c>
      <c r="B441" s="68" t="s">
        <v>1110</v>
      </c>
    </row>
    <row r="442" spans="1:2" ht="15" x14ac:dyDescent="0.3">
      <c r="A442" s="68" t="s">
        <v>1111</v>
      </c>
      <c r="B442" s="68" t="s">
        <v>1112</v>
      </c>
    </row>
    <row r="443" spans="1:2" ht="15" x14ac:dyDescent="0.3">
      <c r="A443" s="68" t="s">
        <v>1113</v>
      </c>
      <c r="B443" s="68" t="s">
        <v>1491</v>
      </c>
    </row>
    <row r="444" spans="1:2" ht="15" x14ac:dyDescent="0.3">
      <c r="A444" s="68" t="s">
        <v>1114</v>
      </c>
      <c r="B444" s="68" t="s">
        <v>1115</v>
      </c>
    </row>
    <row r="445" spans="1:2" ht="15" x14ac:dyDescent="0.3">
      <c r="A445" s="68" t="s">
        <v>1116</v>
      </c>
      <c r="B445" s="68" t="s">
        <v>1117</v>
      </c>
    </row>
    <row r="446" spans="1:2" ht="15" x14ac:dyDescent="0.3">
      <c r="A446" s="68" t="s">
        <v>1118</v>
      </c>
      <c r="B446" s="68" t="s">
        <v>1119</v>
      </c>
    </row>
    <row r="447" spans="1:2" ht="15" x14ac:dyDescent="0.3">
      <c r="A447" s="68" t="s">
        <v>1120</v>
      </c>
      <c r="B447" s="68" t="s">
        <v>1121</v>
      </c>
    </row>
    <row r="448" spans="1:2" ht="15" x14ac:dyDescent="0.3">
      <c r="A448" s="68" t="s">
        <v>1122</v>
      </c>
      <c r="B448" s="68" t="s">
        <v>1123</v>
      </c>
    </row>
    <row r="449" spans="1:2" ht="15" x14ac:dyDescent="0.3">
      <c r="A449" s="68" t="s">
        <v>1124</v>
      </c>
      <c r="B449" s="68" t="s">
        <v>1125</v>
      </c>
    </row>
    <row r="450" spans="1:2" ht="15" x14ac:dyDescent="0.3">
      <c r="A450" s="68" t="s">
        <v>1126</v>
      </c>
      <c r="B450" s="68" t="s">
        <v>1127</v>
      </c>
    </row>
    <row r="451" spans="1:2" ht="15" x14ac:dyDescent="0.3">
      <c r="A451" s="68" t="s">
        <v>1128</v>
      </c>
      <c r="B451" s="68" t="s">
        <v>1129</v>
      </c>
    </row>
    <row r="452" spans="1:2" ht="15" x14ac:dyDescent="0.3">
      <c r="A452" s="68" t="s">
        <v>1130</v>
      </c>
      <c r="B452" s="68" t="s">
        <v>1131</v>
      </c>
    </row>
    <row r="453" spans="1:2" ht="15" x14ac:dyDescent="0.3">
      <c r="A453" s="68" t="s">
        <v>1132</v>
      </c>
      <c r="B453" s="68" t="s">
        <v>1133</v>
      </c>
    </row>
    <row r="454" spans="1:2" ht="15" x14ac:dyDescent="0.3">
      <c r="A454" s="68" t="s">
        <v>1134</v>
      </c>
      <c r="B454" s="68" t="s">
        <v>1135</v>
      </c>
    </row>
    <row r="455" spans="1:2" ht="15" x14ac:dyDescent="0.3">
      <c r="A455" s="68" t="s">
        <v>1136</v>
      </c>
      <c r="B455" s="68" t="s">
        <v>1137</v>
      </c>
    </row>
    <row r="456" spans="1:2" ht="15" x14ac:dyDescent="0.3">
      <c r="A456" s="68" t="s">
        <v>1138</v>
      </c>
      <c r="B456" s="68" t="s">
        <v>1139</v>
      </c>
    </row>
    <row r="457" spans="1:2" ht="15" x14ac:dyDescent="0.3">
      <c r="A457" s="68" t="s">
        <v>1140</v>
      </c>
      <c r="B457" s="68" t="s">
        <v>1141</v>
      </c>
    </row>
    <row r="458" spans="1:2" ht="15" x14ac:dyDescent="0.3">
      <c r="A458" s="68" t="s">
        <v>1142</v>
      </c>
      <c r="B458" s="68" t="s">
        <v>1143</v>
      </c>
    </row>
    <row r="459" spans="1:2" ht="15" x14ac:dyDescent="0.3">
      <c r="A459" s="68" t="s">
        <v>1144</v>
      </c>
      <c r="B459" s="68" t="s">
        <v>1145</v>
      </c>
    </row>
    <row r="460" spans="1:2" ht="15" x14ac:dyDescent="0.3">
      <c r="A460" s="68" t="s">
        <v>1146</v>
      </c>
      <c r="B460" s="68" t="s">
        <v>1147</v>
      </c>
    </row>
    <row r="461" spans="1:2" ht="15" x14ac:dyDescent="0.3">
      <c r="A461" s="68" t="s">
        <v>1148</v>
      </c>
      <c r="B461" s="68" t="s">
        <v>1149</v>
      </c>
    </row>
    <row r="462" spans="1:2" ht="15" x14ac:dyDescent="0.3">
      <c r="A462" s="68" t="s">
        <v>1150</v>
      </c>
      <c r="B462" s="68" t="s">
        <v>1151</v>
      </c>
    </row>
    <row r="463" spans="1:2" ht="15" x14ac:dyDescent="0.3">
      <c r="A463" s="68" t="s">
        <v>1152</v>
      </c>
      <c r="B463" s="68" t="s">
        <v>1153</v>
      </c>
    </row>
    <row r="464" spans="1:2" ht="15" x14ac:dyDescent="0.3">
      <c r="A464" s="68" t="s">
        <v>1154</v>
      </c>
      <c r="B464" s="68" t="s">
        <v>1155</v>
      </c>
    </row>
    <row r="465" spans="1:2" ht="15" x14ac:dyDescent="0.3">
      <c r="A465" s="68" t="s">
        <v>1156</v>
      </c>
      <c r="B465" s="68" t="s">
        <v>1157</v>
      </c>
    </row>
    <row r="466" spans="1:2" ht="15" x14ac:dyDescent="0.3">
      <c r="A466" s="68" t="s">
        <v>1158</v>
      </c>
      <c r="B466" s="68" t="s">
        <v>1159</v>
      </c>
    </row>
    <row r="467" spans="1:2" ht="15" x14ac:dyDescent="0.3">
      <c r="A467" s="68" t="s">
        <v>1160</v>
      </c>
      <c r="B467" s="68" t="s">
        <v>1161</v>
      </c>
    </row>
    <row r="468" spans="1:2" ht="15" x14ac:dyDescent="0.3">
      <c r="A468" s="68" t="s">
        <v>1162</v>
      </c>
      <c r="B468" s="68" t="s">
        <v>1163</v>
      </c>
    </row>
    <row r="469" spans="1:2" ht="15" x14ac:dyDescent="0.3">
      <c r="A469" s="68" t="s">
        <v>1164</v>
      </c>
      <c r="B469" s="68" t="s">
        <v>1165</v>
      </c>
    </row>
    <row r="470" spans="1:2" ht="15" x14ac:dyDescent="0.3">
      <c r="A470" s="68" t="s">
        <v>1166</v>
      </c>
      <c r="B470" s="68" t="s">
        <v>1167</v>
      </c>
    </row>
    <row r="471" spans="1:2" ht="15" x14ac:dyDescent="0.3">
      <c r="A471" s="68" t="s">
        <v>1168</v>
      </c>
      <c r="B471" s="68" t="s">
        <v>1169</v>
      </c>
    </row>
    <row r="472" spans="1:2" ht="15" x14ac:dyDescent="0.3">
      <c r="A472" s="68" t="s">
        <v>1170</v>
      </c>
      <c r="B472" s="68" t="s">
        <v>1171</v>
      </c>
    </row>
    <row r="473" spans="1:2" ht="15" x14ac:dyDescent="0.3">
      <c r="A473" s="68" t="s">
        <v>1172</v>
      </c>
      <c r="B473" s="68" t="s">
        <v>1173</v>
      </c>
    </row>
    <row r="474" spans="1:2" ht="15" x14ac:dyDescent="0.3">
      <c r="A474" s="68" t="s">
        <v>1174</v>
      </c>
      <c r="B474" s="68" t="s">
        <v>1175</v>
      </c>
    </row>
    <row r="475" spans="1:2" ht="15" x14ac:dyDescent="0.3">
      <c r="A475" s="68" t="s">
        <v>1176</v>
      </c>
      <c r="B475" s="68" t="s">
        <v>1177</v>
      </c>
    </row>
    <row r="476" spans="1:2" ht="15" x14ac:dyDescent="0.3">
      <c r="A476" s="68" t="s">
        <v>1178</v>
      </c>
      <c r="B476" s="68" t="s">
        <v>1179</v>
      </c>
    </row>
    <row r="477" spans="1:2" ht="15" x14ac:dyDescent="0.3">
      <c r="A477" s="68" t="s">
        <v>1180</v>
      </c>
      <c r="B477" s="68" t="s">
        <v>1181</v>
      </c>
    </row>
    <row r="478" spans="1:2" ht="15" x14ac:dyDescent="0.3">
      <c r="A478" s="68" t="s">
        <v>1182</v>
      </c>
      <c r="B478" s="68" t="s">
        <v>1183</v>
      </c>
    </row>
    <row r="479" spans="1:2" ht="15" x14ac:dyDescent="0.3">
      <c r="A479" s="68" t="s">
        <v>1184</v>
      </c>
      <c r="B479" s="68" t="s">
        <v>1185</v>
      </c>
    </row>
    <row r="480" spans="1:2" ht="15" x14ac:dyDescent="0.3">
      <c r="A480" s="68" t="s">
        <v>1186</v>
      </c>
      <c r="B480" s="68" t="s">
        <v>1187</v>
      </c>
    </row>
    <row r="481" spans="1:2" ht="15" x14ac:dyDescent="0.3">
      <c r="A481" s="68" t="s">
        <v>1188</v>
      </c>
      <c r="B481" s="68" t="s">
        <v>1189</v>
      </c>
    </row>
    <row r="482" spans="1:2" ht="15" x14ac:dyDescent="0.3">
      <c r="A482" s="68" t="s">
        <v>1190</v>
      </c>
      <c r="B482" s="68" t="s">
        <v>1191</v>
      </c>
    </row>
    <row r="483" spans="1:2" ht="15" x14ac:dyDescent="0.3">
      <c r="A483" s="68" t="s">
        <v>1192</v>
      </c>
      <c r="B483" s="68" t="s">
        <v>1193</v>
      </c>
    </row>
    <row r="484" spans="1:2" ht="15" x14ac:dyDescent="0.3">
      <c r="A484" s="68" t="s">
        <v>1194</v>
      </c>
      <c r="B484" s="68" t="s">
        <v>1195</v>
      </c>
    </row>
    <row r="485" spans="1:2" ht="15" x14ac:dyDescent="0.3">
      <c r="A485" s="68" t="s">
        <v>1196</v>
      </c>
      <c r="B485" s="68" t="s">
        <v>1197</v>
      </c>
    </row>
    <row r="486" spans="1:2" ht="15" x14ac:dyDescent="0.3">
      <c r="A486" s="68" t="s">
        <v>1198</v>
      </c>
      <c r="B486" s="68" t="s">
        <v>1199</v>
      </c>
    </row>
    <row r="487" spans="1:2" ht="15" x14ac:dyDescent="0.3">
      <c r="A487" s="68" t="s">
        <v>1200</v>
      </c>
      <c r="B487" s="68" t="s">
        <v>1201</v>
      </c>
    </row>
    <row r="488" spans="1:2" ht="15" x14ac:dyDescent="0.3">
      <c r="A488" s="68" t="s">
        <v>1202</v>
      </c>
      <c r="B488" s="68" t="s">
        <v>1203</v>
      </c>
    </row>
    <row r="489" spans="1:2" ht="15" x14ac:dyDescent="0.3">
      <c r="A489" s="68" t="s">
        <v>1204</v>
      </c>
      <c r="B489" s="68" t="s">
        <v>1205</v>
      </c>
    </row>
    <row r="490" spans="1:2" ht="15" x14ac:dyDescent="0.3">
      <c r="A490" s="68" t="s">
        <v>1206</v>
      </c>
      <c r="B490" s="68" t="s">
        <v>1207</v>
      </c>
    </row>
    <row r="491" spans="1:2" ht="15" x14ac:dyDescent="0.3">
      <c r="A491" s="68" t="s">
        <v>1208</v>
      </c>
      <c r="B491" s="68" t="s">
        <v>1209</v>
      </c>
    </row>
    <row r="492" spans="1:2" ht="15" x14ac:dyDescent="0.3">
      <c r="A492" s="68" t="s">
        <v>1210</v>
      </c>
      <c r="B492" s="68" t="s">
        <v>1211</v>
      </c>
    </row>
    <row r="493" spans="1:2" ht="15" x14ac:dyDescent="0.3">
      <c r="A493" s="68" t="s">
        <v>1212</v>
      </c>
      <c r="B493" s="68" t="s">
        <v>1213</v>
      </c>
    </row>
    <row r="494" spans="1:2" ht="15" x14ac:dyDescent="0.3">
      <c r="A494" s="68" t="s">
        <v>1214</v>
      </c>
      <c r="B494" s="68" t="s">
        <v>1215</v>
      </c>
    </row>
    <row r="495" spans="1:2" ht="15" x14ac:dyDescent="0.3">
      <c r="A495" s="68" t="s">
        <v>1216</v>
      </c>
      <c r="B495" s="68" t="s">
        <v>1217</v>
      </c>
    </row>
    <row r="496" spans="1:2" ht="15" x14ac:dyDescent="0.3">
      <c r="A496" s="68" t="s">
        <v>1218</v>
      </c>
      <c r="B496" s="68" t="s">
        <v>1219</v>
      </c>
    </row>
    <row r="497" spans="1:2" ht="15" x14ac:dyDescent="0.3">
      <c r="A497" s="68" t="s">
        <v>1220</v>
      </c>
      <c r="B497" s="68" t="s">
        <v>1221</v>
      </c>
    </row>
    <row r="498" spans="1:2" ht="15" x14ac:dyDescent="0.3">
      <c r="A498" s="68" t="s">
        <v>1222</v>
      </c>
      <c r="B498" s="68" t="s">
        <v>1223</v>
      </c>
    </row>
    <row r="499" spans="1:2" ht="15" x14ac:dyDescent="0.3">
      <c r="A499" s="68" t="s">
        <v>1224</v>
      </c>
      <c r="B499" s="68" t="s">
        <v>1225</v>
      </c>
    </row>
    <row r="500" spans="1:2" ht="15" x14ac:dyDescent="0.3">
      <c r="A500" s="68" t="s">
        <v>1226</v>
      </c>
      <c r="B500" s="68" t="s">
        <v>1227</v>
      </c>
    </row>
    <row r="501" spans="1:2" ht="15" x14ac:dyDescent="0.3">
      <c r="A501" s="68" t="s">
        <v>1228</v>
      </c>
      <c r="B501" s="68" t="s">
        <v>1229</v>
      </c>
    </row>
    <row r="502" spans="1:2" ht="15" x14ac:dyDescent="0.3">
      <c r="A502" s="68" t="s">
        <v>1230</v>
      </c>
      <c r="B502" s="68" t="s">
        <v>1231</v>
      </c>
    </row>
    <row r="503" spans="1:2" ht="15" x14ac:dyDescent="0.3">
      <c r="A503" s="68" t="s">
        <v>1232</v>
      </c>
      <c r="B503" s="68" t="s">
        <v>1233</v>
      </c>
    </row>
    <row r="504" spans="1:2" ht="15" x14ac:dyDescent="0.3">
      <c r="A504" s="68" t="s">
        <v>1234</v>
      </c>
      <c r="B504" s="68" t="s">
        <v>1235</v>
      </c>
    </row>
    <row r="505" spans="1:2" ht="15" x14ac:dyDescent="0.3">
      <c r="A505" s="68" t="s">
        <v>1236</v>
      </c>
      <c r="B505" s="68" t="s">
        <v>1237</v>
      </c>
    </row>
    <row r="506" spans="1:2" ht="15" x14ac:dyDescent="0.3">
      <c r="A506" s="68" t="s">
        <v>1238</v>
      </c>
      <c r="B506" s="68" t="s">
        <v>1239</v>
      </c>
    </row>
    <row r="507" spans="1:2" ht="15" x14ac:dyDescent="0.3">
      <c r="A507" s="68" t="s">
        <v>1240</v>
      </c>
      <c r="B507" s="68" t="s">
        <v>1241</v>
      </c>
    </row>
    <row r="508" spans="1:2" ht="15" x14ac:dyDescent="0.3">
      <c r="A508" s="68" t="s">
        <v>1242</v>
      </c>
      <c r="B508" s="68" t="s">
        <v>1243</v>
      </c>
    </row>
    <row r="509" spans="1:2" ht="15" x14ac:dyDescent="0.3">
      <c r="A509" s="68" t="s">
        <v>1244</v>
      </c>
      <c r="B509" s="68" t="s">
        <v>1245</v>
      </c>
    </row>
    <row r="510" spans="1:2" ht="15" x14ac:dyDescent="0.3">
      <c r="A510" s="68" t="s">
        <v>1246</v>
      </c>
      <c r="B510" s="68" t="s">
        <v>1247</v>
      </c>
    </row>
    <row r="511" spans="1:2" ht="15" x14ac:dyDescent="0.3">
      <c r="A511" s="68" t="s">
        <v>1248</v>
      </c>
      <c r="B511" s="68" t="s">
        <v>1249</v>
      </c>
    </row>
    <row r="512" spans="1:2" ht="15" x14ac:dyDescent="0.3">
      <c r="A512" s="68" t="s">
        <v>1250</v>
      </c>
      <c r="B512" s="68" t="s">
        <v>1251</v>
      </c>
    </row>
    <row r="513" spans="1:2" ht="15" x14ac:dyDescent="0.3">
      <c r="A513" s="68" t="s">
        <v>1252</v>
      </c>
      <c r="B513" s="68" t="s">
        <v>1253</v>
      </c>
    </row>
    <row r="514" spans="1:2" x14ac:dyDescent="0.3">
      <c r="A514" s="78" t="s">
        <v>1254</v>
      </c>
      <c r="B514" s="78" t="s">
        <v>1255</v>
      </c>
    </row>
    <row r="515" spans="1:2" x14ac:dyDescent="0.3">
      <c r="A515" s="78" t="s">
        <v>1256</v>
      </c>
      <c r="B515" s="78" t="s">
        <v>1257</v>
      </c>
    </row>
    <row r="516" spans="1:2" x14ac:dyDescent="0.3">
      <c r="A516" s="78" t="s">
        <v>1258</v>
      </c>
      <c r="B516" s="78" t="s">
        <v>1259</v>
      </c>
    </row>
    <row r="517" spans="1:2" x14ac:dyDescent="0.3">
      <c r="A517" s="78" t="s">
        <v>1260</v>
      </c>
      <c r="B517" s="78" t="s">
        <v>1261</v>
      </c>
    </row>
    <row r="518" spans="1:2" x14ac:dyDescent="0.3">
      <c r="A518" s="78" t="s">
        <v>1262</v>
      </c>
      <c r="B518" s="78" t="s">
        <v>1263</v>
      </c>
    </row>
    <row r="519" spans="1:2" x14ac:dyDescent="0.3">
      <c r="A519" s="78" t="s">
        <v>1264</v>
      </c>
      <c r="B519" s="78" t="s">
        <v>1265</v>
      </c>
    </row>
    <row r="520" spans="1:2" x14ac:dyDescent="0.3">
      <c r="A520" s="78" t="s">
        <v>1266</v>
      </c>
      <c r="B520" s="78" t="s">
        <v>1267</v>
      </c>
    </row>
    <row r="521" spans="1:2" x14ac:dyDescent="0.3">
      <c r="A521" s="78" t="s">
        <v>1268</v>
      </c>
      <c r="B521" s="78" t="s">
        <v>1269</v>
      </c>
    </row>
    <row r="522" spans="1:2" x14ac:dyDescent="0.3">
      <c r="A522" s="78" t="s">
        <v>1270</v>
      </c>
      <c r="B522" s="78" t="s">
        <v>1271</v>
      </c>
    </row>
    <row r="523" spans="1:2" x14ac:dyDescent="0.3">
      <c r="A523" s="78" t="s">
        <v>1272</v>
      </c>
      <c r="B523" s="78" t="s">
        <v>1273</v>
      </c>
    </row>
    <row r="524" spans="1:2" x14ac:dyDescent="0.3">
      <c r="A524" s="78" t="s">
        <v>1274</v>
      </c>
      <c r="B524" s="78" t="s">
        <v>1275</v>
      </c>
    </row>
    <row r="525" spans="1:2" x14ac:dyDescent="0.3">
      <c r="A525" s="78" t="s">
        <v>1276</v>
      </c>
      <c r="B525" s="78" t="s">
        <v>1277</v>
      </c>
    </row>
    <row r="526" spans="1:2" x14ac:dyDescent="0.3">
      <c r="A526" s="78" t="s">
        <v>1278</v>
      </c>
      <c r="B526" s="78" t="s">
        <v>1279</v>
      </c>
    </row>
    <row r="527" spans="1:2" x14ac:dyDescent="0.3">
      <c r="A527" s="78" t="s">
        <v>1280</v>
      </c>
      <c r="B527" s="78" t="s">
        <v>1281</v>
      </c>
    </row>
    <row r="528" spans="1:2" x14ac:dyDescent="0.3">
      <c r="A528" s="78" t="s">
        <v>1282</v>
      </c>
      <c r="B528" s="78" t="s">
        <v>1283</v>
      </c>
    </row>
    <row r="529" spans="1:2" x14ac:dyDescent="0.3">
      <c r="A529" s="78" t="s">
        <v>1284</v>
      </c>
      <c r="B529" s="78" t="s">
        <v>1285</v>
      </c>
    </row>
    <row r="530" spans="1:2" x14ac:dyDescent="0.3">
      <c r="A530" s="78" t="s">
        <v>1286</v>
      </c>
      <c r="B530" s="78" t="s">
        <v>1287</v>
      </c>
    </row>
    <row r="531" spans="1:2" x14ac:dyDescent="0.3">
      <c r="A531" s="78" t="s">
        <v>1288</v>
      </c>
      <c r="B531" s="78" t="s">
        <v>1289</v>
      </c>
    </row>
    <row r="532" spans="1:2" x14ac:dyDescent="0.3">
      <c r="A532" s="78" t="s">
        <v>1290</v>
      </c>
      <c r="B532" s="78" t="s">
        <v>1291</v>
      </c>
    </row>
    <row r="533" spans="1:2" x14ac:dyDescent="0.3">
      <c r="A533" s="78" t="s">
        <v>1292</v>
      </c>
      <c r="B533" s="78" t="s">
        <v>1293</v>
      </c>
    </row>
    <row r="534" spans="1:2" x14ac:dyDescent="0.3">
      <c r="A534" s="78" t="s">
        <v>1294</v>
      </c>
      <c r="B534" s="78" t="s">
        <v>1295</v>
      </c>
    </row>
    <row r="535" spans="1:2" x14ac:dyDescent="0.3">
      <c r="A535" s="78" t="s">
        <v>1296</v>
      </c>
      <c r="B535" s="78" t="s">
        <v>1297</v>
      </c>
    </row>
    <row r="536" spans="1:2" x14ac:dyDescent="0.3">
      <c r="A536" s="78" t="s">
        <v>1298</v>
      </c>
      <c r="B536" s="78" t="s">
        <v>1299</v>
      </c>
    </row>
    <row r="537" spans="1:2" x14ac:dyDescent="0.3">
      <c r="A537" s="78" t="s">
        <v>1300</v>
      </c>
      <c r="B537" s="78" t="s">
        <v>1301</v>
      </c>
    </row>
    <row r="538" spans="1:2" x14ac:dyDescent="0.3">
      <c r="A538" s="78" t="s">
        <v>1302</v>
      </c>
      <c r="B538" s="78" t="s">
        <v>1303</v>
      </c>
    </row>
    <row r="539" spans="1:2" x14ac:dyDescent="0.3">
      <c r="A539" s="78" t="s">
        <v>1304</v>
      </c>
      <c r="B539" s="78" t="s">
        <v>1305</v>
      </c>
    </row>
    <row r="540" spans="1:2" x14ac:dyDescent="0.3">
      <c r="A540" s="78" t="s">
        <v>1306</v>
      </c>
      <c r="B540" s="78" t="s">
        <v>1307</v>
      </c>
    </row>
    <row r="541" spans="1:2" x14ac:dyDescent="0.3">
      <c r="A541" s="78" t="s">
        <v>1308</v>
      </c>
      <c r="B541" s="78" t="s">
        <v>1309</v>
      </c>
    </row>
    <row r="542" spans="1:2" x14ac:dyDescent="0.3">
      <c r="A542" s="78" t="s">
        <v>1310</v>
      </c>
      <c r="B542" s="78" t="s">
        <v>1311</v>
      </c>
    </row>
    <row r="543" spans="1:2" x14ac:dyDescent="0.3">
      <c r="A543" s="78" t="s">
        <v>1312</v>
      </c>
      <c r="B543" s="78" t="s">
        <v>1313</v>
      </c>
    </row>
    <row r="544" spans="1:2" x14ac:dyDescent="0.3">
      <c r="A544" s="78" t="s">
        <v>1314</v>
      </c>
      <c r="B544" s="78" t="s">
        <v>1315</v>
      </c>
    </row>
    <row r="545" spans="1:2" x14ac:dyDescent="0.3">
      <c r="A545" s="78" t="s">
        <v>1316</v>
      </c>
      <c r="B545" s="78" t="s">
        <v>1317</v>
      </c>
    </row>
    <row r="546" spans="1:2" x14ac:dyDescent="0.3">
      <c r="A546" s="78" t="s">
        <v>1318</v>
      </c>
      <c r="B546" s="78" t="s">
        <v>1319</v>
      </c>
    </row>
    <row r="547" spans="1:2" x14ac:dyDescent="0.3">
      <c r="A547" s="78" t="s">
        <v>1320</v>
      </c>
      <c r="B547" s="78" t="s">
        <v>1321</v>
      </c>
    </row>
    <row r="548" spans="1:2" ht="15" x14ac:dyDescent="0.3">
      <c r="A548" s="78" t="s">
        <v>1322</v>
      </c>
      <c r="B548" s="68" t="s">
        <v>1323</v>
      </c>
    </row>
    <row r="549" spans="1:2" x14ac:dyDescent="0.3">
      <c r="A549" s="78" t="s">
        <v>1324</v>
      </c>
      <c r="B549" s="78" t="s">
        <v>1325</v>
      </c>
    </row>
    <row r="550" spans="1:2" x14ac:dyDescent="0.3">
      <c r="A550" s="78" t="s">
        <v>1326</v>
      </c>
      <c r="B550" s="78" t="s">
        <v>1327</v>
      </c>
    </row>
    <row r="551" spans="1:2" x14ac:dyDescent="0.3">
      <c r="A551" s="78" t="s">
        <v>1328</v>
      </c>
      <c r="B551" s="78" t="s">
        <v>1329</v>
      </c>
    </row>
    <row r="552" spans="1:2" x14ac:dyDescent="0.3">
      <c r="A552" s="78" t="s">
        <v>1330</v>
      </c>
      <c r="B552" s="78" t="s">
        <v>1331</v>
      </c>
    </row>
    <row r="553" spans="1:2" x14ac:dyDescent="0.3">
      <c r="A553" s="78" t="s">
        <v>1332</v>
      </c>
      <c r="B553" s="78" t="s">
        <v>1333</v>
      </c>
    </row>
    <row r="554" spans="1:2" x14ac:dyDescent="0.3">
      <c r="A554" s="78" t="s">
        <v>1334</v>
      </c>
      <c r="B554" s="78" t="s">
        <v>1335</v>
      </c>
    </row>
    <row r="555" spans="1:2" x14ac:dyDescent="0.3">
      <c r="A555" s="78" t="s">
        <v>1336</v>
      </c>
      <c r="B555" s="78" t="s">
        <v>1337</v>
      </c>
    </row>
    <row r="556" spans="1:2" x14ac:dyDescent="0.3">
      <c r="A556" s="78" t="s">
        <v>1338</v>
      </c>
      <c r="B556" s="78" t="s">
        <v>1339</v>
      </c>
    </row>
    <row r="557" spans="1:2" x14ac:dyDescent="0.3">
      <c r="A557" s="78" t="s">
        <v>1340</v>
      </c>
      <c r="B557" s="78" t="s">
        <v>1341</v>
      </c>
    </row>
    <row r="558" spans="1:2" x14ac:dyDescent="0.3">
      <c r="A558" s="78" t="s">
        <v>1342</v>
      </c>
      <c r="B558" s="78" t="s">
        <v>1343</v>
      </c>
    </row>
    <row r="559" spans="1:2" x14ac:dyDescent="0.3">
      <c r="A559" s="78" t="s">
        <v>1344</v>
      </c>
      <c r="B559" s="78" t="s">
        <v>1345</v>
      </c>
    </row>
    <row r="560" spans="1:2" x14ac:dyDescent="0.3">
      <c r="A560" s="78" t="s">
        <v>1346</v>
      </c>
      <c r="B560" s="78" t="s">
        <v>1347</v>
      </c>
    </row>
    <row r="561" spans="1:2" x14ac:dyDescent="0.3">
      <c r="A561" s="78" t="s">
        <v>1348</v>
      </c>
      <c r="B561" s="78" t="s">
        <v>1349</v>
      </c>
    </row>
    <row r="562" spans="1:2" x14ac:dyDescent="0.3">
      <c r="A562" s="78" t="s">
        <v>1350</v>
      </c>
      <c r="B562" s="78" t="s">
        <v>1351</v>
      </c>
    </row>
    <row r="563" spans="1:2" x14ac:dyDescent="0.3">
      <c r="A563" s="78" t="s">
        <v>1352</v>
      </c>
      <c r="B563" s="78" t="s">
        <v>1353</v>
      </c>
    </row>
    <row r="564" spans="1:2" x14ac:dyDescent="0.3">
      <c r="A564" s="78" t="s">
        <v>1354</v>
      </c>
      <c r="B564" s="78" t="s">
        <v>1355</v>
      </c>
    </row>
    <row r="565" spans="1:2" x14ac:dyDescent="0.3">
      <c r="A565" s="78" t="s">
        <v>1356</v>
      </c>
      <c r="B565" s="78" t="s">
        <v>1357</v>
      </c>
    </row>
    <row r="566" spans="1:2" x14ac:dyDescent="0.3">
      <c r="A566" s="78" t="s">
        <v>1358</v>
      </c>
      <c r="B566" s="78" t="s">
        <v>1359</v>
      </c>
    </row>
    <row r="567" spans="1:2" x14ac:dyDescent="0.3">
      <c r="A567" s="78" t="s">
        <v>1360</v>
      </c>
      <c r="B567" s="78" t="s">
        <v>1327</v>
      </c>
    </row>
    <row r="568" spans="1:2" x14ac:dyDescent="0.3">
      <c r="A568" s="78" t="s">
        <v>1361</v>
      </c>
      <c r="B568" s="78" t="s">
        <v>1335</v>
      </c>
    </row>
    <row r="569" spans="1:2" x14ac:dyDescent="0.3">
      <c r="A569" s="78" t="s">
        <v>1362</v>
      </c>
      <c r="B569" s="78" t="s">
        <v>1363</v>
      </c>
    </row>
    <row r="570" spans="1:2" x14ac:dyDescent="0.3">
      <c r="A570" s="78" t="s">
        <v>1364</v>
      </c>
      <c r="B570" s="78" t="s">
        <v>1365</v>
      </c>
    </row>
    <row r="571" spans="1:2" x14ac:dyDescent="0.3">
      <c r="A571" s="78" t="s">
        <v>1366</v>
      </c>
      <c r="B571" s="78" t="s">
        <v>1367</v>
      </c>
    </row>
    <row r="572" spans="1:2" x14ac:dyDescent="0.3">
      <c r="A572" s="78" t="s">
        <v>1368</v>
      </c>
      <c r="B572" s="78" t="s">
        <v>1369</v>
      </c>
    </row>
    <row r="573" spans="1:2" x14ac:dyDescent="0.3">
      <c r="A573" s="78" t="s">
        <v>1370</v>
      </c>
      <c r="B573" s="78" t="s">
        <v>1371</v>
      </c>
    </row>
    <row r="574" spans="1:2" x14ac:dyDescent="0.3">
      <c r="A574" s="78" t="s">
        <v>1372</v>
      </c>
      <c r="B574" s="78" t="s">
        <v>1373</v>
      </c>
    </row>
    <row r="575" spans="1:2" x14ac:dyDescent="0.3">
      <c r="A575" s="78" t="s">
        <v>1374</v>
      </c>
      <c r="B575" s="78" t="s">
        <v>1375</v>
      </c>
    </row>
    <row r="576" spans="1:2" x14ac:dyDescent="0.3">
      <c r="A576" s="78" t="s">
        <v>1376</v>
      </c>
      <c r="B576" s="78" t="s">
        <v>1377</v>
      </c>
    </row>
    <row r="577" spans="1:2" x14ac:dyDescent="0.3">
      <c r="A577" s="78" t="s">
        <v>1378</v>
      </c>
      <c r="B577" s="78" t="s">
        <v>1379</v>
      </c>
    </row>
    <row r="578" spans="1:2" x14ac:dyDescent="0.3">
      <c r="A578" s="78" t="s">
        <v>201</v>
      </c>
      <c r="B578" s="78" t="s">
        <v>1380</v>
      </c>
    </row>
    <row r="579" spans="1:2" x14ac:dyDescent="0.3">
      <c r="A579" s="78" t="s">
        <v>1381</v>
      </c>
      <c r="B579" s="78" t="s">
        <v>1382</v>
      </c>
    </row>
    <row r="580" spans="1:2" x14ac:dyDescent="0.3">
      <c r="A580" s="78" t="s">
        <v>1383</v>
      </c>
      <c r="B580" s="78" t="s">
        <v>1384</v>
      </c>
    </row>
    <row r="581" spans="1:2" x14ac:dyDescent="0.3">
      <c r="A581" s="78" t="s">
        <v>1385</v>
      </c>
      <c r="B581" s="78" t="s">
        <v>1386</v>
      </c>
    </row>
    <row r="582" spans="1:2" x14ac:dyDescent="0.3">
      <c r="A582" s="78" t="s">
        <v>1387</v>
      </c>
      <c r="B582" s="78" t="s">
        <v>1388</v>
      </c>
    </row>
    <row r="583" spans="1:2" x14ac:dyDescent="0.3">
      <c r="A583" s="78" t="s">
        <v>1389</v>
      </c>
      <c r="B583" s="78" t="s">
        <v>1390</v>
      </c>
    </row>
    <row r="584" spans="1:2" x14ac:dyDescent="0.3">
      <c r="A584" s="78" t="s">
        <v>1391</v>
      </c>
      <c r="B584" s="78" t="s">
        <v>1392</v>
      </c>
    </row>
    <row r="585" spans="1:2" x14ac:dyDescent="0.3">
      <c r="A585" s="78" t="s">
        <v>1393</v>
      </c>
      <c r="B585" s="78" t="s">
        <v>1394</v>
      </c>
    </row>
    <row r="586" spans="1:2" x14ac:dyDescent="0.3">
      <c r="A586" s="78" t="s">
        <v>1395</v>
      </c>
      <c r="B586" s="78" t="s">
        <v>1396</v>
      </c>
    </row>
    <row r="587" spans="1:2" x14ac:dyDescent="0.3">
      <c r="A587" s="78" t="s">
        <v>1397</v>
      </c>
      <c r="B587" s="78" t="s">
        <v>1398</v>
      </c>
    </row>
    <row r="588" spans="1:2" x14ac:dyDescent="0.3">
      <c r="A588" s="78" t="s">
        <v>1399</v>
      </c>
      <c r="B588" s="78" t="s">
        <v>1400</v>
      </c>
    </row>
    <row r="589" spans="1:2" x14ac:dyDescent="0.3">
      <c r="A589" s="78" t="s">
        <v>1401</v>
      </c>
      <c r="B589" s="78" t="s">
        <v>1402</v>
      </c>
    </row>
    <row r="590" spans="1:2" x14ac:dyDescent="0.3">
      <c r="A590" s="78" t="s">
        <v>1403</v>
      </c>
      <c r="B590" s="78" t="s">
        <v>1404</v>
      </c>
    </row>
    <row r="591" spans="1:2" x14ac:dyDescent="0.3">
      <c r="A591" s="78" t="s">
        <v>1405</v>
      </c>
      <c r="B591" s="78" t="s">
        <v>1406</v>
      </c>
    </row>
    <row r="592" spans="1:2" x14ac:dyDescent="0.3">
      <c r="A592" s="78" t="s">
        <v>1407</v>
      </c>
      <c r="B592" s="78" t="s">
        <v>1408</v>
      </c>
    </row>
    <row r="593" spans="1:6" x14ac:dyDescent="0.3">
      <c r="A593" s="78" t="s">
        <v>1409</v>
      </c>
      <c r="B593" s="78" t="s">
        <v>1410</v>
      </c>
    </row>
    <row r="594" spans="1:6" x14ac:dyDescent="0.3">
      <c r="A594" s="78" t="s">
        <v>1411</v>
      </c>
      <c r="B594" s="78" t="s">
        <v>1412</v>
      </c>
    </row>
    <row r="595" spans="1:6" x14ac:dyDescent="0.3">
      <c r="A595" s="78" t="s">
        <v>233</v>
      </c>
      <c r="B595" s="78" t="s">
        <v>1413</v>
      </c>
    </row>
    <row r="596" spans="1:6" x14ac:dyDescent="0.3">
      <c r="A596" s="78" t="s">
        <v>1414</v>
      </c>
      <c r="B596" s="78" t="s">
        <v>1415</v>
      </c>
    </row>
    <row r="597" spans="1:6" x14ac:dyDescent="0.3">
      <c r="A597" s="78" t="s">
        <v>1416</v>
      </c>
      <c r="B597" s="78" t="s">
        <v>1417</v>
      </c>
    </row>
    <row r="598" spans="1:6" x14ac:dyDescent="0.3">
      <c r="A598" s="78" t="s">
        <v>1418</v>
      </c>
      <c r="B598" s="78" t="s">
        <v>1419</v>
      </c>
    </row>
    <row r="599" spans="1:6" x14ac:dyDescent="0.3">
      <c r="A599" s="78" t="s">
        <v>1420</v>
      </c>
      <c r="B599" s="78" t="s">
        <v>1421</v>
      </c>
    </row>
    <row r="600" spans="1:6" x14ac:dyDescent="0.3">
      <c r="A600" s="78" t="s">
        <v>1422</v>
      </c>
      <c r="B600" s="78" t="s">
        <v>1423</v>
      </c>
    </row>
    <row r="601" spans="1:6" x14ac:dyDescent="0.3">
      <c r="A601" s="78" t="s">
        <v>1424</v>
      </c>
      <c r="B601" s="78" t="s">
        <v>1425</v>
      </c>
    </row>
    <row r="602" spans="1:6" x14ac:dyDescent="0.3">
      <c r="A602" s="78" t="s">
        <v>1426</v>
      </c>
      <c r="B602" s="78" t="s">
        <v>1427</v>
      </c>
    </row>
    <row r="603" spans="1:6" x14ac:dyDescent="0.3">
      <c r="A603" s="78" t="s">
        <v>1428</v>
      </c>
      <c r="B603" s="78" t="s">
        <v>1429</v>
      </c>
    </row>
    <row r="604" spans="1:6" x14ac:dyDescent="0.3">
      <c r="A604" s="18" t="s">
        <v>145</v>
      </c>
      <c r="B604" s="81" t="s">
        <v>1432</v>
      </c>
      <c r="C604" t="s">
        <v>1566</v>
      </c>
      <c r="E604" s="18" t="s">
        <v>145</v>
      </c>
      <c r="F604" s="78" t="s">
        <v>1432</v>
      </c>
    </row>
    <row r="605" spans="1:6" x14ac:dyDescent="0.3">
      <c r="A605" s="83" t="s">
        <v>1479</v>
      </c>
      <c r="B605" t="s">
        <v>1952</v>
      </c>
      <c r="E605" s="41" t="s">
        <v>1479</v>
      </c>
      <c r="F605" s="78" t="s">
        <v>1804</v>
      </c>
    </row>
    <row r="606" spans="1:6" x14ac:dyDescent="0.3">
      <c r="A606" s="41" t="s">
        <v>125</v>
      </c>
      <c r="B606" s="81" t="s">
        <v>1533</v>
      </c>
      <c r="C606" s="41" t="s">
        <v>1479</v>
      </c>
      <c r="E606" s="41" t="s">
        <v>125</v>
      </c>
      <c r="F606" s="78" t="s">
        <v>1533</v>
      </c>
    </row>
    <row r="607" spans="1:6" x14ac:dyDescent="0.3">
      <c r="A607" s="41" t="s">
        <v>178</v>
      </c>
      <c r="B607" s="81" t="s">
        <v>1996</v>
      </c>
      <c r="E607" s="41" t="s">
        <v>178</v>
      </c>
      <c r="F607" s="78" t="s">
        <v>1433</v>
      </c>
    </row>
    <row r="608" spans="1:6" x14ac:dyDescent="0.3">
      <c r="A608" s="18" t="s">
        <v>126</v>
      </c>
      <c r="B608" s="81" t="s">
        <v>1434</v>
      </c>
      <c r="E608" s="18" t="s">
        <v>126</v>
      </c>
      <c r="F608" s="78" t="s">
        <v>1434</v>
      </c>
    </row>
    <row r="609" spans="1:6" x14ac:dyDescent="0.3">
      <c r="A609" s="18" t="s">
        <v>127</v>
      </c>
      <c r="B609" s="81" t="s">
        <v>1481</v>
      </c>
      <c r="E609" s="18" t="s">
        <v>127</v>
      </c>
      <c r="F609" s="78" t="s">
        <v>1481</v>
      </c>
    </row>
    <row r="610" spans="1:6" x14ac:dyDescent="0.3">
      <c r="A610" s="18" t="s">
        <v>2044</v>
      </c>
      <c r="B610" s="81" t="s">
        <v>2045</v>
      </c>
      <c r="E610" s="18" t="s">
        <v>130</v>
      </c>
      <c r="F610" s="78" t="s">
        <v>1435</v>
      </c>
    </row>
    <row r="611" spans="1:6" x14ac:dyDescent="0.3">
      <c r="A611" s="18" t="s">
        <v>147</v>
      </c>
      <c r="B611" s="81" t="s">
        <v>1436</v>
      </c>
      <c r="E611" s="18" t="s">
        <v>147</v>
      </c>
      <c r="F611" s="78" t="s">
        <v>1436</v>
      </c>
    </row>
    <row r="612" spans="1:6" x14ac:dyDescent="0.3">
      <c r="A612" s="18" t="s">
        <v>1437</v>
      </c>
      <c r="B612" s="81" t="s">
        <v>1450</v>
      </c>
      <c r="E612" s="18" t="s">
        <v>1437</v>
      </c>
      <c r="F612" s="78" t="s">
        <v>1450</v>
      </c>
    </row>
    <row r="613" spans="1:6" x14ac:dyDescent="0.3">
      <c r="A613" s="23" t="s">
        <v>1438</v>
      </c>
      <c r="B613" s="81" t="s">
        <v>1452</v>
      </c>
      <c r="E613" s="23" t="s">
        <v>1438</v>
      </c>
      <c r="F613" s="78" t="s">
        <v>1452</v>
      </c>
    </row>
    <row r="614" spans="1:6" x14ac:dyDescent="0.3">
      <c r="A614" s="18" t="s">
        <v>1948</v>
      </c>
      <c r="B614" s="81" t="s">
        <v>1943</v>
      </c>
      <c r="E614" s="18" t="s">
        <v>1948</v>
      </c>
      <c r="F614" s="81" t="s">
        <v>1943</v>
      </c>
    </row>
    <row r="615" spans="1:6" x14ac:dyDescent="0.3">
      <c r="A615" s="18" t="s">
        <v>1439</v>
      </c>
      <c r="B615" s="81" t="s">
        <v>1453</v>
      </c>
      <c r="E615" s="18" t="s">
        <v>1439</v>
      </c>
      <c r="F615" s="78" t="s">
        <v>1453</v>
      </c>
    </row>
    <row r="616" spans="1:6" x14ac:dyDescent="0.3">
      <c r="A616" s="18" t="s">
        <v>1440</v>
      </c>
      <c r="B616" s="81" t="s">
        <v>1454</v>
      </c>
      <c r="E616" s="18" t="s">
        <v>1440</v>
      </c>
      <c r="F616" s="78" t="s">
        <v>1454</v>
      </c>
    </row>
    <row r="617" spans="1:6" x14ac:dyDescent="0.3">
      <c r="A617" t="s">
        <v>1977</v>
      </c>
      <c r="B617" s="81" t="s">
        <v>1495</v>
      </c>
      <c r="E617" t="s">
        <v>1977</v>
      </c>
      <c r="F617" s="81" t="s">
        <v>1495</v>
      </c>
    </row>
    <row r="618" spans="1:6" x14ac:dyDescent="0.3">
      <c r="A618" s="41" t="s">
        <v>1441</v>
      </c>
      <c r="B618" s="81" t="s">
        <v>1455</v>
      </c>
      <c r="E618" s="41" t="s">
        <v>1441</v>
      </c>
      <c r="F618" s="78" t="s">
        <v>1455</v>
      </c>
    </row>
    <row r="619" spans="1:6" x14ac:dyDescent="0.3">
      <c r="A619" s="41" t="s">
        <v>1442</v>
      </c>
      <c r="B619" s="81" t="s">
        <v>1456</v>
      </c>
      <c r="E619" s="41" t="s">
        <v>1442</v>
      </c>
      <c r="F619" s="78" t="s">
        <v>1456</v>
      </c>
    </row>
    <row r="620" spans="1:6" x14ac:dyDescent="0.3">
      <c r="A620" s="41" t="s">
        <v>1946</v>
      </c>
      <c r="B620" s="81" t="s">
        <v>1944</v>
      </c>
      <c r="E620" s="41" t="s">
        <v>1946</v>
      </c>
      <c r="F620" s="78" t="s">
        <v>1944</v>
      </c>
    </row>
    <row r="621" spans="1:6" x14ac:dyDescent="0.3">
      <c r="A621" s="41" t="s">
        <v>1947</v>
      </c>
      <c r="B621" s="81" t="s">
        <v>1945</v>
      </c>
      <c r="E621" s="41" t="s">
        <v>1947</v>
      </c>
      <c r="F621" s="81" t="s">
        <v>1945</v>
      </c>
    </row>
    <row r="622" spans="1:6" x14ac:dyDescent="0.3">
      <c r="A622" s="41" t="s">
        <v>1443</v>
      </c>
      <c r="B622" s="81" t="s">
        <v>2039</v>
      </c>
      <c r="E622" s="41" t="s">
        <v>1443</v>
      </c>
      <c r="F622" s="78" t="s">
        <v>1459</v>
      </c>
    </row>
    <row r="623" spans="1:6" x14ac:dyDescent="0.3">
      <c r="A623" s="41" t="s">
        <v>1444</v>
      </c>
      <c r="B623" s="81" t="s">
        <v>1460</v>
      </c>
      <c r="E623" s="41" t="s">
        <v>1444</v>
      </c>
      <c r="F623" s="78" t="s">
        <v>1460</v>
      </c>
    </row>
    <row r="624" spans="1:6" x14ac:dyDescent="0.3">
      <c r="A624" s="41" t="s">
        <v>2027</v>
      </c>
      <c r="B624" s="81" t="s">
        <v>2028</v>
      </c>
      <c r="E624" s="41" t="s">
        <v>1445</v>
      </c>
      <c r="F624" s="78" t="s">
        <v>1461</v>
      </c>
    </row>
    <row r="625" spans="1:7" x14ac:dyDescent="0.3">
      <c r="A625" s="41" t="s">
        <v>1446</v>
      </c>
      <c r="B625" s="81" t="s">
        <v>1462</v>
      </c>
      <c r="E625" s="41" t="s">
        <v>1446</v>
      </c>
      <c r="F625" s="78" t="s">
        <v>1462</v>
      </c>
    </row>
    <row r="626" spans="1:7" x14ac:dyDescent="0.3">
      <c r="A626" s="41" t="s">
        <v>1464</v>
      </c>
      <c r="B626" s="81" t="s">
        <v>1463</v>
      </c>
      <c r="E626" s="41" t="s">
        <v>1464</v>
      </c>
      <c r="F626" s="78" t="s">
        <v>1463</v>
      </c>
    </row>
    <row r="627" spans="1:7" x14ac:dyDescent="0.3">
      <c r="A627" s="41" t="s">
        <v>1447</v>
      </c>
      <c r="B627" s="81" t="s">
        <v>1465</v>
      </c>
      <c r="E627" s="41" t="s">
        <v>1447</v>
      </c>
      <c r="F627" s="78" t="s">
        <v>1465</v>
      </c>
    </row>
    <row r="628" spans="1:7" x14ac:dyDescent="0.3">
      <c r="A628" s="135" t="s">
        <v>2002</v>
      </c>
      <c r="B628" s="142" t="s">
        <v>2003</v>
      </c>
      <c r="C628" s="141"/>
      <c r="D628" s="141"/>
      <c r="E628" s="135" t="s">
        <v>2002</v>
      </c>
      <c r="F628" s="143" t="s">
        <v>2003</v>
      </c>
      <c r="G628" s="141"/>
    </row>
    <row r="629" spans="1:7" x14ac:dyDescent="0.3">
      <c r="A629" s="18" t="s">
        <v>1448</v>
      </c>
      <c r="B629" s="81" t="s">
        <v>1466</v>
      </c>
      <c r="E629" s="18" t="s">
        <v>1448</v>
      </c>
      <c r="F629" s="78" t="s">
        <v>1466</v>
      </c>
    </row>
    <row r="630" spans="1:7" x14ac:dyDescent="0.3">
      <c r="A630" s="18" t="s">
        <v>1449</v>
      </c>
      <c r="B630" t="s">
        <v>1467</v>
      </c>
      <c r="E630" s="18" t="s">
        <v>1449</v>
      </c>
      <c r="F630" s="13" t="s">
        <v>1467</v>
      </c>
    </row>
    <row r="631" spans="1:7" x14ac:dyDescent="0.3">
      <c r="A631" s="18" t="s">
        <v>1474</v>
      </c>
      <c r="B631" t="s">
        <v>1475</v>
      </c>
      <c r="E631" s="18" t="s">
        <v>1474</v>
      </c>
      <c r="F631" s="13" t="s">
        <v>1475</v>
      </c>
    </row>
    <row r="632" spans="1:7" x14ac:dyDescent="0.3">
      <c r="A632" s="18" t="s">
        <v>2049</v>
      </c>
      <c r="B632" t="s">
        <v>2051</v>
      </c>
      <c r="E632" s="18" t="s">
        <v>1473</v>
      </c>
      <c r="F632" s="13" t="s">
        <v>1476</v>
      </c>
    </row>
    <row r="633" spans="1:7" x14ac:dyDescent="0.3">
      <c r="A633" s="18" t="s">
        <v>1473</v>
      </c>
      <c r="B633" t="s">
        <v>1476</v>
      </c>
      <c r="E633" s="18" t="s">
        <v>1473</v>
      </c>
      <c r="F633" s="13" t="s">
        <v>1476</v>
      </c>
    </row>
    <row r="634" spans="1:7" x14ac:dyDescent="0.3">
      <c r="A634" s="18" t="s">
        <v>1472</v>
      </c>
      <c r="B634" t="s">
        <v>1477</v>
      </c>
      <c r="E634" s="18" t="s">
        <v>1472</v>
      </c>
      <c r="F634" s="13" t="s">
        <v>1477</v>
      </c>
    </row>
    <row r="635" spans="1:7" x14ac:dyDescent="0.3">
      <c r="A635" s="18" t="s">
        <v>159</v>
      </c>
      <c r="B635" t="s">
        <v>1482</v>
      </c>
      <c r="E635" s="18" t="s">
        <v>159</v>
      </c>
      <c r="F635" s="13" t="s">
        <v>1482</v>
      </c>
    </row>
    <row r="636" spans="1:7" x14ac:dyDescent="0.3">
      <c r="A636" s="83" t="s">
        <v>1486</v>
      </c>
      <c r="B636" s="89" t="s">
        <v>1951</v>
      </c>
      <c r="E636" s="41" t="s">
        <v>1486</v>
      </c>
      <c r="F636" s="78" t="s">
        <v>1804</v>
      </c>
    </row>
    <row r="637" spans="1:7" x14ac:dyDescent="0.3">
      <c r="A637" s="18" t="s">
        <v>160</v>
      </c>
      <c r="B637" s="19" t="s">
        <v>1488</v>
      </c>
      <c r="E637" s="18" t="s">
        <v>160</v>
      </c>
      <c r="F637" s="95" t="s">
        <v>1488</v>
      </c>
    </row>
    <row r="638" spans="1:7" x14ac:dyDescent="0.3">
      <c r="A638" s="18" t="s">
        <v>161</v>
      </c>
      <c r="B638" s="24" t="s">
        <v>1489</v>
      </c>
      <c r="E638" s="18" t="s">
        <v>161</v>
      </c>
      <c r="F638" s="96" t="s">
        <v>1489</v>
      </c>
    </row>
    <row r="639" spans="1:7" x14ac:dyDescent="0.3">
      <c r="A639" s="18" t="s">
        <v>218</v>
      </c>
      <c r="B639" s="24" t="s">
        <v>1490</v>
      </c>
      <c r="E639" s="18" t="s">
        <v>218</v>
      </c>
      <c r="F639" s="96" t="s">
        <v>1490</v>
      </c>
    </row>
    <row r="640" spans="1:7" x14ac:dyDescent="0.3">
      <c r="A640" s="41" t="s">
        <v>162</v>
      </c>
      <c r="B640" t="s">
        <v>1492</v>
      </c>
      <c r="E640" s="41" t="s">
        <v>162</v>
      </c>
      <c r="F640" s="13" t="s">
        <v>1492</v>
      </c>
    </row>
    <row r="641" spans="1:6" x14ac:dyDescent="0.3">
      <c r="A641" s="18" t="s">
        <v>177</v>
      </c>
      <c r="B641" t="s">
        <v>1972</v>
      </c>
      <c r="E641" s="18" t="s">
        <v>1478</v>
      </c>
      <c r="F641" s="13" t="s">
        <v>1483</v>
      </c>
    </row>
    <row r="642" spans="1:6" x14ac:dyDescent="0.3">
      <c r="A642" s="18" t="s">
        <v>216</v>
      </c>
      <c r="B642" t="s">
        <v>1484</v>
      </c>
      <c r="E642" s="18" t="s">
        <v>216</v>
      </c>
      <c r="F642" s="13" t="s">
        <v>1484</v>
      </c>
    </row>
    <row r="643" spans="1:6" x14ac:dyDescent="0.3">
      <c r="A643" s="18" t="s">
        <v>182</v>
      </c>
      <c r="B643" t="s">
        <v>1493</v>
      </c>
      <c r="E643" s="18" t="s">
        <v>182</v>
      </c>
      <c r="F643" s="13" t="s">
        <v>1493</v>
      </c>
    </row>
    <row r="644" spans="1:6" x14ac:dyDescent="0.3">
      <c r="A644" s="41" t="s">
        <v>217</v>
      </c>
      <c r="B644" t="s">
        <v>1494</v>
      </c>
      <c r="E644" s="41" t="s">
        <v>217</v>
      </c>
      <c r="F644" s="78" t="s">
        <v>1804</v>
      </c>
    </row>
    <row r="645" spans="1:6" x14ac:dyDescent="0.3">
      <c r="A645" s="18" t="s">
        <v>226</v>
      </c>
      <c r="B645" t="s">
        <v>1496</v>
      </c>
      <c r="E645" s="18" t="s">
        <v>226</v>
      </c>
      <c r="F645" s="13" t="s">
        <v>1496</v>
      </c>
    </row>
    <row r="646" spans="1:6" x14ac:dyDescent="0.3">
      <c r="A646" s="18" t="s">
        <v>235</v>
      </c>
      <c r="B646" t="s">
        <v>1495</v>
      </c>
      <c r="E646" s="18" t="s">
        <v>235</v>
      </c>
      <c r="F646" s="13" t="s">
        <v>1495</v>
      </c>
    </row>
    <row r="647" spans="1:6" x14ac:dyDescent="0.3">
      <c r="A647" s="41" t="s">
        <v>164</v>
      </c>
      <c r="B647" t="s">
        <v>1505</v>
      </c>
      <c r="E647" s="41" t="s">
        <v>164</v>
      </c>
      <c r="F647" s="13" t="s">
        <v>1505</v>
      </c>
    </row>
    <row r="648" spans="1:6" x14ac:dyDescent="0.3">
      <c r="A648" s="41" t="s">
        <v>165</v>
      </c>
      <c r="B648" t="s">
        <v>1506</v>
      </c>
      <c r="E648" s="41" t="s">
        <v>165</v>
      </c>
      <c r="F648" s="13" t="s">
        <v>1506</v>
      </c>
    </row>
    <row r="649" spans="1:6" x14ac:dyDescent="0.3">
      <c r="A649" s="41" t="s">
        <v>166</v>
      </c>
      <c r="B649" t="s">
        <v>1507</v>
      </c>
      <c r="E649" s="41" t="s">
        <v>166</v>
      </c>
      <c r="F649" s="13" t="s">
        <v>1507</v>
      </c>
    </row>
    <row r="650" spans="1:6" x14ac:dyDescent="0.3">
      <c r="A650" s="41" t="s">
        <v>169</v>
      </c>
      <c r="B650" t="s">
        <v>1508</v>
      </c>
      <c r="E650" s="41" t="s">
        <v>169</v>
      </c>
      <c r="F650" s="13" t="s">
        <v>1508</v>
      </c>
    </row>
    <row r="651" spans="1:6" x14ac:dyDescent="0.3">
      <c r="A651" s="41" t="s">
        <v>227</v>
      </c>
      <c r="B651" t="s">
        <v>1519</v>
      </c>
      <c r="E651" s="41" t="s">
        <v>227</v>
      </c>
      <c r="F651" s="13" t="s">
        <v>1519</v>
      </c>
    </row>
    <row r="652" spans="1:6" x14ac:dyDescent="0.3">
      <c r="A652" s="20" t="s">
        <v>228</v>
      </c>
      <c r="B652" t="s">
        <v>2009</v>
      </c>
      <c r="E652" s="20" t="s">
        <v>228</v>
      </c>
      <c r="F652" s="13" t="s">
        <v>1577</v>
      </c>
    </row>
    <row r="653" spans="1:6" x14ac:dyDescent="0.3">
      <c r="A653" s="20" t="s">
        <v>1572</v>
      </c>
      <c r="B653" t="s">
        <v>1575</v>
      </c>
      <c r="C653" s="20"/>
      <c r="E653" s="20" t="s">
        <v>1572</v>
      </c>
      <c r="F653" s="13" t="s">
        <v>1575</v>
      </c>
    </row>
    <row r="654" spans="1:6" x14ac:dyDescent="0.3">
      <c r="A654" s="20" t="s">
        <v>1573</v>
      </c>
      <c r="B654" t="s">
        <v>1576</v>
      </c>
      <c r="C654" s="20"/>
      <c r="E654" s="20" t="s">
        <v>1573</v>
      </c>
      <c r="F654" s="13" t="s">
        <v>1576</v>
      </c>
    </row>
    <row r="655" spans="1:6" x14ac:dyDescent="0.3">
      <c r="A655" t="s">
        <v>1562</v>
      </c>
      <c r="B655" t="s">
        <v>2010</v>
      </c>
      <c r="E655" s="97" t="s">
        <v>1562</v>
      </c>
      <c r="F655" s="13" t="s">
        <v>1559</v>
      </c>
    </row>
    <row r="656" spans="1:6" x14ac:dyDescent="0.3">
      <c r="A656" s="20" t="s">
        <v>1510</v>
      </c>
      <c r="B656" t="s">
        <v>1520</v>
      </c>
      <c r="E656" s="20" t="s">
        <v>1510</v>
      </c>
      <c r="F656" s="13" t="s">
        <v>1520</v>
      </c>
    </row>
    <row r="657" spans="1:6" x14ac:dyDescent="0.3">
      <c r="A657" s="20" t="s">
        <v>1511</v>
      </c>
      <c r="B657" t="s">
        <v>1521</v>
      </c>
      <c r="E657" s="20" t="s">
        <v>1511</v>
      </c>
      <c r="F657" s="13" t="s">
        <v>1521</v>
      </c>
    </row>
    <row r="658" spans="1:6" x14ac:dyDescent="0.3">
      <c r="A658" s="20" t="s">
        <v>1512</v>
      </c>
      <c r="B658" t="s">
        <v>1522</v>
      </c>
      <c r="E658" s="20" t="s">
        <v>1512</v>
      </c>
      <c r="F658" s="13" t="s">
        <v>1522</v>
      </c>
    </row>
    <row r="659" spans="1:6" x14ac:dyDescent="0.3">
      <c r="A659" s="20" t="s">
        <v>1513</v>
      </c>
      <c r="B659" t="s">
        <v>1523</v>
      </c>
      <c r="E659" s="20" t="s">
        <v>1513</v>
      </c>
      <c r="F659" s="13" t="s">
        <v>1523</v>
      </c>
    </row>
    <row r="660" spans="1:6" x14ac:dyDescent="0.3">
      <c r="A660" s="20" t="s">
        <v>1514</v>
      </c>
      <c r="B660" t="s">
        <v>1524</v>
      </c>
      <c r="E660" s="20" t="s">
        <v>1514</v>
      </c>
      <c r="F660" s="13" t="s">
        <v>1524</v>
      </c>
    </row>
    <row r="661" spans="1:6" x14ac:dyDescent="0.3">
      <c r="A661" s="20" t="s">
        <v>1515</v>
      </c>
      <c r="B661" t="s">
        <v>1525</v>
      </c>
      <c r="E661" s="20" t="s">
        <v>1515</v>
      </c>
      <c r="F661" s="13" t="s">
        <v>1525</v>
      </c>
    </row>
    <row r="662" spans="1:6" x14ac:dyDescent="0.3">
      <c r="A662" s="20" t="s">
        <v>1516</v>
      </c>
      <c r="B662" t="s">
        <v>1526</v>
      </c>
      <c r="E662" s="20" t="s">
        <v>1516</v>
      </c>
      <c r="F662" s="13" t="s">
        <v>1526</v>
      </c>
    </row>
    <row r="663" spans="1:6" x14ac:dyDescent="0.3">
      <c r="A663" s="20" t="s">
        <v>1517</v>
      </c>
      <c r="B663" t="s">
        <v>1527</v>
      </c>
      <c r="E663" s="20" t="s">
        <v>1517</v>
      </c>
      <c r="F663" s="13" t="s">
        <v>1527</v>
      </c>
    </row>
    <row r="664" spans="1:6" x14ac:dyDescent="0.3">
      <c r="A664" s="20" t="s">
        <v>1518</v>
      </c>
      <c r="B664" t="s">
        <v>1528</v>
      </c>
      <c r="E664" s="20" t="s">
        <v>1518</v>
      </c>
      <c r="F664" s="13" t="s">
        <v>1528</v>
      </c>
    </row>
    <row r="665" spans="1:6" x14ac:dyDescent="0.3">
      <c r="A665" s="18" t="s">
        <v>187</v>
      </c>
      <c r="B665" t="s">
        <v>1530</v>
      </c>
      <c r="E665" s="18" t="s">
        <v>187</v>
      </c>
      <c r="F665" s="13" t="s">
        <v>1530</v>
      </c>
    </row>
    <row r="666" spans="1:6" x14ac:dyDescent="0.3">
      <c r="A666" s="41" t="s">
        <v>188</v>
      </c>
      <c r="B666" t="s">
        <v>1531</v>
      </c>
      <c r="E666" s="41" t="s">
        <v>188</v>
      </c>
      <c r="F666" s="13" t="s">
        <v>1531</v>
      </c>
    </row>
    <row r="667" spans="1:6" x14ac:dyDescent="0.3">
      <c r="A667" s="41" t="s">
        <v>189</v>
      </c>
      <c r="B667" t="s">
        <v>2040</v>
      </c>
      <c r="E667" s="41" t="s">
        <v>1532</v>
      </c>
      <c r="F667" s="13" t="s">
        <v>1535</v>
      </c>
    </row>
    <row r="668" spans="1:6" x14ac:dyDescent="0.3">
      <c r="A668" s="41" t="s">
        <v>190</v>
      </c>
      <c r="B668" t="s">
        <v>1536</v>
      </c>
      <c r="E668" s="41" t="s">
        <v>190</v>
      </c>
      <c r="F668" s="13" t="s">
        <v>1536</v>
      </c>
    </row>
    <row r="669" spans="1:6" x14ac:dyDescent="0.3">
      <c r="A669" s="41" t="s">
        <v>243</v>
      </c>
      <c r="B669" t="s">
        <v>1537</v>
      </c>
      <c r="E669" s="41" t="s">
        <v>243</v>
      </c>
      <c r="F669" s="13" t="s">
        <v>1537</v>
      </c>
    </row>
    <row r="670" spans="1:6" x14ac:dyDescent="0.3">
      <c r="A670" s="41" t="s">
        <v>244</v>
      </c>
      <c r="B670" t="s">
        <v>1538</v>
      </c>
      <c r="E670" s="41" t="s">
        <v>244</v>
      </c>
      <c r="F670" s="13" t="s">
        <v>1538</v>
      </c>
    </row>
    <row r="671" spans="1:6" x14ac:dyDescent="0.3">
      <c r="A671" s="41" t="s">
        <v>241</v>
      </c>
      <c r="B671" t="s">
        <v>1932</v>
      </c>
      <c r="E671" s="41" t="s">
        <v>241</v>
      </c>
      <c r="F671" s="13" t="s">
        <v>1932</v>
      </c>
    </row>
    <row r="672" spans="1:6" x14ac:dyDescent="0.3">
      <c r="A672" s="41" t="s">
        <v>242</v>
      </c>
      <c r="B672" t="s">
        <v>1301</v>
      </c>
      <c r="E672" s="41" t="s">
        <v>242</v>
      </c>
      <c r="F672" s="13" t="s">
        <v>1301</v>
      </c>
    </row>
    <row r="673" spans="1:11" x14ac:dyDescent="0.3">
      <c r="A673" s="41" t="s">
        <v>201</v>
      </c>
      <c r="B673" t="s">
        <v>1380</v>
      </c>
      <c r="E673" s="41" t="s">
        <v>201</v>
      </c>
      <c r="F673" s="13" t="s">
        <v>1380</v>
      </c>
    </row>
    <row r="674" spans="1:11" x14ac:dyDescent="0.3">
      <c r="A674" s="41" t="s">
        <v>202</v>
      </c>
      <c r="B674" t="s">
        <v>1541</v>
      </c>
      <c r="E674" s="41" t="s">
        <v>202</v>
      </c>
      <c r="F674" s="13" t="s">
        <v>1541</v>
      </c>
    </row>
    <row r="675" spans="1:11" x14ac:dyDescent="0.3">
      <c r="A675" s="18" t="s">
        <v>1542</v>
      </c>
      <c r="B675" t="s">
        <v>1543</v>
      </c>
      <c r="E675" s="18" t="s">
        <v>1542</v>
      </c>
      <c r="F675" s="13" t="s">
        <v>1543</v>
      </c>
    </row>
    <row r="676" spans="1:11" x14ac:dyDescent="0.3">
      <c r="A676" s="41" t="s">
        <v>211</v>
      </c>
      <c r="B676" t="s">
        <v>1544</v>
      </c>
      <c r="E676" s="41" t="s">
        <v>211</v>
      </c>
      <c r="F676" s="13" t="s">
        <v>1544</v>
      </c>
    </row>
    <row r="677" spans="1:11" x14ac:dyDescent="0.3">
      <c r="A677" s="18" t="s">
        <v>1545</v>
      </c>
      <c r="B677" t="s">
        <v>1547</v>
      </c>
      <c r="E677" s="18" t="s">
        <v>1545</v>
      </c>
      <c r="F677" s="13" t="s">
        <v>1547</v>
      </c>
    </row>
    <row r="678" spans="1:11" x14ac:dyDescent="0.3">
      <c r="A678" s="41" t="s">
        <v>1546</v>
      </c>
      <c r="B678" t="s">
        <v>1548</v>
      </c>
      <c r="E678" s="41" t="s">
        <v>1546</v>
      </c>
      <c r="F678" s="13" t="s">
        <v>1548</v>
      </c>
    </row>
    <row r="679" spans="1:11" x14ac:dyDescent="0.3">
      <c r="A679" s="41" t="s">
        <v>1563</v>
      </c>
      <c r="B679" t="s">
        <v>2011</v>
      </c>
      <c r="E679" s="41" t="s">
        <v>1563</v>
      </c>
      <c r="F679" s="13" t="s">
        <v>1549</v>
      </c>
    </row>
    <row r="680" spans="1:11" x14ac:dyDescent="0.3">
      <c r="A680" s="18" t="s">
        <v>1564</v>
      </c>
      <c r="B680" t="s">
        <v>2012</v>
      </c>
      <c r="E680" s="18" t="s">
        <v>1564</v>
      </c>
      <c r="F680" s="13" t="s">
        <v>1550</v>
      </c>
    </row>
    <row r="681" spans="1:11" x14ac:dyDescent="0.3">
      <c r="A681" s="18" t="s">
        <v>1565</v>
      </c>
      <c r="B681" t="s">
        <v>2013</v>
      </c>
      <c r="E681" s="18" t="s">
        <v>1565</v>
      </c>
      <c r="F681" s="13" t="s">
        <v>1551</v>
      </c>
    </row>
    <row r="682" spans="1:11" x14ac:dyDescent="0.3">
      <c r="A682" s="42" t="s">
        <v>956</v>
      </c>
      <c r="B682" t="s">
        <v>1553</v>
      </c>
      <c r="E682" s="41" t="s">
        <v>956</v>
      </c>
      <c r="F682" s="13" t="s">
        <v>1553</v>
      </c>
    </row>
    <row r="683" spans="1:11" x14ac:dyDescent="0.3">
      <c r="A683" s="18" t="s">
        <v>1554</v>
      </c>
      <c r="B683" t="s">
        <v>1557</v>
      </c>
      <c r="E683" s="18" t="s">
        <v>1554</v>
      </c>
      <c r="F683" s="13" t="s">
        <v>1557</v>
      </c>
    </row>
    <row r="684" spans="1:11" x14ac:dyDescent="0.3">
      <c r="A684" s="42" t="s">
        <v>1555</v>
      </c>
      <c r="B684" t="s">
        <v>1931</v>
      </c>
      <c r="E684" s="41" t="s">
        <v>1555</v>
      </c>
      <c r="F684" s="13" t="s">
        <v>1931</v>
      </c>
    </row>
    <row r="685" spans="1:11" x14ac:dyDescent="0.3">
      <c r="A685" s="90" t="s">
        <v>1937</v>
      </c>
      <c r="B685" s="88" t="s">
        <v>1938</v>
      </c>
      <c r="C685" s="19"/>
      <c r="D685" s="19"/>
      <c r="E685" s="18" t="s">
        <v>1937</v>
      </c>
      <c r="F685" s="64" t="s">
        <v>1938</v>
      </c>
      <c r="G685" s="22"/>
      <c r="H685" s="64"/>
    </row>
    <row r="686" spans="1:11" x14ac:dyDescent="0.3">
      <c r="A686" s="87" t="s">
        <v>1989</v>
      </c>
      <c r="B686" s="88" t="s">
        <v>1990</v>
      </c>
      <c r="C686" s="39"/>
      <c r="D686" s="39"/>
      <c r="E686" s="97" t="s">
        <v>1960</v>
      </c>
      <c r="F686" s="13" t="s">
        <v>1961</v>
      </c>
      <c r="G686" s="40"/>
      <c r="I686" s="21"/>
    </row>
    <row r="687" spans="1:11" x14ac:dyDescent="0.3">
      <c r="A687" s="20" t="s">
        <v>1953</v>
      </c>
      <c r="B687" s="64" t="s">
        <v>1954</v>
      </c>
      <c r="C687" s="19"/>
      <c r="D687" s="19"/>
      <c r="E687" s="98" t="s">
        <v>1962</v>
      </c>
      <c r="F687" s="99" t="s">
        <v>1963</v>
      </c>
      <c r="G687" s="100"/>
      <c r="I687" s="21"/>
      <c r="J687" s="21"/>
      <c r="K687" s="21"/>
    </row>
    <row r="688" spans="1:11" x14ac:dyDescent="0.3">
      <c r="A688" s="18" t="s">
        <v>1956</v>
      </c>
      <c r="B688" s="92" t="s">
        <v>1957</v>
      </c>
      <c r="C688" s="19"/>
      <c r="D688" s="19"/>
      <c r="E688" s="97" t="s">
        <v>1964</v>
      </c>
      <c r="F688" s="13" t="s">
        <v>1965</v>
      </c>
      <c r="G688" s="22"/>
    </row>
    <row r="689" spans="1:9" x14ac:dyDescent="0.3">
      <c r="A689" s="23" t="s">
        <v>1966</v>
      </c>
      <c r="B689" s="64" t="s">
        <v>1967</v>
      </c>
      <c r="C689" s="19"/>
      <c r="D689" s="19"/>
      <c r="E689" s="19"/>
      <c r="F689" s="19"/>
      <c r="G689" s="22"/>
      <c r="H689" s="64" t="s">
        <v>1967</v>
      </c>
      <c r="I689" s="33"/>
    </row>
    <row r="690" spans="1:9" x14ac:dyDescent="0.3">
      <c r="A690" s="103" t="s">
        <v>1969</v>
      </c>
      <c r="B690" s="104" t="s">
        <v>1970</v>
      </c>
      <c r="E690" s="103" t="s">
        <v>1969</v>
      </c>
    </row>
    <row r="691" spans="1:9" x14ac:dyDescent="0.3">
      <c r="A691" s="39" t="s">
        <v>1975</v>
      </c>
      <c r="B691" s="104" t="s">
        <v>1976</v>
      </c>
    </row>
    <row r="692" spans="1:9" x14ac:dyDescent="0.3">
      <c r="A692" s="18" t="s">
        <v>1950</v>
      </c>
      <c r="B692" s="104" t="s">
        <v>1995</v>
      </c>
    </row>
    <row r="693" spans="1:9" ht="15" x14ac:dyDescent="0.3">
      <c r="A693" s="68" t="s">
        <v>2006</v>
      </c>
      <c r="B693" s="68" t="s">
        <v>2007</v>
      </c>
    </row>
    <row r="694" spans="1:9" ht="15" x14ac:dyDescent="0.3">
      <c r="A694" s="149" t="s">
        <v>2020</v>
      </c>
      <c r="B694" s="68" t="s">
        <v>2047</v>
      </c>
    </row>
    <row r="695" spans="1:9" x14ac:dyDescent="0.3">
      <c r="A695" s="41" t="s">
        <v>2023</v>
      </c>
      <c r="B695" s="104" t="s">
        <v>2024</v>
      </c>
    </row>
    <row r="696" spans="1:9" x14ac:dyDescent="0.3">
      <c r="A696" t="s">
        <v>2032</v>
      </c>
      <c r="B696" t="s">
        <v>2041</v>
      </c>
    </row>
    <row r="697" spans="1:9" ht="15" x14ac:dyDescent="0.3">
      <c r="A697" t="s">
        <v>2035</v>
      </c>
      <c r="B697" s="68" t="s">
        <v>2042</v>
      </c>
    </row>
  </sheetData>
  <phoneticPr fontId="5"/>
  <hyperlinks>
    <hyperlink ref="F2" r:id="rId1" xr:uid="{D635DE11-D0B3-45E6-B0BA-E80A61EA857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D9C8B671-6A03-4313-A020-B0DA5A5D889A}"/>
</file>

<file path=customXml/itemProps2.xml><?xml version="1.0" encoding="utf-8"?>
<ds:datastoreItem xmlns:ds="http://schemas.openxmlformats.org/officeDocument/2006/customXml" ds:itemID="{66DDC9EC-3F81-440B-98A8-9552C9613939}"/>
</file>

<file path=customXml/itemProps3.xml><?xml version="1.0" encoding="utf-8"?>
<ds:datastoreItem xmlns:ds="http://schemas.openxmlformats.org/officeDocument/2006/customXml" ds:itemID="{FBDE56E5-5869-4B85-A0C3-1C8C06987B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14</vt:i4>
      </vt:variant>
    </vt:vector>
  </HeadingPairs>
  <TitlesOfParts>
    <vt:vector size="30" baseType="lpstr">
      <vt:lpstr>マクロ</vt:lpstr>
      <vt:lpstr>テーブル一覧</vt:lpstr>
      <vt:lpstr>資材請求・納入紐付情報</vt:lpstr>
      <vt:lpstr>資材請求・品種紐付情報</vt:lpstr>
      <vt:lpstr>資材請求情報（ヘッダ）</vt:lpstr>
      <vt:lpstr>資材請求明細情報</vt:lpstr>
      <vt:lpstr>資材請求添付ファイル情報</vt:lpstr>
      <vt:lpstr>発注情報（ヘッダ）</vt:lpstr>
      <vt:lpstr>発注明細情報</vt:lpstr>
      <vt:lpstr>発注摘要.連絡情報</vt:lpstr>
      <vt:lpstr>仕入情報（ヘッダ）</vt:lpstr>
      <vt:lpstr>仕入明細情報</vt:lpstr>
      <vt:lpstr>仕入調整情報</vt:lpstr>
      <vt:lpstr>項目一覧</vt:lpstr>
      <vt:lpstr>項目一覧 (項目別)</vt:lpstr>
      <vt:lpstr>項目一覧2</vt:lpstr>
      <vt:lpstr>テーブル一覧!Print_Titles</vt:lpstr>
      <vt:lpstr>項目一覧!Print_Titles</vt:lpstr>
      <vt:lpstr>'項目一覧 (項目別)'!Print_Titles</vt:lpstr>
      <vt:lpstr>'仕入情報（ヘッダ）'!Print_Titles</vt:lpstr>
      <vt:lpstr>仕入調整情報!Print_Titles</vt:lpstr>
      <vt:lpstr>仕入明細情報!Print_Titles</vt:lpstr>
      <vt:lpstr>資材請求・納入紐付情報!Print_Titles</vt:lpstr>
      <vt:lpstr>資材請求・品種紐付情報!Print_Titles</vt:lpstr>
      <vt:lpstr>'資材請求情報（ヘッダ）'!Print_Titles</vt:lpstr>
      <vt:lpstr>資材請求添付ファイル情報!Print_Titles</vt:lpstr>
      <vt:lpstr>資材請求明細情報!Print_Titles</vt:lpstr>
      <vt:lpstr>'発注情報（ヘッダ）'!Print_Titles</vt:lpstr>
      <vt:lpstr>発注摘要.連絡情報!Print_Titles</vt:lpstr>
      <vt:lpstr>発注明細情報!Print_Titles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闕 秋蓮</dc:creator>
  <cp:lastModifiedBy>闕 秋蓮</cp:lastModifiedBy>
  <cp:lastPrinted>2022-12-16T00:25:03Z</cp:lastPrinted>
  <dcterms:created xsi:type="dcterms:W3CDTF">2020-07-03T02:02:56Z</dcterms:created>
  <dcterms:modified xsi:type="dcterms:W3CDTF">2023-08-31T10:06:31Z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