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TENTOK\tosco_tentok_dc2\02_基本設計\テーブル定義\"/>
    </mc:Choice>
  </mc:AlternateContent>
  <xr:revisionPtr revIDLastSave="0" documentId="13_ncr:1_{060C4049-DF8C-46F5-AF93-E7EB885B4844}" xr6:coauthVersionLast="47" xr6:coauthVersionMax="47" xr10:uidLastSave="{00000000-0000-0000-0000-000000000000}"/>
  <bookViews>
    <workbookView xWindow="20370" yWindow="-120" windowWidth="29040" windowHeight="17790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9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'生産計画情報（WD工場）'!$A$6:$BD$60</definedName>
    <definedName name="_xlnm._FilterDatabase" localSheetId="7" hidden="1">'生産計画情報（コーヒーフィルタ）'!$A$6:$BD$36</definedName>
    <definedName name="_xlnm._FilterDatabase" localSheetId="8" hidden="1">'生産計画情報（パッケージ工場）'!$A$6:$BD$38</definedName>
    <definedName name="_xlnm._FilterDatabase" localSheetId="5" hidden="1">'生産計画情報（加工CM）'!$A$6:$BD$41</definedName>
    <definedName name="_xlnm._FilterDatabase" localSheetId="6" hidden="1">'生産計画情報（加工SC）'!$A$6:$BD$40</definedName>
    <definedName name="_xlnm._FilterDatabase" localSheetId="10" hidden="1">'生産計画情報（外注加工）'!$A$6:$BD$62</definedName>
    <definedName name="_xlnm._FilterDatabase" localSheetId="3" hidden="1">'生産計画情報（抄紙）'!$A$6:$BD$42</definedName>
    <definedName name="_xlnm._FilterDatabase" localSheetId="4" hidden="1">'生産計画情報（熱加工）'!$A$6:$BD$43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06" l="1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36" i="106"/>
  <c r="A37" i="106"/>
  <c r="A38" i="106"/>
  <c r="A39" i="106"/>
  <c r="A40" i="106"/>
  <c r="A41" i="106"/>
  <c r="A42" i="106"/>
  <c r="A43" i="106"/>
  <c r="A44" i="106"/>
  <c r="A45" i="106"/>
  <c r="A813" i="6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228" i="61"/>
  <c r="A206" i="61"/>
  <c r="A518" i="61"/>
  <c r="A495" i="61"/>
  <c r="A227" i="61"/>
  <c r="A205" i="61"/>
  <c r="A517" i="61"/>
  <c r="A494" i="61"/>
  <c r="A546" i="61"/>
  <c r="A402" i="61"/>
  <c r="A361" i="61"/>
  <c r="A516" i="61"/>
  <c r="A73" i="61"/>
  <c r="A318" i="61"/>
  <c r="A401" i="61"/>
  <c r="A226" i="61"/>
  <c r="A204" i="61"/>
  <c r="A515" i="61"/>
  <c r="A493" i="61"/>
  <c r="A249" i="61"/>
  <c r="A246" i="61"/>
  <c r="A244" i="61"/>
  <c r="A245" i="61"/>
  <c r="A528" i="61"/>
  <c r="A94" i="61"/>
  <c r="A95" i="61"/>
  <c r="A42" i="61"/>
  <c r="A529" i="61"/>
  <c r="A362" i="61"/>
  <c r="A111" i="61"/>
  <c r="A523" i="61"/>
  <c r="A34" i="61"/>
  <c r="A87" i="61"/>
  <c r="A165" i="61"/>
  <c r="A225" i="61"/>
  <c r="A203" i="61"/>
  <c r="A184" i="61"/>
  <c r="A514" i="61"/>
  <c r="A492" i="61"/>
  <c r="A473" i="61"/>
  <c r="A287" i="61"/>
  <c r="A305" i="61"/>
  <c r="A400" i="61"/>
  <c r="A164" i="61"/>
  <c r="A260" i="61"/>
  <c r="A365" i="61"/>
  <c r="A230" i="61"/>
  <c r="A355" i="61"/>
  <c r="A224" i="61"/>
  <c r="A202" i="61"/>
  <c r="A183" i="61"/>
  <c r="A513" i="61"/>
  <c r="A491" i="61"/>
  <c r="A472" i="61"/>
  <c r="A286" i="61"/>
  <c r="A304" i="61"/>
  <c r="A604" i="61"/>
  <c r="A440" i="61"/>
  <c r="A595" i="61"/>
  <c r="A453" i="61"/>
  <c r="A582" i="61"/>
  <c r="A564" i="61"/>
  <c r="A385" i="61"/>
  <c r="A399" i="61"/>
  <c r="A163" i="61"/>
  <c r="A364" i="61"/>
  <c r="A524" i="61"/>
  <c r="A261" i="61"/>
  <c r="A45" i="61"/>
  <c r="A229" i="61"/>
  <c r="A618" i="61"/>
  <c r="A358" i="61"/>
  <c r="A354" i="61"/>
  <c r="A223" i="61"/>
  <c r="A201" i="61"/>
  <c r="A182" i="61"/>
  <c r="A512" i="61"/>
  <c r="A490" i="61"/>
  <c r="A471" i="61"/>
  <c r="A285" i="61"/>
  <c r="A303" i="61"/>
  <c r="A259" i="61"/>
  <c r="A439" i="61"/>
  <c r="A594" i="61"/>
  <c r="A452" i="61"/>
  <c r="A581" i="61"/>
  <c r="A563" i="61"/>
  <c r="A384" i="61"/>
  <c r="A123" i="61"/>
  <c r="A135" i="61"/>
  <c r="A398" i="61"/>
  <c r="A162" i="61"/>
  <c r="A357" i="61"/>
  <c r="A353" i="61"/>
  <c r="A222" i="61"/>
  <c r="A200" i="61"/>
  <c r="A181" i="61"/>
  <c r="A511" i="61"/>
  <c r="A489" i="61"/>
  <c r="A470" i="61"/>
  <c r="A284" i="61"/>
  <c r="A302" i="61"/>
  <c r="A397" i="61"/>
  <c r="A110" i="61"/>
  <c r="A438" i="61"/>
  <c r="A593" i="61"/>
  <c r="A451" i="61"/>
  <c r="A580" i="61"/>
  <c r="A562" i="61"/>
  <c r="A383" i="61"/>
  <c r="A617" i="61"/>
  <c r="A352" i="61"/>
  <c r="A221" i="61"/>
  <c r="A199" i="61"/>
  <c r="A180" i="61"/>
  <c r="A510" i="61"/>
  <c r="A488" i="61"/>
  <c r="A469" i="61"/>
  <c r="A283" i="61"/>
  <c r="A301" i="61"/>
  <c r="A258" i="61"/>
  <c r="A253" i="61"/>
  <c r="A545" i="61"/>
  <c r="A437" i="61"/>
  <c r="A592" i="61"/>
  <c r="A450" i="61"/>
  <c r="A579" i="61"/>
  <c r="A561" i="61"/>
  <c r="A382" i="61"/>
  <c r="A122" i="61"/>
  <c r="A134" i="61"/>
  <c r="A396" i="61"/>
  <c r="A161" i="61"/>
  <c r="A351" i="61"/>
  <c r="A220" i="61"/>
  <c r="A198" i="61"/>
  <c r="A179" i="61"/>
  <c r="A509" i="61"/>
  <c r="A487" i="61"/>
  <c r="A468" i="61"/>
  <c r="A282" i="61"/>
  <c r="A300" i="61"/>
  <c r="A544" i="61"/>
  <c r="A519" i="61"/>
  <c r="A619" i="61"/>
  <c r="A578" i="61"/>
  <c r="A560" i="61"/>
  <c r="A381" i="61"/>
  <c r="A616" i="61"/>
  <c r="A106" i="61"/>
  <c r="A350" i="61"/>
  <c r="A219" i="61"/>
  <c r="A197" i="61"/>
  <c r="A178" i="61"/>
  <c r="A508" i="61"/>
  <c r="A486" i="61"/>
  <c r="A467" i="61"/>
  <c r="A281" i="61"/>
  <c r="A299" i="61"/>
  <c r="A257" i="61"/>
  <c r="A252" i="61"/>
  <c r="A543" i="61"/>
  <c r="A436" i="61"/>
  <c r="A591" i="61"/>
  <c r="A449" i="61"/>
  <c r="A577" i="61"/>
  <c r="A559" i="61"/>
  <c r="A380" i="61"/>
  <c r="A121" i="61"/>
  <c r="A133" i="61"/>
  <c r="A395" i="61"/>
  <c r="A160" i="61"/>
  <c r="A349" i="61"/>
  <c r="A218" i="61"/>
  <c r="A196" i="61"/>
  <c r="A177" i="61"/>
  <c r="A507" i="61"/>
  <c r="A485" i="61"/>
  <c r="A466" i="61"/>
  <c r="A280" i="61"/>
  <c r="A298" i="61"/>
  <c r="A542" i="61"/>
  <c r="A454" i="61"/>
  <c r="A576" i="61"/>
  <c r="A558" i="61"/>
  <c r="A379" i="61"/>
  <c r="A615" i="61"/>
  <c r="A105" i="61"/>
  <c r="A348" i="61"/>
  <c r="A217" i="61"/>
  <c r="A195" i="61"/>
  <c r="A176" i="61"/>
  <c r="A506" i="61"/>
  <c r="A484" i="61"/>
  <c r="A465" i="61"/>
  <c r="A279" i="61"/>
  <c r="A297" i="61"/>
  <c r="A256" i="61"/>
  <c r="A406" i="61"/>
  <c r="A251" i="61"/>
  <c r="A541" i="61"/>
  <c r="A435" i="61"/>
  <c r="A590" i="61"/>
  <c r="A448" i="61"/>
  <c r="A575" i="61"/>
  <c r="A557" i="61"/>
  <c r="A378" i="61"/>
  <c r="A120" i="61"/>
  <c r="A132" i="61"/>
  <c r="A394" i="61"/>
  <c r="A159" i="61"/>
  <c r="A347" i="61"/>
  <c r="A216" i="61"/>
  <c r="A194" i="61"/>
  <c r="A175" i="61"/>
  <c r="A505" i="61"/>
  <c r="A483" i="61"/>
  <c r="A464" i="61"/>
  <c r="A278" i="61"/>
  <c r="A296" i="61"/>
  <c r="A540" i="61"/>
  <c r="A530" i="61"/>
  <c r="A409" i="61"/>
  <c r="A597" i="61"/>
  <c r="A596" i="61"/>
  <c r="A328" i="61"/>
  <c r="A574" i="61"/>
  <c r="A556" i="61"/>
  <c r="A377" i="61"/>
  <c r="A614" i="61"/>
  <c r="A104" i="61"/>
  <c r="A346" i="61"/>
  <c r="A215" i="61"/>
  <c r="A193" i="61"/>
  <c r="A174" i="61"/>
  <c r="A504" i="61"/>
  <c r="A482" i="61"/>
  <c r="A463" i="61"/>
  <c r="A277" i="61"/>
  <c r="A295" i="61"/>
  <c r="A255" i="61"/>
  <c r="A8" i="61"/>
  <c r="A6" i="61"/>
  <c r="A5" i="61"/>
  <c r="A7" i="61"/>
  <c r="A4" i="61"/>
  <c r="A250" i="61"/>
  <c r="A539" i="61"/>
  <c r="A434" i="61"/>
  <c r="A589" i="61"/>
  <c r="A447" i="61"/>
  <c r="A573" i="61"/>
  <c r="A555" i="61"/>
  <c r="A376" i="61"/>
  <c r="A119" i="61"/>
  <c r="A131" i="61"/>
  <c r="A393" i="61"/>
  <c r="A158" i="61"/>
  <c r="A345" i="61"/>
  <c r="A214" i="61"/>
  <c r="A192" i="61"/>
  <c r="A173" i="61"/>
  <c r="A503" i="61"/>
  <c r="A481" i="61"/>
  <c r="A462" i="61"/>
  <c r="A103" i="61"/>
  <c r="A231" i="61"/>
  <c r="A62" i="61"/>
  <c r="A63" i="61"/>
  <c r="A64" i="61"/>
  <c r="A38" i="61"/>
  <c r="A44" i="61"/>
  <c r="A41" i="61"/>
  <c r="A17" i="61"/>
  <c r="A25" i="61"/>
  <c r="A13" i="61"/>
  <c r="A23" i="61"/>
  <c r="A15" i="61"/>
  <c r="A21" i="61"/>
  <c r="A19" i="61"/>
  <c r="A11" i="61"/>
  <c r="A9" i="61"/>
  <c r="A538" i="61"/>
  <c r="A599" i="61"/>
  <c r="A620" i="61"/>
  <c r="A600" i="61"/>
  <c r="A603" i="61"/>
  <c r="A72" i="61"/>
  <c r="A61" i="61"/>
  <c r="A27" i="61"/>
  <c r="A408" i="61"/>
  <c r="A367" i="61"/>
  <c r="A433" i="61"/>
  <c r="A588" i="61"/>
  <c r="A446" i="61"/>
  <c r="A572" i="61"/>
  <c r="A554" i="61"/>
  <c r="A375" i="61"/>
  <c r="A118" i="61"/>
  <c r="A130" i="61"/>
  <c r="A427" i="61"/>
  <c r="A416" i="61"/>
  <c r="A363" i="61"/>
  <c r="A109" i="61"/>
  <c r="A108" i="61"/>
  <c r="A327" i="61"/>
  <c r="A47" i="61"/>
  <c r="A526" i="61"/>
  <c r="A107" i="61"/>
  <c r="A48" i="61"/>
  <c r="A74" i="61"/>
  <c r="A157" i="61"/>
  <c r="A336" i="61"/>
  <c r="A613" i="61"/>
  <c r="A344" i="61"/>
  <c r="A213" i="61"/>
  <c r="A191" i="61"/>
  <c r="A172" i="61"/>
  <c r="A502" i="61"/>
  <c r="A480" i="61"/>
  <c r="A461" i="61"/>
  <c r="A276" i="61"/>
  <c r="A294" i="61"/>
  <c r="A86" i="61"/>
  <c r="A80" i="61"/>
  <c r="A102" i="61"/>
  <c r="A93" i="61"/>
  <c r="A149" i="61"/>
  <c r="A142" i="61"/>
  <c r="A37" i="61"/>
  <c r="A43" i="61"/>
  <c r="A55" i="61"/>
  <c r="A40" i="61"/>
  <c r="A262" i="61"/>
  <c r="A16" i="61"/>
  <c r="A24" i="61"/>
  <c r="A12" i="61"/>
  <c r="A22" i="61"/>
  <c r="A14" i="61"/>
  <c r="A20" i="61"/>
  <c r="A18" i="61"/>
  <c r="A10" i="61"/>
  <c r="A537" i="61"/>
  <c r="A602" i="61"/>
  <c r="A60" i="61"/>
  <c r="A26" i="61"/>
  <c r="A407" i="61"/>
  <c r="A432" i="61"/>
  <c r="A587" i="61"/>
  <c r="A445" i="61"/>
  <c r="A571" i="61"/>
  <c r="A553" i="61"/>
  <c r="A374" i="61"/>
  <c r="A117" i="61"/>
  <c r="A129" i="61"/>
  <c r="A421" i="61"/>
  <c r="A426" i="61"/>
  <c r="A237" i="61"/>
  <c r="A243" i="61"/>
  <c r="A326" i="61"/>
  <c r="A525" i="61"/>
  <c r="A46" i="61"/>
  <c r="A360" i="61"/>
  <c r="A269" i="61"/>
  <c r="A317" i="61"/>
  <c r="A71" i="61"/>
  <c r="A392" i="61"/>
  <c r="A156" i="61"/>
  <c r="A335" i="61"/>
  <c r="A415" i="61"/>
  <c r="A356" i="61"/>
  <c r="A343" i="61"/>
  <c r="A212" i="61"/>
  <c r="A190" i="61"/>
  <c r="A171" i="61"/>
  <c r="A501" i="61"/>
  <c r="A479" i="61"/>
  <c r="A460" i="61"/>
  <c r="A275" i="61"/>
  <c r="A293" i="61"/>
  <c r="A85" i="61"/>
  <c r="A79" i="61"/>
  <c r="A101" i="61"/>
  <c r="A148" i="61"/>
  <c r="A141" i="61"/>
  <c r="A536" i="61"/>
  <c r="A54" i="61"/>
  <c r="A33" i="61"/>
  <c r="A254" i="61"/>
  <c r="A570" i="61"/>
  <c r="A552" i="61"/>
  <c r="A373" i="61"/>
  <c r="A248" i="61"/>
  <c r="A247" i="61"/>
  <c r="A325" i="61"/>
  <c r="A268" i="61"/>
  <c r="A316" i="61"/>
  <c r="A70" i="61"/>
  <c r="A391" i="61"/>
  <c r="A155" i="61"/>
  <c r="A334" i="61"/>
  <c r="A342" i="61"/>
  <c r="A211" i="61"/>
  <c r="A189" i="61"/>
  <c r="A170" i="61"/>
  <c r="A500" i="61"/>
  <c r="A478" i="61"/>
  <c r="A459" i="61"/>
  <c r="A274" i="61"/>
  <c r="A292" i="61"/>
  <c r="A84" i="61"/>
  <c r="A78" i="61"/>
  <c r="A100" i="61"/>
  <c r="A92" i="61"/>
  <c r="A147" i="61"/>
  <c r="A140" i="61"/>
  <c r="A535" i="61"/>
  <c r="A53" i="61"/>
  <c r="A32" i="61"/>
  <c r="A36" i="61"/>
  <c r="A39" i="61"/>
  <c r="A522" i="61"/>
  <c r="A31" i="61"/>
  <c r="A520" i="61"/>
  <c r="A366" i="61"/>
  <c r="A569" i="61"/>
  <c r="A551" i="61"/>
  <c r="A372" i="61"/>
  <c r="A116" i="61"/>
  <c r="A128" i="61"/>
  <c r="A310" i="61"/>
  <c r="A236" i="61"/>
  <c r="A242" i="61"/>
  <c r="A324" i="61"/>
  <c r="A267" i="61"/>
  <c r="A315" i="61"/>
  <c r="A69" i="61"/>
  <c r="A390" i="61"/>
  <c r="A154" i="61"/>
  <c r="A333" i="61"/>
  <c r="A341" i="61"/>
  <c r="A210" i="61"/>
  <c r="A188" i="61"/>
  <c r="A169" i="61"/>
  <c r="A499" i="61"/>
  <c r="A477" i="61"/>
  <c r="A458" i="61"/>
  <c r="A273" i="61"/>
  <c r="A291" i="61"/>
  <c r="A30" i="61"/>
  <c r="A29" i="61"/>
  <c r="A28" i="61"/>
  <c r="A99" i="61"/>
  <c r="A91" i="61"/>
  <c r="A146" i="61"/>
  <c r="A139" i="61"/>
  <c r="A534" i="61"/>
  <c r="A52" i="61"/>
  <c r="A405" i="61"/>
  <c r="A608" i="61"/>
  <c r="A612" i="61"/>
  <c r="A59" i="61"/>
  <c r="A431" i="61"/>
  <c r="A586" i="61"/>
  <c r="A444" i="61"/>
  <c r="A568" i="61"/>
  <c r="A550" i="61"/>
  <c r="A371" i="61"/>
  <c r="A115" i="61"/>
  <c r="A127" i="61"/>
  <c r="A420" i="61"/>
  <c r="A425" i="61"/>
  <c r="A309" i="61"/>
  <c r="A235" i="61"/>
  <c r="A241" i="61"/>
  <c r="A323" i="61"/>
  <c r="A266" i="61"/>
  <c r="A314" i="61"/>
  <c r="A68" i="61"/>
  <c r="A389" i="61"/>
  <c r="A153" i="61"/>
  <c r="A332" i="61"/>
  <c r="A414" i="61"/>
  <c r="A340" i="61"/>
  <c r="A209" i="61"/>
  <c r="A187" i="61"/>
  <c r="A168" i="61"/>
  <c r="A498" i="61"/>
  <c r="A476" i="61"/>
  <c r="A457" i="61"/>
  <c r="A272" i="61"/>
  <c r="A290" i="61"/>
  <c r="A83" i="61"/>
  <c r="A77" i="61"/>
  <c r="A98" i="61"/>
  <c r="A90" i="61"/>
  <c r="A145" i="61"/>
  <c r="A138" i="61"/>
  <c r="A533" i="61"/>
  <c r="A51" i="61"/>
  <c r="A35" i="61"/>
  <c r="A404" i="61"/>
  <c r="A607" i="61"/>
  <c r="A611" i="61"/>
  <c r="A58" i="61"/>
  <c r="A430" i="61"/>
  <c r="A585" i="61"/>
  <c r="A443" i="61"/>
  <c r="A567" i="61"/>
  <c r="A549" i="61"/>
  <c r="A370" i="61"/>
  <c r="A114" i="61"/>
  <c r="A126" i="61"/>
  <c r="A419" i="61"/>
  <c r="A424" i="61"/>
  <c r="A308" i="61"/>
  <c r="A234" i="61"/>
  <c r="A240" i="61"/>
  <c r="A322" i="61"/>
  <c r="A265" i="61"/>
  <c r="A313" i="61"/>
  <c r="A67" i="61"/>
  <c r="A388" i="61"/>
  <c r="A152" i="61"/>
  <c r="A331" i="61"/>
  <c r="A413" i="61"/>
  <c r="A339" i="61"/>
  <c r="A208" i="61"/>
  <c r="A186" i="61"/>
  <c r="A167" i="61"/>
  <c r="A497" i="61"/>
  <c r="A475" i="61"/>
  <c r="A456" i="61"/>
  <c r="A271" i="61"/>
  <c r="A289" i="61"/>
  <c r="A82" i="61"/>
  <c r="A76" i="61"/>
  <c r="A97" i="61"/>
  <c r="A89" i="61"/>
  <c r="A144" i="61"/>
  <c r="A137" i="61"/>
  <c r="A601" i="61"/>
  <c r="A410" i="61"/>
  <c r="A359" i="61"/>
  <c r="A532" i="61"/>
  <c r="A50" i="61"/>
  <c r="A521" i="61"/>
  <c r="A403" i="61"/>
  <c r="A606" i="61"/>
  <c r="A610" i="61"/>
  <c r="A57" i="61"/>
  <c r="A429" i="61"/>
  <c r="A584" i="61"/>
  <c r="A442" i="61"/>
  <c r="A566" i="61"/>
  <c r="A548" i="61"/>
  <c r="A369" i="61"/>
  <c r="A113" i="61"/>
  <c r="A125" i="61"/>
  <c r="A418" i="61"/>
  <c r="A423" i="61"/>
  <c r="A307" i="61"/>
  <c r="A233" i="61"/>
  <c r="A239" i="61"/>
  <c r="A321" i="61"/>
  <c r="A264" i="61"/>
  <c r="A312" i="61"/>
  <c r="A66" i="61"/>
  <c r="A387" i="61"/>
  <c r="A151" i="61"/>
  <c r="A330" i="61"/>
  <c r="A412" i="61"/>
  <c r="A338" i="61"/>
  <c r="A207" i="61"/>
  <c r="A185" i="61"/>
  <c r="A166" i="61"/>
  <c r="A496" i="61"/>
  <c r="A474" i="61"/>
  <c r="A455" i="61"/>
  <c r="A270" i="61"/>
  <c r="A288" i="61"/>
  <c r="A81" i="61"/>
  <c r="A75" i="61"/>
  <c r="A96" i="61"/>
  <c r="A88" i="61"/>
  <c r="A143" i="61"/>
  <c r="A136" i="61"/>
  <c r="A531" i="61"/>
  <c r="A49" i="61"/>
  <c r="A598" i="61"/>
  <c r="A527" i="61"/>
  <c r="A319" i="61"/>
  <c r="A605" i="61"/>
  <c r="A609" i="61"/>
  <c r="A56" i="61"/>
  <c r="A428" i="61"/>
  <c r="A583" i="61"/>
  <c r="A441" i="61"/>
  <c r="A565" i="61"/>
  <c r="A547" i="61"/>
  <c r="A368" i="61"/>
  <c r="A112" i="61"/>
  <c r="A124" i="61"/>
  <c r="A417" i="61"/>
  <c r="A422" i="61"/>
  <c r="A306" i="61"/>
  <c r="A232" i="61"/>
  <c r="A238" i="61"/>
  <c r="A320" i="61"/>
  <c r="A263" i="61"/>
  <c r="A311" i="61"/>
  <c r="A65" i="61"/>
  <c r="A386" i="61"/>
  <c r="A150" i="61"/>
  <c r="A329" i="61"/>
  <c r="A411" i="61"/>
  <c r="A337" i="61"/>
  <c r="A85" i="112" l="1"/>
  <c r="A84" i="112"/>
  <c r="A83" i="112"/>
  <c r="A82" i="112"/>
  <c r="A46" i="115" l="1"/>
  <c r="A45" i="115"/>
  <c r="A85" i="105"/>
  <c r="A84" i="105"/>
  <c r="A52" i="102" l="1"/>
  <c r="A52" i="85"/>
  <c r="A85" i="75"/>
  <c r="Y4" i="118" l="1"/>
  <c r="Y2" i="118"/>
  <c r="A21" i="106" l="1"/>
  <c r="A23" i="115" l="1"/>
  <c r="A22" i="115"/>
  <c r="A21" i="115"/>
  <c r="A20" i="115"/>
  <c r="A19" i="115"/>
  <c r="A18" i="115"/>
  <c r="A14" i="115" l="1"/>
  <c r="A12" i="115"/>
  <c r="A13" i="115"/>
  <c r="A10" i="115" l="1"/>
  <c r="A9" i="115"/>
  <c r="A9" i="114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1" i="112"/>
  <c r="A80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3" i="105"/>
  <c r="A82" i="105"/>
  <c r="A81" i="105"/>
  <c r="A80" i="105"/>
  <c r="A79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4" i="75"/>
  <c r="A83" i="75"/>
  <c r="A82" i="75"/>
  <c r="A81" i="75"/>
  <c r="A80" i="75"/>
  <c r="A79" i="75"/>
  <c r="A78" i="75"/>
  <c r="A77" i="75"/>
  <c r="A76" i="75"/>
  <c r="A75" i="75"/>
  <c r="A74" i="75"/>
  <c r="A73" i="75"/>
  <c r="A72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9" i="112"/>
  <c r="A78" i="105"/>
  <c r="A77" i="105"/>
  <c r="A76" i="105"/>
  <c r="A75" i="105"/>
  <c r="A74" i="105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1" i="75"/>
  <c r="A70" i="75"/>
  <c r="A69" i="75"/>
  <c r="A68" i="75"/>
  <c r="A67" i="75"/>
  <c r="A66" i="75"/>
  <c r="A65" i="75"/>
  <c r="A64" i="75"/>
  <c r="A63" i="75"/>
  <c r="A62" i="75"/>
  <c r="A61" i="75"/>
  <c r="A60" i="75"/>
  <c r="A59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20" i="62" l="1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4" i="115" l="1"/>
  <c r="A43" i="115"/>
  <c r="A42" i="115"/>
  <c r="A41" i="115"/>
  <c r="A40" i="115"/>
  <c r="A39" i="115"/>
  <c r="A38" i="115"/>
  <c r="A37" i="115"/>
  <c r="A36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A16" i="101" l="1"/>
  <c r="A43" i="99" l="1"/>
  <c r="A42" i="99"/>
  <c r="A41" i="99"/>
  <c r="A40" i="99"/>
  <c r="A43" i="108" l="1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78" i="112" l="1"/>
  <c r="A77" i="112"/>
  <c r="A76" i="112"/>
  <c r="A75" i="112"/>
  <c r="A74" i="112"/>
  <c r="A73" i="112"/>
  <c r="A72" i="112"/>
  <c r="A71" i="112"/>
  <c r="A70" i="112"/>
  <c r="A69" i="112"/>
  <c r="A68" i="112"/>
  <c r="A67" i="112"/>
  <c r="A66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3" i="105" l="1"/>
  <c r="A72" i="105"/>
  <c r="A71" i="105"/>
  <c r="A70" i="105"/>
  <c r="A69" i="105"/>
  <c r="A68" i="105"/>
  <c r="A67" i="105"/>
  <c r="A58" i="75" l="1"/>
  <c r="A57" i="75"/>
  <c r="A56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Y4" i="106" l="1"/>
  <c r="Y2" i="106"/>
  <c r="R2" i="106"/>
  <c r="A12" i="58"/>
  <c r="Y4" i="105" l="1"/>
  <c r="Y2" i="105"/>
  <c r="R2" i="105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<sst xmlns="http://schemas.openxmlformats.org/spreadsheetml/2006/main" count="13070" uniqueCount="1567">
  <si>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</si>
  <si>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</si>
  <si>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</si>
  <si>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</si>
  <si>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</si>
  <si>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</si>
  <si>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</si>
  <si>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</si>
  <si>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</si>
  <si>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</si>
  <si>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</si>
  <si>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</si>
  <si>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</si>
  <si>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</si>
  <si>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</si>
  <si>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</si>
  <si>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</si>
  <si>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</si>
  <si>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</si>
  <si>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</si>
  <si>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</si>
  <si>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</si>
  <si>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</si>
  <si>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</si>
  <si>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</si>
  <si>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</si>
  <si>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</si>
  <si>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</si>
  <si>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</si>
  <si>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</si>
  <si>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</si>
  <si>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</si>
  <si>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</si>
  <si>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</si>
  <si>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</si>
  <si>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</si>
  <si>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</si>
  <si>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</si>
  <si>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</si>
  <si>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</si>
  <si>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</si>
  <si>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</si>
  <si>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</si>
  <si>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</si>
  <si>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</si>
  <si>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</si>
  <si>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</si>
  <si>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</si>
  <si>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</si>
  <si>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</si>
  <si>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</si>
  <si>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</si>
  <si>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</si>
  <si>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</si>
  <si>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</si>
  <si>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</si>
  <si>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</si>
  <si>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</si>
  <si>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</si>
  <si>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</si>
  <si>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</si>
  <si>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</si>
  <si>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</si>
  <si>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</si>
  <si>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</si>
  <si>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</si>
  <si>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</si>
  <si>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</si>
  <si>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</si>
  <si>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</si>
  <si>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</si>
  <si>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</si>
  <si>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</si>
  <si>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</si>
  <si>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</si>
  <si>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</si>
  <si>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</si>
  <si>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</si>
  <si>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</si>
  <si>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</si>
  <si>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</si>
  <si>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</si>
  <si>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</si>
  <si>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</si>
  <si>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</si>
  <si>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</si>
  <si>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</si>
  <si>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</si>
  <si>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</si>
  <si>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</si>
  <si>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</si>
  <si>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</si>
  <si>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</si>
  <si>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</si>
  <si>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</si>
  <si>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</si>
  <si>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</si>
  <si>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</si>
  <si>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</si>
  <si>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</si>
  <si>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</si>
  <si>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</si>
  <si>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</si>
  <si>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</si>
  <si>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</si>
  <si>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</si>
  <si>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</si>
  <si>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</si>
  <si>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</si>
  <si>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</si>
  <si>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</si>
  <si>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</si>
  <si>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</si>
  <si>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</si>
  <si>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</si>
  <si>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</si>
  <si>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</si>
  <si>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</si>
  <si>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</si>
  <si>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</si>
  <si>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</si>
  <si>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</si>
  <si>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</si>
  <si>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</si>
  <si>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</si>
  <si>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</si>
  <si>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</si>
  <si>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</si>
  <si>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</si>
  <si>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</si>
  <si>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</si>
  <si>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</si>
  <si>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</si>
  <si>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</si>
  <si>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</si>
  <si>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</si>
  <si>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</si>
  <si>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</si>
  <si>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</si>
  <si>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</si>
  <si>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</si>
  <si>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</si>
  <si>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</si>
  <si>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</si>
  <si>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</si>
  <si>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</si>
  <si>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</si>
  <si>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</si>
  <si>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</si>
  <si>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</si>
  <si>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</si>
  <si>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</si>
  <si>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</si>
  <si>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</si>
  <si>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</si>
  <si>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</si>
  <si>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</si>
  <si>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</si>
  <si>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</si>
  <si>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</si>
  <si>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</si>
  <si>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</si>
  <si>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</si>
  <si>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</si>
  <si>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</si>
  <si>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</si>
  <si>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</si>
  <si>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</si>
  <si>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</si>
  <si>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</si>
  <si>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</si>
  <si>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</si>
  <si>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</si>
  <si>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</si>
  <si>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</si>
  <si>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</si>
  <si>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</si>
  <si>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</si>
  <si>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</si>
  <si>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</si>
  <si>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</si>
  <si>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</si>
  <si>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</si>
  <si>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</si>
  <si>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</si>
  <si>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</si>
  <si>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</si>
  <si>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</si>
  <si>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</si>
  <si>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</si>
  <si>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</si>
  <si>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</si>
  <si>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</si>
  <si>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</si>
  <si>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</si>
  <si>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</si>
  <si>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</si>
  <si>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</si>
  <si>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</si>
  <si>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</si>
  <si>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</si>
  <si>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</si>
  <si>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</si>
  <si>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</si>
  <si>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</si>
  <si>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</si>
  <si>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</si>
  <si>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</si>
  <si>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</si>
  <si>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</si>
  <si>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</si>
  <si>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</si>
  <si>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</si>
  <si>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</si>
  <si>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</si>
  <si>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</si>
  <si>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</si>
  <si>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</si>
  <si>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</si>
  <si>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</si>
  <si>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</si>
  <si>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</si>
  <si>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</si>
  <si>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</si>
  <si>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</si>
  <si>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</si>
  <si>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</si>
  <si>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</si>
  <si>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</si>
  <si>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</si>
  <si>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</si>
  <si>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</si>
  <si>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</si>
  <si>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</si>
  <si>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</si>
  <si>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</si>
  <si>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</si>
  <si>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</si>
  <si>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</si>
  <si>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</si>
  <si>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</si>
  <si>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</si>
  <si>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</si>
  <si>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</si>
  <si>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</si>
  <si>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</si>
  <si>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</si>
  <si>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</si>
  <si>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</si>
  <si>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</si>
  <si>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</si>
  <si>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</si>
  <si>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</si>
  <si>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</si>
  <si>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</si>
  <si>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</si>
  <si>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</si>
  <si>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</si>
  <si>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</si>
  <si>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</si>
  <si>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</si>
  <si>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</si>
  <si>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</si>
  <si>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</si>
  <si>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</si>
  <si>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</si>
  <si>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</si>
  <si>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</si>
  <si>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</si>
  <si>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</si>
  <si>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</si>
  <si>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</si>
  <si>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</si>
  <si>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</si>
  <si>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</si>
  <si>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</si>
  <si>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</si>
  <si>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</si>
  <si>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</si>
  <si>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</si>
  <si>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</si>
  <si>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</si>
  <si>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</si>
  <si>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</si>
  <si>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</si>
  <si>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</si>
  <si>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</si>
  <si>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</si>
  <si>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</si>
  <si>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</si>
  <si>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</si>
  <si>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</si>
  <si>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</si>
  <si>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</si>
  <si>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</si>
  <si>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</si>
  <si>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</si>
  <si>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</si>
  <si>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</si>
  <si>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</si>
  <si>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依頼日</t>
    <phoneticPr fontId="5"/>
  </si>
  <si>
    <t>irai_date</t>
    <phoneticPr fontId="5"/>
  </si>
  <si>
    <t>４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</si>
  <si>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</si>
  <si>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</si>
  <si>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</si>
  <si>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</si>
  <si>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</si>
  <si>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</si>
  <si>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</si>
  <si>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</si>
  <si>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</si>
  <si>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</si>
  <si>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</si>
  <si>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</si>
  <si>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</si>
  <si>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</si>
  <si>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</si>
  <si>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</si>
  <si>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</si>
  <si>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</si>
  <si>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</si>
  <si>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</si>
  <si>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</si>
  <si>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</si>
  <si>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</si>
  <si>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</si>
  <si>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</si>
  <si>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</si>
  <si>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</si>
  <si>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</si>
  <si>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</si>
  <si>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</si>
  <si>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</si>
  <si>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</si>
  <si>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</si>
  <si>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</si>
  <si>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</si>
  <si>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</si>
  <si>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</si>
  <si>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</si>
  <si>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</si>
  <si>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</si>
  <si>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</si>
  <si>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</si>
  <si>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</si>
  <si>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</si>
  <si>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</si>
  <si>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</si>
  <si>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</si>
  <si>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</si>
  <si>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</si>
  <si>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</si>
  <si>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</si>
  <si>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</si>
  <si>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</si>
  <si>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</si>
  <si>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</si>
  <si>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</si>
  <si>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</si>
  <si>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</si>
  <si>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</si>
  <si>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</si>
  <si>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</si>
  <si>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</si>
  <si>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</si>
  <si>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</si>
  <si>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</si>
  <si>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</si>
  <si>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</si>
  <si>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</si>
  <si>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</si>
  <si>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</si>
  <si>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</si>
  <si>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</si>
  <si>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</si>
  <si>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</si>
  <si>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</si>
  <si>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</si>
  <si>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</si>
  <si>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</si>
  <si>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</si>
  <si>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</si>
  <si>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</si>
  <si>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</si>
  <si>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</si>
  <si>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</si>
  <si>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</si>
  <si>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</si>
  <si>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</si>
  <si>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</si>
  <si>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</si>
  <si>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</si>
  <si>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</si>
  <si>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</si>
  <si>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</si>
  <si>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</si>
  <si>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</si>
  <si>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</si>
  <si>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</si>
  <si>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</si>
  <si>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</si>
  <si>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</si>
  <si>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</si>
  <si>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行のSEQ（１から連番）</t>
  </si>
  <si>
    <t>品名</t>
    <rPh sb="0" eb="2">
      <t>ヒンメイ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</si>
  <si>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</si>
  <si>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</si>
  <si>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備考</t>
    <rPh sb="0" eb="2">
      <t>ビコウ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</si>
  <si>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</si>
  <si>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</si>
  <si>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</si>
  <si>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</si>
  <si>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</si>
  <si>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</si>
  <si>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</si>
  <si>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年月ロット</t>
    <rPh sb="0" eb="1">
      <t>ネン</t>
    </rPh>
    <rPh sb="1" eb="2">
      <t>ツキ</t>
    </rPh>
    <phoneticPr fontId="5"/>
  </si>
  <si>
    <t>shitei_lot_no</t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</si>
  <si>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</si>
  <si>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</si>
  <si>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</si>
  <si>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</si>
  <si>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</si>
  <si>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</si>
  <si>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</si>
  <si>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</si>
  <si>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</si>
  <si>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</si>
  <si>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</si>
  <si>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</si>
  <si>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</si>
  <si>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</si>
  <si>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</si>
  <si>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</si>
  <si>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</si>
  <si>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</si>
  <si>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</si>
  <si>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</si>
  <si>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</si>
  <si>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</si>
  <si>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</si>
  <si>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</si>
  <si>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</si>
  <si>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</si>
  <si>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</si>
  <si>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</si>
  <si>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</si>
  <si>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</si>
  <si>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</si>
  <si>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</si>
  <si>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</si>
  <si>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</si>
  <si>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</si>
  <si>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</si>
  <si>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</si>
  <si>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</si>
  <si>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</si>
  <si>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</si>
  <si>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</si>
  <si>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</si>
  <si>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</si>
  <si>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</si>
  <si>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</si>
  <si>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</si>
  <si>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</si>
  <si>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</si>
  <si>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</si>
  <si>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</si>
  <si>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</si>
  <si>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</si>
  <si>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</si>
  <si>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</si>
  <si>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</si>
  <si>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</si>
  <si>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</si>
  <si>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</si>
  <si>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</si>
  <si>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</si>
  <si>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</si>
  <si>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</si>
  <si>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</si>
  <si>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</si>
  <si>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</si>
  <si>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</si>
  <si>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</si>
  <si>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</si>
  <si>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</si>
  <si>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</si>
  <si>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</si>
  <si>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</si>
  <si>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</si>
  <si>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</si>
  <si>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</si>
  <si>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</si>
  <si>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</si>
  <si>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</si>
  <si>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</si>
  <si>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</si>
  <si>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</si>
  <si>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</si>
  <si>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</si>
  <si>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</si>
  <si>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</si>
  <si>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</si>
  <si>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</si>
  <si>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</si>
  <si>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</si>
  <si>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</si>
  <si>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</si>
  <si>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</si>
  <si>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</si>
  <si>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</si>
  <si>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</si>
  <si>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</si>
  <si>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</si>
  <si>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</si>
  <si>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</si>
  <si>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</si>
  <si>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</si>
  <si>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</si>
  <si>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</si>
  <si>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</si>
  <si>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</si>
  <si>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</si>
  <si>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</si>
  <si>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</si>
  <si>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</si>
  <si>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</si>
  <si>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</si>
  <si>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</si>
  <si>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</si>
  <si>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</si>
  <si>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</si>
  <si>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</si>
  <si>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</si>
  <si>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</si>
  <si>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</si>
  <si>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</si>
  <si>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</si>
  <si>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</si>
  <si>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</si>
  <si>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</si>
  <si>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</si>
  <si>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</si>
  <si>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</si>
  <si>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</si>
  <si>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</si>
  <si>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</si>
  <si>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</si>
  <si>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</si>
  <si>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</si>
  <si>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</si>
  <si>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</si>
  <si>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</si>
  <si>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</si>
  <si>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</si>
  <si>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</si>
  <si>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</si>
  <si>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</si>
  <si>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</si>
  <si>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</si>
  <si>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</si>
  <si>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</si>
  <si>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</si>
  <si>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</si>
  <si>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</si>
  <si>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</si>
  <si>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</si>
  <si>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</si>
  <si>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</si>
  <si>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</si>
  <si>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</si>
  <si>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</si>
  <si>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</si>
  <si>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</si>
  <si>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</si>
  <si>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</si>
  <si>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</si>
  <si>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</si>
  <si>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</si>
  <si>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</si>
  <si>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</si>
  <si>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</si>
  <si>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</si>
  <si>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</si>
  <si>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</si>
  <si>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</si>
  <si>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</si>
  <si>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</si>
  <si>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</si>
  <si>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</si>
  <si>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</si>
  <si>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</si>
  <si>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</si>
  <si>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</si>
  <si>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</si>
  <si>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</si>
  <si>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</si>
  <si>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</si>
  <si>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</si>
  <si>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</si>
  <si>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</si>
  <si>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</si>
  <si>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</si>
  <si>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</si>
  <si>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</si>
  <si>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</si>
  <si>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</si>
  <si>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</si>
  <si>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</si>
  <si>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</si>
  <si>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</si>
  <si>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</si>
  <si>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</si>
  <si>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</si>
  <si>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</si>
  <si>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</si>
  <si>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</si>
  <si>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</si>
  <si>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</si>
  <si>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</si>
  <si>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</si>
  <si>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</si>
  <si>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</si>
  <si>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</si>
  <si>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</si>
  <si>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</si>
  <si>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</si>
  <si>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</si>
  <si>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</si>
  <si>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</si>
  <si>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</si>
  <si>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</si>
  <si>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</si>
  <si>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</si>
  <si>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</si>
  <si>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</si>
  <si>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</si>
  <si>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</si>
  <si>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</si>
  <si>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</si>
  <si>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</si>
  <si>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</si>
  <si>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</si>
  <si>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</si>
  <si>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</si>
  <si>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</si>
  <si>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</si>
  <si>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</si>
  <si>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</si>
  <si>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</si>
  <si>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</si>
  <si>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</si>
  <si>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</si>
  <si>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</si>
  <si>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</si>
  <si>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</si>
  <si>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</si>
  <si>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</si>
  <si>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</si>
  <si>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</si>
  <si>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</si>
  <si>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</si>
  <si>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</si>
  <si>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</si>
  <si>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</si>
  <si>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</si>
  <si>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</si>
  <si>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</si>
  <si>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</si>
  <si>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</si>
  <si>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</si>
  <si>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</si>
  <si>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</si>
  <si>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</si>
  <si>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</si>
  <si>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</si>
  <si>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</si>
  <si>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</si>
  <si>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</si>
  <si>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</si>
  <si>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</si>
  <si>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</si>
  <si>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</si>
  <si>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</si>
  <si>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</si>
  <si>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</si>
  <si>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</si>
  <si>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</si>
  <si>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</si>
  <si>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</si>
  <si>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</si>
  <si>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</si>
  <si>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</si>
  <si>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</si>
  <si>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</si>
  <si>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</si>
  <si>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</si>
  <si>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</si>
  <si>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</si>
  <si>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</si>
  <si>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</si>
  <si>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</si>
  <si>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</si>
  <si>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</si>
  <si>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</si>
  <si>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</si>
  <si>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</si>
  <si>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</si>
  <si>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</si>
  <si>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</si>
  <si>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</si>
  <si>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</si>
  <si>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</si>
  <si>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</si>
  <si>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</si>
  <si>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</si>
  <si>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</si>
  <si>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</si>
  <si>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</si>
  <si>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</si>
  <si>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</si>
  <si>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</si>
  <si>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</si>
  <si>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</si>
  <si>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</si>
  <si>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</si>
  <si>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</si>
  <si>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</si>
  <si>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</si>
  <si>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</si>
  <si>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</si>
  <si>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</si>
  <si>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</si>
  <si>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</si>
  <si>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</si>
  <si>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</si>
  <si>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</si>
  <si>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</si>
  <si>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</si>
  <si>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</si>
  <si>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</si>
  <si>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</si>
  <si>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</si>
  <si>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</si>
  <si>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</si>
  <si>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</si>
  <si>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</si>
  <si>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</si>
  <si>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</si>
  <si>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</si>
  <si>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</si>
  <si>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</si>
  <si>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</si>
  <si>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</si>
  <si>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</si>
  <si>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</si>
  <si>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</si>
  <si>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</si>
  <si>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</si>
  <si>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</si>
  <si>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</si>
  <si>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</si>
  <si>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</si>
  <si>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</si>
  <si>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</si>
  <si>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</si>
  <si>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</si>
  <si>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</si>
  <si>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</si>
  <si>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</si>
  <si>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</si>
  <si>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</si>
  <si>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</si>
  <si>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</si>
  <si>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</si>
  <si>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</si>
  <si>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</si>
  <si>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</si>
  <si>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</si>
  <si>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</si>
  <si>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</si>
  <si>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</si>
  <si>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</si>
  <si>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</si>
  <si>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</si>
  <si>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</si>
  <si>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</si>
  <si>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</si>
  <si>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</si>
  <si>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</si>
  <si>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</si>
  <si>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</si>
  <si>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</si>
  <si>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</si>
  <si>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</si>
  <si>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</si>
  <si>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</si>
  <si>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</si>
  <si>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</si>
  <si>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</si>
  <si>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</si>
  <si>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</si>
  <si>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</si>
  <si>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</si>
  <si>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</si>
  <si>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</si>
  <si>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</si>
  <si>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</si>
  <si>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</si>
  <si>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</si>
  <si>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</si>
  <si>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</si>
  <si>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</si>
  <si>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</si>
  <si>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</si>
  <si>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</si>
  <si>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</si>
  <si>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</si>
  <si>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</si>
  <si>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</si>
  <si>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</si>
  <si>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</si>
  <si>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</si>
  <si>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</si>
  <si>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</si>
  <si>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</si>
  <si>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</si>
  <si>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</si>
  <si>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</si>
  <si>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</si>
  <si>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</si>
  <si>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</si>
  <si>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</si>
  <si>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</si>
  <si>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</si>
  <si>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</si>
  <si>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</si>
  <si>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</si>
  <si>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</si>
  <si>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</si>
  <si>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</si>
  <si>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</si>
  <si>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</si>
  <si>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</si>
  <si>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</si>
  <si>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</si>
  <si>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</si>
  <si>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</si>
  <si>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</si>
  <si>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</si>
  <si>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</si>
  <si>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</si>
  <si>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</si>
  <si>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</si>
  <si>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</si>
  <si>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</si>
  <si>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</si>
  <si>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</si>
  <si>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</si>
  <si>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</si>
  <si>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</si>
  <si>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</si>
  <si>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</si>
  <si>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</si>
  <si>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</si>
  <si>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</si>
  <si>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</si>
  <si>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</si>
  <si>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</si>
  <si>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</si>
  <si>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</si>
  <si>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</si>
  <si>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</si>
  <si>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</si>
  <si>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</si>
  <si>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</si>
  <si>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</si>
  <si>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</si>
  <si>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</si>
  <si>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</si>
  <si>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</si>
  <si>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</si>
  <si>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</si>
  <si>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</si>
  <si>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</si>
  <si>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</si>
  <si>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</si>
  <si>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</si>
  <si>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</si>
  <si>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</si>
  <si>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</si>
  <si>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</si>
  <si>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</si>
  <si>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</si>
  <si>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</si>
  <si>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</si>
  <si>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</si>
  <si>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</si>
  <si>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</si>
  <si>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</si>
  <si>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</si>
  <si>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</si>
  <si>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</si>
  <si>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</si>
  <si>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</si>
  <si>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</si>
  <si>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</si>
  <si>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</si>
  <si>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</si>
  <si>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</si>
  <si>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</si>
  <si>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</si>
  <si>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</si>
  <si>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</si>
  <si>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</si>
  <si>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</si>
  <si>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</si>
  <si>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</si>
  <si>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</si>
  <si>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</si>
  <si>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</si>
  <si>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</si>
  <si>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</si>
  <si>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</si>
  <si>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</si>
  <si>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</si>
  <si>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</si>
  <si>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</si>
  <si>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</si>
  <si>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</si>
  <si>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</si>
  <si>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</si>
  <si>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</si>
  <si>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</si>
  <si>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</si>
  <si>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</si>
  <si>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</si>
  <si>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</si>
  <si>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</si>
  <si>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</si>
  <si>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</si>
  <si>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</si>
  <si>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</si>
  <si>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</si>
  <si>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</si>
  <si>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</si>
  <si>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</si>
  <si>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</si>
  <si>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</si>
  <si>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</si>
  <si>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</si>
  <si>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</si>
  <si>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</si>
  <si>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</si>
  <si>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</si>
  <si>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</si>
  <si>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</si>
  <si>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</si>
  <si>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</si>
  <si>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</si>
  <si>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</si>
  <si>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</si>
  <si>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</si>
  <si>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</si>
  <si>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</si>
  <si>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</si>
  <si>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</si>
  <si>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</si>
  <si>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</si>
  <si>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</si>
  <si>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</si>
  <si>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</si>
  <si>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</si>
  <si>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</si>
  <si>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</si>
  <si>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</si>
  <si>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</si>
  <si>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</si>
  <si>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</si>
  <si>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</si>
  <si>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</si>
  <si>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</si>
  <si>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</si>
  <si>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</si>
  <si>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</si>
  <si>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</si>
  <si>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</si>
  <si>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</si>
  <si>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</si>
  <si>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</si>
  <si>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</si>
  <si>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</si>
  <si>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</si>
  <si>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</si>
  <si>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</si>
  <si>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</si>
  <si>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</si>
  <si>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</si>
  <si>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</si>
  <si>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</si>
  <si>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</si>
  <si>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</si>
  <si>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</si>
  <si>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</si>
  <si>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</si>
  <si>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</si>
  <si>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</si>
  <si>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</si>
  <si>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</si>
  <si>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</si>
  <si>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</si>
  <si>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</si>
  <si>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</si>
  <si>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</si>
  <si>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</si>
  <si>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</si>
  <si>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</si>
  <si>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</si>
  <si>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</si>
  <si>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</si>
  <si>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</si>
  <si>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</si>
  <si>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</si>
  <si>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</si>
  <si>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</si>
  <si>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</si>
  <si>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</si>
  <si>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</si>
  <si>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</si>
  <si>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</si>
  <si>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</si>
  <si>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</si>
  <si>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</si>
  <si>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</si>
  <si>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</si>
  <si>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</si>
  <si>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</si>
  <si>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</si>
  <si>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</si>
  <si>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</si>
  <si>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</si>
  <si>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</si>
  <si>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</si>
  <si>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</si>
  <si>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</si>
  <si>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</si>
  <si>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</si>
  <si>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</si>
  <si>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</si>
  <si>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</si>
  <si>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</si>
  <si>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</si>
  <si>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</si>
  <si>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</si>
  <si>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</si>
  <si>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</si>
  <si>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</si>
  <si>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</si>
  <si>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</si>
  <si>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</si>
  <si>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</si>
  <si>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</si>
  <si>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</si>
  <si>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</si>
  <si>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</si>
  <si>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</si>
  <si>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</si>
  <si>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</si>
  <si>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</si>
  <si>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</si>
  <si>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</si>
  <si>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</si>
  <si>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</si>
  <si>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</si>
  <si>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</si>
  <si>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</si>
  <si>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</si>
  <si>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</si>
  <si>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</si>
  <si>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</si>
  <si>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</si>
  <si>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</si>
  <si>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</si>
  <si>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</si>
  <si>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</si>
  <si>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</si>
  <si>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</si>
  <si>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</si>
  <si>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</si>
  <si>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</si>
  <si>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</si>
  <si>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</si>
  <si>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</si>
  <si>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</si>
  <si>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</si>
  <si>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</si>
  <si>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</si>
  <si>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</si>
  <si>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</si>
  <si>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</si>
  <si>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</si>
  <si>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</si>
  <si>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</si>
  <si>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</si>
  <si>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</si>
  <si>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</si>
  <si>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</si>
  <si>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</si>
  <si>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</si>
  <si>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</si>
  <si>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</si>
  <si>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</si>
  <si>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</si>
  <si>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</si>
  <si>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</si>
  <si>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</si>
  <si>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</si>
  <si>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</si>
  <si>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</si>
  <si>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</si>
  <si>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</si>
  <si>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</si>
  <si>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</si>
  <si>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</si>
  <si>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</si>
  <si>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</si>
  <si>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</si>
  <si>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</si>
  <si>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</si>
  <si>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</si>
  <si>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</si>
  <si>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</si>
  <si>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</si>
  <si>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</si>
  <si>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</si>
  <si>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</si>
  <si>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</si>
  <si>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</si>
  <si>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</si>
  <si>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</si>
  <si>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</si>
  <si>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</si>
  <si>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</si>
  <si>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</si>
  <si>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</si>
  <si>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</si>
  <si>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</si>
  <si>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</si>
  <si>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</si>
  <si>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</si>
  <si>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</si>
  <si>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</si>
  <si>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</si>
  <si>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</si>
  <si>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</si>
  <si>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</si>
  <si>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</si>
  <si>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</si>
  <si>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</si>
  <si>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</si>
  <si>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</si>
  <si>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</si>
  <si>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</si>
  <si>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</si>
  <si>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</si>
  <si>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</si>
  <si>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</si>
  <si>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</si>
  <si>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</si>
  <si>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</si>
  <si>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</si>
  <si>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</si>
  <si>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</si>
  <si>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</si>
  <si>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</si>
  <si>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</si>
  <si>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</si>
  <si>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</si>
  <si>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</si>
  <si>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</si>
  <si>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</si>
  <si>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</si>
  <si>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</si>
  <si>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</si>
  <si>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</si>
  <si>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</si>
  <si>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</si>
  <si>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</si>
  <si>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</si>
  <si>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</si>
  <si>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</si>
  <si>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</si>
  <si>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</si>
  <si>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</si>
  <si>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</si>
  <si>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</si>
  <si>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</si>
  <si>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</si>
  <si>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</si>
  <si>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</si>
  <si>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</si>
  <si>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</si>
  <si>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</si>
  <si>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</si>
  <si>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</si>
  <si>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</si>
  <si>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</si>
  <si>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</si>
  <si>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</si>
  <si>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</si>
  <si>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</si>
  <si>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</si>
  <si>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</si>
  <si>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</si>
  <si>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</si>
  <si>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</si>
  <si>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</si>
  <si>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</si>
  <si>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</si>
  <si>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</si>
  <si>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</si>
  <si>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</si>
  <si>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</si>
  <si>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</si>
  <si>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</si>
  <si>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</si>
  <si>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</si>
  <si>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</si>
  <si>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</si>
  <si>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</si>
  <si>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</si>
  <si>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</si>
  <si>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</si>
  <si>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</si>
  <si>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</si>
  <si>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</si>
  <si>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</si>
  <si>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</si>
  <si>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</si>
  <si>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</si>
  <si>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</si>
  <si>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</si>
  <si>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</si>
  <si>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</si>
  <si>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</si>
  <si>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</si>
  <si>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</si>
  <si>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</si>
  <si>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</si>
  <si>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</si>
  <si>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</si>
  <si>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</si>
  <si>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</si>
  <si>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</si>
  <si>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</si>
  <si>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</si>
  <si>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</si>
  <si>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</si>
  <si>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</si>
  <si>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</si>
  <si>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</si>
  <si>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</si>
  <si>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</si>
  <si>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</si>
  <si>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</si>
  <si>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</si>
  <si>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</si>
  <si>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</si>
  <si>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</si>
  <si>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</si>
  <si>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</si>
  <si>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</si>
  <si>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</si>
  <si>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</si>
  <si>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</si>
  <si>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</si>
  <si>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</si>
  <si>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</si>
  <si>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</si>
  <si>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</si>
  <si>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</si>
  <si>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</si>
  <si>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</si>
  <si>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</si>
  <si>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</si>
  <si>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</si>
  <si>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</si>
  <si>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</si>
  <si>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</si>
  <si>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</si>
  <si>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</si>
  <si>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</si>
  <si>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</si>
  <si>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</si>
  <si>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</si>
  <si>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</si>
  <si>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</si>
  <si>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</si>
  <si>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</si>
  <si>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</si>
  <si>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</si>
  <si>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</si>
  <si>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</si>
  <si>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</si>
  <si>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</si>
  <si>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</si>
  <si>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</si>
  <si>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</si>
  <si>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</si>
  <si>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</si>
  <si>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</si>
  <si>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</si>
  <si>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</si>
  <si>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</si>
  <si>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</si>
  <si>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</si>
  <si>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</si>
  <si>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</si>
  <si>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</si>
  <si>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</si>
  <si>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</si>
  <si>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</si>
  <si>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</si>
  <si>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</si>
  <si>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</si>
  <si>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</si>
  <si>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</si>
  <si>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</si>
  <si>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</si>
  <si>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</si>
  <si>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</si>
  <si>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</si>
  <si>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</si>
  <si>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</si>
  <si>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</si>
  <si>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</si>
  <si>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</si>
  <si>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</si>
  <si>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</si>
  <si>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</si>
  <si>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</si>
  <si>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</si>
  <si>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</si>
  <si>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</si>
  <si>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</si>
  <si>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</si>
  <si>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</si>
  <si>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</si>
  <si>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</si>
  <si>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</si>
  <si>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</si>
  <si>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</si>
  <si>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</si>
  <si>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</si>
  <si>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</si>
  <si>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</si>
  <si>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</si>
  <si>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</si>
  <si>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</si>
  <si>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</si>
  <si>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</si>
  <si>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</si>
  <si>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</si>
  <si>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</si>
  <si>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</si>
  <si>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</si>
  <si>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</si>
  <si>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</si>
  <si>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</si>
  <si>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</si>
  <si>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</si>
  <si>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</si>
  <si>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</si>
  <si>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</si>
  <si>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</si>
  <si>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</si>
  <si>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</si>
  <si>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base_seisan_keikaku_no</t>
    <phoneticPr fontId="5"/>
  </si>
  <si>
    <t>04.薬品</t>
    <phoneticPr fontId="5"/>
  </si>
  <si>
    <t>yakuhin_tank</t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</si>
  <si>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</si>
  <si>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</si>
  <si>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process_user_cd</t>
    <phoneticPr fontId="5"/>
  </si>
  <si>
    <t>[パルプ]離解時間</t>
    <phoneticPr fontId="17"/>
  </si>
  <si>
    <t>[化繊]タンクレベル</t>
    <phoneticPr fontId="5"/>
  </si>
  <si>
    <t>[化繊]原料濃度</t>
    <phoneticPr fontId="5"/>
  </si>
  <si>
    <t>[化繊]離解時間</t>
    <phoneticPr fontId="17"/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</si>
  <si>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</si>
  <si>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</si>
  <si>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</si>
  <si>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</si>
  <si>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</si>
  <si>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</si>
  <si>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</si>
  <si>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</si>
  <si>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１から連番</t>
  </si>
  <si>
    <t>seisan_keikaku_seq</t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</si>
  <si>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</si>
  <si>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</si>
  <si>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</si>
  <si>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</si>
  <si>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</si>
  <si>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</si>
  <si>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</si>
  <si>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</si>
  <si>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</si>
  <si>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</si>
  <si>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</si>
  <si>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</si>
  <si>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</si>
  <si>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区分マスタ.区分：02CM</t>
    <rPh sb="0" eb="2">
      <t>クブン</t>
    </rPh>
    <rPh sb="6" eb="8">
      <t>クブン</t>
    </rPh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</si>
  <si>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</si>
  <si>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</si>
  <si>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</si>
  <si>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</si>
  <si>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</si>
  <si>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</si>
  <si>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</si>
  <si>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</si>
  <si>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</si>
  <si>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</si>
  <si>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sagyo_jisseki_kbn</t>
    <phoneticPr fontId="5"/>
  </si>
  <si>
    <t>参照元生産計画№</t>
    <phoneticPr fontId="5"/>
  </si>
  <si>
    <t>[化繊]仕込み合計</t>
    <phoneticPr fontId="5"/>
  </si>
  <si>
    <t>薬品コード</t>
    <phoneticPr fontId="5"/>
  </si>
  <si>
    <t>薬品</t>
    <phoneticPr fontId="5"/>
  </si>
  <si>
    <t>薬品タンク</t>
    <phoneticPr fontId="5"/>
  </si>
  <si>
    <t>投入量</t>
    <phoneticPr fontId="5"/>
  </si>
  <si>
    <t>原反本数</t>
    <phoneticPr fontId="5"/>
  </si>
  <si>
    <t>在庫区分</t>
    <phoneticPr fontId="5"/>
  </si>
  <si>
    <t>製品ロット№</t>
    <phoneticPr fontId="5"/>
  </si>
  <si>
    <t>ロット指定区分</t>
    <phoneticPr fontId="5"/>
  </si>
  <si>
    <t>指定ロット№</t>
    <phoneticPr fontId="5"/>
  </si>
  <si>
    <t>フル製品ロット№</t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</si>
  <si>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</si>
  <si>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</si>
  <si>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</si>
  <si>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</si>
  <si>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</si>
  <si>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</si>
  <si>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</si>
  <si>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</si>
  <si>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</si>
  <si>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</si>
  <si>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</si>
  <si>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</si>
  <si>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</si>
  <si>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</si>
  <si>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</si>
  <si>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  <phoneticPr fontId="5"/>
  </si>
  <si>
    <t>コード・区分に対する計画外発番制御</t>
  </si>
  <si>
    <t>0.発行不可 1.発番可能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</si>
  <si>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</si>
  <si>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</si>
  <si>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</si>
  <si>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</si>
  <si>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</si>
  <si>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</si>
  <si>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</si>
  <si>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</si>
  <si>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</si>
  <si>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</si>
  <si>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</si>
  <si>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</si>
  <si>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</si>
  <si>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</si>
  <si>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</si>
  <si>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</si>
  <si>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年月ロット№</t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</si>
  <si>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</si>
  <si>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</si>
  <si>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</si>
  <si>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処理担当者</t>
    <phoneticPr fontId="5"/>
  </si>
  <si>
    <t>機能ID</t>
    <phoneticPr fontId="5"/>
  </si>
  <si>
    <t>製造工程</t>
    <phoneticPr fontId="5"/>
  </si>
  <si>
    <t>区分マスタ.区分：144</t>
    <rPh sb="0" eb="2">
      <t>クブン</t>
    </rPh>
    <rPh sb="6" eb="8">
      <t>クブン</t>
    </rPh>
    <phoneticPr fontId="5"/>
  </si>
  <si>
    <t>生産計画№SEQ</t>
  </si>
  <si>
    <t>pulp_rikai_time</t>
    <phoneticPr fontId="5"/>
  </si>
  <si>
    <t>機能コード</t>
    <phoneticPr fontId="5"/>
  </si>
  <si>
    <t>kino_cd</t>
    <phoneticPr fontId="5"/>
  </si>
  <si>
    <t>varchar</t>
    <phoneticPr fontId="5"/>
  </si>
  <si>
    <t>計画外ラベル制御</t>
    <phoneticPr fontId="5"/>
  </si>
  <si>
    <t>keikakugai_label_control</t>
    <phoneticPr fontId="5"/>
  </si>
  <si>
    <t>計画外発番制御</t>
    <phoneticPr fontId="5"/>
  </si>
  <si>
    <t>keikakugai_hatsuban_control</t>
    <phoneticPr fontId="5"/>
  </si>
  <si>
    <t>原反本数</t>
    <phoneticPr fontId="18"/>
  </si>
  <si>
    <t>数値</t>
    <phoneticPr fontId="5"/>
  </si>
  <si>
    <t>numeric</t>
    <phoneticPr fontId="5"/>
  </si>
  <si>
    <t>作業実績区分</t>
    <phoneticPr fontId="5"/>
  </si>
  <si>
    <t>seizo_kotei</t>
    <phoneticPr fontId="5"/>
  </si>
  <si>
    <t>unit_cd</t>
    <phoneticPr fontId="5"/>
  </si>
  <si>
    <t>単位コード</t>
    <phoneticPr fontId="5"/>
  </si>
  <si>
    <t>文字</t>
    <phoneticPr fontId="5"/>
  </si>
  <si>
    <t>varchar</t>
    <phoneticPr fontId="5"/>
  </si>
  <si>
    <t>発番制御</t>
    <phoneticPr fontId="5"/>
  </si>
  <si>
    <t>hatsuban_control</t>
    <phoneticPr fontId="5"/>
  </si>
  <si>
    <t>disp_order</t>
    <phoneticPr fontId="5"/>
  </si>
  <si>
    <t>nvarchar</t>
    <phoneticPr fontId="5"/>
  </si>
  <si>
    <t>honsu</t>
    <phoneticPr fontId="5"/>
  </si>
  <si>
    <t>gentan_honsu</t>
    <phoneticPr fontId="5"/>
  </si>
  <si>
    <t>shukan_kotei_cd</t>
    <phoneticPr fontId="5"/>
  </si>
  <si>
    <t>shukan_busho_cd</t>
    <phoneticPr fontId="5"/>
  </si>
  <si>
    <t>length</t>
    <phoneticPr fontId="5"/>
  </si>
  <si>
    <t>paper_weight</t>
    <phoneticPr fontId="5"/>
  </si>
  <si>
    <t>tonyu_ryo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</si>
  <si>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</si>
  <si>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</si>
  <si>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</si>
  <si>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</si>
  <si>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meisai_seq</t>
    <phoneticPr fontId="5"/>
  </si>
  <si>
    <t>12/20修正</t>
    <rPh sb="5" eb="7">
      <t>シュウセイ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</si>
  <si>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</si>
  <si>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</si>
  <si>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</si>
  <si>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生産計画情報（抄紙）</t>
    <phoneticPr fontId="5"/>
  </si>
  <si>
    <t>文字</t>
    <phoneticPr fontId="5"/>
  </si>
  <si>
    <t>日付</t>
    <phoneticPr fontId="5"/>
  </si>
  <si>
    <t>本数（予定）</t>
    <phoneticPr fontId="5"/>
  </si>
  <si>
    <t>datetime2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</si>
  <si>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</si>
  <si>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</si>
  <si>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</si>
  <si>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</si>
  <si>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</si>
  <si>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</si>
  <si>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</si>
  <si>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</si>
  <si>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生産計画情報（熱加工）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</si>
  <si>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</si>
  <si>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</si>
  <si>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</si>
  <si>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</si>
  <si>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</si>
  <si>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</si>
  <si>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</si>
  <si>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</si>
  <si>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</si>
  <si>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</si>
  <si>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[パルプ]離解時間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</si>
  <si>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</si>
  <si>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</si>
  <si>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</si>
  <si>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</si>
  <si>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</si>
  <si>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</si>
  <si>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</si>
  <si>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</si>
  <si>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</si>
  <si>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</si>
  <si>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生産指示情報（原反）</t>
    <phoneticPr fontId="5"/>
  </si>
  <si>
    <t>生産指示明細情報（原反）</t>
    <phoneticPr fontId="5"/>
  </si>
  <si>
    <t>加工依頼情報</t>
    <phoneticPr fontId="5"/>
  </si>
  <si>
    <t>加工依頼明細情報</t>
    <phoneticPr fontId="5"/>
  </si>
  <si>
    <t>加工依頼明細情報（ロット指定）</t>
    <phoneticPr fontId="5"/>
  </si>
  <si>
    <t>生産計画項目制御情報</t>
    <phoneticPr fontId="5"/>
  </si>
  <si>
    <t>生産計画排他情報</t>
    <phoneticPr fontId="5"/>
  </si>
  <si>
    <t>製造工程抄紙設備</t>
    <phoneticPr fontId="5"/>
  </si>
  <si>
    <t>依頼日、開始時予定</t>
    <rPh sb="0" eb="2">
      <t>イライ</t>
    </rPh>
    <phoneticPr fontId="5"/>
  </si>
  <si>
    <t>lot_shitei_kbn</t>
    <phoneticPr fontId="5"/>
  </si>
  <si>
    <t>12/20修正</t>
    <rPh sb="5" eb="7">
      <t>シュウセイ</t>
    </rPh>
    <phoneticPr fontId="5"/>
  </si>
  <si>
    <t>依頼日、開始時予定</t>
    <phoneticPr fontId="5"/>
  </si>
  <si>
    <t>３</t>
  </si>
  <si>
    <t>12/21追加</t>
    <rPh sb="5" eb="7">
      <t>ツイカ</t>
    </rPh>
    <phoneticPr fontId="5"/>
  </si>
  <si>
    <t>12/21削除</t>
    <rPh sb="5" eb="7">
      <t>サクジョ</t>
    </rPh>
    <phoneticPr fontId="5"/>
  </si>
  <si>
    <t>01/16削除</t>
    <rPh sb="5" eb="7">
      <t>サクジョ</t>
    </rPh>
    <phoneticPr fontId="5"/>
  </si>
  <si>
    <t>加工依頼書出力日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</si>
</sst>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67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5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6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6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6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7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7" borderId="2" xfId="0" applyFill="1" applyBorder="1">
      <alignment vertical="center"/>
    </xf>
    <xf numFmtId="0" fontId="2" fillId="7" borderId="2" xfId="8" applyFill="1" applyBorder="1">
      <alignment vertical="center"/>
    </xf>
    <xf numFmtId="0" fontId="34" fillId="6" borderId="2" xfId="8" applyFont="1" applyFill="1" applyBorder="1">
      <alignment vertical="center"/>
    </xf>
    <xf numFmtId="0" fontId="10" fillId="6" borderId="2" xfId="8" applyFont="1" applyFill="1" applyBorder="1">
      <alignment vertical="center"/>
    </xf>
    <xf numFmtId="0" fontId="3" fillId="6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0" fillId="0" borderId="0" xfId="0" quotePrefix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7" fillId="7" borderId="1" xfId="2" applyFont="1" applyFill="1" applyBorder="1" applyAlignment="1">
      <alignment horizontal="right" vertical="top" shrinkToFit="1"/>
    </xf>
    <xf numFmtId="49" fontId="13" fillId="7" borderId="4" xfId="4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4" xfId="2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7" xfId="2" applyNumberFormat="1" applyFont="1" applyBorder="1" applyAlignment="1">
      <alignment vertical="top"/>
    </xf>
    <xf numFmtId="0" fontId="7" fillId="0" borderId="6" xfId="4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/>
    </xf>
    <xf numFmtId="49" fontId="7" fillId="0" borderId="12" xfId="2" applyNumberFormat="1" applyFont="1" applyBorder="1" applyAlignment="1">
      <alignment horizontal="center" vertical="top"/>
    </xf>
    <xf numFmtId="0" fontId="7" fillId="0" borderId="6" xfId="3" applyFont="1" applyBorder="1" applyAlignment="1">
      <alignment horizontal="left" vertical="center"/>
    </xf>
    <xf numFmtId="0" fontId="7" fillId="0" borderId="7" xfId="1" applyFont="1" applyBorder="1" applyAlignment="1">
      <alignment horizontal="left" vertical="center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0" fontId="7" fillId="0" borderId="13" xfId="2" quotePrefix="1" applyFont="1" applyBorder="1" applyAlignment="1">
      <alignment horizontal="center" vertical="top"/>
    </xf>
    <xf numFmtId="49" fontId="7" fillId="0" borderId="9" xfId="3" applyNumberFormat="1" applyFont="1" applyBorder="1" applyAlignment="1">
      <alignment vertical="top"/>
    </xf>
    <xf numFmtId="49" fontId="7" fillId="0" borderId="10" xfId="2" applyNumberFormat="1" applyFont="1" applyBorder="1" applyAlignment="1">
      <alignment vertical="top"/>
    </xf>
    <xf numFmtId="49" fontId="7" fillId="0" borderId="11" xfId="2" applyNumberFormat="1" applyFont="1" applyBorder="1" applyAlignment="1">
      <alignment vertical="top"/>
    </xf>
    <xf numFmtId="0" fontId="7" fillId="0" borderId="9" xfId="4" applyFont="1" applyBorder="1" applyAlignment="1">
      <alignment vertical="top"/>
    </xf>
    <xf numFmtId="49" fontId="7" fillId="0" borderId="10" xfId="4" applyNumberFormat="1" applyFont="1" applyBorder="1" applyAlignment="1">
      <alignment vertical="top"/>
    </xf>
    <xf numFmtId="49" fontId="7" fillId="0" borderId="11" xfId="4" applyNumberFormat="1" applyFont="1" applyBorder="1" applyAlignment="1">
      <alignment vertical="top"/>
    </xf>
    <xf numFmtId="0" fontId="7" fillId="0" borderId="11" xfId="2" applyFont="1" applyBorder="1" applyAlignment="1">
      <alignment horizontal="right" vertical="top" shrinkToFit="1"/>
    </xf>
    <xf numFmtId="0" fontId="7" fillId="0" borderId="13" xfId="2" applyFont="1" applyBorder="1" applyAlignment="1">
      <alignment horizontal="center" vertical="top"/>
    </xf>
    <xf numFmtId="49" fontId="7" fillId="0" borderId="13" xfId="2" applyNumberFormat="1" applyFont="1" applyBorder="1" applyAlignment="1">
      <alignment horizontal="center" vertical="top"/>
    </xf>
    <xf numFmtId="0" fontId="7" fillId="0" borderId="9" xfId="3" applyFont="1" applyBorder="1" applyAlignment="1">
      <alignment horizontal="left" vertical="center"/>
    </xf>
    <xf numFmtId="0" fontId="7" fillId="0" borderId="10" xfId="1" applyFont="1" applyBorder="1" applyAlignment="1">
      <alignment horizontal="left" vertical="center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37" fillId="0" borderId="0" xfId="1" applyFont="1" applyAlignment="1">
      <alignment vertical="center"/>
    </xf>
    <xf numFmtId="0" fontId="13" fillId="0" borderId="4" xfId="6" applyFont="1" applyBorder="1" applyAlignment="1">
      <alignment vertical="top" shrinkToFit="1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0" fontId="7" fillId="8" borderId="2" xfId="2" quotePrefix="1" applyFont="1" applyFill="1" applyBorder="1" applyAlignment="1">
      <alignment horizontal="center" vertical="top"/>
    </xf>
    <xf numFmtId="49" fontId="7" fillId="8" borderId="3" xfId="3" applyNumberFormat="1" applyFont="1" applyFill="1" applyBorder="1" applyAlignment="1">
      <alignment vertical="top"/>
    </xf>
    <xf numFmtId="49" fontId="7" fillId="8" borderId="4" xfId="2" applyNumberFormat="1" applyFont="1" applyFill="1" applyBorder="1" applyAlignment="1">
      <alignment vertical="top"/>
    </xf>
    <xf numFmtId="49" fontId="7" fillId="8" borderId="1" xfId="2" applyNumberFormat="1" applyFont="1" applyFill="1" applyBorder="1" applyAlignment="1">
      <alignment vertical="top"/>
    </xf>
    <xf numFmtId="0" fontId="7" fillId="8" borderId="3" xfId="4" applyFont="1" applyFill="1" applyBorder="1" applyAlignment="1">
      <alignment vertical="top"/>
    </xf>
    <xf numFmtId="49" fontId="7" fillId="8" borderId="4" xfId="4" applyNumberFormat="1" applyFont="1" applyFill="1" applyBorder="1" applyAlignment="1">
      <alignment vertical="top"/>
    </xf>
    <xf numFmtId="49" fontId="7" fillId="8" borderId="1" xfId="4" applyNumberFormat="1" applyFont="1" applyFill="1" applyBorder="1" applyAlignment="1">
      <alignment vertical="top"/>
    </xf>
    <xf numFmtId="0" fontId="7" fillId="8" borderId="1" xfId="2" applyFont="1" applyFill="1" applyBorder="1" applyAlignment="1">
      <alignment horizontal="right" vertical="top" shrinkToFit="1"/>
    </xf>
    <xf numFmtId="0" fontId="7" fillId="8" borderId="2" xfId="2" applyFont="1" applyFill="1" applyBorder="1" applyAlignment="1">
      <alignment horizontal="center" vertical="top" shrinkToFit="1"/>
    </xf>
    <xf numFmtId="49" fontId="7" fillId="8" borderId="2" xfId="2" applyNumberFormat="1" applyFont="1" applyFill="1" applyBorder="1" applyAlignment="1">
      <alignment horizontal="center" vertical="top" shrinkToFit="1"/>
    </xf>
    <xf numFmtId="0" fontId="7" fillId="8" borderId="3" xfId="3" applyFont="1" applyFill="1" applyBorder="1" applyAlignment="1">
      <alignment vertical="top"/>
    </xf>
    <xf numFmtId="0" fontId="7" fillId="8" borderId="4" xfId="1" applyFont="1" applyFill="1" applyBorder="1" applyAlignment="1">
      <alignment vertical="top"/>
    </xf>
    <xf numFmtId="0" fontId="7" fillId="8" borderId="1" xfId="1" applyFont="1" applyFill="1" applyBorder="1" applyAlignment="1">
      <alignment vertical="top"/>
    </xf>
    <xf numFmtId="0" fontId="7" fillId="8" borderId="0" xfId="1" applyFont="1" applyFill="1" applyAlignment="1">
      <alignment vertical="center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1" xfId="3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8" borderId="3" xfId="3" applyNumberFormat="1" applyFont="1" applyFill="1" applyBorder="1" applyAlignment="1">
      <alignment vertical="top"/>
    </xf>
    <xf numFmtId="49" fontId="7" fillId="8" borderId="1" xfId="3" applyNumberFormat="1" applyFont="1" applyFill="1" applyBorder="1" applyAlignment="1">
      <alignment vertical="top"/>
    </xf>
    <xf numFmtId="49" fontId="7" fillId="8" borderId="3" xfId="5" applyNumberFormat="1" applyFont="1" applyFill="1" applyBorder="1" applyAlignment="1">
      <alignment vertical="top"/>
    </xf>
    <xf numFmtId="49" fontId="7" fillId="8" borderId="4" xfId="5" applyNumberFormat="1" applyFont="1" applyFill="1" applyBorder="1" applyAlignment="1">
      <alignment vertical="top"/>
    </xf>
    <xf numFmtId="49" fontId="7" fillId="8" borderId="1" xfId="5" applyNumberFormat="1" applyFont="1" applyFill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171450</xdr:rowOff>
        </xdr:from>
        <xdr:to>
          <xdr:col>16</xdr:col>
          <xdr:colOff>114300</xdr:colOff>
          <xdr:row>25</xdr:row>
          <xdr:rowOff>9525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2" spans="2:2" x14ac:dyDescent="0.25">
      <c r="B12" t="s">
        <v>9</v>
      </c>
    </row>
    <row r="14" spans="2:2" x14ac:dyDescent="0.25">
      <c r="B14" t="s">
        <v>10</v>
      </c>
    </row>
    <row r="15" spans="2:2" x14ac:dyDescent="0.25">
      <c r="B15" t="s">
        <v>11</v>
      </c>
    </row>
    <row r="16" spans="2:2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14</v>
      </c>
    </row>
    <row r="22" spans="2:2" x14ac:dyDescent="0.25">
      <c r="B22" t="s">
        <v>15</v>
      </c>
    </row>
    <row r="23" spans="2:2" x14ac:dyDescent="0.25">
      <c r="B23" t="s">
        <v>17</v>
      </c>
    </row>
    <row r="24" spans="2:2" x14ac:dyDescent="0.25">
      <c r="B24" t="s">
        <v>14</v>
      </c>
    </row>
    <row r="25" spans="2:2" x14ac:dyDescent="0.25">
      <c r="B25" t="s">
        <v>15</v>
      </c>
    </row>
    <row r="26" spans="2:2" x14ac:dyDescent="0.25">
      <c r="B26" t="s">
        <v>18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19</v>
      </c>
    </row>
    <row r="30" spans="2:2" x14ac:dyDescent="0.25">
      <c r="B30" t="s">
        <v>14</v>
      </c>
    </row>
    <row r="31" spans="2:2" x14ac:dyDescent="0.25">
      <c r="B31" t="s">
        <v>15</v>
      </c>
    </row>
    <row r="32" spans="2:2" x14ac:dyDescent="0.25">
      <c r="B32" t="s">
        <v>20</v>
      </c>
    </row>
    <row r="33" spans="2:2" x14ac:dyDescent="0.25">
      <c r="B33" t="s">
        <v>14</v>
      </c>
    </row>
    <row r="34" spans="2:2" x14ac:dyDescent="0.25">
      <c r="B34" t="s">
        <v>15</v>
      </c>
    </row>
    <row r="35" spans="2:2" x14ac:dyDescent="0.25">
      <c r="B35" t="s">
        <v>21</v>
      </c>
    </row>
    <row r="36" spans="2:2" x14ac:dyDescent="0.25">
      <c r="B36" t="s">
        <v>14</v>
      </c>
    </row>
    <row r="37" spans="2:2" x14ac:dyDescent="0.25">
      <c r="B37" t="s">
        <v>15</v>
      </c>
    </row>
    <row r="38" spans="2:2" x14ac:dyDescent="0.25">
      <c r="B38" t="s">
        <v>22</v>
      </c>
    </row>
    <row r="39" spans="2:2" x14ac:dyDescent="0.25">
      <c r="B39" t="s">
        <v>23</v>
      </c>
    </row>
    <row r="40" spans="2:2" x14ac:dyDescent="0.25">
      <c r="B40" t="s">
        <v>24</v>
      </c>
    </row>
    <row r="41" spans="2:2" x14ac:dyDescent="0.25">
      <c r="B41" t="s">
        <v>25</v>
      </c>
    </row>
    <row r="42" spans="2:2" x14ac:dyDescent="0.25">
      <c r="B42" t="s">
        <v>26</v>
      </c>
    </row>
    <row r="43" spans="2:2" x14ac:dyDescent="0.25">
      <c r="B43" t="s">
        <v>27</v>
      </c>
    </row>
    <row r="44" spans="2:2" x14ac:dyDescent="0.25">
      <c r="B44" t="s">
        <v>28</v>
      </c>
    </row>
    <row r="45" spans="2:2" x14ac:dyDescent="0.25">
      <c r="B45" t="s">
        <v>29</v>
      </c>
    </row>
    <row r="46" spans="2:2" x14ac:dyDescent="0.25">
      <c r="B46" t="s">
        <v>30</v>
      </c>
    </row>
    <row r="47" spans="2:2" x14ac:dyDescent="0.25">
      <c r="B47" t="s">
        <v>31</v>
      </c>
    </row>
    <row r="48" spans="2:2" x14ac:dyDescent="0.25">
      <c r="B48" t="s">
        <v>32</v>
      </c>
    </row>
    <row r="49" spans="2:2" x14ac:dyDescent="0.25">
      <c r="B49" t="s">
        <v>33</v>
      </c>
    </row>
    <row r="50" spans="2:2" x14ac:dyDescent="0.25">
      <c r="B50" t="s">
        <v>34</v>
      </c>
    </row>
    <row r="51" spans="2:2" x14ac:dyDescent="0.25">
      <c r="B51" t="s">
        <v>35</v>
      </c>
    </row>
    <row r="52" spans="2:2" x14ac:dyDescent="0.25">
      <c r="B52" t="s">
        <v>36</v>
      </c>
    </row>
    <row r="53" spans="2:2" x14ac:dyDescent="0.25">
      <c r="B53" t="s">
        <v>37</v>
      </c>
    </row>
    <row r="54" spans="2:2" x14ac:dyDescent="0.25">
      <c r="B54" t="s">
        <v>38</v>
      </c>
    </row>
    <row r="55" spans="2:2" x14ac:dyDescent="0.25">
      <c r="B55" t="s">
        <v>39</v>
      </c>
    </row>
    <row r="56" spans="2:2" x14ac:dyDescent="0.25">
      <c r="B56" t="s">
        <v>37</v>
      </c>
    </row>
    <row r="57" spans="2:2" x14ac:dyDescent="0.25">
      <c r="B57" t="s">
        <v>40</v>
      </c>
    </row>
    <row r="58" spans="2:2" x14ac:dyDescent="0.25">
      <c r="B58" t="s">
        <v>41</v>
      </c>
    </row>
    <row r="59" spans="2:2" x14ac:dyDescent="0.25">
      <c r="B59" t="s">
        <v>37</v>
      </c>
    </row>
    <row r="60" spans="2:2" x14ac:dyDescent="0.25">
      <c r="B60" t="s">
        <v>42</v>
      </c>
    </row>
    <row r="61" spans="2:2" x14ac:dyDescent="0.25">
      <c r="B61" t="s">
        <v>43</v>
      </c>
    </row>
    <row r="62" spans="2:2" x14ac:dyDescent="0.25">
      <c r="B62" t="s">
        <v>15</v>
      </c>
    </row>
    <row r="63" spans="2:2" x14ac:dyDescent="0.25">
      <c r="B63" t="s">
        <v>44</v>
      </c>
    </row>
    <row r="65" spans="2:2" x14ac:dyDescent="0.25">
      <c r="B65" t="s">
        <v>45</v>
      </c>
    </row>
    <row r="67" spans="2:2" x14ac:dyDescent="0.25">
      <c r="B67" t="s">
        <v>46</v>
      </c>
    </row>
    <row r="69" spans="2:2" x14ac:dyDescent="0.25">
      <c r="B69" t="s">
        <v>47</v>
      </c>
    </row>
    <row r="70" spans="2:2" x14ac:dyDescent="0.25">
      <c r="B70" t="s">
        <v>1</v>
      </c>
    </row>
    <row r="71" spans="2:2" x14ac:dyDescent="0.25">
      <c r="B71" t="s">
        <v>2</v>
      </c>
    </row>
    <row r="72" spans="2:2" x14ac:dyDescent="0.25">
      <c r="B72" t="s">
        <v>3</v>
      </c>
    </row>
    <row r="73" spans="2:2" x14ac:dyDescent="0.25">
      <c r="B73" t="s">
        <v>4</v>
      </c>
    </row>
    <row r="74" spans="2:2" x14ac:dyDescent="0.25">
      <c r="B74" t="s">
        <v>5</v>
      </c>
    </row>
    <row r="75" spans="2:2" x14ac:dyDescent="0.25">
      <c r="B75" t="s">
        <v>6</v>
      </c>
    </row>
    <row r="76" spans="2:2" x14ac:dyDescent="0.25">
      <c r="B76" t="s">
        <v>7</v>
      </c>
    </row>
    <row r="77" spans="2:2" x14ac:dyDescent="0.25">
      <c r="B77" t="s">
        <v>8</v>
      </c>
    </row>
    <row r="78" spans="2:2" x14ac:dyDescent="0.25">
      <c r="B78" t="s">
        <v>48</v>
      </c>
    </row>
    <row r="79" spans="2:2" x14ac:dyDescent="0.25">
      <c r="B79" t="s">
        <v>49</v>
      </c>
    </row>
    <row r="81" spans="2:2" x14ac:dyDescent="0.25">
      <c r="B81" t="s">
        <v>50</v>
      </c>
    </row>
    <row r="82" spans="2:2" x14ac:dyDescent="0.25">
      <c r="B82" t="s">
        <v>51</v>
      </c>
    </row>
    <row r="84" spans="2:2" x14ac:dyDescent="0.25">
      <c r="B84" t="s">
        <v>52</v>
      </c>
    </row>
    <row r="85" spans="2:2" x14ac:dyDescent="0.25">
      <c r="B85" t="s">
        <v>53</v>
      </c>
    </row>
    <row r="86" spans="2:2" x14ac:dyDescent="0.25">
      <c r="B86" t="s">
        <v>54</v>
      </c>
    </row>
    <row r="87" spans="2:2" x14ac:dyDescent="0.25">
      <c r="B87" t="s">
        <v>55</v>
      </c>
    </row>
    <row r="88" spans="2:2" x14ac:dyDescent="0.25">
      <c r="B88" t="s">
        <v>22</v>
      </c>
    </row>
    <row r="89" spans="2:2" x14ac:dyDescent="0.25">
      <c r="B89" t="s">
        <v>56</v>
      </c>
    </row>
    <row r="90" spans="2:2" x14ac:dyDescent="0.25">
      <c r="B90" t="s">
        <v>57</v>
      </c>
    </row>
    <row r="91" spans="2:2" x14ac:dyDescent="0.25">
      <c r="B91" t="s">
        <v>58</v>
      </c>
    </row>
    <row r="92" spans="2:2" x14ac:dyDescent="0.25">
      <c r="B92" t="s">
        <v>59</v>
      </c>
    </row>
    <row r="93" spans="2:2" x14ac:dyDescent="0.25">
      <c r="B93" t="s">
        <v>60</v>
      </c>
    </row>
    <row r="94" spans="2:2" x14ac:dyDescent="0.25">
      <c r="B94" t="s">
        <v>61</v>
      </c>
    </row>
    <row r="95" spans="2:2" x14ac:dyDescent="0.25">
      <c r="B95" t="s">
        <v>62</v>
      </c>
    </row>
    <row r="96" spans="2:2" x14ac:dyDescent="0.25">
      <c r="B96" t="s">
        <v>63</v>
      </c>
    </row>
    <row r="97" spans="2:2" x14ac:dyDescent="0.25">
      <c r="B97" t="s">
        <v>64</v>
      </c>
    </row>
    <row r="98" spans="2:2" x14ac:dyDescent="0.25">
      <c r="B98" t="s">
        <v>65</v>
      </c>
    </row>
    <row r="99" spans="2:2" x14ac:dyDescent="0.25">
      <c r="B99" t="s">
        <v>37</v>
      </c>
    </row>
    <row r="100" spans="2:2" x14ac:dyDescent="0.25">
      <c r="B100" t="s">
        <v>66</v>
      </c>
    </row>
    <row r="101" spans="2:2" x14ac:dyDescent="0.25">
      <c r="B101" t="s">
        <v>67</v>
      </c>
    </row>
    <row r="102" spans="2:2" x14ac:dyDescent="0.25">
      <c r="B102" t="s">
        <v>68</v>
      </c>
    </row>
    <row r="103" spans="2:2" x14ac:dyDescent="0.25">
      <c r="B103" t="s">
        <v>22</v>
      </c>
    </row>
    <row r="104" spans="2:2" x14ac:dyDescent="0.25">
      <c r="B104" t="s">
        <v>44</v>
      </c>
    </row>
    <row r="106" spans="2:2" x14ac:dyDescent="0.25">
      <c r="B106" t="s">
        <v>45</v>
      </c>
    </row>
    <row r="109" spans="2:2" x14ac:dyDescent="0.25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25" defaultRowHeight="14.25" x14ac:dyDescent="0.25"/>
  <sheetData>
    <row r="2" spans="2:14" s="107" customFormat="1" ht="19.5" x14ac:dyDescent="0.25">
      <c r="B2" s="108" t="s">
        <v>69</v>
      </c>
      <c r="C2" s="109" t="s">
        <v>70</v>
      </c>
    </row>
    <row r="4" spans="2:14" x14ac:dyDescent="0.25">
      <c r="N4" t="s">
        <v>71</v>
      </c>
    </row>
    <row r="9" spans="2:14" x14ac:dyDescent="0.25">
      <c r="N9" t="s">
        <v>72</v>
      </c>
    </row>
    <row r="14" spans="2:14" x14ac:dyDescent="0.25">
      <c r="N14" t="s">
        <v>73</v>
      </c>
    </row>
    <row r="19" spans="1:23" x14ac:dyDescent="0.25">
      <c r="N19" t="s">
        <v>74</v>
      </c>
    </row>
    <row r="20" spans="1:23" x14ac:dyDescent="0.25">
      <c r="N20" s="112"/>
    </row>
    <row r="24" spans="1:23" x14ac:dyDescent="0.25">
      <c r="N24" t="s">
        <v>75</v>
      </c>
    </row>
    <row r="25" spans="1:23" x14ac:dyDescent="0.25">
      <c r="N25" s="112"/>
      <c r="O25" s="112"/>
      <c r="P25" s="112"/>
      <c r="Q25" s="112"/>
      <c r="R25" s="112"/>
      <c r="S25" s="112"/>
      <c r="T25" s="112"/>
    </row>
    <row r="27" spans="1:23" x14ac:dyDescent="0.25">
      <c r="N27" s="239" t="s">
        <v>1404</v>
      </c>
      <c r="O27" s="240"/>
      <c r="P27" s="240"/>
      <c r="Q27" s="240"/>
      <c r="R27" s="240"/>
      <c r="S27" s="240"/>
      <c r="T27" s="241"/>
      <c r="V27" s="112" t="s">
        <v>69</v>
      </c>
      <c r="W27" s="113" t="s">
        <v>77</v>
      </c>
    </row>
    <row r="29" spans="1:23" x14ac:dyDescent="0.25">
      <c r="A29" s="135"/>
      <c r="K29" s="135"/>
      <c r="L29" s="135"/>
      <c r="M29" s="135"/>
      <c r="N29" s="135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66675</xdr:colOff>
                <xdr:row>23</xdr:row>
                <xdr:rowOff>171450</xdr:rowOff>
              </from>
              <to>
                <xdr:col>16</xdr:col>
                <xdr:colOff>114300</xdr:colOff>
                <xdr:row>25</xdr:row>
                <xdr:rowOff>9525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テーブル一覧!$B$7:$B$28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25" defaultRowHeight="14.45" customHeight="1" x14ac:dyDescent="0.25"/>
  <cols>
    <col min="1" max="1" width="4.625" style="1" customWidth="1"/>
    <col min="2" max="16384" width="2.625" style="1"/>
  </cols>
  <sheetData>
    <row r="1" spans="1:58" s="17" customFormat="1" ht="14.45" customHeight="1" x14ac:dyDescent="0.25">
      <c r="A1" s="248" t="s">
        <v>78</v>
      </c>
      <c r="B1" s="249"/>
      <c r="C1" s="249"/>
      <c r="D1" s="249"/>
      <c r="E1" s="249"/>
      <c r="F1" s="249"/>
      <c r="G1" s="249"/>
      <c r="H1" s="249"/>
      <c r="I1" s="249"/>
      <c r="J1" s="249"/>
      <c r="K1" s="250"/>
      <c r="L1" s="257" t="s">
        <v>79</v>
      </c>
      <c r="M1" s="258"/>
      <c r="N1" s="258"/>
      <c r="O1" s="258"/>
      <c r="P1" s="258"/>
      <c r="Q1" s="258"/>
      <c r="R1" s="258"/>
      <c r="S1" s="258"/>
      <c r="T1" s="258"/>
      <c r="U1" s="258"/>
      <c r="V1" s="259"/>
      <c r="W1" s="257" t="s">
        <v>80</v>
      </c>
      <c r="X1" s="258"/>
      <c r="Y1" s="258"/>
      <c r="Z1" s="258"/>
      <c r="AA1" s="258"/>
      <c r="AB1" s="258"/>
      <c r="AC1" s="259"/>
      <c r="AD1" s="257" t="s">
        <v>81</v>
      </c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8"/>
      <c r="AP1" s="258"/>
      <c r="AQ1" s="259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5" customHeight="1" x14ac:dyDescent="0.25">
      <c r="A2" s="251"/>
      <c r="B2" s="252"/>
      <c r="C2" s="252"/>
      <c r="D2" s="252"/>
      <c r="E2" s="252"/>
      <c r="F2" s="252"/>
      <c r="G2" s="252"/>
      <c r="H2" s="252"/>
      <c r="I2" s="252"/>
      <c r="J2" s="252"/>
      <c r="K2" s="253"/>
      <c r="L2" s="260" t="s">
        <v>85</v>
      </c>
      <c r="M2" s="261"/>
      <c r="N2" s="261"/>
      <c r="O2" s="261"/>
      <c r="P2" s="261"/>
      <c r="Q2" s="261"/>
      <c r="R2" s="261"/>
      <c r="S2" s="261"/>
      <c r="T2" s="261"/>
      <c r="U2" s="261"/>
      <c r="V2" s="262"/>
      <c r="W2" s="260" t="s">
        <v>86</v>
      </c>
      <c r="X2" s="261"/>
      <c r="Y2" s="261"/>
      <c r="Z2" s="261"/>
      <c r="AA2" s="261"/>
      <c r="AB2" s="261"/>
      <c r="AC2" s="262"/>
      <c r="AD2" s="275" t="s">
        <v>87</v>
      </c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76"/>
      <c r="AP2" s="276"/>
      <c r="AQ2" s="277"/>
      <c r="AR2" s="269"/>
      <c r="AS2" s="270"/>
      <c r="AT2" s="270"/>
      <c r="AU2" s="270"/>
      <c r="AV2" s="271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5" customHeight="1" x14ac:dyDescent="0.25">
      <c r="A3" s="251"/>
      <c r="B3" s="252"/>
      <c r="C3" s="252"/>
      <c r="D3" s="252"/>
      <c r="E3" s="252"/>
      <c r="F3" s="252"/>
      <c r="G3" s="252"/>
      <c r="H3" s="252"/>
      <c r="I3" s="252"/>
      <c r="J3" s="252"/>
      <c r="K3" s="253"/>
      <c r="L3" s="263"/>
      <c r="M3" s="264"/>
      <c r="N3" s="264"/>
      <c r="O3" s="264"/>
      <c r="P3" s="264"/>
      <c r="Q3" s="264"/>
      <c r="R3" s="264"/>
      <c r="S3" s="264"/>
      <c r="T3" s="264"/>
      <c r="U3" s="264"/>
      <c r="V3" s="265"/>
      <c r="W3" s="263"/>
      <c r="X3" s="264"/>
      <c r="Y3" s="264"/>
      <c r="Z3" s="264"/>
      <c r="AA3" s="264"/>
      <c r="AB3" s="264"/>
      <c r="AC3" s="265"/>
      <c r="AD3" s="278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80"/>
      <c r="AR3" s="272"/>
      <c r="AS3" s="273"/>
      <c r="AT3" s="273"/>
      <c r="AU3" s="273"/>
      <c r="AV3" s="274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5" customHeight="1" x14ac:dyDescent="0.25">
      <c r="A4" s="254"/>
      <c r="B4" s="255"/>
      <c r="C4" s="255"/>
      <c r="D4" s="255"/>
      <c r="E4" s="255"/>
      <c r="F4" s="255"/>
      <c r="G4" s="255"/>
      <c r="H4" s="255"/>
      <c r="I4" s="255"/>
      <c r="J4" s="255"/>
      <c r="K4" s="256"/>
      <c r="L4" s="266"/>
      <c r="M4" s="267"/>
      <c r="N4" s="267"/>
      <c r="O4" s="267"/>
      <c r="P4" s="267"/>
      <c r="Q4" s="267"/>
      <c r="R4" s="267"/>
      <c r="S4" s="267"/>
      <c r="T4" s="267"/>
      <c r="U4" s="267"/>
      <c r="V4" s="268"/>
      <c r="W4" s="266"/>
      <c r="X4" s="267"/>
      <c r="Y4" s="267"/>
      <c r="Z4" s="267"/>
      <c r="AA4" s="267"/>
      <c r="AB4" s="267"/>
      <c r="AC4" s="268"/>
      <c r="AD4" s="281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3"/>
      <c r="AR4" s="272"/>
      <c r="AS4" s="273"/>
      <c r="AT4" s="273"/>
      <c r="AU4" s="273"/>
      <c r="AV4" s="274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5" customHeight="1" x14ac:dyDescent="0.25">
      <c r="A6" s="65" t="s">
        <v>90</v>
      </c>
      <c r="B6" s="245" t="s">
        <v>91</v>
      </c>
      <c r="C6" s="246"/>
      <c r="D6" s="246"/>
      <c r="E6" s="246"/>
      <c r="F6" s="246"/>
      <c r="G6" s="246"/>
      <c r="H6" s="246"/>
      <c r="I6" s="246"/>
      <c r="J6" s="246"/>
      <c r="K6" s="247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257" t="s">
        <v>94</v>
      </c>
      <c r="AE6" s="258"/>
      <c r="AF6" s="258"/>
      <c r="AG6" s="258"/>
      <c r="AH6" s="258"/>
      <c r="AI6" s="258"/>
      <c r="AJ6" s="258"/>
      <c r="AK6" s="258"/>
      <c r="AL6" s="258"/>
      <c r="AM6" s="258"/>
      <c r="AN6" s="258"/>
      <c r="AO6" s="258"/>
      <c r="AP6" s="258"/>
      <c r="AQ6" s="258"/>
      <c r="AR6" s="258"/>
      <c r="AS6" s="258"/>
      <c r="AT6" s="258"/>
      <c r="AU6" s="258"/>
      <c r="AV6" s="258"/>
      <c r="AW6" s="258"/>
      <c r="AX6" s="258"/>
      <c r="AY6" s="258"/>
      <c r="AZ6" s="258"/>
      <c r="BA6" s="258"/>
      <c r="BB6" s="258"/>
      <c r="BC6" s="258"/>
      <c r="BD6" s="258"/>
      <c r="BE6" s="258"/>
      <c r="BF6" s="259"/>
    </row>
    <row r="7" spans="1:58" ht="14.45" customHeight="1" x14ac:dyDescent="0.25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242" t="s">
        <v>97</v>
      </c>
      <c r="X7" s="243"/>
      <c r="Y7" s="243"/>
      <c r="Z7" s="243"/>
      <c r="AA7" s="243"/>
      <c r="AB7" s="243"/>
      <c r="AC7" s="244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5" customHeight="1" x14ac:dyDescent="0.25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242" t="s">
        <v>97</v>
      </c>
      <c r="X8" s="243"/>
      <c r="Y8" s="243"/>
      <c r="Z8" s="243"/>
      <c r="AA8" s="243"/>
      <c r="AB8" s="243"/>
      <c r="AC8" s="244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5" customHeight="1" x14ac:dyDescent="0.25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242" t="s">
        <v>97</v>
      </c>
      <c r="X9" s="243"/>
      <c r="Y9" s="243"/>
      <c r="Z9" s="243"/>
      <c r="AA9" s="243"/>
      <c r="AB9" s="243"/>
      <c r="AC9" s="244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5" customHeight="1" x14ac:dyDescent="0.25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242" t="s">
        <v>97</v>
      </c>
      <c r="X10" s="243"/>
      <c r="Y10" s="243"/>
      <c r="Z10" s="243"/>
      <c r="AA10" s="243"/>
      <c r="AB10" s="243"/>
      <c r="AC10" s="244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5" customHeight="1" x14ac:dyDescent="0.25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242" t="s">
        <v>97</v>
      </c>
      <c r="X11" s="243"/>
      <c r="Y11" s="243"/>
      <c r="Z11" s="243"/>
      <c r="AA11" s="243"/>
      <c r="AB11" s="243"/>
      <c r="AC11" s="244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5" customHeight="1" x14ac:dyDescent="0.25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242" t="s">
        <v>97</v>
      </c>
      <c r="X12" s="243"/>
      <c r="Y12" s="243"/>
      <c r="Z12" s="243"/>
      <c r="AA12" s="243"/>
      <c r="AB12" s="243"/>
      <c r="AC12" s="244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5" customHeight="1" x14ac:dyDescent="0.25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242" t="s">
        <v>97</v>
      </c>
      <c r="X13" s="243"/>
      <c r="Y13" s="243"/>
      <c r="Z13" s="243"/>
      <c r="AA13" s="243"/>
      <c r="AB13" s="243"/>
      <c r="AC13" s="244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5" customHeight="1" x14ac:dyDescent="0.25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242" t="s">
        <v>97</v>
      </c>
      <c r="X14" s="243"/>
      <c r="Y14" s="243"/>
      <c r="Z14" s="243"/>
      <c r="AA14" s="243"/>
      <c r="AB14" s="243"/>
      <c r="AC14" s="244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5" customHeight="1" x14ac:dyDescent="0.25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242" t="s">
        <v>97</v>
      </c>
      <c r="X15" s="243"/>
      <c r="Y15" s="243"/>
      <c r="Z15" s="243"/>
      <c r="AA15" s="243"/>
      <c r="AB15" s="243"/>
      <c r="AC15" s="244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5" customHeight="1" x14ac:dyDescent="0.25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242" t="s">
        <v>97</v>
      </c>
      <c r="X16" s="243"/>
      <c r="Y16" s="243"/>
      <c r="Z16" s="243"/>
      <c r="AA16" s="243"/>
      <c r="AB16" s="243"/>
      <c r="AC16" s="244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5" customHeight="1" x14ac:dyDescent="0.25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242" t="s">
        <v>97</v>
      </c>
      <c r="X17" s="243"/>
      <c r="Y17" s="243"/>
      <c r="Z17" s="243"/>
      <c r="AA17" s="243"/>
      <c r="AB17" s="243"/>
      <c r="AC17" s="244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5" customHeight="1" x14ac:dyDescent="0.25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242" t="s">
        <v>97</v>
      </c>
      <c r="X18" s="243"/>
      <c r="Y18" s="243"/>
      <c r="Z18" s="243"/>
      <c r="AA18" s="243"/>
      <c r="AB18" s="243"/>
      <c r="AC18" s="244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5" customHeight="1" x14ac:dyDescent="0.25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242" t="s">
        <v>97</v>
      </c>
      <c r="X19" s="243"/>
      <c r="Y19" s="243"/>
      <c r="Z19" s="243"/>
      <c r="AA19" s="243"/>
      <c r="AB19" s="243"/>
      <c r="AC19" s="244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5" customHeight="1" x14ac:dyDescent="0.25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242" t="s">
        <v>97</v>
      </c>
      <c r="X20" s="243"/>
      <c r="Y20" s="243"/>
      <c r="Z20" s="243"/>
      <c r="AA20" s="243"/>
      <c r="AB20" s="243"/>
      <c r="AC20" s="244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5" customHeight="1" x14ac:dyDescent="0.25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242" t="s">
        <v>97</v>
      </c>
      <c r="X21" s="243"/>
      <c r="Y21" s="243"/>
      <c r="Z21" s="243"/>
      <c r="AA21" s="243"/>
      <c r="AB21" s="243"/>
      <c r="AC21" s="244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5" customHeight="1" x14ac:dyDescent="0.25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242" t="s">
        <v>97</v>
      </c>
      <c r="X22" s="243"/>
      <c r="Y22" s="243"/>
      <c r="Z22" s="243"/>
      <c r="AA22" s="243"/>
      <c r="AB22" s="243"/>
      <c r="AC22" s="244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5" customHeight="1" x14ac:dyDescent="0.25">
      <c r="A23" s="4">
        <f>IF(B23="","",COUNTA($B$7:B23))</f>
        <v>17</v>
      </c>
      <c r="B23" s="4" t="s">
        <v>127</v>
      </c>
      <c r="C23" s="5"/>
      <c r="D23" s="5"/>
      <c r="E23" s="5"/>
      <c r="F23" s="5"/>
      <c r="G23" s="5"/>
      <c r="H23" s="5"/>
      <c r="I23" s="5"/>
      <c r="J23" s="5"/>
      <c r="K23" s="6"/>
      <c r="L23" s="4" t="s">
        <v>128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242" t="s">
        <v>97</v>
      </c>
      <c r="X23" s="243"/>
      <c r="Y23" s="243"/>
      <c r="Z23" s="243"/>
      <c r="AA23" s="243"/>
      <c r="AB23" s="243"/>
      <c r="AC23" s="244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6"/>
    </row>
    <row r="24" spans="1:58" ht="14.45" customHeight="1" x14ac:dyDescent="0.25">
      <c r="A24" s="4">
        <f>IF(B24="","",COUNTA($B$7:B24))</f>
        <v>18</v>
      </c>
      <c r="B24" s="4" t="s">
        <v>129</v>
      </c>
      <c r="C24" s="5"/>
      <c r="D24" s="5"/>
      <c r="E24" s="5"/>
      <c r="F24" s="5"/>
      <c r="G24" s="5"/>
      <c r="H24" s="5"/>
      <c r="I24" s="5"/>
      <c r="J24" s="5"/>
      <c r="K24" s="6"/>
      <c r="L24" s="4" t="s">
        <v>130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242" t="s">
        <v>97</v>
      </c>
      <c r="X24" s="243"/>
      <c r="Y24" s="243"/>
      <c r="Z24" s="243"/>
      <c r="AA24" s="243"/>
      <c r="AB24" s="243"/>
      <c r="AC24" s="244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6"/>
    </row>
    <row r="25" spans="1:58" ht="14.45" customHeight="1" x14ac:dyDescent="0.25">
      <c r="A25" s="4">
        <f>IF(B25="","",COUNTA($B$7:B25))</f>
        <v>19</v>
      </c>
      <c r="B25" s="4" t="s">
        <v>131</v>
      </c>
      <c r="C25" s="5"/>
      <c r="D25" s="5"/>
      <c r="E25" s="5"/>
      <c r="F25" s="5"/>
      <c r="G25" s="5"/>
      <c r="H25" s="5"/>
      <c r="I25" s="5"/>
      <c r="J25" s="5"/>
      <c r="K25" s="6"/>
      <c r="L25" s="4" t="s">
        <v>132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242" t="s">
        <v>97</v>
      </c>
      <c r="X25" s="243"/>
      <c r="Y25" s="243"/>
      <c r="Z25" s="243"/>
      <c r="AA25" s="243"/>
      <c r="AB25" s="243"/>
      <c r="AC25" s="244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6"/>
    </row>
    <row r="26" spans="1:58" ht="14.45" customHeight="1" x14ac:dyDescent="0.25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242" t="s">
        <v>97</v>
      </c>
      <c r="X26" s="243"/>
      <c r="Y26" s="243"/>
      <c r="Z26" s="243"/>
      <c r="AA26" s="243"/>
      <c r="AB26" s="243"/>
      <c r="AC26" s="244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5" customHeight="1" x14ac:dyDescent="0.25">
      <c r="A27" s="4">
        <f>IF(B27="","",COUNTA($B$7:B27))</f>
        <v>21</v>
      </c>
      <c r="B27" s="64" t="s">
        <v>1381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1382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242" t="s">
        <v>97</v>
      </c>
      <c r="X27" s="243"/>
      <c r="Y27" s="243"/>
      <c r="Z27" s="243"/>
      <c r="AA27" s="243"/>
      <c r="AB27" s="243"/>
      <c r="AC27" s="244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5" customHeight="1" x14ac:dyDescent="0.25">
      <c r="A28" s="4">
        <f>IF(B28="","",COUNTA($B$7:B28))</f>
        <v>22</v>
      </c>
      <c r="B28" s="64" t="s">
        <v>1404</v>
      </c>
      <c r="C28" s="2"/>
      <c r="D28" s="2"/>
      <c r="E28" s="2"/>
      <c r="F28" s="2"/>
      <c r="G28" s="2"/>
      <c r="H28" s="2"/>
      <c r="I28" s="2"/>
      <c r="J28" s="2"/>
      <c r="K28" s="3"/>
      <c r="L28" s="4" t="s">
        <v>1405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242" t="s">
        <v>97</v>
      </c>
      <c r="X28" s="243"/>
      <c r="Y28" s="243"/>
      <c r="Z28" s="243"/>
      <c r="AA28" s="243"/>
      <c r="AB28" s="243"/>
      <c r="AC28" s="244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5" customHeight="1" x14ac:dyDescent="0.25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242"/>
      <c r="X29" s="243"/>
      <c r="Y29" s="243"/>
      <c r="Z29" s="243"/>
      <c r="AA29" s="243"/>
      <c r="AB29" s="243"/>
      <c r="AC29" s="244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5" customHeight="1" x14ac:dyDescent="0.25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242"/>
      <c r="X30" s="243"/>
      <c r="Y30" s="243"/>
      <c r="Z30" s="243"/>
      <c r="AA30" s="243"/>
      <c r="AB30" s="243"/>
      <c r="AC30" s="244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5" customHeight="1" x14ac:dyDescent="0.25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242"/>
      <c r="X31" s="243"/>
      <c r="Y31" s="243"/>
      <c r="Z31" s="243"/>
      <c r="AA31" s="243"/>
      <c r="AB31" s="243"/>
      <c r="AC31" s="244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5" customHeight="1" x14ac:dyDescent="0.25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242"/>
      <c r="X32" s="243"/>
      <c r="Y32" s="243"/>
      <c r="Z32" s="243"/>
      <c r="AA32" s="243"/>
      <c r="AB32" s="243"/>
      <c r="AC32" s="244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5" customHeight="1" x14ac:dyDescent="0.25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242"/>
      <c r="X33" s="243"/>
      <c r="Y33" s="243"/>
      <c r="Z33" s="243"/>
      <c r="AA33" s="243"/>
      <c r="AB33" s="243"/>
      <c r="AC33" s="244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5" customHeight="1" x14ac:dyDescent="0.25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242"/>
      <c r="X34" s="243"/>
      <c r="Y34" s="243"/>
      <c r="Z34" s="243"/>
      <c r="AA34" s="243"/>
      <c r="AB34" s="243"/>
      <c r="AC34" s="244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5" customHeight="1" x14ac:dyDescent="0.25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242"/>
      <c r="X35" s="243"/>
      <c r="Y35" s="243"/>
      <c r="Z35" s="243"/>
      <c r="AA35" s="243"/>
      <c r="AB35" s="243"/>
      <c r="AC35" s="244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5" customHeight="1" x14ac:dyDescent="0.25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242"/>
      <c r="X36" s="243"/>
      <c r="Y36" s="243"/>
      <c r="Z36" s="243"/>
      <c r="AA36" s="243"/>
      <c r="AB36" s="243"/>
      <c r="AC36" s="244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5" customHeight="1" x14ac:dyDescent="0.25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242"/>
      <c r="X37" s="243"/>
      <c r="Y37" s="243"/>
      <c r="Z37" s="243"/>
      <c r="AA37" s="243"/>
      <c r="AB37" s="243"/>
      <c r="AC37" s="244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5" customHeight="1" x14ac:dyDescent="0.25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242"/>
      <c r="X38" s="243"/>
      <c r="Y38" s="243"/>
      <c r="Z38" s="243"/>
      <c r="AA38" s="243"/>
      <c r="AB38" s="243"/>
      <c r="AC38" s="244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5" customHeight="1" x14ac:dyDescent="0.25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242"/>
      <c r="X39" s="243"/>
      <c r="Y39" s="243"/>
      <c r="Z39" s="243"/>
      <c r="AA39" s="243"/>
      <c r="AB39" s="243"/>
      <c r="AC39" s="244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5" customHeight="1" x14ac:dyDescent="0.25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242"/>
      <c r="X40" s="243"/>
      <c r="Y40" s="243"/>
      <c r="Z40" s="243"/>
      <c r="AA40" s="243"/>
      <c r="AB40" s="243"/>
      <c r="AC40" s="244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5" customHeight="1" x14ac:dyDescent="0.25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242"/>
      <c r="X41" s="243"/>
      <c r="Y41" s="243"/>
      <c r="Z41" s="243"/>
      <c r="AA41" s="243"/>
      <c r="AB41" s="243"/>
      <c r="AC41" s="244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5" customHeight="1" x14ac:dyDescent="0.25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242"/>
      <c r="X42" s="243"/>
      <c r="Y42" s="243"/>
      <c r="Z42" s="243"/>
      <c r="AA42" s="243"/>
      <c r="AB42" s="243"/>
      <c r="AC42" s="244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5" customHeight="1" x14ac:dyDescent="0.25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242"/>
      <c r="X43" s="243"/>
      <c r="Y43" s="243"/>
      <c r="Z43" s="243"/>
      <c r="AA43" s="243"/>
      <c r="AB43" s="243"/>
      <c r="AC43" s="244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5" customHeight="1" x14ac:dyDescent="0.25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242"/>
      <c r="X44" s="243"/>
      <c r="Y44" s="243"/>
      <c r="Z44" s="243"/>
      <c r="AA44" s="243"/>
      <c r="AB44" s="243"/>
      <c r="AC44" s="244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5" customHeight="1" x14ac:dyDescent="0.25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242"/>
      <c r="X45" s="243"/>
      <c r="Y45" s="243"/>
      <c r="Z45" s="243"/>
      <c r="AA45" s="243"/>
      <c r="AB45" s="243"/>
      <c r="AC45" s="244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5" customHeight="1" x14ac:dyDescent="0.25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242"/>
      <c r="X46" s="243"/>
      <c r="Y46" s="243"/>
      <c r="Z46" s="243"/>
      <c r="AA46" s="243"/>
      <c r="AB46" s="243"/>
      <c r="AC46" s="244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AD6:BF6"/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0:AC10"/>
    <mergeCell ref="W11:AC11"/>
    <mergeCell ref="W13:AC13"/>
    <mergeCell ref="W14:AC14"/>
    <mergeCell ref="W15:AC15"/>
    <mergeCell ref="W16:AC16"/>
    <mergeCell ref="W19:AC19"/>
    <mergeCell ref="W17:AC17"/>
    <mergeCell ref="W18:AC18"/>
    <mergeCell ref="W20:AC20"/>
    <mergeCell ref="W21:AC21"/>
    <mergeCell ref="W22:AC22"/>
    <mergeCell ref="W23:AC23"/>
    <mergeCell ref="W26:AC26"/>
    <mergeCell ref="W24:AC24"/>
    <mergeCell ref="W25:AC25"/>
    <mergeCell ref="W27:AC27"/>
    <mergeCell ref="W28:AC28"/>
    <mergeCell ref="W29:AC29"/>
    <mergeCell ref="W30:AC30"/>
    <mergeCell ref="W31:AC31"/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25" x14ac:dyDescent="0.25"/>
  <cols>
    <col min="1" max="1" width="4.625" style="18" customWidth="1"/>
    <col min="2" max="8" width="2.625" style="18"/>
    <col min="9" max="9" width="2.625" style="18" customWidth="1"/>
    <col min="10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生産計画情報（抄紙）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5" spans="1:56" ht="14.45" customHeight="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89" t="s">
        <v>155</v>
      </c>
      <c r="Z9" s="290"/>
      <c r="AA9" s="291" t="s">
        <v>156</v>
      </c>
      <c r="AB9" s="292"/>
      <c r="AC9" s="293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91" t="s">
        <v>170</v>
      </c>
      <c r="AB13" s="292"/>
      <c r="AC13" s="293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91" t="s">
        <v>170</v>
      </c>
      <c r="AB14" s="292"/>
      <c r="AC14" s="293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91" t="s">
        <v>156</v>
      </c>
      <c r="AB15" s="292"/>
      <c r="AC15" s="293"/>
      <c r="AD15" s="159">
        <v>5</v>
      </c>
      <c r="AE15" s="111">
        <v>1</v>
      </c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89" t="s">
        <v>150</v>
      </c>
      <c r="Z16" s="290"/>
      <c r="AA16" s="291" t="s">
        <v>151</v>
      </c>
      <c r="AB16" s="292"/>
      <c r="AC16" s="293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89" t="s">
        <v>150</v>
      </c>
      <c r="Z17" s="290"/>
      <c r="AA17" s="291" t="s">
        <v>151</v>
      </c>
      <c r="AB17" s="292"/>
      <c r="AC17" s="293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1406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89" t="s">
        <v>150</v>
      </c>
      <c r="Z19" s="290"/>
      <c r="AA19" s="291" t="s">
        <v>151</v>
      </c>
      <c r="AB19" s="292"/>
      <c r="AC19" s="293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89" t="s">
        <v>155</v>
      </c>
      <c r="Z20" s="290"/>
      <c r="AA20" s="291" t="s">
        <v>156</v>
      </c>
      <c r="AB20" s="292"/>
      <c r="AC20" s="293"/>
      <c r="AD20" s="126">
        <v>3</v>
      </c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36" t="s">
        <v>155</v>
      </c>
      <c r="Z21" s="337"/>
      <c r="AA21" s="330" t="s">
        <v>156</v>
      </c>
      <c r="AB21" s="331"/>
      <c r="AC21" s="332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38"/>
      <c r="Z22" s="339"/>
      <c r="AA22" s="333"/>
      <c r="AB22" s="334"/>
      <c r="AC22" s="335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89" t="s">
        <v>150</v>
      </c>
      <c r="Z23" s="290"/>
      <c r="AA23" s="291" t="s">
        <v>151</v>
      </c>
      <c r="AB23" s="292"/>
      <c r="AC23" s="293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</row>
    <row r="24" spans="1:57" s="1" customForma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89" t="s">
        <v>150</v>
      </c>
      <c r="Z24" s="290"/>
      <c r="AA24" s="291" t="s">
        <v>151</v>
      </c>
      <c r="AB24" s="292"/>
      <c r="AC24" s="293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89" t="s">
        <v>150</v>
      </c>
      <c r="Z27" s="290"/>
      <c r="AA27" s="291" t="s">
        <v>151</v>
      </c>
      <c r="AB27" s="292"/>
      <c r="AC27" s="293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89" t="s">
        <v>155</v>
      </c>
      <c r="Z31" s="290"/>
      <c r="AA31" s="291" t="s">
        <v>156</v>
      </c>
      <c r="AB31" s="292"/>
      <c r="AC31" s="293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89" t="s">
        <v>155</v>
      </c>
      <c r="Z32" s="290"/>
      <c r="AA32" s="291" t="s">
        <v>156</v>
      </c>
      <c r="AB32" s="292"/>
      <c r="AC32" s="293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89" t="s">
        <v>155</v>
      </c>
      <c r="Z33" s="290"/>
      <c r="AA33" s="291" t="s">
        <v>156</v>
      </c>
      <c r="AB33" s="292"/>
      <c r="AC33" s="293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x14ac:dyDescent="0.25">
      <c r="A34" s="131">
        <f>IF(B34="","",COUNTA($B$8:B34))</f>
        <v>26</v>
      </c>
      <c r="B34" s="8" t="s">
        <v>220</v>
      </c>
      <c r="C34" s="114"/>
      <c r="D34" s="114"/>
      <c r="E34" s="114"/>
      <c r="F34" s="114"/>
      <c r="G34" s="114"/>
      <c r="H34" s="134"/>
      <c r="I34" s="115" t="s">
        <v>221</v>
      </c>
      <c r="J34" s="116"/>
      <c r="K34" s="116"/>
      <c r="L34" s="116"/>
      <c r="M34" s="116"/>
      <c r="N34" s="116"/>
      <c r="O34" s="116"/>
      <c r="P34" s="116"/>
      <c r="Q34" s="133"/>
      <c r="R34" s="8" t="s">
        <v>220</v>
      </c>
      <c r="S34" s="116"/>
      <c r="T34" s="116"/>
      <c r="U34" s="116"/>
      <c r="V34" s="116"/>
      <c r="W34" s="116"/>
      <c r="X34" s="133"/>
      <c r="Y34" s="289" t="s">
        <v>155</v>
      </c>
      <c r="Z34" s="290"/>
      <c r="AA34" s="291" t="s">
        <v>156</v>
      </c>
      <c r="AB34" s="292"/>
      <c r="AC34" s="293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x14ac:dyDescent="0.25">
      <c r="A35" s="131">
        <f>IF(B35="","",COUNTA($B$8:B35))</f>
        <v>27</v>
      </c>
      <c r="B35" s="8" t="s">
        <v>222</v>
      </c>
      <c r="C35" s="114"/>
      <c r="D35" s="114"/>
      <c r="E35" s="114"/>
      <c r="F35" s="114"/>
      <c r="G35" s="114"/>
      <c r="H35" s="134"/>
      <c r="I35" s="115" t="s">
        <v>223</v>
      </c>
      <c r="J35" s="116"/>
      <c r="K35" s="116"/>
      <c r="L35" s="116"/>
      <c r="M35" s="116"/>
      <c r="N35" s="116"/>
      <c r="O35" s="116"/>
      <c r="P35" s="116"/>
      <c r="Q35" s="133"/>
      <c r="R35" s="8" t="s">
        <v>222</v>
      </c>
      <c r="S35" s="116"/>
      <c r="T35" s="116"/>
      <c r="U35" s="116"/>
      <c r="V35" s="116"/>
      <c r="W35" s="116"/>
      <c r="X35" s="134"/>
      <c r="Y35" s="289" t="s">
        <v>155</v>
      </c>
      <c r="Z35" s="290"/>
      <c r="AA35" s="291" t="s">
        <v>156</v>
      </c>
      <c r="AB35" s="292"/>
      <c r="AC35" s="293"/>
      <c r="AD35" s="126">
        <v>5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x14ac:dyDescent="0.25">
      <c r="A36" s="131">
        <f>IF(B36="","",COUNTA($B$8:B36))</f>
        <v>28</v>
      </c>
      <c r="B36" s="8" t="s">
        <v>224</v>
      </c>
      <c r="C36" s="114"/>
      <c r="D36" s="114"/>
      <c r="E36" s="114"/>
      <c r="F36" s="114"/>
      <c r="G36" s="114"/>
      <c r="H36" s="134"/>
      <c r="I36" s="115" t="s">
        <v>225</v>
      </c>
      <c r="J36" s="116"/>
      <c r="K36" s="116"/>
      <c r="L36" s="116"/>
      <c r="M36" s="116"/>
      <c r="N36" s="116"/>
      <c r="O36" s="116"/>
      <c r="P36" s="116"/>
      <c r="Q36" s="133"/>
      <c r="R36" s="8" t="s">
        <v>224</v>
      </c>
      <c r="S36" s="116"/>
      <c r="T36" s="116"/>
      <c r="U36" s="116"/>
      <c r="V36" s="116"/>
      <c r="W36" s="116"/>
      <c r="X36" s="134"/>
      <c r="Y36" s="289" t="s">
        <v>150</v>
      </c>
      <c r="Z36" s="290"/>
      <c r="AA36" s="291" t="s">
        <v>151</v>
      </c>
      <c r="AB36" s="292"/>
      <c r="AC36" s="293"/>
      <c r="AD36" s="126">
        <v>10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x14ac:dyDescent="0.25">
      <c r="A37" s="131">
        <f>IF(B37="","",COUNTA($B$8:B37))</f>
        <v>29</v>
      </c>
      <c r="B37" s="8" t="s">
        <v>226</v>
      </c>
      <c r="C37" s="114"/>
      <c r="D37" s="114"/>
      <c r="E37" s="114"/>
      <c r="F37" s="114"/>
      <c r="G37" s="114"/>
      <c r="H37" s="134"/>
      <c r="I37" s="115" t="s">
        <v>227</v>
      </c>
      <c r="J37" s="116"/>
      <c r="K37" s="116"/>
      <c r="L37" s="116"/>
      <c r="M37" s="116"/>
      <c r="N37" s="116"/>
      <c r="O37" s="116"/>
      <c r="P37" s="116"/>
      <c r="Q37" s="133"/>
      <c r="R37" s="8" t="s">
        <v>226</v>
      </c>
      <c r="S37" s="116"/>
      <c r="T37" s="116"/>
      <c r="U37" s="116"/>
      <c r="V37" s="116"/>
      <c r="W37" s="116"/>
      <c r="X37" s="134"/>
      <c r="Y37" s="289" t="s">
        <v>150</v>
      </c>
      <c r="Z37" s="290"/>
      <c r="AA37" s="291" t="s">
        <v>151</v>
      </c>
      <c r="AB37" s="292"/>
      <c r="AC37" s="293"/>
      <c r="AD37" s="126">
        <v>3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x14ac:dyDescent="0.25">
      <c r="A38" s="131">
        <f>IF(B38="","",COUNTA($B$8:B38))</f>
        <v>30</v>
      </c>
      <c r="B38" s="8" t="s">
        <v>228</v>
      </c>
      <c r="C38" s="114"/>
      <c r="D38" s="114"/>
      <c r="E38" s="114"/>
      <c r="F38" s="114"/>
      <c r="G38" s="114"/>
      <c r="H38" s="134"/>
      <c r="I38" s="115" t="s">
        <v>229</v>
      </c>
      <c r="J38" s="116"/>
      <c r="K38" s="116"/>
      <c r="L38" s="116"/>
      <c r="M38" s="116"/>
      <c r="N38" s="116"/>
      <c r="O38" s="116"/>
      <c r="P38" s="116"/>
      <c r="Q38" s="133"/>
      <c r="R38" s="8" t="s">
        <v>228</v>
      </c>
      <c r="S38" s="116"/>
      <c r="T38" s="116"/>
      <c r="U38" s="116"/>
      <c r="V38" s="116"/>
      <c r="W38" s="116"/>
      <c r="X38" s="134"/>
      <c r="Y38" s="289" t="s">
        <v>150</v>
      </c>
      <c r="Z38" s="290"/>
      <c r="AA38" s="291" t="s">
        <v>151</v>
      </c>
      <c r="AB38" s="292"/>
      <c r="AC38" s="293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x14ac:dyDescent="0.25">
      <c r="A39" s="131">
        <f>IF(B39="","",COUNTA($B$8:B39))</f>
        <v>31</v>
      </c>
      <c r="B39" s="8" t="s">
        <v>230</v>
      </c>
      <c r="C39" s="114"/>
      <c r="D39" s="114"/>
      <c r="E39" s="114"/>
      <c r="F39" s="114"/>
      <c r="G39" s="114"/>
      <c r="H39" s="134"/>
      <c r="I39" s="115" t="s">
        <v>231</v>
      </c>
      <c r="J39" s="116"/>
      <c r="K39" s="116"/>
      <c r="L39" s="116"/>
      <c r="M39" s="116"/>
      <c r="N39" s="116"/>
      <c r="O39" s="116"/>
      <c r="P39" s="116"/>
      <c r="Q39" s="133"/>
      <c r="R39" s="8" t="s">
        <v>230</v>
      </c>
      <c r="S39" s="116"/>
      <c r="T39" s="116"/>
      <c r="U39" s="116"/>
      <c r="V39" s="116"/>
      <c r="W39" s="116"/>
      <c r="X39" s="134"/>
      <c r="Y39" s="289" t="s">
        <v>169</v>
      </c>
      <c r="Z39" s="290"/>
      <c r="AA39" s="291" t="s">
        <v>170</v>
      </c>
      <c r="AB39" s="292"/>
      <c r="AC39" s="293"/>
      <c r="AD39" s="126"/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232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x14ac:dyDescent="0.25">
      <c r="A40" s="131">
        <f>IF(B40="","",COUNTA($B$8:B40))</f>
        <v>32</v>
      </c>
      <c r="B40" s="8" t="s">
        <v>233</v>
      </c>
      <c r="C40" s="114"/>
      <c r="D40" s="114"/>
      <c r="E40" s="114"/>
      <c r="F40" s="114"/>
      <c r="G40" s="114"/>
      <c r="H40" s="134"/>
      <c r="I40" s="115" t="s">
        <v>234</v>
      </c>
      <c r="J40" s="116"/>
      <c r="K40" s="116"/>
      <c r="L40" s="116"/>
      <c r="M40" s="116"/>
      <c r="N40" s="116"/>
      <c r="O40" s="116"/>
      <c r="P40" s="116"/>
      <c r="Q40" s="133"/>
      <c r="R40" s="8" t="s">
        <v>233</v>
      </c>
      <c r="S40" s="116"/>
      <c r="T40" s="116"/>
      <c r="U40" s="116"/>
      <c r="V40" s="116"/>
      <c r="W40" s="116"/>
      <c r="X40" s="134"/>
      <c r="Y40" s="289" t="s">
        <v>155</v>
      </c>
      <c r="Z40" s="290"/>
      <c r="AA40" s="291" t="s">
        <v>156</v>
      </c>
      <c r="AB40" s="292"/>
      <c r="AC40" s="293"/>
      <c r="AD40" s="126">
        <v>1</v>
      </c>
      <c r="AE40" s="111"/>
      <c r="AF40" s="111"/>
      <c r="AG40" s="120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x14ac:dyDescent="0.25">
      <c r="A41" s="131">
        <f>IF(B41="","",COUNTA($B$8:B41))</f>
        <v>33</v>
      </c>
      <c r="B41" s="8" t="s">
        <v>236</v>
      </c>
      <c r="C41" s="114"/>
      <c r="D41" s="114"/>
      <c r="E41" s="114"/>
      <c r="F41" s="114"/>
      <c r="G41" s="114"/>
      <c r="H41" s="134"/>
      <c r="I41" s="115" t="s">
        <v>237</v>
      </c>
      <c r="J41" s="116"/>
      <c r="K41" s="116"/>
      <c r="L41" s="116"/>
      <c r="M41" s="116"/>
      <c r="N41" s="116"/>
      <c r="O41" s="116"/>
      <c r="P41" s="116"/>
      <c r="Q41" s="133"/>
      <c r="R41" s="8" t="s">
        <v>236</v>
      </c>
      <c r="S41" s="116"/>
      <c r="T41" s="116"/>
      <c r="U41" s="116"/>
      <c r="V41" s="116"/>
      <c r="W41" s="116"/>
      <c r="X41" s="134"/>
      <c r="Y41" s="289" t="s">
        <v>155</v>
      </c>
      <c r="Z41" s="290"/>
      <c r="AA41" s="291" t="s">
        <v>156</v>
      </c>
      <c r="AB41" s="292"/>
      <c r="AC41" s="293"/>
      <c r="AD41" s="126">
        <v>1</v>
      </c>
      <c r="AE41" s="111"/>
      <c r="AF41" s="111"/>
      <c r="AG41" s="120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238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x14ac:dyDescent="0.25">
      <c r="A42" s="131">
        <f>IF(B42="","",COUNTA($B$8:B42))</f>
        <v>34</v>
      </c>
      <c r="B42" s="8" t="s">
        <v>239</v>
      </c>
      <c r="C42" s="114"/>
      <c r="D42" s="114"/>
      <c r="E42" s="114"/>
      <c r="F42" s="114"/>
      <c r="G42" s="114"/>
      <c r="H42" s="134"/>
      <c r="I42" s="115" t="s">
        <v>240</v>
      </c>
      <c r="J42" s="116"/>
      <c r="K42" s="116"/>
      <c r="L42" s="116"/>
      <c r="M42" s="116"/>
      <c r="N42" s="116"/>
      <c r="O42" s="116"/>
      <c r="P42" s="116"/>
      <c r="Q42" s="133"/>
      <c r="R42" s="8" t="s">
        <v>239</v>
      </c>
      <c r="S42" s="116"/>
      <c r="T42" s="116"/>
      <c r="U42" s="116"/>
      <c r="V42" s="116"/>
      <c r="W42" s="116"/>
      <c r="X42" s="134"/>
      <c r="Y42" s="289" t="s">
        <v>169</v>
      </c>
      <c r="Z42" s="290"/>
      <c r="AA42" s="291" t="s">
        <v>170</v>
      </c>
      <c r="AB42" s="292"/>
      <c r="AC42" s="293"/>
      <c r="AD42" s="126"/>
      <c r="AE42" s="111"/>
      <c r="AF42" s="111"/>
      <c r="AG42" s="120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x14ac:dyDescent="0.25">
      <c r="A43" s="160">
        <f>IF(B43="","",COUNTA($B$8:B43))</f>
        <v>35</v>
      </c>
      <c r="B43" s="4" t="s">
        <v>241</v>
      </c>
      <c r="C43" s="114"/>
      <c r="D43" s="114"/>
      <c r="E43" s="114"/>
      <c r="F43" s="114"/>
      <c r="G43" s="114"/>
      <c r="H43" s="114"/>
      <c r="I43" s="115" t="s">
        <v>242</v>
      </c>
      <c r="J43" s="116"/>
      <c r="K43" s="116"/>
      <c r="L43" s="116"/>
      <c r="M43" s="116"/>
      <c r="N43" s="116"/>
      <c r="O43" s="116"/>
      <c r="P43" s="116"/>
      <c r="Q43" s="116"/>
      <c r="R43" s="4" t="s">
        <v>241</v>
      </c>
      <c r="S43" s="114"/>
      <c r="T43" s="5"/>
      <c r="U43" s="5"/>
      <c r="V43" s="5"/>
      <c r="W43" s="5"/>
      <c r="X43" s="5"/>
      <c r="Y43" s="8" t="s">
        <v>150</v>
      </c>
      <c r="Z43" s="119"/>
      <c r="AA43" s="291" t="s">
        <v>243</v>
      </c>
      <c r="AB43" s="292"/>
      <c r="AC43" s="293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245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x14ac:dyDescent="0.25">
      <c r="A44" s="160">
        <f>IF(B44="","",COUNTA($B$8:B44))</f>
        <v>36</v>
      </c>
      <c r="B44" s="4" t="s">
        <v>246</v>
      </c>
      <c r="C44" s="114"/>
      <c r="D44" s="114"/>
      <c r="E44" s="114"/>
      <c r="F44" s="114"/>
      <c r="G44" s="114"/>
      <c r="H44" s="114"/>
      <c r="I44" s="115" t="s">
        <v>247</v>
      </c>
      <c r="J44" s="116"/>
      <c r="K44" s="116"/>
      <c r="L44" s="116"/>
      <c r="M44" s="116"/>
      <c r="N44" s="116"/>
      <c r="O44" s="116"/>
      <c r="P44" s="116"/>
      <c r="Q44" s="116"/>
      <c r="R44" s="4" t="s">
        <v>246</v>
      </c>
      <c r="S44" s="114"/>
      <c r="T44" s="5"/>
      <c r="U44" s="5"/>
      <c r="V44" s="5"/>
      <c r="W44" s="5"/>
      <c r="X44" s="5"/>
      <c r="Y44" s="8" t="s">
        <v>150</v>
      </c>
      <c r="Z44" s="119"/>
      <c r="AA44" s="291" t="s">
        <v>243</v>
      </c>
      <c r="AB44" s="292"/>
      <c r="AC44" s="293"/>
      <c r="AD44" s="117"/>
      <c r="AE44" s="120" t="s">
        <v>244</v>
      </c>
      <c r="AF44" s="121"/>
      <c r="AG44" s="12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 t="s">
        <v>248</v>
      </c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x14ac:dyDescent="0.25">
      <c r="A45" s="131">
        <f>IF(B45="","",COUNTA($B$8:B45))</f>
        <v>37</v>
      </c>
      <c r="B45" s="8" t="s">
        <v>249</v>
      </c>
      <c r="C45" s="114"/>
      <c r="D45" s="114"/>
      <c r="E45" s="114"/>
      <c r="F45" s="114"/>
      <c r="G45" s="114"/>
      <c r="H45" s="134"/>
      <c r="I45" s="115" t="s">
        <v>250</v>
      </c>
      <c r="J45" s="116"/>
      <c r="K45" s="116"/>
      <c r="L45" s="116"/>
      <c r="M45" s="116"/>
      <c r="N45" s="116"/>
      <c r="O45" s="116"/>
      <c r="P45" s="116"/>
      <c r="Q45" s="133"/>
      <c r="R45" s="8" t="s">
        <v>249</v>
      </c>
      <c r="S45" s="116"/>
      <c r="T45" s="116"/>
      <c r="U45" s="116"/>
      <c r="V45" s="116"/>
      <c r="W45" s="116"/>
      <c r="X45" s="134"/>
      <c r="Y45" s="289" t="s">
        <v>150</v>
      </c>
      <c r="Z45" s="290"/>
      <c r="AA45" s="291" t="s">
        <v>151</v>
      </c>
      <c r="AB45" s="292"/>
      <c r="AC45" s="293"/>
      <c r="AD45" s="126">
        <v>4</v>
      </c>
      <c r="AE45" s="111"/>
      <c r="AF45" s="111"/>
      <c r="AG45" s="120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x14ac:dyDescent="0.25">
      <c r="A46" s="131">
        <f>IF(B46="","",COUNTA($B$8:B46))</f>
        <v>38</v>
      </c>
      <c r="B46" s="8" t="s">
        <v>251</v>
      </c>
      <c r="C46" s="114"/>
      <c r="D46" s="114"/>
      <c r="E46" s="114"/>
      <c r="F46" s="114"/>
      <c r="G46" s="114"/>
      <c r="H46" s="134"/>
      <c r="I46" s="115" t="s">
        <v>252</v>
      </c>
      <c r="J46" s="116"/>
      <c r="K46" s="116"/>
      <c r="L46" s="116"/>
      <c r="M46" s="116"/>
      <c r="N46" s="116"/>
      <c r="O46" s="116"/>
      <c r="P46" s="116"/>
      <c r="Q46" s="133"/>
      <c r="R46" s="8" t="s">
        <v>251</v>
      </c>
      <c r="S46" s="116"/>
      <c r="T46" s="116"/>
      <c r="U46" s="116"/>
      <c r="V46" s="116"/>
      <c r="W46" s="116"/>
      <c r="X46" s="134"/>
      <c r="Y46" s="289" t="s">
        <v>150</v>
      </c>
      <c r="Z46" s="290"/>
      <c r="AA46" s="291" t="s">
        <v>151</v>
      </c>
      <c r="AB46" s="292"/>
      <c r="AC46" s="293"/>
      <c r="AD46" s="126">
        <v>4</v>
      </c>
      <c r="AE46" s="111"/>
      <c r="AF46" s="111"/>
      <c r="AG46" s="120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x14ac:dyDescent="0.25">
      <c r="A47" s="131">
        <f>IF(B47="","",COUNTA($B$8:B47))</f>
        <v>39</v>
      </c>
      <c r="B47" s="8" t="s">
        <v>253</v>
      </c>
      <c r="C47" s="114"/>
      <c r="D47" s="114"/>
      <c r="E47" s="114"/>
      <c r="F47" s="114"/>
      <c r="G47" s="114"/>
      <c r="H47" s="134"/>
      <c r="I47" s="118" t="s">
        <v>254</v>
      </c>
      <c r="J47" s="116"/>
      <c r="K47" s="116"/>
      <c r="L47" s="116"/>
      <c r="M47" s="116"/>
      <c r="N47" s="116"/>
      <c r="O47" s="116"/>
      <c r="P47" s="116"/>
      <c r="Q47" s="133"/>
      <c r="R47" s="8" t="s">
        <v>253</v>
      </c>
      <c r="S47" s="116"/>
      <c r="T47" s="116"/>
      <c r="U47" s="116"/>
      <c r="V47" s="116"/>
      <c r="W47" s="116"/>
      <c r="X47" s="134"/>
      <c r="Y47" s="289" t="s">
        <v>150</v>
      </c>
      <c r="Z47" s="290"/>
      <c r="AA47" s="291" t="s">
        <v>151</v>
      </c>
      <c r="AB47" s="292"/>
      <c r="AC47" s="293"/>
      <c r="AD47" s="126">
        <v>10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x14ac:dyDescent="0.25">
      <c r="A48" s="131">
        <f>IF(B48="","",COUNTA($B$8:B48))</f>
        <v>40</v>
      </c>
      <c r="B48" s="8" t="s">
        <v>255</v>
      </c>
      <c r="C48" s="114"/>
      <c r="D48" s="114"/>
      <c r="E48" s="114"/>
      <c r="F48" s="114"/>
      <c r="G48" s="114"/>
      <c r="H48" s="134"/>
      <c r="I48" s="118" t="s">
        <v>256</v>
      </c>
      <c r="J48" s="116"/>
      <c r="K48" s="116"/>
      <c r="L48" s="116"/>
      <c r="M48" s="116"/>
      <c r="N48" s="116"/>
      <c r="O48" s="116"/>
      <c r="P48" s="116"/>
      <c r="Q48" s="133"/>
      <c r="R48" s="8" t="s">
        <v>255</v>
      </c>
      <c r="S48" s="116"/>
      <c r="T48" s="116"/>
      <c r="U48" s="116"/>
      <c r="V48" s="116"/>
      <c r="W48" s="116"/>
      <c r="X48" s="134"/>
      <c r="Y48" s="289" t="s">
        <v>150</v>
      </c>
      <c r="Z48" s="290"/>
      <c r="AA48" s="291" t="s">
        <v>151</v>
      </c>
      <c r="AB48" s="292"/>
      <c r="AC48" s="293"/>
      <c r="AD48" s="126">
        <v>10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x14ac:dyDescent="0.25">
      <c r="A49" s="131">
        <f>IF(B49="","",COUNTA($B$8:B49))</f>
        <v>41</v>
      </c>
      <c r="B49" s="8" t="s">
        <v>257</v>
      </c>
      <c r="C49" s="114"/>
      <c r="D49" s="114"/>
      <c r="E49" s="114"/>
      <c r="F49" s="114"/>
      <c r="G49" s="114"/>
      <c r="H49" s="134"/>
      <c r="I49" s="118" t="s">
        <v>258</v>
      </c>
      <c r="J49" s="116"/>
      <c r="K49" s="116"/>
      <c r="L49" s="116"/>
      <c r="M49" s="116"/>
      <c r="N49" s="116"/>
      <c r="O49" s="116"/>
      <c r="P49" s="116"/>
      <c r="Q49" s="133"/>
      <c r="R49" s="8" t="s">
        <v>257</v>
      </c>
      <c r="S49" s="116"/>
      <c r="T49" s="116"/>
      <c r="U49" s="116"/>
      <c r="V49" s="116"/>
      <c r="W49" s="116"/>
      <c r="X49" s="134"/>
      <c r="Y49" s="289" t="s">
        <v>169</v>
      </c>
      <c r="Z49" s="290"/>
      <c r="AA49" s="291" t="s">
        <v>243</v>
      </c>
      <c r="AB49" s="292"/>
      <c r="AC49" s="293"/>
      <c r="AD49" s="159"/>
      <c r="AE49" s="122"/>
      <c r="AF49" s="122"/>
      <c r="AG49" s="12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x14ac:dyDescent="0.25">
      <c r="A50" s="131">
        <f>IF(B50="","",COUNTA($B$8:B50))</f>
        <v>42</v>
      </c>
      <c r="B50" s="8" t="s">
        <v>259</v>
      </c>
      <c r="C50" s="114"/>
      <c r="D50" s="114"/>
      <c r="E50" s="114"/>
      <c r="F50" s="114"/>
      <c r="G50" s="114"/>
      <c r="H50" s="134"/>
      <c r="I50" s="118" t="s">
        <v>260</v>
      </c>
      <c r="J50" s="116"/>
      <c r="K50" s="116"/>
      <c r="L50" s="116"/>
      <c r="M50" s="116"/>
      <c r="N50" s="116"/>
      <c r="O50" s="116"/>
      <c r="P50" s="116"/>
      <c r="Q50" s="133"/>
      <c r="R50" s="8" t="s">
        <v>259</v>
      </c>
      <c r="S50" s="116"/>
      <c r="T50" s="116"/>
      <c r="U50" s="116"/>
      <c r="V50" s="116"/>
      <c r="W50" s="116"/>
      <c r="X50" s="134"/>
      <c r="Y50" s="289" t="s">
        <v>150</v>
      </c>
      <c r="Z50" s="290"/>
      <c r="AA50" s="291" t="s">
        <v>151</v>
      </c>
      <c r="AB50" s="292"/>
      <c r="AC50" s="293"/>
      <c r="AD50" s="126">
        <v>10</v>
      </c>
      <c r="AE50" s="122"/>
      <c r="AF50" s="122"/>
      <c r="AG50" s="121"/>
      <c r="AH50" s="121"/>
      <c r="AI50" s="121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x14ac:dyDescent="0.25">
      <c r="A51" s="131">
        <f>IF(B51="","",COUNTA($B$8:B51))</f>
        <v>43</v>
      </c>
      <c r="B51" s="8" t="s">
        <v>261</v>
      </c>
      <c r="C51" s="114"/>
      <c r="D51" s="114"/>
      <c r="E51" s="114"/>
      <c r="F51" s="114"/>
      <c r="G51" s="114"/>
      <c r="H51" s="134"/>
      <c r="I51" s="118" t="s">
        <v>262</v>
      </c>
      <c r="J51" s="116"/>
      <c r="K51" s="116"/>
      <c r="L51" s="116"/>
      <c r="M51" s="116"/>
      <c r="N51" s="116"/>
      <c r="O51" s="116"/>
      <c r="P51" s="116"/>
      <c r="Q51" s="133"/>
      <c r="R51" s="8" t="s">
        <v>261</v>
      </c>
      <c r="S51" s="116"/>
      <c r="T51" s="116"/>
      <c r="U51" s="116"/>
      <c r="V51" s="116"/>
      <c r="W51" s="116"/>
      <c r="X51" s="134"/>
      <c r="Y51" s="289" t="s">
        <v>150</v>
      </c>
      <c r="Z51" s="290"/>
      <c r="AA51" s="291" t="s">
        <v>151</v>
      </c>
      <c r="AB51" s="292"/>
      <c r="AC51" s="293"/>
      <c r="AD51" s="159">
        <v>10</v>
      </c>
      <c r="AE51" s="111"/>
      <c r="AF51" s="111"/>
      <c r="AG51" s="120"/>
      <c r="AH51" s="120"/>
      <c r="AI51" s="120"/>
      <c r="AJ51" s="120"/>
      <c r="AK51" s="120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x14ac:dyDescent="0.25">
      <c r="A52" s="131">
        <f>IF(B52="","",COUNTA($B$8:B52))</f>
        <v>44</v>
      </c>
      <c r="B52" s="8" t="s">
        <v>263</v>
      </c>
      <c r="C52" s="114"/>
      <c r="D52" s="114"/>
      <c r="E52" s="114"/>
      <c r="F52" s="114"/>
      <c r="G52" s="114"/>
      <c r="H52" s="134"/>
      <c r="I52" s="118" t="s">
        <v>264</v>
      </c>
      <c r="J52" s="116"/>
      <c r="K52" s="116"/>
      <c r="L52" s="116"/>
      <c r="M52" s="116"/>
      <c r="N52" s="116"/>
      <c r="O52" s="116"/>
      <c r="P52" s="116"/>
      <c r="Q52" s="133"/>
      <c r="R52" s="132" t="s">
        <v>263</v>
      </c>
      <c r="S52" s="116"/>
      <c r="T52" s="116"/>
      <c r="U52" s="116"/>
      <c r="V52" s="116"/>
      <c r="W52" s="116"/>
      <c r="X52" s="134"/>
      <c r="Y52" s="289" t="s">
        <v>169</v>
      </c>
      <c r="Z52" s="290"/>
      <c r="AA52" s="291" t="s">
        <v>243</v>
      </c>
      <c r="AB52" s="292"/>
      <c r="AC52" s="293"/>
      <c r="AD52" s="159"/>
      <c r="AE52" s="122"/>
      <c r="AF52" s="122"/>
      <c r="AG52" s="12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x14ac:dyDescent="0.25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32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89"/>
      <c r="Z53" s="290"/>
      <c r="AA53" s="291"/>
      <c r="AB53" s="292"/>
      <c r="AC53" s="293"/>
      <c r="AD53" s="159"/>
      <c r="AE53" s="122"/>
      <c r="AF53" s="122"/>
      <c r="AG53" s="12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84"/>
      <c r="Z54" s="285"/>
      <c r="AA54" s="286"/>
      <c r="AB54" s="287"/>
      <c r="AC54" s="288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84"/>
      <c r="Z55" s="285"/>
      <c r="AA55" s="286"/>
      <c r="AB55" s="287"/>
      <c r="AC55" s="288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84"/>
      <c r="Z56" s="285"/>
      <c r="AA56" s="286"/>
      <c r="AB56" s="287"/>
      <c r="AC56" s="288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84"/>
      <c r="Z57" s="285"/>
      <c r="AA57" s="286"/>
      <c r="AB57" s="287"/>
      <c r="AC57" s="288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84"/>
      <c r="Z58" s="285"/>
      <c r="AA58" s="286"/>
      <c r="AB58" s="287"/>
      <c r="AC58" s="288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84"/>
      <c r="Z59" s="285"/>
      <c r="AA59" s="286"/>
      <c r="AB59" s="287"/>
      <c r="AC59" s="288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84"/>
      <c r="Z60" s="285"/>
      <c r="AA60" s="286"/>
      <c r="AB60" s="287"/>
      <c r="AC60" s="288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84"/>
      <c r="Z61" s="285"/>
      <c r="AA61" s="286"/>
      <c r="AB61" s="287"/>
      <c r="AC61" s="288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84"/>
      <c r="Z62" s="285"/>
      <c r="AA62" s="286"/>
      <c r="AB62" s="287"/>
      <c r="AC62" s="288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84"/>
      <c r="Z63" s="285"/>
      <c r="AA63" s="286"/>
      <c r="AB63" s="287"/>
      <c r="AC63" s="288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84"/>
      <c r="Z64" s="285"/>
      <c r="AA64" s="286"/>
      <c r="AB64" s="287"/>
      <c r="AC64" s="288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84"/>
      <c r="Z65" s="285"/>
      <c r="AA65" s="286"/>
      <c r="AB65" s="287"/>
      <c r="AC65" s="288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84"/>
      <c r="Z66" s="285"/>
      <c r="AA66" s="286"/>
      <c r="AB66" s="287"/>
      <c r="AC66" s="288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84"/>
      <c r="Z67" s="285"/>
      <c r="AA67" s="286"/>
      <c r="AB67" s="287"/>
      <c r="AC67" s="288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84"/>
      <c r="Z68" s="285"/>
      <c r="AA68" s="286"/>
      <c r="AB68" s="287"/>
      <c r="AC68" s="288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84"/>
      <c r="Z69" s="285"/>
      <c r="AA69" s="286"/>
      <c r="AB69" s="287"/>
      <c r="AC69" s="288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84"/>
      <c r="Z70" s="285"/>
      <c r="AA70" s="286"/>
      <c r="AB70" s="287"/>
      <c r="AC70" s="288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84"/>
      <c r="Z71" s="285"/>
      <c r="AA71" s="286"/>
      <c r="AB71" s="287"/>
      <c r="AC71" s="288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84"/>
      <c r="Z72" s="285"/>
      <c r="AA72" s="286"/>
      <c r="AB72" s="287"/>
      <c r="AC72" s="288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84"/>
      <c r="Z73" s="285"/>
      <c r="AA73" s="286"/>
      <c r="AB73" s="287"/>
      <c r="AC73" s="288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84"/>
      <c r="Z74" s="285"/>
      <c r="AA74" s="286"/>
      <c r="AB74" s="287"/>
      <c r="AC74" s="288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84"/>
      <c r="Z75" s="285"/>
      <c r="AA75" s="286"/>
      <c r="AB75" s="287"/>
      <c r="AC75" s="288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84"/>
      <c r="Z76" s="285"/>
      <c r="AA76" s="286"/>
      <c r="AB76" s="287"/>
      <c r="AC76" s="288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84"/>
      <c r="Z77" s="285"/>
      <c r="AA77" s="286"/>
      <c r="AB77" s="287"/>
      <c r="AC77" s="288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84"/>
      <c r="Z78" s="285"/>
      <c r="AA78" s="286"/>
      <c r="AB78" s="287"/>
      <c r="AC78" s="288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84"/>
      <c r="Z79" s="285"/>
      <c r="AA79" s="286"/>
      <c r="AB79" s="287"/>
      <c r="AC79" s="288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84"/>
      <c r="Z80" s="285"/>
      <c r="AA80" s="286"/>
      <c r="AB80" s="287"/>
      <c r="AC80" s="288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84"/>
      <c r="Z81" s="285"/>
      <c r="AA81" s="286"/>
      <c r="AB81" s="287"/>
      <c r="AC81" s="288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84"/>
      <c r="Z82" s="285"/>
      <c r="AA82" s="286"/>
      <c r="AB82" s="287"/>
      <c r="AC82" s="288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84"/>
      <c r="Z83" s="285"/>
      <c r="AA83" s="286"/>
      <c r="AB83" s="287"/>
      <c r="AC83" s="288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84"/>
      <c r="Z84" s="285"/>
      <c r="AA84" s="286"/>
      <c r="AB84" s="287"/>
      <c r="AC84" s="288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84"/>
      <c r="Z85" s="285"/>
      <c r="AA85" s="286"/>
      <c r="AB85" s="287"/>
      <c r="AC85" s="288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生産計画情報（熱加工）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128" t="s">
        <v>88</v>
      </c>
      <c r="AV2" s="129"/>
      <c r="AW2" s="129"/>
      <c r="AX2" s="129"/>
      <c r="AY2" s="130"/>
      <c r="AZ2" s="343" t="s">
        <v>89</v>
      </c>
      <c r="BA2" s="344"/>
      <c r="BB2" s="344"/>
      <c r="BC2" s="344"/>
      <c r="BD2" s="345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69"/>
      <c r="AQ3" s="270"/>
      <c r="AR3" s="270"/>
      <c r="AS3" s="270"/>
      <c r="AT3" s="271"/>
      <c r="AU3" s="340"/>
      <c r="AV3" s="341"/>
      <c r="AW3" s="341"/>
      <c r="AX3" s="341"/>
      <c r="AY3" s="342"/>
      <c r="AZ3" s="343"/>
      <c r="BA3" s="344"/>
      <c r="BB3" s="344"/>
      <c r="BC3" s="344"/>
      <c r="BD3" s="345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69"/>
      <c r="AQ4" s="270"/>
      <c r="AR4" s="270"/>
      <c r="AS4" s="270"/>
      <c r="AT4" s="271"/>
      <c r="AU4" s="340"/>
      <c r="AV4" s="341"/>
      <c r="AW4" s="341"/>
      <c r="AX4" s="341"/>
      <c r="AY4" s="342"/>
      <c r="AZ4" s="343"/>
      <c r="BA4" s="344"/>
      <c r="BB4" s="344"/>
      <c r="BC4" s="344"/>
      <c r="BD4" s="345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89" t="s">
        <v>155</v>
      </c>
      <c r="Z9" s="290"/>
      <c r="AA9" s="291" t="s">
        <v>156</v>
      </c>
      <c r="AB9" s="292"/>
      <c r="AC9" s="293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91" t="s">
        <v>170</v>
      </c>
      <c r="AB13" s="292"/>
      <c r="AC13" s="293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91" t="s">
        <v>170</v>
      </c>
      <c r="AB14" s="292"/>
      <c r="AC14" s="293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150</v>
      </c>
      <c r="Z15" s="119"/>
      <c r="AA15" s="291" t="s">
        <v>151</v>
      </c>
      <c r="AB15" s="292"/>
      <c r="AC15" s="293"/>
      <c r="AD15" s="159">
        <v>6</v>
      </c>
      <c r="AE15" s="111"/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265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89" t="s">
        <v>150</v>
      </c>
      <c r="Z16" s="290"/>
      <c r="AA16" s="291" t="s">
        <v>151</v>
      </c>
      <c r="AB16" s="292"/>
      <c r="AC16" s="293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89" t="s">
        <v>150</v>
      </c>
      <c r="Z17" s="290"/>
      <c r="AA17" s="291" t="s">
        <v>151</v>
      </c>
      <c r="AB17" s="292"/>
      <c r="AC17" s="293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1409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89" t="s">
        <v>150</v>
      </c>
      <c r="Z19" s="290"/>
      <c r="AA19" s="291" t="s">
        <v>151</v>
      </c>
      <c r="AB19" s="292"/>
      <c r="AC19" s="293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89" t="s">
        <v>155</v>
      </c>
      <c r="Z20" s="290"/>
      <c r="AA20" s="291" t="s">
        <v>156</v>
      </c>
      <c r="AB20" s="292"/>
      <c r="AC20" s="293"/>
      <c r="AD20" s="126">
        <v>3</v>
      </c>
      <c r="AE20" s="111"/>
      <c r="AF20" s="11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36" t="s">
        <v>155</v>
      </c>
      <c r="Z21" s="337"/>
      <c r="AA21" s="330" t="s">
        <v>156</v>
      </c>
      <c r="AB21" s="331"/>
      <c r="AC21" s="332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38"/>
      <c r="Z22" s="339"/>
      <c r="AA22" s="333"/>
      <c r="AB22" s="334"/>
      <c r="AC22" s="335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89" t="s">
        <v>150</v>
      </c>
      <c r="Z23" s="290"/>
      <c r="AA23" s="291" t="s">
        <v>151</v>
      </c>
      <c r="AB23" s="292"/>
      <c r="AC23" s="293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89" t="s">
        <v>150</v>
      </c>
      <c r="Z24" s="290"/>
      <c r="AA24" s="291" t="s">
        <v>151</v>
      </c>
      <c r="AB24" s="292"/>
      <c r="AC24" s="293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89" t="s">
        <v>150</v>
      </c>
      <c r="Z27" s="290"/>
      <c r="AA27" s="291" t="s">
        <v>151</v>
      </c>
      <c r="AB27" s="292"/>
      <c r="AC27" s="293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89" t="s">
        <v>155</v>
      </c>
      <c r="Z31" s="290"/>
      <c r="AA31" s="291" t="s">
        <v>156</v>
      </c>
      <c r="AB31" s="292"/>
      <c r="AC31" s="293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89" t="s">
        <v>155</v>
      </c>
      <c r="Z32" s="290"/>
      <c r="AA32" s="291" t="s">
        <v>156</v>
      </c>
      <c r="AB32" s="292"/>
      <c r="AC32" s="293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89" t="s">
        <v>155</v>
      </c>
      <c r="Z33" s="290"/>
      <c r="AA33" s="291" t="s">
        <v>156</v>
      </c>
      <c r="AB33" s="292"/>
      <c r="AC33" s="293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89" t="s">
        <v>155</v>
      </c>
      <c r="Z34" s="290"/>
      <c r="AA34" s="291" t="s">
        <v>156</v>
      </c>
      <c r="AB34" s="292"/>
      <c r="AC34" s="293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268</v>
      </c>
      <c r="C35" s="114"/>
      <c r="D35" s="114"/>
      <c r="E35" s="114"/>
      <c r="F35" s="114"/>
      <c r="G35" s="114"/>
      <c r="H35" s="134"/>
      <c r="I35" s="115" t="s">
        <v>269</v>
      </c>
      <c r="J35" s="116"/>
      <c r="K35" s="116"/>
      <c r="L35" s="116"/>
      <c r="M35" s="116"/>
      <c r="N35" s="116"/>
      <c r="O35" s="116"/>
      <c r="P35" s="116"/>
      <c r="Q35" s="133"/>
      <c r="R35" s="8" t="s">
        <v>268</v>
      </c>
      <c r="S35" s="116"/>
      <c r="T35" s="116"/>
      <c r="U35" s="116"/>
      <c r="V35" s="116"/>
      <c r="W35" s="116"/>
      <c r="X35" s="133"/>
      <c r="Y35" s="8" t="s">
        <v>155</v>
      </c>
      <c r="Z35" s="119"/>
      <c r="AA35" s="291" t="s">
        <v>156</v>
      </c>
      <c r="AB35" s="292"/>
      <c r="AC35" s="293"/>
      <c r="AD35" s="159">
        <v>7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89" t="s">
        <v>150</v>
      </c>
      <c r="Z36" s="290"/>
      <c r="AA36" s="291" t="s">
        <v>151</v>
      </c>
      <c r="AB36" s="292"/>
      <c r="AC36" s="293"/>
      <c r="AD36" s="126">
        <v>3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89" t="s">
        <v>150</v>
      </c>
      <c r="Z37" s="290"/>
      <c r="AA37" s="291" t="s">
        <v>151</v>
      </c>
      <c r="AB37" s="292"/>
      <c r="AC37" s="293"/>
      <c r="AD37" s="126">
        <v>1000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270</v>
      </c>
      <c r="C38" s="114"/>
      <c r="D38" s="114"/>
      <c r="E38" s="114"/>
      <c r="F38" s="114"/>
      <c r="G38" s="114"/>
      <c r="H38" s="134"/>
      <c r="I38" s="115" t="s">
        <v>271</v>
      </c>
      <c r="J38" s="116"/>
      <c r="K38" s="116"/>
      <c r="L38" s="116"/>
      <c r="M38" s="116"/>
      <c r="N38" s="116"/>
      <c r="O38" s="116"/>
      <c r="P38" s="116"/>
      <c r="Q38" s="133"/>
      <c r="R38" s="8" t="s">
        <v>270</v>
      </c>
      <c r="S38" s="116"/>
      <c r="T38" s="116"/>
      <c r="U38" s="116"/>
      <c r="V38" s="116"/>
      <c r="W38" s="116"/>
      <c r="X38" s="134"/>
      <c r="Y38" s="289" t="s">
        <v>150</v>
      </c>
      <c r="Z38" s="290"/>
      <c r="AA38" s="291" t="s">
        <v>151</v>
      </c>
      <c r="AB38" s="292"/>
      <c r="AC38" s="293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272</v>
      </c>
      <c r="C39" s="114"/>
      <c r="D39" s="114"/>
      <c r="E39" s="114"/>
      <c r="F39" s="114"/>
      <c r="G39" s="114"/>
      <c r="H39" s="134"/>
      <c r="I39" s="115" t="s">
        <v>273</v>
      </c>
      <c r="J39" s="116"/>
      <c r="K39" s="116"/>
      <c r="L39" s="116"/>
      <c r="M39" s="116"/>
      <c r="N39" s="116"/>
      <c r="O39" s="116"/>
      <c r="P39" s="116"/>
      <c r="Q39" s="133"/>
      <c r="R39" s="8" t="s">
        <v>272</v>
      </c>
      <c r="S39" s="116"/>
      <c r="T39" s="116"/>
      <c r="U39" s="116"/>
      <c r="V39" s="116"/>
      <c r="W39" s="116"/>
      <c r="X39" s="134"/>
      <c r="Y39" s="289" t="s">
        <v>150</v>
      </c>
      <c r="Z39" s="290"/>
      <c r="AA39" s="291" t="s">
        <v>151</v>
      </c>
      <c r="AB39" s="292"/>
      <c r="AC39" s="293"/>
      <c r="AD39" s="126">
        <v>1000</v>
      </c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274</v>
      </c>
      <c r="C40" s="114"/>
      <c r="D40" s="114"/>
      <c r="E40" s="114"/>
      <c r="F40" s="114"/>
      <c r="G40" s="114"/>
      <c r="H40" s="134"/>
      <c r="I40" s="115" t="s">
        <v>275</v>
      </c>
      <c r="J40" s="116"/>
      <c r="K40" s="116"/>
      <c r="L40" s="116"/>
      <c r="M40" s="116"/>
      <c r="N40" s="116"/>
      <c r="O40" s="116"/>
      <c r="P40" s="116"/>
      <c r="Q40" s="133"/>
      <c r="R40" s="8" t="s">
        <v>274</v>
      </c>
      <c r="S40" s="116"/>
      <c r="T40" s="116"/>
      <c r="U40" s="116"/>
      <c r="V40" s="116"/>
      <c r="W40" s="116"/>
      <c r="X40" s="134"/>
      <c r="Y40" s="289" t="s">
        <v>150</v>
      </c>
      <c r="Z40" s="290"/>
      <c r="AA40" s="291" t="s">
        <v>151</v>
      </c>
      <c r="AB40" s="292"/>
      <c r="AC40" s="293"/>
      <c r="AD40" s="126">
        <v>1000</v>
      </c>
      <c r="AE40" s="111"/>
      <c r="AF40" s="111"/>
      <c r="AG40" s="120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230</v>
      </c>
      <c r="C41" s="114"/>
      <c r="D41" s="114"/>
      <c r="E41" s="114"/>
      <c r="F41" s="114"/>
      <c r="G41" s="114"/>
      <c r="H41" s="134"/>
      <c r="I41" s="115" t="s">
        <v>231</v>
      </c>
      <c r="J41" s="116"/>
      <c r="K41" s="116"/>
      <c r="L41" s="116"/>
      <c r="M41" s="116"/>
      <c r="N41" s="116"/>
      <c r="O41" s="116"/>
      <c r="P41" s="116"/>
      <c r="Q41" s="133"/>
      <c r="R41" s="8" t="s">
        <v>230</v>
      </c>
      <c r="S41" s="116"/>
      <c r="T41" s="116"/>
      <c r="U41" s="116"/>
      <c r="V41" s="116"/>
      <c r="W41" s="116"/>
      <c r="X41" s="134"/>
      <c r="Y41" s="289" t="s">
        <v>169</v>
      </c>
      <c r="Z41" s="290"/>
      <c r="AA41" s="291" t="s">
        <v>170</v>
      </c>
      <c r="AB41" s="292"/>
      <c r="AC41" s="293"/>
      <c r="AD41" s="126"/>
      <c r="AE41" s="111"/>
      <c r="AF41" s="111"/>
      <c r="AG41" s="120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232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>
        <f>IF(B42="","",COUNTA($B$8:B42))</f>
        <v>34</v>
      </c>
      <c r="B42" s="8" t="s">
        <v>233</v>
      </c>
      <c r="C42" s="114"/>
      <c r="D42" s="114"/>
      <c r="E42" s="114"/>
      <c r="F42" s="114"/>
      <c r="G42" s="114"/>
      <c r="H42" s="134"/>
      <c r="I42" s="115" t="s">
        <v>234</v>
      </c>
      <c r="J42" s="116"/>
      <c r="K42" s="116"/>
      <c r="L42" s="116"/>
      <c r="M42" s="116"/>
      <c r="N42" s="116"/>
      <c r="O42" s="116"/>
      <c r="P42" s="116"/>
      <c r="Q42" s="133"/>
      <c r="R42" s="8" t="s">
        <v>233</v>
      </c>
      <c r="S42" s="116"/>
      <c r="T42" s="116"/>
      <c r="U42" s="116"/>
      <c r="V42" s="116"/>
      <c r="W42" s="116"/>
      <c r="X42" s="134"/>
      <c r="Y42" s="289" t="s">
        <v>155</v>
      </c>
      <c r="Z42" s="290"/>
      <c r="AA42" s="291" t="s">
        <v>156</v>
      </c>
      <c r="AB42" s="292"/>
      <c r="AC42" s="293"/>
      <c r="AD42" s="126">
        <v>1</v>
      </c>
      <c r="AE42" s="111"/>
      <c r="AF42" s="111"/>
      <c r="AG42" s="120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>
        <f>IF(B43="","",COUNTA($B$8:B43))</f>
        <v>35</v>
      </c>
      <c r="B43" s="8" t="s">
        <v>236</v>
      </c>
      <c r="C43" s="114"/>
      <c r="D43" s="114"/>
      <c r="E43" s="114"/>
      <c r="F43" s="114"/>
      <c r="G43" s="114"/>
      <c r="H43" s="134"/>
      <c r="I43" s="115" t="s">
        <v>237</v>
      </c>
      <c r="J43" s="116"/>
      <c r="K43" s="116"/>
      <c r="L43" s="116"/>
      <c r="M43" s="116"/>
      <c r="N43" s="116"/>
      <c r="O43" s="116"/>
      <c r="P43" s="116"/>
      <c r="Q43" s="133"/>
      <c r="R43" s="8" t="s">
        <v>236</v>
      </c>
      <c r="S43" s="116"/>
      <c r="T43" s="116"/>
      <c r="U43" s="116"/>
      <c r="V43" s="116"/>
      <c r="W43" s="116"/>
      <c r="X43" s="134"/>
      <c r="Y43" s="289" t="s">
        <v>155</v>
      </c>
      <c r="Z43" s="290"/>
      <c r="AA43" s="291" t="s">
        <v>156</v>
      </c>
      <c r="AB43" s="292"/>
      <c r="AC43" s="293"/>
      <c r="AD43" s="126">
        <v>1</v>
      </c>
      <c r="AE43" s="111"/>
      <c r="AF43" s="111"/>
      <c r="AG43" s="120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238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239</v>
      </c>
      <c r="C44" s="114"/>
      <c r="D44" s="114"/>
      <c r="E44" s="114"/>
      <c r="F44" s="114"/>
      <c r="G44" s="114"/>
      <c r="H44" s="134"/>
      <c r="I44" s="115" t="s">
        <v>240</v>
      </c>
      <c r="J44" s="116"/>
      <c r="K44" s="116"/>
      <c r="L44" s="116"/>
      <c r="M44" s="116"/>
      <c r="N44" s="116"/>
      <c r="O44" s="116"/>
      <c r="P44" s="116"/>
      <c r="Q44" s="133"/>
      <c r="R44" s="8" t="s">
        <v>239</v>
      </c>
      <c r="S44" s="116"/>
      <c r="T44" s="116"/>
      <c r="U44" s="116"/>
      <c r="V44" s="116"/>
      <c r="W44" s="116"/>
      <c r="X44" s="134"/>
      <c r="Y44" s="289" t="s">
        <v>169</v>
      </c>
      <c r="Z44" s="290"/>
      <c r="AA44" s="291" t="s">
        <v>170</v>
      </c>
      <c r="AB44" s="292"/>
      <c r="AC44" s="293"/>
      <c r="AD44" s="126"/>
      <c r="AE44" s="111"/>
      <c r="AF44" s="111"/>
      <c r="AG44" s="120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60">
        <f>IF(B45="","",COUNTA($B$8:B45))</f>
        <v>37</v>
      </c>
      <c r="B45" s="4" t="s">
        <v>241</v>
      </c>
      <c r="C45" s="114"/>
      <c r="D45" s="114"/>
      <c r="E45" s="114"/>
      <c r="F45" s="114"/>
      <c r="G45" s="114"/>
      <c r="H45" s="114"/>
      <c r="I45" s="115" t="s">
        <v>242</v>
      </c>
      <c r="J45" s="116"/>
      <c r="K45" s="116"/>
      <c r="L45" s="116"/>
      <c r="M45" s="116"/>
      <c r="N45" s="116"/>
      <c r="O45" s="116"/>
      <c r="P45" s="116"/>
      <c r="Q45" s="116"/>
      <c r="R45" s="4" t="s">
        <v>241</v>
      </c>
      <c r="S45" s="114"/>
      <c r="T45" s="5"/>
      <c r="U45" s="5"/>
      <c r="V45" s="5"/>
      <c r="W45" s="5"/>
      <c r="X45" s="5"/>
      <c r="Y45" s="8" t="s">
        <v>150</v>
      </c>
      <c r="Z45" s="119"/>
      <c r="AA45" s="291" t="s">
        <v>243</v>
      </c>
      <c r="AB45" s="292"/>
      <c r="AC45" s="293"/>
      <c r="AD45" s="117"/>
      <c r="AE45" s="120" t="s">
        <v>244</v>
      </c>
      <c r="AF45" s="121"/>
      <c r="AG45" s="12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 t="s">
        <v>245</v>
      </c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60">
        <f>IF(B46="","",COUNTA($B$8:B46))</f>
        <v>38</v>
      </c>
      <c r="B46" s="4" t="s">
        <v>246</v>
      </c>
      <c r="C46" s="114"/>
      <c r="D46" s="114"/>
      <c r="E46" s="114"/>
      <c r="F46" s="114"/>
      <c r="G46" s="114"/>
      <c r="H46" s="114"/>
      <c r="I46" s="115" t="s">
        <v>247</v>
      </c>
      <c r="J46" s="116"/>
      <c r="K46" s="116"/>
      <c r="L46" s="116"/>
      <c r="M46" s="116"/>
      <c r="N46" s="116"/>
      <c r="O46" s="116"/>
      <c r="P46" s="116"/>
      <c r="Q46" s="116"/>
      <c r="R46" s="4" t="s">
        <v>246</v>
      </c>
      <c r="S46" s="114"/>
      <c r="T46" s="5"/>
      <c r="U46" s="5"/>
      <c r="V46" s="5"/>
      <c r="W46" s="5"/>
      <c r="X46" s="5"/>
      <c r="Y46" s="8" t="s">
        <v>150</v>
      </c>
      <c r="Z46" s="119"/>
      <c r="AA46" s="291" t="s">
        <v>243</v>
      </c>
      <c r="AB46" s="292"/>
      <c r="AC46" s="293"/>
      <c r="AD46" s="117"/>
      <c r="AE46" s="120" t="s">
        <v>244</v>
      </c>
      <c r="AF46" s="121"/>
      <c r="AG46" s="121"/>
      <c r="AH46" s="121"/>
      <c r="AI46" s="121"/>
      <c r="AJ46" s="121"/>
      <c r="AK46" s="121"/>
      <c r="AL46" s="121"/>
      <c r="AM46" s="121"/>
      <c r="AN46" s="121"/>
      <c r="AO46" s="122"/>
      <c r="AP46" s="122"/>
      <c r="AQ46" s="122"/>
      <c r="AR46" s="122"/>
      <c r="AS46" s="123" t="s">
        <v>248</v>
      </c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249</v>
      </c>
      <c r="C47" s="114"/>
      <c r="D47" s="114"/>
      <c r="E47" s="114"/>
      <c r="F47" s="114"/>
      <c r="G47" s="114"/>
      <c r="H47" s="134"/>
      <c r="I47" s="115" t="s">
        <v>250</v>
      </c>
      <c r="J47" s="116"/>
      <c r="K47" s="116"/>
      <c r="L47" s="116"/>
      <c r="M47" s="116"/>
      <c r="N47" s="116"/>
      <c r="O47" s="116"/>
      <c r="P47" s="116"/>
      <c r="Q47" s="133"/>
      <c r="R47" s="8" t="s">
        <v>249</v>
      </c>
      <c r="S47" s="116"/>
      <c r="T47" s="116"/>
      <c r="U47" s="116"/>
      <c r="V47" s="116"/>
      <c r="W47" s="116"/>
      <c r="X47" s="134"/>
      <c r="Y47" s="289" t="s">
        <v>150</v>
      </c>
      <c r="Z47" s="290"/>
      <c r="AA47" s="291" t="s">
        <v>151</v>
      </c>
      <c r="AB47" s="292"/>
      <c r="AC47" s="293"/>
      <c r="AD47" s="126">
        <v>4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251</v>
      </c>
      <c r="C48" s="114"/>
      <c r="D48" s="114"/>
      <c r="E48" s="114"/>
      <c r="F48" s="114"/>
      <c r="G48" s="114"/>
      <c r="H48" s="134"/>
      <c r="I48" s="115" t="s">
        <v>252</v>
      </c>
      <c r="J48" s="116"/>
      <c r="K48" s="116"/>
      <c r="L48" s="116"/>
      <c r="M48" s="116"/>
      <c r="N48" s="116"/>
      <c r="O48" s="116"/>
      <c r="P48" s="116"/>
      <c r="Q48" s="133"/>
      <c r="R48" s="8" t="s">
        <v>251</v>
      </c>
      <c r="S48" s="116"/>
      <c r="T48" s="116"/>
      <c r="U48" s="116"/>
      <c r="V48" s="116"/>
      <c r="W48" s="116"/>
      <c r="X48" s="134"/>
      <c r="Y48" s="289" t="s">
        <v>150</v>
      </c>
      <c r="Z48" s="290"/>
      <c r="AA48" s="291" t="s">
        <v>151</v>
      </c>
      <c r="AB48" s="292"/>
      <c r="AC48" s="293"/>
      <c r="AD48" s="126">
        <v>4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253</v>
      </c>
      <c r="C49" s="114"/>
      <c r="D49" s="114"/>
      <c r="E49" s="114"/>
      <c r="F49" s="114"/>
      <c r="G49" s="114"/>
      <c r="H49" s="134"/>
      <c r="I49" s="118" t="s">
        <v>254</v>
      </c>
      <c r="J49" s="116"/>
      <c r="K49" s="116"/>
      <c r="L49" s="116"/>
      <c r="M49" s="116"/>
      <c r="N49" s="116"/>
      <c r="O49" s="116"/>
      <c r="P49" s="116"/>
      <c r="Q49" s="133"/>
      <c r="R49" s="8" t="s">
        <v>253</v>
      </c>
      <c r="S49" s="116"/>
      <c r="T49" s="116"/>
      <c r="U49" s="116"/>
      <c r="V49" s="116"/>
      <c r="W49" s="116"/>
      <c r="X49" s="134"/>
      <c r="Y49" s="289" t="s">
        <v>150</v>
      </c>
      <c r="Z49" s="290"/>
      <c r="AA49" s="291" t="s">
        <v>151</v>
      </c>
      <c r="AB49" s="292"/>
      <c r="AC49" s="293"/>
      <c r="AD49" s="126">
        <v>10</v>
      </c>
      <c r="AE49" s="111"/>
      <c r="AF49" s="111"/>
      <c r="AG49" s="120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255</v>
      </c>
      <c r="C50" s="114"/>
      <c r="D50" s="114"/>
      <c r="E50" s="114"/>
      <c r="F50" s="114"/>
      <c r="G50" s="114"/>
      <c r="H50" s="134"/>
      <c r="I50" s="118" t="s">
        <v>256</v>
      </c>
      <c r="J50" s="116"/>
      <c r="K50" s="116"/>
      <c r="L50" s="116"/>
      <c r="M50" s="116"/>
      <c r="N50" s="116"/>
      <c r="O50" s="116"/>
      <c r="P50" s="116"/>
      <c r="Q50" s="133"/>
      <c r="R50" s="8" t="s">
        <v>255</v>
      </c>
      <c r="S50" s="116"/>
      <c r="T50" s="116"/>
      <c r="U50" s="116"/>
      <c r="V50" s="116"/>
      <c r="W50" s="116"/>
      <c r="X50" s="134"/>
      <c r="Y50" s="289" t="s">
        <v>150</v>
      </c>
      <c r="Z50" s="290"/>
      <c r="AA50" s="291" t="s">
        <v>151</v>
      </c>
      <c r="AB50" s="292"/>
      <c r="AC50" s="293"/>
      <c r="AD50" s="126">
        <v>10</v>
      </c>
      <c r="AE50" s="111"/>
      <c r="AF50" s="111"/>
      <c r="AG50" s="120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257</v>
      </c>
      <c r="C51" s="114"/>
      <c r="D51" s="114"/>
      <c r="E51" s="114"/>
      <c r="F51" s="114"/>
      <c r="G51" s="114"/>
      <c r="H51" s="134"/>
      <c r="I51" s="118" t="s">
        <v>258</v>
      </c>
      <c r="J51" s="116"/>
      <c r="K51" s="116"/>
      <c r="L51" s="116"/>
      <c r="M51" s="116"/>
      <c r="N51" s="116"/>
      <c r="O51" s="116"/>
      <c r="P51" s="116"/>
      <c r="Q51" s="133"/>
      <c r="R51" s="8" t="s">
        <v>257</v>
      </c>
      <c r="S51" s="116"/>
      <c r="T51" s="116"/>
      <c r="U51" s="116"/>
      <c r="V51" s="116"/>
      <c r="W51" s="116"/>
      <c r="X51" s="134"/>
      <c r="Y51" s="289" t="s">
        <v>169</v>
      </c>
      <c r="Z51" s="290"/>
      <c r="AA51" s="291" t="s">
        <v>243</v>
      </c>
      <c r="AB51" s="292"/>
      <c r="AC51" s="293"/>
      <c r="AD51" s="159"/>
      <c r="AE51" s="111"/>
      <c r="AF51" s="111"/>
      <c r="AG51" s="121"/>
      <c r="AH51" s="121"/>
      <c r="AI51" s="121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5" customHeight="1" x14ac:dyDescent="0.25">
      <c r="A52" s="131">
        <f>IF(B52="","",COUNTA($B$8:B52))</f>
        <v>44</v>
      </c>
      <c r="B52" s="8" t="s">
        <v>259</v>
      </c>
      <c r="C52" s="114"/>
      <c r="D52" s="114"/>
      <c r="E52" s="114"/>
      <c r="F52" s="114"/>
      <c r="G52" s="114"/>
      <c r="H52" s="134"/>
      <c r="I52" s="118" t="s">
        <v>260</v>
      </c>
      <c r="J52" s="116"/>
      <c r="K52" s="116"/>
      <c r="L52" s="116"/>
      <c r="M52" s="116"/>
      <c r="N52" s="116"/>
      <c r="O52" s="116"/>
      <c r="P52" s="116"/>
      <c r="Q52" s="133"/>
      <c r="R52" s="8" t="s">
        <v>259</v>
      </c>
      <c r="S52" s="116"/>
      <c r="T52" s="116"/>
      <c r="U52" s="116"/>
      <c r="V52" s="116"/>
      <c r="W52" s="116"/>
      <c r="X52" s="134"/>
      <c r="Y52" s="289" t="s">
        <v>150</v>
      </c>
      <c r="Z52" s="290"/>
      <c r="AA52" s="291" t="s">
        <v>151</v>
      </c>
      <c r="AB52" s="292"/>
      <c r="AC52" s="293"/>
      <c r="AD52" s="126">
        <v>10</v>
      </c>
      <c r="AE52" s="111"/>
      <c r="AF52" s="111"/>
      <c r="AG52" s="121"/>
      <c r="AH52" s="121"/>
      <c r="AI52" s="121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5" customHeight="1" x14ac:dyDescent="0.25">
      <c r="A53" s="131">
        <f>IF(B53="","",COUNTA($B$8:B53))</f>
        <v>45</v>
      </c>
      <c r="B53" s="8" t="s">
        <v>261</v>
      </c>
      <c r="C53" s="114"/>
      <c r="D53" s="114"/>
      <c r="E53" s="114"/>
      <c r="F53" s="114"/>
      <c r="G53" s="114"/>
      <c r="H53" s="134"/>
      <c r="I53" s="118" t="s">
        <v>262</v>
      </c>
      <c r="J53" s="116"/>
      <c r="K53" s="116"/>
      <c r="L53" s="116"/>
      <c r="M53" s="116"/>
      <c r="N53" s="116"/>
      <c r="O53" s="116"/>
      <c r="P53" s="116"/>
      <c r="Q53" s="133"/>
      <c r="R53" s="8" t="s">
        <v>261</v>
      </c>
      <c r="S53" s="116"/>
      <c r="T53" s="116"/>
      <c r="U53" s="116"/>
      <c r="V53" s="116"/>
      <c r="W53" s="116"/>
      <c r="X53" s="134"/>
      <c r="Y53" s="289" t="s">
        <v>150</v>
      </c>
      <c r="Z53" s="290"/>
      <c r="AA53" s="291" t="s">
        <v>151</v>
      </c>
      <c r="AB53" s="292"/>
      <c r="AC53" s="293"/>
      <c r="AD53" s="159">
        <v>10</v>
      </c>
      <c r="AE53" s="111"/>
      <c r="AF53" s="111"/>
      <c r="AG53" s="120"/>
      <c r="AH53" s="120"/>
      <c r="AI53" s="120"/>
      <c r="AJ53" s="120"/>
      <c r="AK53" s="120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5" customHeight="1" x14ac:dyDescent="0.25">
      <c r="A54" s="131">
        <f>IF(B54="","",COUNTA($B$8:B54))</f>
        <v>46</v>
      </c>
      <c r="B54" s="8" t="s">
        <v>263</v>
      </c>
      <c r="C54" s="114"/>
      <c r="D54" s="114"/>
      <c r="E54" s="114"/>
      <c r="F54" s="114"/>
      <c r="G54" s="114"/>
      <c r="H54" s="134"/>
      <c r="I54" s="118" t="s">
        <v>264</v>
      </c>
      <c r="J54" s="116"/>
      <c r="K54" s="116"/>
      <c r="L54" s="116"/>
      <c r="M54" s="116"/>
      <c r="N54" s="116"/>
      <c r="O54" s="116"/>
      <c r="P54" s="116"/>
      <c r="Q54" s="133"/>
      <c r="R54" s="132" t="s">
        <v>263</v>
      </c>
      <c r="S54" s="116"/>
      <c r="T54" s="116"/>
      <c r="U54" s="116"/>
      <c r="V54" s="116"/>
      <c r="W54" s="116"/>
      <c r="X54" s="134"/>
      <c r="Y54" s="289" t="s">
        <v>169</v>
      </c>
      <c r="Z54" s="290"/>
      <c r="AA54" s="291" t="s">
        <v>243</v>
      </c>
      <c r="AB54" s="292"/>
      <c r="AC54" s="293"/>
      <c r="AD54" s="159"/>
      <c r="AE54" s="111"/>
      <c r="AF54" s="111"/>
      <c r="AG54" s="12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5" customHeight="1" x14ac:dyDescent="0.25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32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89"/>
      <c r="Z55" s="290"/>
      <c r="AA55" s="291"/>
      <c r="AB55" s="292"/>
      <c r="AC55" s="293"/>
      <c r="AD55" s="159"/>
      <c r="AE55" s="111" t="s">
        <v>244</v>
      </c>
      <c r="AF55" s="111"/>
      <c r="AG55" s="12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5" customHeight="1" x14ac:dyDescent="0.25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32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89"/>
      <c r="Z56" s="290"/>
      <c r="AA56" s="291"/>
      <c r="AB56" s="292"/>
      <c r="AC56" s="293"/>
      <c r="AD56" s="159"/>
      <c r="AE56" s="111" t="s">
        <v>244</v>
      </c>
      <c r="AF56" s="111"/>
      <c r="AG56" s="12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5" customHeight="1" x14ac:dyDescent="0.25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32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89"/>
      <c r="Z57" s="290"/>
      <c r="AA57" s="291"/>
      <c r="AB57" s="292"/>
      <c r="AC57" s="293"/>
      <c r="AD57" s="159"/>
      <c r="AE57" s="111" t="s">
        <v>244</v>
      </c>
      <c r="AF57" s="111"/>
      <c r="AG57" s="12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5" customHeight="1" x14ac:dyDescent="0.25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32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89"/>
      <c r="Z58" s="290"/>
      <c r="AA58" s="291"/>
      <c r="AB58" s="292"/>
      <c r="AC58" s="293"/>
      <c r="AD58" s="159"/>
      <c r="AE58" s="111" t="s">
        <v>244</v>
      </c>
      <c r="AF58" s="111"/>
      <c r="AG58" s="12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5" customHeight="1" x14ac:dyDescent="0.25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32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89"/>
      <c r="Z59" s="290"/>
      <c r="AA59" s="291"/>
      <c r="AB59" s="292"/>
      <c r="AC59" s="293"/>
      <c r="AD59" s="159"/>
      <c r="AE59" s="111" t="s">
        <v>244</v>
      </c>
      <c r="AF59" s="111"/>
      <c r="AG59" s="12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5" customHeight="1" x14ac:dyDescent="0.25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32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89"/>
      <c r="Z60" s="290"/>
      <c r="AA60" s="291"/>
      <c r="AB60" s="292"/>
      <c r="AC60" s="293"/>
      <c r="AD60" s="159"/>
      <c r="AE60" s="111" t="s">
        <v>244</v>
      </c>
      <c r="AF60" s="111"/>
      <c r="AG60" s="12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5" customHeight="1" x14ac:dyDescent="0.25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32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89"/>
      <c r="Z61" s="290"/>
      <c r="AA61" s="291"/>
      <c r="AB61" s="292"/>
      <c r="AC61" s="293"/>
      <c r="AD61" s="159"/>
      <c r="AE61" s="111" t="s">
        <v>244</v>
      </c>
      <c r="AF61" s="111"/>
      <c r="AG61" s="12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5" customHeight="1" x14ac:dyDescent="0.25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32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89"/>
      <c r="Z62" s="290"/>
      <c r="AA62" s="291"/>
      <c r="AB62" s="292"/>
      <c r="AC62" s="293"/>
      <c r="AD62" s="159"/>
      <c r="AE62" s="111" t="s">
        <v>244</v>
      </c>
      <c r="AF62" s="111"/>
      <c r="AG62" s="12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5" customHeight="1" x14ac:dyDescent="0.25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32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89"/>
      <c r="Z63" s="290"/>
      <c r="AA63" s="291"/>
      <c r="AB63" s="292"/>
      <c r="AC63" s="293"/>
      <c r="AD63" s="159"/>
      <c r="AE63" s="111" t="s">
        <v>244</v>
      </c>
      <c r="AF63" s="111"/>
      <c r="AG63" s="12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5" customHeight="1" x14ac:dyDescent="0.25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32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89"/>
      <c r="Z64" s="290"/>
      <c r="AA64" s="291"/>
      <c r="AB64" s="292"/>
      <c r="AC64" s="293"/>
      <c r="AD64" s="159"/>
      <c r="AE64" s="111" t="s">
        <v>244</v>
      </c>
      <c r="AF64" s="111"/>
      <c r="AG64" s="12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32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89"/>
      <c r="Z65" s="290"/>
      <c r="AA65" s="291"/>
      <c r="AB65" s="292"/>
      <c r="AC65" s="293"/>
      <c r="AD65" s="159"/>
      <c r="AE65" s="111" t="s">
        <v>244</v>
      </c>
      <c r="AF65" s="111"/>
      <c r="AG65" s="12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32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89"/>
      <c r="Z66" s="290"/>
      <c r="AA66" s="291"/>
      <c r="AB66" s="292"/>
      <c r="AC66" s="293"/>
      <c r="AD66" s="159"/>
      <c r="AE66" s="111" t="s">
        <v>244</v>
      </c>
      <c r="AF66" s="111"/>
      <c r="AG66" s="12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32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89"/>
      <c r="Z67" s="290"/>
      <c r="AA67" s="291"/>
      <c r="AB67" s="292"/>
      <c r="AC67" s="293"/>
      <c r="AD67" s="159"/>
      <c r="AE67" s="111" t="s">
        <v>244</v>
      </c>
      <c r="AF67" s="111"/>
      <c r="AG67" s="12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32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89"/>
      <c r="Z68" s="290"/>
      <c r="AA68" s="291"/>
      <c r="AB68" s="292"/>
      <c r="AC68" s="293"/>
      <c r="AD68" s="159"/>
      <c r="AE68" s="111" t="s">
        <v>244</v>
      </c>
      <c r="AF68" s="111"/>
      <c r="AG68" s="12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32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89"/>
      <c r="Z69" s="290"/>
      <c r="AA69" s="291"/>
      <c r="AB69" s="292"/>
      <c r="AC69" s="293"/>
      <c r="AD69" s="159"/>
      <c r="AE69" s="111" t="s">
        <v>244</v>
      </c>
      <c r="AF69" s="111"/>
      <c r="AG69" s="12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32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89"/>
      <c r="Z70" s="290"/>
      <c r="AA70" s="291"/>
      <c r="AB70" s="292"/>
      <c r="AC70" s="293"/>
      <c r="AD70" s="159"/>
      <c r="AE70" s="111" t="s">
        <v>244</v>
      </c>
      <c r="AF70" s="111"/>
      <c r="AG70" s="12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32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89"/>
      <c r="Z71" s="290"/>
      <c r="AA71" s="291"/>
      <c r="AB71" s="292"/>
      <c r="AC71" s="293"/>
      <c r="AD71" s="159"/>
      <c r="AE71" s="111" t="s">
        <v>244</v>
      </c>
      <c r="AF71" s="111"/>
      <c r="AG71" s="12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32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89"/>
      <c r="Z72" s="290"/>
      <c r="AA72" s="291"/>
      <c r="AB72" s="292"/>
      <c r="AC72" s="293"/>
      <c r="AD72" s="159"/>
      <c r="AE72" s="111" t="s">
        <v>244</v>
      </c>
      <c r="AF72" s="111"/>
      <c r="AG72" s="12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32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89"/>
      <c r="Z73" s="290"/>
      <c r="AA73" s="291"/>
      <c r="AB73" s="292"/>
      <c r="AC73" s="293"/>
      <c r="AD73" s="159"/>
      <c r="AE73" s="111" t="s">
        <v>244</v>
      </c>
      <c r="AF73" s="111"/>
      <c r="AG73" s="12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32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89"/>
      <c r="Z74" s="290"/>
      <c r="AA74" s="291"/>
      <c r="AB74" s="292"/>
      <c r="AC74" s="293"/>
      <c r="AD74" s="159"/>
      <c r="AE74" s="111" t="s">
        <v>244</v>
      </c>
      <c r="AF74" s="111"/>
      <c r="AG74" s="12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32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89"/>
      <c r="Z75" s="290"/>
      <c r="AA75" s="291"/>
      <c r="AB75" s="292"/>
      <c r="AC75" s="293"/>
      <c r="AD75" s="159"/>
      <c r="AE75" s="111" t="s">
        <v>244</v>
      </c>
      <c r="AF75" s="111"/>
      <c r="AG75" s="12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s="1" customFormat="1" ht="14.45" customHeight="1" x14ac:dyDescent="0.25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32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89"/>
      <c r="Z76" s="290"/>
      <c r="AA76" s="291"/>
      <c r="AB76" s="292"/>
      <c r="AC76" s="293"/>
      <c r="AD76" s="159"/>
      <c r="AE76" s="111" t="s">
        <v>244</v>
      </c>
      <c r="AF76" s="111"/>
      <c r="AG76" s="12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s="1" customFormat="1" ht="14.45" customHeight="1" x14ac:dyDescent="0.25">
      <c r="A77" s="131" t="str">
        <f>IF(B77="","",COUNTA($B$8:B77))</f>
        <v/>
      </c>
      <c r="B77" s="8"/>
      <c r="C77" s="114"/>
      <c r="D77" s="114"/>
      <c r="E77" s="114"/>
      <c r="F77" s="114"/>
      <c r="G77" s="114"/>
      <c r="H77" s="134"/>
      <c r="I77" s="132"/>
      <c r="J77" s="116"/>
      <c r="K77" s="116"/>
      <c r="L77" s="116"/>
      <c r="M77" s="116"/>
      <c r="N77" s="116"/>
      <c r="O77" s="116"/>
      <c r="P77" s="116"/>
      <c r="Q77" s="133"/>
      <c r="R77" s="8"/>
      <c r="S77" s="116"/>
      <c r="T77" s="116"/>
      <c r="U77" s="116"/>
      <c r="V77" s="116"/>
      <c r="W77" s="116"/>
      <c r="X77" s="134"/>
      <c r="Y77" s="289"/>
      <c r="Z77" s="290"/>
      <c r="AA77" s="291"/>
      <c r="AB77" s="292"/>
      <c r="AC77" s="293"/>
      <c r="AD77" s="159"/>
      <c r="AE77" s="111" t="s">
        <v>244</v>
      </c>
      <c r="AF77" s="111"/>
      <c r="AG77" s="121"/>
      <c r="AH77" s="121"/>
      <c r="AI77" s="121"/>
      <c r="AJ77" s="121"/>
      <c r="AK77" s="121"/>
      <c r="AL77" s="121"/>
      <c r="AM77" s="121"/>
      <c r="AN77" s="121"/>
      <c r="AO77" s="122"/>
      <c r="AP77" s="122"/>
      <c r="AQ77" s="122"/>
      <c r="AR77" s="122"/>
      <c r="AS77" s="123"/>
      <c r="AT77" s="161"/>
      <c r="AU77" s="124"/>
      <c r="AV77" s="124"/>
      <c r="AW77" s="124"/>
      <c r="AX77" s="124"/>
      <c r="AY77" s="124"/>
      <c r="AZ77" s="124"/>
      <c r="BA77" s="124"/>
      <c r="BB77" s="124"/>
      <c r="BC77" s="124"/>
      <c r="BD77" s="125"/>
    </row>
    <row r="78" spans="1:56" s="1" customFormat="1" ht="14.45" customHeight="1" x14ac:dyDescent="0.25">
      <c r="A78" s="131" t="str">
        <f>IF(B78="","",COUNTA($B$8:B78))</f>
        <v/>
      </c>
      <c r="B78" s="8"/>
      <c r="C78" s="114"/>
      <c r="D78" s="114"/>
      <c r="E78" s="114"/>
      <c r="F78" s="114"/>
      <c r="G78" s="114"/>
      <c r="H78" s="134"/>
      <c r="I78" s="132"/>
      <c r="J78" s="116"/>
      <c r="K78" s="116"/>
      <c r="L78" s="116"/>
      <c r="M78" s="116"/>
      <c r="N78" s="116"/>
      <c r="O78" s="116"/>
      <c r="P78" s="116"/>
      <c r="Q78" s="133"/>
      <c r="R78" s="8"/>
      <c r="S78" s="116"/>
      <c r="T78" s="116"/>
      <c r="U78" s="116"/>
      <c r="V78" s="116"/>
      <c r="W78" s="116"/>
      <c r="X78" s="134"/>
      <c r="Y78" s="289"/>
      <c r="Z78" s="290"/>
      <c r="AA78" s="291"/>
      <c r="AB78" s="292"/>
      <c r="AC78" s="293"/>
      <c r="AD78" s="159"/>
      <c r="AE78" s="111" t="s">
        <v>244</v>
      </c>
      <c r="AF78" s="111"/>
      <c r="AG78" s="121"/>
      <c r="AH78" s="121"/>
      <c r="AI78" s="121"/>
      <c r="AJ78" s="121"/>
      <c r="AK78" s="121"/>
      <c r="AL78" s="121"/>
      <c r="AM78" s="121"/>
      <c r="AN78" s="121"/>
      <c r="AO78" s="122"/>
      <c r="AP78" s="122"/>
      <c r="AQ78" s="122"/>
      <c r="AR78" s="122"/>
      <c r="AS78" s="123"/>
      <c r="AT78" s="161"/>
      <c r="AU78" s="124"/>
      <c r="AV78" s="124"/>
      <c r="AW78" s="124"/>
      <c r="AX78" s="124"/>
      <c r="AY78" s="124"/>
      <c r="AZ78" s="124"/>
      <c r="BA78" s="124"/>
      <c r="BB78" s="124"/>
      <c r="BC78" s="124"/>
      <c r="BD78" s="125"/>
    </row>
    <row r="79" spans="1:56" s="1" customFormat="1" ht="14.45" customHeight="1" x14ac:dyDescent="0.25">
      <c r="A79" s="131" t="str">
        <f>IF(B79="","",COUNTA($B$8:B79))</f>
        <v/>
      </c>
      <c r="B79" s="8"/>
      <c r="C79" s="114"/>
      <c r="D79" s="114"/>
      <c r="E79" s="114"/>
      <c r="F79" s="114"/>
      <c r="G79" s="114"/>
      <c r="H79" s="134"/>
      <c r="I79" s="132"/>
      <c r="J79" s="116"/>
      <c r="K79" s="116"/>
      <c r="L79" s="116"/>
      <c r="M79" s="116"/>
      <c r="N79" s="116"/>
      <c r="O79" s="116"/>
      <c r="P79" s="116"/>
      <c r="Q79" s="133"/>
      <c r="R79" s="8"/>
      <c r="S79" s="116"/>
      <c r="T79" s="116"/>
      <c r="U79" s="116"/>
      <c r="V79" s="116"/>
      <c r="W79" s="116"/>
      <c r="X79" s="134"/>
      <c r="Y79" s="289"/>
      <c r="Z79" s="290"/>
      <c r="AA79" s="291"/>
      <c r="AB79" s="292"/>
      <c r="AC79" s="293"/>
      <c r="AD79" s="159"/>
      <c r="AE79" s="111" t="s">
        <v>244</v>
      </c>
      <c r="AF79" s="111"/>
      <c r="AG79" s="121"/>
      <c r="AH79" s="121"/>
      <c r="AI79" s="121"/>
      <c r="AJ79" s="121"/>
      <c r="AK79" s="121"/>
      <c r="AL79" s="121"/>
      <c r="AM79" s="121"/>
      <c r="AN79" s="121"/>
      <c r="AO79" s="122"/>
      <c r="AP79" s="122"/>
      <c r="AQ79" s="122"/>
      <c r="AR79" s="122"/>
      <c r="AS79" s="123"/>
      <c r="AT79" s="161"/>
      <c r="AU79" s="124"/>
      <c r="AV79" s="124"/>
      <c r="AW79" s="124"/>
      <c r="AX79" s="124"/>
      <c r="AY79" s="124"/>
      <c r="AZ79" s="124"/>
      <c r="BA79" s="124"/>
      <c r="BB79" s="124"/>
      <c r="BC79" s="124"/>
      <c r="BD79" s="125"/>
    </row>
    <row r="80" spans="1:56" s="1" customFormat="1" ht="14.45" customHeight="1" x14ac:dyDescent="0.25">
      <c r="A80" s="131" t="str">
        <f>IF(B80="","",COUNTA($B$8:B80))</f>
        <v/>
      </c>
      <c r="B80" s="8"/>
      <c r="C80" s="114"/>
      <c r="D80" s="114"/>
      <c r="E80" s="114"/>
      <c r="F80" s="114"/>
      <c r="G80" s="114"/>
      <c r="H80" s="134"/>
      <c r="I80" s="132"/>
      <c r="J80" s="116"/>
      <c r="K80" s="116"/>
      <c r="L80" s="116"/>
      <c r="M80" s="116"/>
      <c r="N80" s="116"/>
      <c r="O80" s="116"/>
      <c r="P80" s="116"/>
      <c r="Q80" s="133"/>
      <c r="R80" s="8"/>
      <c r="S80" s="116"/>
      <c r="T80" s="116"/>
      <c r="U80" s="116"/>
      <c r="V80" s="116"/>
      <c r="W80" s="116"/>
      <c r="X80" s="134"/>
      <c r="Y80" s="289"/>
      <c r="Z80" s="290"/>
      <c r="AA80" s="291"/>
      <c r="AB80" s="292"/>
      <c r="AC80" s="293"/>
      <c r="AD80" s="159"/>
      <c r="AE80" s="111" t="s">
        <v>244</v>
      </c>
      <c r="AF80" s="111"/>
      <c r="AG80" s="121"/>
      <c r="AH80" s="121"/>
      <c r="AI80" s="121"/>
      <c r="AJ80" s="121"/>
      <c r="AK80" s="121"/>
      <c r="AL80" s="121"/>
      <c r="AM80" s="121"/>
      <c r="AN80" s="121"/>
      <c r="AO80" s="122"/>
      <c r="AP80" s="122"/>
      <c r="AQ80" s="122"/>
      <c r="AR80" s="122"/>
      <c r="AS80" s="123"/>
      <c r="AT80" s="161"/>
      <c r="AU80" s="124"/>
      <c r="AV80" s="124"/>
      <c r="AW80" s="124"/>
      <c r="AX80" s="124"/>
      <c r="AY80" s="124"/>
      <c r="AZ80" s="124"/>
      <c r="BA80" s="124"/>
      <c r="BB80" s="124"/>
      <c r="BC80" s="124"/>
      <c r="BD80" s="125"/>
    </row>
    <row r="81" spans="1:56" s="1" customFormat="1" ht="14.45" customHeight="1" x14ac:dyDescent="0.25">
      <c r="A81" s="131" t="str">
        <f>IF(B81="","",COUNTA($B$8:B81))</f>
        <v/>
      </c>
      <c r="B81" s="8"/>
      <c r="C81" s="114"/>
      <c r="D81" s="114"/>
      <c r="E81" s="114"/>
      <c r="F81" s="114"/>
      <c r="G81" s="114"/>
      <c r="H81" s="134"/>
      <c r="I81" s="132"/>
      <c r="J81" s="116"/>
      <c r="K81" s="116"/>
      <c r="L81" s="116"/>
      <c r="M81" s="116"/>
      <c r="N81" s="116"/>
      <c r="O81" s="116"/>
      <c r="P81" s="116"/>
      <c r="Q81" s="133"/>
      <c r="R81" s="8"/>
      <c r="S81" s="116"/>
      <c r="T81" s="116"/>
      <c r="U81" s="116"/>
      <c r="V81" s="116"/>
      <c r="W81" s="116"/>
      <c r="X81" s="134"/>
      <c r="Y81" s="289"/>
      <c r="Z81" s="290"/>
      <c r="AA81" s="291"/>
      <c r="AB81" s="292"/>
      <c r="AC81" s="293"/>
      <c r="AD81" s="159"/>
      <c r="AE81" s="111" t="s">
        <v>244</v>
      </c>
      <c r="AF81" s="111"/>
      <c r="AG81" s="121"/>
      <c r="AH81" s="121"/>
      <c r="AI81" s="121"/>
      <c r="AJ81" s="121"/>
      <c r="AK81" s="121"/>
      <c r="AL81" s="121"/>
      <c r="AM81" s="121"/>
      <c r="AN81" s="121"/>
      <c r="AO81" s="122"/>
      <c r="AP81" s="122"/>
      <c r="AQ81" s="122"/>
      <c r="AR81" s="122"/>
      <c r="AS81" s="123"/>
      <c r="AT81" s="161"/>
      <c r="AU81" s="124"/>
      <c r="AV81" s="124"/>
      <c r="AW81" s="124"/>
      <c r="AX81" s="124"/>
      <c r="AY81" s="124"/>
      <c r="AZ81" s="124"/>
      <c r="BA81" s="124"/>
      <c r="BB81" s="124"/>
      <c r="BC81" s="124"/>
      <c r="BD81" s="125"/>
    </row>
    <row r="82" spans="1:56" s="1" customFormat="1" ht="14.45" customHeight="1" x14ac:dyDescent="0.25">
      <c r="A82" s="131" t="str">
        <f>IF(B82="","",COUNTA($B$8:B82))</f>
        <v/>
      </c>
      <c r="B82" s="8"/>
      <c r="C82" s="114"/>
      <c r="D82" s="114"/>
      <c r="E82" s="114"/>
      <c r="F82" s="114"/>
      <c r="G82" s="114"/>
      <c r="H82" s="134"/>
      <c r="I82" s="132"/>
      <c r="J82" s="116"/>
      <c r="K82" s="116"/>
      <c r="L82" s="116"/>
      <c r="M82" s="116"/>
      <c r="N82" s="116"/>
      <c r="O82" s="116"/>
      <c r="P82" s="116"/>
      <c r="Q82" s="133"/>
      <c r="R82" s="8"/>
      <c r="S82" s="116"/>
      <c r="T82" s="116"/>
      <c r="U82" s="116"/>
      <c r="V82" s="116"/>
      <c r="W82" s="116"/>
      <c r="X82" s="134"/>
      <c r="Y82" s="289"/>
      <c r="Z82" s="290"/>
      <c r="AA82" s="291"/>
      <c r="AB82" s="292"/>
      <c r="AC82" s="293"/>
      <c r="AD82" s="159"/>
      <c r="AE82" s="111" t="s">
        <v>244</v>
      </c>
      <c r="AF82" s="111"/>
      <c r="AG82" s="121"/>
      <c r="AH82" s="121"/>
      <c r="AI82" s="121"/>
      <c r="AJ82" s="121"/>
      <c r="AK82" s="121"/>
      <c r="AL82" s="121"/>
      <c r="AM82" s="121"/>
      <c r="AN82" s="121"/>
      <c r="AO82" s="122"/>
      <c r="AP82" s="122"/>
      <c r="AQ82" s="122"/>
      <c r="AR82" s="122"/>
      <c r="AS82" s="123"/>
      <c r="AT82" s="161"/>
      <c r="AU82" s="124"/>
      <c r="AV82" s="124"/>
      <c r="AW82" s="124"/>
      <c r="AX82" s="124"/>
      <c r="AY82" s="124"/>
      <c r="AZ82" s="124"/>
      <c r="BA82" s="124"/>
      <c r="BB82" s="124"/>
      <c r="BC82" s="124"/>
      <c r="BD82" s="125"/>
    </row>
    <row r="83" spans="1:56" s="1" customFormat="1" ht="14.45" customHeight="1" x14ac:dyDescent="0.25">
      <c r="A83" s="131" t="str">
        <f>IF(B83="","",COUNTA($B$8:B83))</f>
        <v/>
      </c>
      <c r="B83" s="8"/>
      <c r="C83" s="114"/>
      <c r="D83" s="114"/>
      <c r="E83" s="114"/>
      <c r="F83" s="114"/>
      <c r="G83" s="114"/>
      <c r="H83" s="134"/>
      <c r="I83" s="132"/>
      <c r="J83" s="116"/>
      <c r="K83" s="116"/>
      <c r="L83" s="116"/>
      <c r="M83" s="116"/>
      <c r="N83" s="116"/>
      <c r="O83" s="116"/>
      <c r="P83" s="116"/>
      <c r="Q83" s="133"/>
      <c r="R83" s="8"/>
      <c r="S83" s="116"/>
      <c r="T83" s="116"/>
      <c r="U83" s="116"/>
      <c r="V83" s="116"/>
      <c r="W83" s="116"/>
      <c r="X83" s="134"/>
      <c r="Y83" s="289"/>
      <c r="Z83" s="290"/>
      <c r="AA83" s="291"/>
      <c r="AB83" s="292"/>
      <c r="AC83" s="293"/>
      <c r="AD83" s="159"/>
      <c r="AE83" s="111" t="s">
        <v>244</v>
      </c>
      <c r="AF83" s="111"/>
      <c r="AG83" s="121"/>
      <c r="AH83" s="121"/>
      <c r="AI83" s="121"/>
      <c r="AJ83" s="121"/>
      <c r="AK83" s="121"/>
      <c r="AL83" s="121"/>
      <c r="AM83" s="121"/>
      <c r="AN83" s="121"/>
      <c r="AO83" s="122"/>
      <c r="AP83" s="122"/>
      <c r="AQ83" s="122"/>
      <c r="AR83" s="122"/>
      <c r="AS83" s="123"/>
      <c r="AT83" s="161"/>
      <c r="AU83" s="124"/>
      <c r="AV83" s="124"/>
      <c r="AW83" s="124"/>
      <c r="AX83" s="124"/>
      <c r="AY83" s="124"/>
      <c r="AZ83" s="124"/>
      <c r="BA83" s="124"/>
      <c r="BB83" s="124"/>
      <c r="BC83" s="124"/>
      <c r="BD83" s="125"/>
    </row>
    <row r="84" spans="1:56" s="1" customFormat="1" ht="14.45" customHeight="1" x14ac:dyDescent="0.25">
      <c r="A84" s="131" t="str">
        <f>IF(B84="","",COUNTA($B$8:B84))</f>
        <v/>
      </c>
      <c r="B84" s="8"/>
      <c r="C84" s="114"/>
      <c r="D84" s="114"/>
      <c r="E84" s="114"/>
      <c r="F84" s="114"/>
      <c r="G84" s="114"/>
      <c r="H84" s="134"/>
      <c r="I84" s="132"/>
      <c r="J84" s="116"/>
      <c r="K84" s="116"/>
      <c r="L84" s="116"/>
      <c r="M84" s="116"/>
      <c r="N84" s="116"/>
      <c r="O84" s="116"/>
      <c r="P84" s="116"/>
      <c r="Q84" s="133"/>
      <c r="R84" s="8"/>
      <c r="S84" s="116"/>
      <c r="T84" s="116"/>
      <c r="U84" s="116"/>
      <c r="V84" s="116"/>
      <c r="W84" s="116"/>
      <c r="X84" s="134"/>
      <c r="Y84" s="289"/>
      <c r="Z84" s="290"/>
      <c r="AA84" s="291"/>
      <c r="AB84" s="292"/>
      <c r="AC84" s="293"/>
      <c r="AD84" s="159"/>
      <c r="AE84" s="111" t="s">
        <v>244</v>
      </c>
      <c r="AF84" s="111"/>
      <c r="AG84" s="121"/>
      <c r="AH84" s="121"/>
      <c r="AI84" s="121"/>
      <c r="AJ84" s="121"/>
      <c r="AK84" s="121"/>
      <c r="AL84" s="121"/>
      <c r="AM84" s="121"/>
      <c r="AN84" s="121"/>
      <c r="AO84" s="122"/>
      <c r="AP84" s="122"/>
      <c r="AQ84" s="122"/>
      <c r="AR84" s="122"/>
      <c r="AS84" s="123"/>
      <c r="AT84" s="161"/>
      <c r="AU84" s="124"/>
      <c r="AV84" s="124"/>
      <c r="AW84" s="124"/>
      <c r="AX84" s="124"/>
      <c r="AY84" s="124"/>
      <c r="AZ84" s="124"/>
      <c r="BA84" s="124"/>
      <c r="BB84" s="124"/>
      <c r="BC84" s="124"/>
      <c r="BD84" s="125"/>
    </row>
    <row r="85" spans="1:56" s="1" customFormat="1" ht="14.45" customHeight="1" x14ac:dyDescent="0.25">
      <c r="A85" s="131" t="str">
        <f>IF(B85="","",COUNTA($B$8:B85))</f>
        <v/>
      </c>
      <c r="B85" s="8"/>
      <c r="C85" s="114"/>
      <c r="D85" s="114"/>
      <c r="E85" s="114"/>
      <c r="F85" s="114"/>
      <c r="G85" s="114"/>
      <c r="H85" s="134"/>
      <c r="I85" s="132"/>
      <c r="J85" s="116"/>
      <c r="K85" s="116"/>
      <c r="L85" s="116"/>
      <c r="M85" s="116"/>
      <c r="N85" s="116"/>
      <c r="O85" s="116"/>
      <c r="P85" s="116"/>
      <c r="Q85" s="133"/>
      <c r="R85" s="8"/>
      <c r="S85" s="116"/>
      <c r="T85" s="116"/>
      <c r="U85" s="116"/>
      <c r="V85" s="116"/>
      <c r="W85" s="116"/>
      <c r="X85" s="134"/>
      <c r="Y85" s="289"/>
      <c r="Z85" s="290"/>
      <c r="AA85" s="291"/>
      <c r="AB85" s="292"/>
      <c r="AC85" s="293"/>
      <c r="AD85" s="159"/>
      <c r="AE85" s="111" t="s">
        <v>244</v>
      </c>
      <c r="AF85" s="111"/>
      <c r="AG85" s="121"/>
      <c r="AH85" s="121"/>
      <c r="AI85" s="121"/>
      <c r="AJ85" s="121"/>
      <c r="AK85" s="121"/>
      <c r="AL85" s="121"/>
      <c r="AM85" s="121"/>
      <c r="AN85" s="121"/>
      <c r="AO85" s="122"/>
      <c r="AP85" s="122"/>
      <c r="AQ85" s="122"/>
      <c r="AR85" s="122"/>
      <c r="AS85" s="123"/>
      <c r="AT85" s="161"/>
      <c r="AU85" s="124"/>
      <c r="AV85" s="124"/>
      <c r="AW85" s="124"/>
      <c r="AX85" s="124"/>
      <c r="AY85" s="124"/>
      <c r="AZ85" s="124"/>
      <c r="BA85" s="124"/>
      <c r="BB85" s="124"/>
      <c r="BC85" s="124"/>
      <c r="BD85" s="125"/>
    </row>
  </sheetData>
  <mergeCells count="182">
    <mergeCell ref="AA37:AC37"/>
    <mergeCell ref="AA38:AC38"/>
    <mergeCell ref="Y47:Z47"/>
    <mergeCell ref="AA47:AC47"/>
    <mergeCell ref="Y48:Z48"/>
    <mergeCell ref="AA13:AC13"/>
    <mergeCell ref="AA14:AC14"/>
    <mergeCell ref="AA15:AC15"/>
    <mergeCell ref="AA16:AC16"/>
    <mergeCell ref="AA17:AC17"/>
    <mergeCell ref="Y85:Z85"/>
    <mergeCell ref="AA85:AC85"/>
    <mergeCell ref="AA43:AC43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48:AC48"/>
    <mergeCell ref="Y49:Z49"/>
    <mergeCell ref="AA34:AC34"/>
    <mergeCell ref="AA35:AC35"/>
    <mergeCell ref="AA36:AC36"/>
    <mergeCell ref="Y1:AO1"/>
    <mergeCell ref="AP1:AT1"/>
    <mergeCell ref="AZ2:BD2"/>
    <mergeCell ref="AP3:AT3"/>
    <mergeCell ref="AU3:AY3"/>
    <mergeCell ref="AZ3:BD3"/>
    <mergeCell ref="AA10:AC10"/>
    <mergeCell ref="AA11:AC11"/>
    <mergeCell ref="AA12:AC12"/>
    <mergeCell ref="AA22:AC22"/>
    <mergeCell ref="AA23:AC23"/>
    <mergeCell ref="AA24:AC24"/>
    <mergeCell ref="Y18:Z18"/>
    <mergeCell ref="Y21:Z21"/>
    <mergeCell ref="Y12:Z12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20:Z20"/>
    <mergeCell ref="AA20:AC20"/>
    <mergeCell ref="Y16:Z16"/>
    <mergeCell ref="Y17:Z17"/>
    <mergeCell ref="Y10:Z10"/>
    <mergeCell ref="Y11:Z11"/>
    <mergeCell ref="AP2:AT2"/>
    <mergeCell ref="AU1:AY1"/>
    <mergeCell ref="Y44:Z44"/>
    <mergeCell ref="AA44:AC44"/>
    <mergeCell ref="Y43:Z43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45:AC45"/>
    <mergeCell ref="AA46:AC46"/>
    <mergeCell ref="Y53:Z53"/>
    <mergeCell ref="AA53:AC53"/>
    <mergeCell ref="Y54:Z54"/>
    <mergeCell ref="AA54:AC54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51:Z51"/>
    <mergeCell ref="AA51:AC51"/>
    <mergeCell ref="Y52:Z52"/>
    <mergeCell ref="AA52:AC52"/>
    <mergeCell ref="AA61:AC61"/>
    <mergeCell ref="Y62:Z62"/>
    <mergeCell ref="AA62:AC62"/>
    <mergeCell ref="AA49:AC49"/>
    <mergeCell ref="Y50:Z50"/>
    <mergeCell ref="AA50:AC50"/>
    <mergeCell ref="Y56:Z56"/>
    <mergeCell ref="AA56:AC56"/>
    <mergeCell ref="Y57:Z57"/>
    <mergeCell ref="AA57:AC57"/>
    <mergeCell ref="Y58:Z58"/>
    <mergeCell ref="AA58:AC58"/>
    <mergeCell ref="Y69:Z69"/>
    <mergeCell ref="AA69:AC69"/>
    <mergeCell ref="Y55:Z55"/>
    <mergeCell ref="AA55:AC55"/>
    <mergeCell ref="Y70:Z70"/>
    <mergeCell ref="AA70:AC70"/>
    <mergeCell ref="Y71:Z71"/>
    <mergeCell ref="AA71:AC71"/>
    <mergeCell ref="Y32:Z32"/>
    <mergeCell ref="Y41:Z41"/>
    <mergeCell ref="Y42:Z4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59:Z59"/>
    <mergeCell ref="AA59:AC59"/>
    <mergeCell ref="Y60:Z60"/>
    <mergeCell ref="AA60:AC60"/>
    <mergeCell ref="Y61:Z61"/>
    <mergeCell ref="Y63:Z63"/>
    <mergeCell ref="AA63:AC63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82:Z82"/>
    <mergeCell ref="AA82:AC82"/>
    <mergeCell ref="Y83:Z83"/>
    <mergeCell ref="AA83:AC83"/>
    <mergeCell ref="Y84:Z84"/>
    <mergeCell ref="AA84:AC84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</mergeCells>
  <phoneticPr fontId="5"/>
  <dataValidations count="3">
    <dataValidation imeMode="hiragana" allowBlank="1" showInputMessage="1" showErrorMessage="1" sqref="JO65515:JZ65517 TK65515:TV65517 ADG65515:ADR65517 ANC65515:ANN65517 AWY65515:AXJ65517 BGU65515:BHF65517 BQQ65515:BRB65517 CAM65515:CAX65517 CKI65515:CKT65517 CUE65515:CUP65517 DEA65515:DEL65517 DNW65515:DOH65517 DXS65515:DYD65517 EHO65515:EHZ65517 ERK65515:ERV65517 FBG65515:FBR65517 FLC65515:FLN65517 FUY65515:FVJ65517 GEU65515:GFF65517 GOQ65515:GPB65517 GYM65515:GYX65517 HII65515:HIT65517 HSE65515:HSP65517 ICA65515:ICL65517 ILW65515:IMH65517 IVS65515:IWD65517 JFO65515:JFZ65517 JPK65515:JPV65517 JZG65515:JZR65517 KJC65515:KJN65517 KSY65515:KTJ65517 LCU65515:LDF65517 LMQ65515:LNB65517 LWM65515:LWX65517 MGI65515:MGT65517 MQE65515:MQP65517 NAA65515:NAL65517 NJW65515:NKH65517 NTS65515:NUD65517 ODO65515:ODZ65517 ONK65515:ONV65517 OXG65515:OXR65517 PHC65515:PHN65517 PQY65515:PRJ65517 QAU65515:QBF65517 QKQ65515:QLB65517 QUM65515:QUX65517 REI65515:RET65517 ROE65515:ROP65517 RYA65515:RYL65517 SHW65515:SIH65517 SRS65515:SSD65517 TBO65515:TBZ65517 TLK65515:TLV65517 TVG65515:TVR65517 UFC65515:UFN65517 UOY65515:UPJ65517 UYU65515:UZF65517 VIQ65515:VJB65517 VSM65515:VSX65517 WCI65515:WCT65517 WME65515:WMP65517 WWA65515:WWL65517 JO131051:JZ131053 TK131051:TV131053 ADG131051:ADR131053 ANC131051:ANN131053 AWY131051:AXJ131053 BGU131051:BHF131053 BQQ131051:BRB131053 CAM131051:CAX131053 CKI131051:CKT131053 CUE131051:CUP131053 DEA131051:DEL131053 DNW131051:DOH131053 DXS131051:DYD131053 EHO131051:EHZ131053 ERK131051:ERV131053 FBG131051:FBR131053 FLC131051:FLN131053 FUY131051:FVJ131053 GEU131051:GFF131053 GOQ131051:GPB131053 GYM131051:GYX131053 HII131051:HIT131053 HSE131051:HSP131053 ICA131051:ICL131053 ILW131051:IMH131053 IVS131051:IWD131053 JFO131051:JFZ131053 JPK131051:JPV131053 JZG131051:JZR131053 KJC131051:KJN131053 KSY131051:KTJ131053 LCU131051:LDF131053 LMQ131051:LNB131053 LWM131051:LWX131053 MGI131051:MGT131053 MQE131051:MQP131053 NAA131051:NAL131053 NJW131051:NKH131053 NTS131051:NUD131053 ODO131051:ODZ131053 ONK131051:ONV131053 OXG131051:OXR131053 PHC131051:PHN131053 PQY131051:PRJ131053 QAU131051:QBF131053 QKQ131051:QLB131053 QUM131051:QUX131053 REI131051:RET131053 ROE131051:ROP131053 RYA131051:RYL131053 SHW131051:SIH131053 SRS131051:SSD131053 TBO131051:TBZ131053 TLK131051:TLV131053 TVG131051:TVR131053 UFC131051:UFN131053 UOY131051:UPJ131053 UYU131051:UZF131053 VIQ131051:VJB131053 VSM131051:VSX131053 WCI131051:WCT131053 WME131051:WMP131053 WWA131051:WWL131053 JO196587:JZ196589 TK196587:TV196589 ADG196587:ADR196589 ANC196587:ANN196589 AWY196587:AXJ196589 BGU196587:BHF196589 BQQ196587:BRB196589 CAM196587:CAX196589 CKI196587:CKT196589 CUE196587:CUP196589 DEA196587:DEL196589 DNW196587:DOH196589 DXS196587:DYD196589 EHO196587:EHZ196589 ERK196587:ERV196589 FBG196587:FBR196589 FLC196587:FLN196589 FUY196587:FVJ196589 GEU196587:GFF196589 GOQ196587:GPB196589 GYM196587:GYX196589 HII196587:HIT196589 HSE196587:HSP196589 ICA196587:ICL196589 ILW196587:IMH196589 IVS196587:IWD196589 JFO196587:JFZ196589 JPK196587:JPV196589 JZG196587:JZR196589 KJC196587:KJN196589 KSY196587:KTJ196589 LCU196587:LDF196589 LMQ196587:LNB196589 LWM196587:LWX196589 MGI196587:MGT196589 MQE196587:MQP196589 NAA196587:NAL196589 NJW196587:NKH196589 NTS196587:NUD196589 ODO196587:ODZ196589 ONK196587:ONV196589 OXG196587:OXR196589 PHC196587:PHN196589 PQY196587:PRJ196589 QAU196587:QBF196589 QKQ196587:QLB196589 QUM196587:QUX196589 REI196587:RET196589 ROE196587:ROP196589 RYA196587:RYL196589 SHW196587:SIH196589 SRS196587:SSD196589 TBO196587:TBZ196589 TLK196587:TLV196589 TVG196587:TVR196589 UFC196587:UFN196589 UOY196587:UPJ196589 UYU196587:UZF196589 VIQ196587:VJB196589 VSM196587:VSX196589 WCI196587:WCT196589 WME196587:WMP196589 WWA196587:WWL196589 JO262123:JZ262125 TK262123:TV262125 ADG262123:ADR262125 ANC262123:ANN262125 AWY262123:AXJ262125 BGU262123:BHF262125 BQQ262123:BRB262125 CAM262123:CAX262125 CKI262123:CKT262125 CUE262123:CUP262125 DEA262123:DEL262125 DNW262123:DOH262125 DXS262123:DYD262125 EHO262123:EHZ262125 ERK262123:ERV262125 FBG262123:FBR262125 FLC262123:FLN262125 FUY262123:FVJ262125 GEU262123:GFF262125 GOQ262123:GPB262125 GYM262123:GYX262125 HII262123:HIT262125 HSE262123:HSP262125 ICA262123:ICL262125 ILW262123:IMH262125 IVS262123:IWD262125 JFO262123:JFZ262125 JPK262123:JPV262125 JZG262123:JZR262125 KJC262123:KJN262125 KSY262123:KTJ262125 LCU262123:LDF262125 LMQ262123:LNB262125 LWM262123:LWX262125 MGI262123:MGT262125 MQE262123:MQP262125 NAA262123:NAL262125 NJW262123:NKH262125 NTS262123:NUD262125 ODO262123:ODZ262125 ONK262123:ONV262125 OXG262123:OXR262125 PHC262123:PHN262125 PQY262123:PRJ262125 QAU262123:QBF262125 QKQ262123:QLB262125 QUM262123:QUX262125 REI262123:RET262125 ROE262123:ROP262125 RYA262123:RYL262125 SHW262123:SIH262125 SRS262123:SSD262125 TBO262123:TBZ262125 TLK262123:TLV262125 TVG262123:TVR262125 UFC262123:UFN262125 UOY262123:UPJ262125 UYU262123:UZF262125 VIQ262123:VJB262125 VSM262123:VSX262125 WCI262123:WCT262125 WME262123:WMP262125 WWA262123:WWL262125 JO327659:JZ327661 TK327659:TV327661 ADG327659:ADR327661 ANC327659:ANN327661 AWY327659:AXJ327661 BGU327659:BHF327661 BQQ327659:BRB327661 CAM327659:CAX327661 CKI327659:CKT327661 CUE327659:CUP327661 DEA327659:DEL327661 DNW327659:DOH327661 DXS327659:DYD327661 EHO327659:EHZ327661 ERK327659:ERV327661 FBG327659:FBR327661 FLC327659:FLN327661 FUY327659:FVJ327661 GEU327659:GFF327661 GOQ327659:GPB327661 GYM327659:GYX327661 HII327659:HIT327661 HSE327659:HSP327661 ICA327659:ICL327661 ILW327659:IMH327661 IVS327659:IWD327661 JFO327659:JFZ327661 JPK327659:JPV327661 JZG327659:JZR327661 KJC327659:KJN327661 KSY327659:KTJ327661 LCU327659:LDF327661 LMQ327659:LNB327661 LWM327659:LWX327661 MGI327659:MGT327661 MQE327659:MQP327661 NAA327659:NAL327661 NJW327659:NKH327661 NTS327659:NUD327661 ODO327659:ODZ327661 ONK327659:ONV327661 OXG327659:OXR327661 PHC327659:PHN327661 PQY327659:PRJ327661 QAU327659:QBF327661 QKQ327659:QLB327661 QUM327659:QUX327661 REI327659:RET327661 ROE327659:ROP327661 RYA327659:RYL327661 SHW327659:SIH327661 SRS327659:SSD327661 TBO327659:TBZ327661 TLK327659:TLV327661 TVG327659:TVR327661 UFC327659:UFN327661 UOY327659:UPJ327661 UYU327659:UZF327661 VIQ327659:VJB327661 VSM327659:VSX327661 WCI327659:WCT327661 WME327659:WMP327661 WWA327659:WWL327661 JO393195:JZ393197 TK393195:TV393197 ADG393195:ADR393197 ANC393195:ANN393197 AWY393195:AXJ393197 BGU393195:BHF393197 BQQ393195:BRB393197 CAM393195:CAX393197 CKI393195:CKT393197 CUE393195:CUP393197 DEA393195:DEL393197 DNW393195:DOH393197 DXS393195:DYD393197 EHO393195:EHZ393197 ERK393195:ERV393197 FBG393195:FBR393197 FLC393195:FLN393197 FUY393195:FVJ393197 GEU393195:GFF393197 GOQ393195:GPB393197 GYM393195:GYX393197 HII393195:HIT393197 HSE393195:HSP393197 ICA393195:ICL393197 ILW393195:IMH393197 IVS393195:IWD393197 JFO393195:JFZ393197 JPK393195:JPV393197 JZG393195:JZR393197 KJC393195:KJN393197 KSY393195:KTJ393197 LCU393195:LDF393197 LMQ393195:LNB393197 LWM393195:LWX393197 MGI393195:MGT393197 MQE393195:MQP393197 NAA393195:NAL393197 NJW393195:NKH393197 NTS393195:NUD393197 ODO393195:ODZ393197 ONK393195:ONV393197 OXG393195:OXR393197 PHC393195:PHN393197 PQY393195:PRJ393197 QAU393195:QBF393197 QKQ393195:QLB393197 QUM393195:QUX393197 REI393195:RET393197 ROE393195:ROP393197 RYA393195:RYL393197 SHW393195:SIH393197 SRS393195:SSD393197 TBO393195:TBZ393197 TLK393195:TLV393197 TVG393195:TVR393197 UFC393195:UFN393197 UOY393195:UPJ393197 UYU393195:UZF393197 VIQ393195:VJB393197 VSM393195:VSX393197 WCI393195:WCT393197 WME393195:WMP393197 WWA393195:WWL393197 JO458731:JZ458733 TK458731:TV458733 ADG458731:ADR458733 ANC458731:ANN458733 AWY458731:AXJ458733 BGU458731:BHF458733 BQQ458731:BRB458733 CAM458731:CAX458733 CKI458731:CKT458733 CUE458731:CUP458733 DEA458731:DEL458733 DNW458731:DOH458733 DXS458731:DYD458733 EHO458731:EHZ458733 ERK458731:ERV458733 FBG458731:FBR458733 FLC458731:FLN458733 FUY458731:FVJ458733 GEU458731:GFF458733 GOQ458731:GPB458733 GYM458731:GYX458733 HII458731:HIT458733 HSE458731:HSP458733 ICA458731:ICL458733 ILW458731:IMH458733 IVS458731:IWD458733 JFO458731:JFZ458733 JPK458731:JPV458733 JZG458731:JZR458733 KJC458731:KJN458733 KSY458731:KTJ458733 LCU458731:LDF458733 LMQ458731:LNB458733 LWM458731:LWX458733 MGI458731:MGT458733 MQE458731:MQP458733 NAA458731:NAL458733 NJW458731:NKH458733 NTS458731:NUD458733 ODO458731:ODZ458733 ONK458731:ONV458733 OXG458731:OXR458733 PHC458731:PHN458733 PQY458731:PRJ458733 QAU458731:QBF458733 QKQ458731:QLB458733 QUM458731:QUX458733 REI458731:RET458733 ROE458731:ROP458733 RYA458731:RYL458733 SHW458731:SIH458733 SRS458731:SSD458733 TBO458731:TBZ458733 TLK458731:TLV458733 TVG458731:TVR458733 UFC458731:UFN458733 UOY458731:UPJ458733 UYU458731:UZF458733 VIQ458731:VJB458733 VSM458731:VSX458733 WCI458731:WCT458733 WME458731:WMP458733 WWA458731:WWL458733 JO524267:JZ524269 TK524267:TV524269 ADG524267:ADR524269 ANC524267:ANN524269 AWY524267:AXJ524269 BGU524267:BHF524269 BQQ524267:BRB524269 CAM524267:CAX524269 CKI524267:CKT524269 CUE524267:CUP524269 DEA524267:DEL524269 DNW524267:DOH524269 DXS524267:DYD524269 EHO524267:EHZ524269 ERK524267:ERV524269 FBG524267:FBR524269 FLC524267:FLN524269 FUY524267:FVJ524269 GEU524267:GFF524269 GOQ524267:GPB524269 GYM524267:GYX524269 HII524267:HIT524269 HSE524267:HSP524269 ICA524267:ICL524269 ILW524267:IMH524269 IVS524267:IWD524269 JFO524267:JFZ524269 JPK524267:JPV524269 JZG524267:JZR524269 KJC524267:KJN524269 KSY524267:KTJ524269 LCU524267:LDF524269 LMQ524267:LNB524269 LWM524267:LWX524269 MGI524267:MGT524269 MQE524267:MQP524269 NAA524267:NAL524269 NJW524267:NKH524269 NTS524267:NUD524269 ODO524267:ODZ524269 ONK524267:ONV524269 OXG524267:OXR524269 PHC524267:PHN524269 PQY524267:PRJ524269 QAU524267:QBF524269 QKQ524267:QLB524269 QUM524267:QUX524269 REI524267:RET524269 ROE524267:ROP524269 RYA524267:RYL524269 SHW524267:SIH524269 SRS524267:SSD524269 TBO524267:TBZ524269 TLK524267:TLV524269 TVG524267:TVR524269 UFC524267:UFN524269 UOY524267:UPJ524269 UYU524267:UZF524269 VIQ524267:VJB524269 VSM524267:VSX524269 WCI524267:WCT524269 WME524267:WMP524269 WWA524267:WWL524269 JO589803:JZ589805 TK589803:TV589805 ADG589803:ADR589805 ANC589803:ANN589805 AWY589803:AXJ589805 BGU589803:BHF589805 BQQ589803:BRB589805 CAM589803:CAX589805 CKI589803:CKT589805 CUE589803:CUP589805 DEA589803:DEL589805 DNW589803:DOH589805 DXS589803:DYD589805 EHO589803:EHZ589805 ERK589803:ERV589805 FBG589803:FBR589805 FLC589803:FLN589805 FUY589803:FVJ589805 GEU589803:GFF589805 GOQ589803:GPB589805 GYM589803:GYX589805 HII589803:HIT589805 HSE589803:HSP589805 ICA589803:ICL589805 ILW589803:IMH589805 IVS589803:IWD589805 JFO589803:JFZ589805 JPK589803:JPV589805 JZG589803:JZR589805 KJC589803:KJN589805 KSY589803:KTJ589805 LCU589803:LDF589805 LMQ589803:LNB589805 LWM589803:LWX589805 MGI589803:MGT589805 MQE589803:MQP589805 NAA589803:NAL589805 NJW589803:NKH589805 NTS589803:NUD589805 ODO589803:ODZ589805 ONK589803:ONV589805 OXG589803:OXR589805 PHC589803:PHN589805 PQY589803:PRJ589805 QAU589803:QBF589805 QKQ589803:QLB589805 QUM589803:QUX589805 REI589803:RET589805 ROE589803:ROP589805 RYA589803:RYL589805 SHW589803:SIH589805 SRS589803:SSD589805 TBO589803:TBZ589805 TLK589803:TLV589805 TVG589803:TVR589805 UFC589803:UFN589805 UOY589803:UPJ589805 UYU589803:UZF589805 VIQ589803:VJB589805 VSM589803:VSX589805 WCI589803:WCT589805 WME589803:WMP589805 WWA589803:WWL589805 JO655339:JZ655341 TK655339:TV655341 ADG655339:ADR655341 ANC655339:ANN655341 AWY655339:AXJ655341 BGU655339:BHF655341 BQQ655339:BRB655341 CAM655339:CAX655341 CKI655339:CKT655341 CUE655339:CUP655341 DEA655339:DEL655341 DNW655339:DOH655341 DXS655339:DYD655341 EHO655339:EHZ655341 ERK655339:ERV655341 FBG655339:FBR655341 FLC655339:FLN655341 FUY655339:FVJ655341 GEU655339:GFF655341 GOQ655339:GPB655341 GYM655339:GYX655341 HII655339:HIT655341 HSE655339:HSP655341 ICA655339:ICL655341 ILW655339:IMH655341 IVS655339:IWD655341 JFO655339:JFZ655341 JPK655339:JPV655341 JZG655339:JZR655341 KJC655339:KJN655341 KSY655339:KTJ655341 LCU655339:LDF655341 LMQ655339:LNB655341 LWM655339:LWX655341 MGI655339:MGT655341 MQE655339:MQP655341 NAA655339:NAL655341 NJW655339:NKH655341 NTS655339:NUD655341 ODO655339:ODZ655341 ONK655339:ONV655341 OXG655339:OXR655341 PHC655339:PHN655341 PQY655339:PRJ655341 QAU655339:QBF655341 QKQ655339:QLB655341 QUM655339:QUX655341 REI655339:RET655341 ROE655339:ROP655341 RYA655339:RYL655341 SHW655339:SIH655341 SRS655339:SSD655341 TBO655339:TBZ655341 TLK655339:TLV655341 TVG655339:TVR655341 UFC655339:UFN655341 UOY655339:UPJ655341 UYU655339:UZF655341 VIQ655339:VJB655341 VSM655339:VSX655341 WCI655339:WCT655341 WME655339:WMP655341 WWA655339:WWL655341 JO720875:JZ720877 TK720875:TV720877 ADG720875:ADR720877 ANC720875:ANN720877 AWY720875:AXJ720877 BGU720875:BHF720877 BQQ720875:BRB720877 CAM720875:CAX720877 CKI720875:CKT720877 CUE720875:CUP720877 DEA720875:DEL720877 DNW720875:DOH720877 DXS720875:DYD720877 EHO720875:EHZ720877 ERK720875:ERV720877 FBG720875:FBR720877 FLC720875:FLN720877 FUY720875:FVJ720877 GEU720875:GFF720877 GOQ720875:GPB720877 GYM720875:GYX720877 HII720875:HIT720877 HSE720875:HSP720877 ICA720875:ICL720877 ILW720875:IMH720877 IVS720875:IWD720877 JFO720875:JFZ720877 JPK720875:JPV720877 JZG720875:JZR720877 KJC720875:KJN720877 KSY720875:KTJ720877 LCU720875:LDF720877 LMQ720875:LNB720877 LWM720875:LWX720877 MGI720875:MGT720877 MQE720875:MQP720877 NAA720875:NAL720877 NJW720875:NKH720877 NTS720875:NUD720877 ODO720875:ODZ720877 ONK720875:ONV720877 OXG720875:OXR720877 PHC720875:PHN720877 PQY720875:PRJ720877 QAU720875:QBF720877 QKQ720875:QLB720877 QUM720875:QUX720877 REI720875:RET720877 ROE720875:ROP720877 RYA720875:RYL720877 SHW720875:SIH720877 SRS720875:SSD720877 TBO720875:TBZ720877 TLK720875:TLV720877 TVG720875:TVR720877 UFC720875:UFN720877 UOY720875:UPJ720877 UYU720875:UZF720877 VIQ720875:VJB720877 VSM720875:VSX720877 WCI720875:WCT720877 WME720875:WMP720877 WWA720875:WWL720877 JO786411:JZ786413 TK786411:TV786413 ADG786411:ADR786413 ANC786411:ANN786413 AWY786411:AXJ786413 BGU786411:BHF786413 BQQ786411:BRB786413 CAM786411:CAX786413 CKI786411:CKT786413 CUE786411:CUP786413 DEA786411:DEL786413 DNW786411:DOH786413 DXS786411:DYD786413 EHO786411:EHZ786413 ERK786411:ERV786413 FBG786411:FBR786413 FLC786411:FLN786413 FUY786411:FVJ786413 GEU786411:GFF786413 GOQ786411:GPB786413 GYM786411:GYX786413 HII786411:HIT786413 HSE786411:HSP786413 ICA786411:ICL786413 ILW786411:IMH786413 IVS786411:IWD786413 JFO786411:JFZ786413 JPK786411:JPV786413 JZG786411:JZR786413 KJC786411:KJN786413 KSY786411:KTJ786413 LCU786411:LDF786413 LMQ786411:LNB786413 LWM786411:LWX786413 MGI786411:MGT786413 MQE786411:MQP786413 NAA786411:NAL786413 NJW786411:NKH786413 NTS786411:NUD786413 ODO786411:ODZ786413 ONK786411:ONV786413 OXG786411:OXR786413 PHC786411:PHN786413 PQY786411:PRJ786413 QAU786411:QBF786413 QKQ786411:QLB786413 QUM786411:QUX786413 REI786411:RET786413 ROE786411:ROP786413 RYA786411:RYL786413 SHW786411:SIH786413 SRS786411:SSD786413 TBO786411:TBZ786413 TLK786411:TLV786413 TVG786411:TVR786413 UFC786411:UFN786413 UOY786411:UPJ786413 UYU786411:UZF786413 VIQ786411:VJB786413 VSM786411:VSX786413 WCI786411:WCT786413 WME786411:WMP786413 WWA786411:WWL786413 JO851947:JZ851949 TK851947:TV851949 ADG851947:ADR851949 ANC851947:ANN851949 AWY851947:AXJ851949 BGU851947:BHF851949 BQQ851947:BRB851949 CAM851947:CAX851949 CKI851947:CKT851949 CUE851947:CUP851949 DEA851947:DEL851949 DNW851947:DOH851949 DXS851947:DYD851949 EHO851947:EHZ851949 ERK851947:ERV851949 FBG851947:FBR851949 FLC851947:FLN851949 FUY851947:FVJ851949 GEU851947:GFF851949 GOQ851947:GPB851949 GYM851947:GYX851949 HII851947:HIT851949 HSE851947:HSP851949 ICA851947:ICL851949 ILW851947:IMH851949 IVS851947:IWD851949 JFO851947:JFZ851949 JPK851947:JPV851949 JZG851947:JZR851949 KJC851947:KJN851949 KSY851947:KTJ851949 LCU851947:LDF851949 LMQ851947:LNB851949 LWM851947:LWX851949 MGI851947:MGT851949 MQE851947:MQP851949 NAA851947:NAL851949 NJW851947:NKH851949 NTS851947:NUD851949 ODO851947:ODZ851949 ONK851947:ONV851949 OXG851947:OXR851949 PHC851947:PHN851949 PQY851947:PRJ851949 QAU851947:QBF851949 QKQ851947:QLB851949 QUM851947:QUX851949 REI851947:RET851949 ROE851947:ROP851949 RYA851947:RYL851949 SHW851947:SIH851949 SRS851947:SSD851949 TBO851947:TBZ851949 TLK851947:TLV851949 TVG851947:TVR851949 UFC851947:UFN851949 UOY851947:UPJ851949 UYU851947:UZF851949 VIQ851947:VJB851949 VSM851947:VSX851949 WCI851947:WCT851949 WME851947:WMP851949 WWA851947:WWL851949 JO917483:JZ917485 TK917483:TV917485 ADG917483:ADR917485 ANC917483:ANN917485 AWY917483:AXJ917485 BGU917483:BHF917485 BQQ917483:BRB917485 CAM917483:CAX917485 CKI917483:CKT917485 CUE917483:CUP917485 DEA917483:DEL917485 DNW917483:DOH917485 DXS917483:DYD917485 EHO917483:EHZ917485 ERK917483:ERV917485 FBG917483:FBR917485 FLC917483:FLN917485 FUY917483:FVJ917485 GEU917483:GFF917485 GOQ917483:GPB917485 GYM917483:GYX917485 HII917483:HIT917485 HSE917483:HSP917485 ICA917483:ICL917485 ILW917483:IMH917485 IVS917483:IWD917485 JFO917483:JFZ917485 JPK917483:JPV917485 JZG917483:JZR917485 KJC917483:KJN917485 KSY917483:KTJ917485 LCU917483:LDF917485 LMQ917483:LNB917485 LWM917483:LWX917485 MGI917483:MGT917485 MQE917483:MQP917485 NAA917483:NAL917485 NJW917483:NKH917485 NTS917483:NUD917485 ODO917483:ODZ917485 ONK917483:ONV917485 OXG917483:OXR917485 PHC917483:PHN917485 PQY917483:PRJ917485 QAU917483:QBF917485 QKQ917483:QLB917485 QUM917483:QUX917485 REI917483:RET917485 ROE917483:ROP917485 RYA917483:RYL917485 SHW917483:SIH917485 SRS917483:SSD917485 TBO917483:TBZ917485 TLK917483:TLV917485 TVG917483:TVR917485 UFC917483:UFN917485 UOY917483:UPJ917485 UYU917483:UZF917485 VIQ917483:VJB917485 VSM917483:VSX917485 WCI917483:WCT917485 WME917483:WMP917485 WWA917483:WWL917485 JO983019:JZ983021 TK983019:TV983021 ADG983019:ADR983021 ANC983019:ANN983021 AWY983019:AXJ983021 BGU983019:BHF983021 BQQ983019:BRB983021 CAM983019:CAX983021 CKI983019:CKT983021 CUE983019:CUP983021 DEA983019:DEL983021 DNW983019:DOH983021 DXS983019:DYD983021 EHO983019:EHZ983021 ERK983019:ERV983021 FBG983019:FBR983021 FLC983019:FLN983021 FUY983019:FVJ983021 GEU983019:GFF983021 GOQ983019:GPB983021 GYM983019:GYX983021 HII983019:HIT983021 HSE983019:HSP983021 ICA983019:ICL983021 ILW983019:IMH983021 IVS983019:IWD983021 JFO983019:JFZ983021 JPK983019:JPV983021 JZG983019:JZR983021 KJC983019:KJN983021 KSY983019:KTJ983021 LCU983019:LDF983021 LMQ983019:LNB983021 LWM983019:LWX983021 MGI983019:MGT983021 MQE983019:MQP983021 NAA983019:NAL983021 NJW983019:NKH983021 NTS983019:NUD983021 ODO983019:ODZ983021 ONK983019:ONV983021 OXG983019:OXR983021 PHC983019:PHN983021 PQY983019:PRJ983021 QAU983019:QBF983021 QKQ983019:QLB983021 QUM983019:QUX983021 REI983019:RET983021 ROE983019:ROP983021 RYA983019:RYL983021 SHW983019:SIH983021 SRS983019:SSD983021 TBO983019:TBZ983021 TLK983019:TLV983021 TVG983019:TVR983021 UFC983019:UFN983021 UOY983019:UPJ983021 UYU983019:UZF983021 VIQ983019:VJB983021 VSM983019:VSX983021 WCI983019:WCT983021 WME983019:WMP983021 WWA983019:WWL9830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5:AM65517 AC983019:AM983021 AC917483:AM917485 AC851947:AM851949 AC786411:AM786413 AC720875:AM720877 AC655339:AM655341 AC589803:AM589805 AC524267:AM524269 AC458731:AM458733 AC393195:AM393197 AC327659:AM327661 AC262123:AM262125 AC196587:AM196589 AC131051:AM131053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生産計画情報（加工CM）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89" t="s">
        <v>155</v>
      </c>
      <c r="Z9" s="290"/>
      <c r="AA9" s="291" t="s">
        <v>156</v>
      </c>
      <c r="AB9" s="292"/>
      <c r="AC9" s="293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91" t="s">
        <v>170</v>
      </c>
      <c r="AB13" s="292"/>
      <c r="AC13" s="293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91" t="s">
        <v>170</v>
      </c>
      <c r="AB14" s="292"/>
      <c r="AC14" s="293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91" t="s">
        <v>156</v>
      </c>
      <c r="AB15" s="292"/>
      <c r="AC15" s="293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89" t="s">
        <v>150</v>
      </c>
      <c r="Z16" s="290"/>
      <c r="AA16" s="291" t="s">
        <v>151</v>
      </c>
      <c r="AB16" s="292"/>
      <c r="AC16" s="293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89" t="s">
        <v>150</v>
      </c>
      <c r="Z17" s="290"/>
      <c r="AA17" s="291" t="s">
        <v>151</v>
      </c>
      <c r="AB17" s="292"/>
      <c r="AC17" s="293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1411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89" t="s">
        <v>150</v>
      </c>
      <c r="Z19" s="290"/>
      <c r="AA19" s="291" t="s">
        <v>151</v>
      </c>
      <c r="AB19" s="292"/>
      <c r="AC19" s="293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89" t="s">
        <v>155</v>
      </c>
      <c r="Z20" s="290"/>
      <c r="AA20" s="291" t="s">
        <v>156</v>
      </c>
      <c r="AB20" s="292"/>
      <c r="AC20" s="293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36" t="s">
        <v>155</v>
      </c>
      <c r="Z21" s="337"/>
      <c r="AA21" s="330" t="s">
        <v>156</v>
      </c>
      <c r="AB21" s="331"/>
      <c r="AC21" s="332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38"/>
      <c r="Z22" s="339"/>
      <c r="AA22" s="333"/>
      <c r="AB22" s="334"/>
      <c r="AC22" s="335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89" t="s">
        <v>150</v>
      </c>
      <c r="Z23" s="290"/>
      <c r="AA23" s="291" t="s">
        <v>151</v>
      </c>
      <c r="AB23" s="292"/>
      <c r="AC23" s="293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89" t="s">
        <v>150</v>
      </c>
      <c r="Z24" s="290"/>
      <c r="AA24" s="291" t="s">
        <v>151</v>
      </c>
      <c r="AB24" s="292"/>
      <c r="AC24" s="293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26">
        <v>25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1408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1417</v>
      </c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100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1410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  <c r="BE26" s="1" t="s">
        <v>1417</v>
      </c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89" t="s">
        <v>150</v>
      </c>
      <c r="Z27" s="290"/>
      <c r="AA27" s="291" t="s">
        <v>151</v>
      </c>
      <c r="AB27" s="292"/>
      <c r="AC27" s="293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89" t="s">
        <v>155</v>
      </c>
      <c r="Z31" s="290"/>
      <c r="AA31" s="291" t="s">
        <v>156</v>
      </c>
      <c r="AB31" s="292"/>
      <c r="AC31" s="293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89" t="s">
        <v>155</v>
      </c>
      <c r="Z32" s="290"/>
      <c r="AA32" s="291" t="s">
        <v>156</v>
      </c>
      <c r="AB32" s="292"/>
      <c r="AC32" s="293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89" t="s">
        <v>155</v>
      </c>
      <c r="Z33" s="290"/>
      <c r="AA33" s="291" t="s">
        <v>156</v>
      </c>
      <c r="AB33" s="292"/>
      <c r="AC33" s="293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89" t="s">
        <v>155</v>
      </c>
      <c r="Z34" s="290"/>
      <c r="AA34" s="291" t="s">
        <v>156</v>
      </c>
      <c r="AB34" s="292"/>
      <c r="AC34" s="293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276</v>
      </c>
      <c r="C35" s="114"/>
      <c r="D35" s="114"/>
      <c r="E35" s="114"/>
      <c r="F35" s="114"/>
      <c r="G35" s="114"/>
      <c r="H35" s="134"/>
      <c r="I35" s="115" t="s">
        <v>277</v>
      </c>
      <c r="J35" s="116"/>
      <c r="K35" s="116"/>
      <c r="L35" s="116"/>
      <c r="M35" s="116"/>
      <c r="N35" s="116"/>
      <c r="O35" s="116"/>
      <c r="P35" s="116"/>
      <c r="Q35" s="133"/>
      <c r="R35" s="8" t="s">
        <v>276</v>
      </c>
      <c r="S35" s="116"/>
      <c r="T35" s="116"/>
      <c r="U35" s="116"/>
      <c r="V35" s="116"/>
      <c r="W35" s="116"/>
      <c r="X35" s="134"/>
      <c r="Y35" s="289" t="s">
        <v>150</v>
      </c>
      <c r="Z35" s="290"/>
      <c r="AA35" s="291" t="s">
        <v>151</v>
      </c>
      <c r="AB35" s="292"/>
      <c r="AC35" s="293"/>
      <c r="AD35" s="126">
        <v>4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89" t="s">
        <v>150</v>
      </c>
      <c r="Z36" s="290"/>
      <c r="AA36" s="291" t="s">
        <v>151</v>
      </c>
      <c r="AB36" s="292"/>
      <c r="AC36" s="293"/>
      <c r="AD36" s="126">
        <v>3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89" t="s">
        <v>150</v>
      </c>
      <c r="Z37" s="290"/>
      <c r="AA37" s="291" t="s">
        <v>151</v>
      </c>
      <c r="AB37" s="292"/>
      <c r="AC37" s="293"/>
      <c r="AD37" s="126">
        <v>1000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230</v>
      </c>
      <c r="C38" s="114"/>
      <c r="D38" s="114"/>
      <c r="E38" s="114"/>
      <c r="F38" s="114"/>
      <c r="G38" s="114"/>
      <c r="H38" s="134"/>
      <c r="I38" s="115" t="s">
        <v>231</v>
      </c>
      <c r="J38" s="116"/>
      <c r="K38" s="116"/>
      <c r="L38" s="116"/>
      <c r="M38" s="116"/>
      <c r="N38" s="116"/>
      <c r="O38" s="116"/>
      <c r="P38" s="116"/>
      <c r="Q38" s="133"/>
      <c r="R38" s="8" t="s">
        <v>230</v>
      </c>
      <c r="S38" s="116"/>
      <c r="T38" s="116"/>
      <c r="U38" s="116"/>
      <c r="V38" s="116"/>
      <c r="W38" s="116"/>
      <c r="X38" s="134"/>
      <c r="Y38" s="289" t="s">
        <v>169</v>
      </c>
      <c r="Z38" s="290"/>
      <c r="AA38" s="291" t="s">
        <v>170</v>
      </c>
      <c r="AB38" s="292"/>
      <c r="AC38" s="293"/>
      <c r="AD38" s="126"/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 t="s">
        <v>232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233</v>
      </c>
      <c r="C39" s="114"/>
      <c r="D39" s="114"/>
      <c r="E39" s="114"/>
      <c r="F39" s="114"/>
      <c r="G39" s="114"/>
      <c r="H39" s="134"/>
      <c r="I39" s="115" t="s">
        <v>234</v>
      </c>
      <c r="J39" s="116"/>
      <c r="K39" s="116"/>
      <c r="L39" s="116"/>
      <c r="M39" s="116"/>
      <c r="N39" s="116"/>
      <c r="O39" s="116"/>
      <c r="P39" s="116"/>
      <c r="Q39" s="133"/>
      <c r="R39" s="8" t="s">
        <v>233</v>
      </c>
      <c r="S39" s="116"/>
      <c r="T39" s="116"/>
      <c r="U39" s="116"/>
      <c r="V39" s="116"/>
      <c r="W39" s="116"/>
      <c r="X39" s="134"/>
      <c r="Y39" s="289" t="s">
        <v>155</v>
      </c>
      <c r="Z39" s="290"/>
      <c r="AA39" s="291" t="s">
        <v>156</v>
      </c>
      <c r="AB39" s="292"/>
      <c r="AC39" s="293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236</v>
      </c>
      <c r="C40" s="114"/>
      <c r="D40" s="114"/>
      <c r="E40" s="114"/>
      <c r="F40" s="114"/>
      <c r="G40" s="114"/>
      <c r="H40" s="134"/>
      <c r="I40" s="115" t="s">
        <v>237</v>
      </c>
      <c r="J40" s="116"/>
      <c r="K40" s="116"/>
      <c r="L40" s="116"/>
      <c r="M40" s="116"/>
      <c r="N40" s="116"/>
      <c r="O40" s="116"/>
      <c r="P40" s="116"/>
      <c r="Q40" s="133"/>
      <c r="R40" s="8" t="s">
        <v>236</v>
      </c>
      <c r="S40" s="116"/>
      <c r="T40" s="116"/>
      <c r="U40" s="116"/>
      <c r="V40" s="116"/>
      <c r="W40" s="116"/>
      <c r="X40" s="134"/>
      <c r="Y40" s="289" t="s">
        <v>155</v>
      </c>
      <c r="Z40" s="290"/>
      <c r="AA40" s="291" t="s">
        <v>156</v>
      </c>
      <c r="AB40" s="292"/>
      <c r="AC40" s="293"/>
      <c r="AD40" s="126">
        <v>1</v>
      </c>
      <c r="AE40" s="111"/>
      <c r="AF40" s="111"/>
      <c r="AG40" s="111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 t="s">
        <v>238</v>
      </c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239</v>
      </c>
      <c r="C41" s="114"/>
      <c r="D41" s="114"/>
      <c r="E41" s="114"/>
      <c r="F41" s="114"/>
      <c r="G41" s="114"/>
      <c r="H41" s="134"/>
      <c r="I41" s="115" t="s">
        <v>240</v>
      </c>
      <c r="J41" s="116"/>
      <c r="K41" s="116"/>
      <c r="L41" s="116"/>
      <c r="M41" s="116"/>
      <c r="N41" s="116"/>
      <c r="O41" s="116"/>
      <c r="P41" s="116"/>
      <c r="Q41" s="133"/>
      <c r="R41" s="8" t="s">
        <v>239</v>
      </c>
      <c r="S41" s="116"/>
      <c r="T41" s="116"/>
      <c r="U41" s="116"/>
      <c r="V41" s="116"/>
      <c r="W41" s="116"/>
      <c r="X41" s="134"/>
      <c r="Y41" s="289" t="s">
        <v>169</v>
      </c>
      <c r="Z41" s="290"/>
      <c r="AA41" s="291" t="s">
        <v>170</v>
      </c>
      <c r="AB41" s="292"/>
      <c r="AC41" s="293"/>
      <c r="AD41" s="126"/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60">
        <f>IF(B42="","",COUNTA($B$8:B42))</f>
        <v>34</v>
      </c>
      <c r="B42" s="4" t="s">
        <v>241</v>
      </c>
      <c r="C42" s="114"/>
      <c r="D42" s="114"/>
      <c r="E42" s="114"/>
      <c r="F42" s="114"/>
      <c r="G42" s="114"/>
      <c r="H42" s="114"/>
      <c r="I42" s="115" t="s">
        <v>242</v>
      </c>
      <c r="J42" s="116"/>
      <c r="K42" s="116"/>
      <c r="L42" s="116"/>
      <c r="M42" s="116"/>
      <c r="N42" s="116"/>
      <c r="O42" s="116"/>
      <c r="P42" s="116"/>
      <c r="Q42" s="116"/>
      <c r="R42" s="4" t="s">
        <v>241</v>
      </c>
      <c r="S42" s="114"/>
      <c r="T42" s="5"/>
      <c r="U42" s="5"/>
      <c r="V42" s="5"/>
      <c r="W42" s="5"/>
      <c r="X42" s="5"/>
      <c r="Y42" s="8" t="s">
        <v>150</v>
      </c>
      <c r="Z42" s="119"/>
      <c r="AA42" s="291" t="s">
        <v>243</v>
      </c>
      <c r="AB42" s="292"/>
      <c r="AC42" s="293"/>
      <c r="AD42" s="117"/>
      <c r="AE42" s="120" t="s">
        <v>244</v>
      </c>
      <c r="AF42" s="121"/>
      <c r="AG42" s="12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 t="s">
        <v>245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60">
        <f>IF(B43="","",COUNTA($B$8:B43))</f>
        <v>35</v>
      </c>
      <c r="B43" s="4" t="s">
        <v>246</v>
      </c>
      <c r="C43" s="114"/>
      <c r="D43" s="114"/>
      <c r="E43" s="114"/>
      <c r="F43" s="114"/>
      <c r="G43" s="114"/>
      <c r="H43" s="114"/>
      <c r="I43" s="115" t="s">
        <v>247</v>
      </c>
      <c r="J43" s="116"/>
      <c r="K43" s="116"/>
      <c r="L43" s="116"/>
      <c r="M43" s="116"/>
      <c r="N43" s="116"/>
      <c r="O43" s="116"/>
      <c r="P43" s="116"/>
      <c r="Q43" s="116"/>
      <c r="R43" s="4" t="s">
        <v>246</v>
      </c>
      <c r="S43" s="114"/>
      <c r="T43" s="5"/>
      <c r="U43" s="5"/>
      <c r="V43" s="5"/>
      <c r="W43" s="5"/>
      <c r="X43" s="5"/>
      <c r="Y43" s="8" t="s">
        <v>150</v>
      </c>
      <c r="Z43" s="119"/>
      <c r="AA43" s="291" t="s">
        <v>243</v>
      </c>
      <c r="AB43" s="292"/>
      <c r="AC43" s="293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89" t="s">
        <v>150</v>
      </c>
      <c r="Z44" s="290"/>
      <c r="AA44" s="291" t="s">
        <v>151</v>
      </c>
      <c r="AB44" s="292"/>
      <c r="AC44" s="293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89" t="s">
        <v>150</v>
      </c>
      <c r="Z45" s="290"/>
      <c r="AA45" s="291" t="s">
        <v>151</v>
      </c>
      <c r="AB45" s="292"/>
      <c r="AC45" s="293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89" t="s">
        <v>150</v>
      </c>
      <c r="Z46" s="290"/>
      <c r="AA46" s="291" t="s">
        <v>151</v>
      </c>
      <c r="AB46" s="292"/>
      <c r="AC46" s="293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89" t="s">
        <v>150</v>
      </c>
      <c r="Z47" s="290"/>
      <c r="AA47" s="291" t="s">
        <v>151</v>
      </c>
      <c r="AB47" s="292"/>
      <c r="AC47" s="293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89" t="s">
        <v>169</v>
      </c>
      <c r="Z48" s="290"/>
      <c r="AA48" s="291" t="s">
        <v>243</v>
      </c>
      <c r="AB48" s="292"/>
      <c r="AC48" s="293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89" t="s">
        <v>150</v>
      </c>
      <c r="Z49" s="290"/>
      <c r="AA49" s="291" t="s">
        <v>151</v>
      </c>
      <c r="AB49" s="292"/>
      <c r="AC49" s="293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89" t="s">
        <v>150</v>
      </c>
      <c r="Z50" s="290"/>
      <c r="AA50" s="291" t="s">
        <v>151</v>
      </c>
      <c r="AB50" s="292"/>
      <c r="AC50" s="293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89" t="s">
        <v>169</v>
      </c>
      <c r="Z51" s="290"/>
      <c r="AA51" s="291" t="s">
        <v>243</v>
      </c>
      <c r="AB51" s="292"/>
      <c r="AC51" s="293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5" customHeight="1" x14ac:dyDescent="0.25">
      <c r="A52" s="131" t="str">
        <f>IF(B52="","",COUNTA($B$8:B52))</f>
        <v/>
      </c>
      <c r="B52" s="8"/>
      <c r="C52" s="114"/>
      <c r="D52" s="114"/>
      <c r="E52" s="114"/>
      <c r="F52" s="114"/>
      <c r="G52" s="114"/>
      <c r="H52" s="134"/>
      <c r="I52" s="115"/>
      <c r="J52" s="116"/>
      <c r="K52" s="116"/>
      <c r="L52" s="116"/>
      <c r="M52" s="116"/>
      <c r="N52" s="116"/>
      <c r="O52" s="116"/>
      <c r="P52" s="116"/>
      <c r="Q52" s="133"/>
      <c r="R52" s="8"/>
      <c r="S52" s="116"/>
      <c r="T52" s="116"/>
      <c r="U52" s="116"/>
      <c r="V52" s="116"/>
      <c r="W52" s="116"/>
      <c r="X52" s="134"/>
      <c r="Y52" s="289"/>
      <c r="Z52" s="290"/>
      <c r="AA52" s="291"/>
      <c r="AB52" s="292"/>
      <c r="AC52" s="293"/>
      <c r="AD52" s="159"/>
      <c r="AE52" s="111" t="s">
        <v>244</v>
      </c>
      <c r="AF52" s="111"/>
      <c r="AG52" s="11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5" customHeight="1" x14ac:dyDescent="0.25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15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89"/>
      <c r="Z53" s="290"/>
      <c r="AA53" s="291"/>
      <c r="AB53" s="292"/>
      <c r="AC53" s="293"/>
      <c r="AD53" s="159"/>
      <c r="AE53" s="111" t="s">
        <v>244</v>
      </c>
      <c r="AF53" s="111"/>
      <c r="AG53" s="11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5" customHeight="1" x14ac:dyDescent="0.25">
      <c r="A54" s="131" t="str">
        <f>IF(B54="","",COUNTA($B$8:B54))</f>
        <v/>
      </c>
      <c r="B54" s="8"/>
      <c r="C54" s="114"/>
      <c r="D54" s="114"/>
      <c r="E54" s="114"/>
      <c r="F54" s="114"/>
      <c r="G54" s="114"/>
      <c r="H54" s="134"/>
      <c r="I54" s="115"/>
      <c r="J54" s="116"/>
      <c r="K54" s="116"/>
      <c r="L54" s="116"/>
      <c r="M54" s="116"/>
      <c r="N54" s="116"/>
      <c r="O54" s="116"/>
      <c r="P54" s="116"/>
      <c r="Q54" s="133"/>
      <c r="R54" s="8"/>
      <c r="S54" s="116"/>
      <c r="T54" s="116"/>
      <c r="U54" s="116"/>
      <c r="V54" s="116"/>
      <c r="W54" s="116"/>
      <c r="X54" s="134"/>
      <c r="Y54" s="289"/>
      <c r="Z54" s="290"/>
      <c r="AA54" s="291"/>
      <c r="AB54" s="292"/>
      <c r="AC54" s="293"/>
      <c r="AD54" s="159"/>
      <c r="AE54" s="111" t="s">
        <v>244</v>
      </c>
      <c r="AF54" s="111"/>
      <c r="AG54" s="11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5" customHeight="1" x14ac:dyDescent="0.25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15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89"/>
      <c r="Z55" s="290"/>
      <c r="AA55" s="291"/>
      <c r="AB55" s="292"/>
      <c r="AC55" s="293"/>
      <c r="AD55" s="159"/>
      <c r="AE55" s="111" t="s">
        <v>244</v>
      </c>
      <c r="AF55" s="111"/>
      <c r="AG55" s="11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5" customHeight="1" x14ac:dyDescent="0.25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15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89"/>
      <c r="Z56" s="290"/>
      <c r="AA56" s="291"/>
      <c r="AB56" s="292"/>
      <c r="AC56" s="293"/>
      <c r="AD56" s="159"/>
      <c r="AE56" s="111" t="s">
        <v>244</v>
      </c>
      <c r="AF56" s="111"/>
      <c r="AG56" s="11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5" customHeight="1" x14ac:dyDescent="0.25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15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89"/>
      <c r="Z57" s="290"/>
      <c r="AA57" s="291"/>
      <c r="AB57" s="292"/>
      <c r="AC57" s="293"/>
      <c r="AD57" s="159"/>
      <c r="AE57" s="111" t="s">
        <v>244</v>
      </c>
      <c r="AF57" s="111"/>
      <c r="AG57" s="11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5" customHeight="1" x14ac:dyDescent="0.25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15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89"/>
      <c r="Z58" s="290"/>
      <c r="AA58" s="291"/>
      <c r="AB58" s="292"/>
      <c r="AC58" s="293"/>
      <c r="AD58" s="159"/>
      <c r="AE58" s="111" t="s">
        <v>244</v>
      </c>
      <c r="AF58" s="111"/>
      <c r="AG58" s="11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5" customHeight="1" x14ac:dyDescent="0.25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15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89"/>
      <c r="Z59" s="290"/>
      <c r="AA59" s="291"/>
      <c r="AB59" s="292"/>
      <c r="AC59" s="293"/>
      <c r="AD59" s="159"/>
      <c r="AE59" s="111" t="s">
        <v>244</v>
      </c>
      <c r="AF59" s="111"/>
      <c r="AG59" s="11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5" customHeight="1" x14ac:dyDescent="0.25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15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89"/>
      <c r="Z60" s="290"/>
      <c r="AA60" s="291"/>
      <c r="AB60" s="292"/>
      <c r="AC60" s="293"/>
      <c r="AD60" s="159"/>
      <c r="AE60" s="111" t="s">
        <v>244</v>
      </c>
      <c r="AF60" s="111"/>
      <c r="AG60" s="11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5" customHeight="1" x14ac:dyDescent="0.25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15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89"/>
      <c r="Z61" s="290"/>
      <c r="AA61" s="291"/>
      <c r="AB61" s="292"/>
      <c r="AC61" s="293"/>
      <c r="AD61" s="159"/>
      <c r="AE61" s="111" t="s">
        <v>244</v>
      </c>
      <c r="AF61" s="111"/>
      <c r="AG61" s="11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5" customHeight="1" x14ac:dyDescent="0.25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15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89"/>
      <c r="Z62" s="290"/>
      <c r="AA62" s="291"/>
      <c r="AB62" s="292"/>
      <c r="AC62" s="293"/>
      <c r="AD62" s="159"/>
      <c r="AE62" s="111" t="s">
        <v>244</v>
      </c>
      <c r="AF62" s="111"/>
      <c r="AG62" s="11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5" customHeight="1" x14ac:dyDescent="0.25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15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89"/>
      <c r="Z63" s="290"/>
      <c r="AA63" s="291"/>
      <c r="AB63" s="292"/>
      <c r="AC63" s="293"/>
      <c r="AD63" s="159"/>
      <c r="AE63" s="111" t="s">
        <v>244</v>
      </c>
      <c r="AF63" s="111"/>
      <c r="AG63" s="11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5" customHeight="1" x14ac:dyDescent="0.25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15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89"/>
      <c r="Z64" s="290"/>
      <c r="AA64" s="291"/>
      <c r="AB64" s="292"/>
      <c r="AC64" s="293"/>
      <c r="AD64" s="159"/>
      <c r="AE64" s="111" t="s">
        <v>244</v>
      </c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89"/>
      <c r="Z65" s="290"/>
      <c r="AA65" s="291"/>
      <c r="AB65" s="292"/>
      <c r="AC65" s="293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89"/>
      <c r="Z66" s="290"/>
      <c r="AA66" s="291"/>
      <c r="AB66" s="292"/>
      <c r="AC66" s="293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89"/>
      <c r="Z67" s="290"/>
      <c r="AA67" s="291"/>
      <c r="AB67" s="292"/>
      <c r="AC67" s="293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89"/>
      <c r="Z68" s="290"/>
      <c r="AA68" s="291"/>
      <c r="AB68" s="292"/>
      <c r="AC68" s="293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89"/>
      <c r="Z69" s="290"/>
      <c r="AA69" s="291"/>
      <c r="AB69" s="292"/>
      <c r="AC69" s="293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89"/>
      <c r="Z70" s="290"/>
      <c r="AA70" s="291"/>
      <c r="AB70" s="292"/>
      <c r="AC70" s="293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89"/>
      <c r="Z71" s="290"/>
      <c r="AA71" s="291"/>
      <c r="AB71" s="292"/>
      <c r="AC71" s="293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89"/>
      <c r="Z72" s="290"/>
      <c r="AA72" s="291"/>
      <c r="AB72" s="292"/>
      <c r="AC72" s="293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89"/>
      <c r="Z73" s="290"/>
      <c r="AA73" s="291"/>
      <c r="AB73" s="292"/>
      <c r="AC73" s="293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89"/>
      <c r="Z74" s="290"/>
      <c r="AA74" s="291"/>
      <c r="AB74" s="292"/>
      <c r="AC74" s="293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89"/>
      <c r="Z75" s="290"/>
      <c r="AA75" s="291"/>
      <c r="AB75" s="292"/>
      <c r="AC75" s="293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84"/>
      <c r="Z76" s="285"/>
      <c r="AA76" s="286"/>
      <c r="AB76" s="287"/>
      <c r="AC76" s="28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84"/>
      <c r="Z77" s="285"/>
      <c r="AA77" s="286"/>
      <c r="AB77" s="287"/>
      <c r="AC77" s="28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84"/>
      <c r="Z78" s="285"/>
      <c r="AA78" s="286"/>
      <c r="AB78" s="287"/>
      <c r="AC78" s="28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84"/>
      <c r="Z79" s="285"/>
      <c r="AA79" s="286"/>
      <c r="AB79" s="287"/>
      <c r="AC79" s="28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84"/>
      <c r="Z80" s="285"/>
      <c r="AA80" s="286"/>
      <c r="AB80" s="287"/>
      <c r="AC80" s="28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84"/>
      <c r="Z81" s="285"/>
      <c r="AA81" s="286"/>
      <c r="AB81" s="287"/>
      <c r="AC81" s="28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84"/>
      <c r="Z82" s="285"/>
      <c r="AA82" s="286"/>
      <c r="AB82" s="287"/>
      <c r="AC82" s="28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84"/>
      <c r="Z83" s="285"/>
      <c r="AA83" s="286"/>
      <c r="AB83" s="287"/>
      <c r="AC83" s="28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84"/>
      <c r="Z84" s="285"/>
      <c r="AA84" s="286"/>
      <c r="AB84" s="287"/>
      <c r="AC84" s="28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84"/>
      <c r="Z85" s="285"/>
      <c r="AA85" s="286"/>
      <c r="AB85" s="287"/>
      <c r="AC85" s="28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Y46:Z46"/>
    <mergeCell ref="AA46:AC46"/>
    <mergeCell ref="Y47:Z47"/>
    <mergeCell ref="AA47:AC47"/>
    <mergeCell ref="AA43:AC43"/>
    <mergeCell ref="Y44:Z44"/>
    <mergeCell ref="AA44:AC44"/>
    <mergeCell ref="Y33:Z33"/>
    <mergeCell ref="Y34:Z34"/>
    <mergeCell ref="AA42:AC42"/>
    <mergeCell ref="Y35:Z35"/>
    <mergeCell ref="Y36:Z36"/>
    <mergeCell ref="Y41:Z41"/>
    <mergeCell ref="Y37:Z37"/>
    <mergeCell ref="Y40:Z40"/>
    <mergeCell ref="Y38:Z38"/>
    <mergeCell ref="AA34:AC34"/>
    <mergeCell ref="AA35:AC35"/>
    <mergeCell ref="AA36:AC36"/>
    <mergeCell ref="AA37:AC37"/>
    <mergeCell ref="AA38:AC38"/>
    <mergeCell ref="AA39:AC39"/>
    <mergeCell ref="AA41:AC41"/>
    <mergeCell ref="AA40:AC40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1:Z51"/>
    <mergeCell ref="AA51:AC51"/>
    <mergeCell ref="Y53:Z53"/>
    <mergeCell ref="AA53:AC53"/>
    <mergeCell ref="Y54:Z54"/>
    <mergeCell ref="AA54:AC54"/>
    <mergeCell ref="Y48:Z48"/>
    <mergeCell ref="AA48:AC48"/>
    <mergeCell ref="Y50:Z50"/>
    <mergeCell ref="AA50:AC50"/>
    <mergeCell ref="Y45:Z45"/>
    <mergeCell ref="AA45:AC45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49:Z49"/>
    <mergeCell ref="AA49:AC49"/>
    <mergeCell ref="Y52:Z52"/>
    <mergeCell ref="AA52:AC5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生産計画情報（加工SC）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89" t="s">
        <v>155</v>
      </c>
      <c r="Z9" s="290"/>
      <c r="AA9" s="291" t="s">
        <v>156</v>
      </c>
      <c r="AB9" s="292"/>
      <c r="AC9" s="293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91" t="s">
        <v>170</v>
      </c>
      <c r="AB13" s="292"/>
      <c r="AC13" s="293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91" t="s">
        <v>170</v>
      </c>
      <c r="AB14" s="292"/>
      <c r="AC14" s="293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91" t="s">
        <v>156</v>
      </c>
      <c r="AB15" s="292"/>
      <c r="AC15" s="293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89" t="s">
        <v>150</v>
      </c>
      <c r="Z16" s="290"/>
      <c r="AA16" s="291" t="s">
        <v>151</v>
      </c>
      <c r="AB16" s="292"/>
      <c r="AC16" s="293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89" t="s">
        <v>150</v>
      </c>
      <c r="Z17" s="290"/>
      <c r="AA17" s="291" t="s">
        <v>151</v>
      </c>
      <c r="AB17" s="292"/>
      <c r="AC17" s="293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1412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89" t="s">
        <v>150</v>
      </c>
      <c r="Z19" s="290"/>
      <c r="AA19" s="291" t="s">
        <v>151</v>
      </c>
      <c r="AB19" s="292"/>
      <c r="AC19" s="293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89" t="s">
        <v>155</v>
      </c>
      <c r="Z20" s="290"/>
      <c r="AA20" s="291" t="s">
        <v>156</v>
      </c>
      <c r="AB20" s="292"/>
      <c r="AC20" s="293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36" t="s">
        <v>155</v>
      </c>
      <c r="Z21" s="337"/>
      <c r="AA21" s="330" t="s">
        <v>156</v>
      </c>
      <c r="AB21" s="331"/>
      <c r="AC21" s="332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38"/>
      <c r="Z22" s="339"/>
      <c r="AA22" s="333"/>
      <c r="AB22" s="334"/>
      <c r="AC22" s="335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89" t="s">
        <v>150</v>
      </c>
      <c r="Z23" s="290"/>
      <c r="AA23" s="291" t="s">
        <v>151</v>
      </c>
      <c r="AB23" s="292"/>
      <c r="AC23" s="293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89" t="s">
        <v>150</v>
      </c>
      <c r="Z24" s="290"/>
      <c r="AA24" s="291" t="s">
        <v>151</v>
      </c>
      <c r="AB24" s="292"/>
      <c r="AC24" s="293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20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89" t="s">
        <v>150</v>
      </c>
      <c r="Z27" s="290"/>
      <c r="AA27" s="291" t="s">
        <v>151</v>
      </c>
      <c r="AB27" s="292"/>
      <c r="AC27" s="293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89" t="s">
        <v>155</v>
      </c>
      <c r="Z31" s="290"/>
      <c r="AA31" s="291" t="s">
        <v>156</v>
      </c>
      <c r="AB31" s="292"/>
      <c r="AC31" s="293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89" t="s">
        <v>155</v>
      </c>
      <c r="Z32" s="290"/>
      <c r="AA32" s="291" t="s">
        <v>156</v>
      </c>
      <c r="AB32" s="292"/>
      <c r="AC32" s="293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89" t="s">
        <v>155</v>
      </c>
      <c r="Z33" s="290"/>
      <c r="AA33" s="291" t="s">
        <v>156</v>
      </c>
      <c r="AB33" s="292"/>
      <c r="AC33" s="293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89" t="s">
        <v>155</v>
      </c>
      <c r="Z34" s="290"/>
      <c r="AA34" s="291" t="s">
        <v>156</v>
      </c>
      <c r="AB34" s="292"/>
      <c r="AC34" s="293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226</v>
      </c>
      <c r="C35" s="114"/>
      <c r="D35" s="114"/>
      <c r="E35" s="114"/>
      <c r="F35" s="114"/>
      <c r="G35" s="114"/>
      <c r="H35" s="134"/>
      <c r="I35" s="115" t="s">
        <v>227</v>
      </c>
      <c r="J35" s="116"/>
      <c r="K35" s="116"/>
      <c r="L35" s="116"/>
      <c r="M35" s="116"/>
      <c r="N35" s="116"/>
      <c r="O35" s="116"/>
      <c r="P35" s="116"/>
      <c r="Q35" s="133"/>
      <c r="R35" s="8" t="s">
        <v>226</v>
      </c>
      <c r="S35" s="116"/>
      <c r="T35" s="116"/>
      <c r="U35" s="116"/>
      <c r="V35" s="116"/>
      <c r="W35" s="116"/>
      <c r="X35" s="134"/>
      <c r="Y35" s="289" t="s">
        <v>150</v>
      </c>
      <c r="Z35" s="290"/>
      <c r="AA35" s="291" t="s">
        <v>151</v>
      </c>
      <c r="AB35" s="292"/>
      <c r="AC35" s="293"/>
      <c r="AD35" s="126">
        <v>3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228</v>
      </c>
      <c r="C36" s="114"/>
      <c r="D36" s="114"/>
      <c r="E36" s="114"/>
      <c r="F36" s="114"/>
      <c r="G36" s="114"/>
      <c r="H36" s="134"/>
      <c r="I36" s="115" t="s">
        <v>229</v>
      </c>
      <c r="J36" s="116"/>
      <c r="K36" s="116"/>
      <c r="L36" s="116"/>
      <c r="M36" s="116"/>
      <c r="N36" s="116"/>
      <c r="O36" s="116"/>
      <c r="P36" s="116"/>
      <c r="Q36" s="133"/>
      <c r="R36" s="8" t="s">
        <v>228</v>
      </c>
      <c r="S36" s="116"/>
      <c r="T36" s="116"/>
      <c r="U36" s="116"/>
      <c r="V36" s="116"/>
      <c r="W36" s="116"/>
      <c r="X36" s="134"/>
      <c r="Y36" s="289" t="s">
        <v>150</v>
      </c>
      <c r="Z36" s="290"/>
      <c r="AA36" s="291" t="s">
        <v>151</v>
      </c>
      <c r="AB36" s="292"/>
      <c r="AC36" s="293"/>
      <c r="AD36" s="126">
        <v>1000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230</v>
      </c>
      <c r="C37" s="114"/>
      <c r="D37" s="114"/>
      <c r="E37" s="114"/>
      <c r="F37" s="114"/>
      <c r="G37" s="114"/>
      <c r="H37" s="134"/>
      <c r="I37" s="115" t="s">
        <v>231</v>
      </c>
      <c r="J37" s="116"/>
      <c r="K37" s="116"/>
      <c r="L37" s="116"/>
      <c r="M37" s="116"/>
      <c r="N37" s="116"/>
      <c r="O37" s="116"/>
      <c r="P37" s="116"/>
      <c r="Q37" s="133"/>
      <c r="R37" s="8" t="s">
        <v>230</v>
      </c>
      <c r="S37" s="116"/>
      <c r="T37" s="116"/>
      <c r="U37" s="116"/>
      <c r="V37" s="116"/>
      <c r="W37" s="116"/>
      <c r="X37" s="134"/>
      <c r="Y37" s="289" t="s">
        <v>169</v>
      </c>
      <c r="Z37" s="290"/>
      <c r="AA37" s="291" t="s">
        <v>170</v>
      </c>
      <c r="AB37" s="292"/>
      <c r="AC37" s="293"/>
      <c r="AD37" s="126"/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 t="s">
        <v>232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233</v>
      </c>
      <c r="C38" s="114"/>
      <c r="D38" s="114"/>
      <c r="E38" s="114"/>
      <c r="F38" s="114"/>
      <c r="G38" s="114"/>
      <c r="H38" s="134"/>
      <c r="I38" s="115" t="s">
        <v>234</v>
      </c>
      <c r="J38" s="116"/>
      <c r="K38" s="116"/>
      <c r="L38" s="116"/>
      <c r="M38" s="116"/>
      <c r="N38" s="116"/>
      <c r="O38" s="116"/>
      <c r="P38" s="116"/>
      <c r="Q38" s="133"/>
      <c r="R38" s="8" t="s">
        <v>233</v>
      </c>
      <c r="S38" s="116"/>
      <c r="T38" s="116"/>
      <c r="U38" s="116"/>
      <c r="V38" s="116"/>
      <c r="W38" s="116"/>
      <c r="X38" s="134"/>
      <c r="Y38" s="289" t="s">
        <v>155</v>
      </c>
      <c r="Z38" s="290"/>
      <c r="AA38" s="291" t="s">
        <v>156</v>
      </c>
      <c r="AB38" s="292"/>
      <c r="AC38" s="293"/>
      <c r="AD38" s="126">
        <v>1</v>
      </c>
      <c r="AE38" s="111"/>
      <c r="AF38" s="111"/>
      <c r="AG38" s="111"/>
      <c r="AH38" s="120">
        <v>0</v>
      </c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236</v>
      </c>
      <c r="C39" s="114"/>
      <c r="D39" s="114"/>
      <c r="E39" s="114"/>
      <c r="F39" s="114"/>
      <c r="G39" s="114"/>
      <c r="H39" s="134"/>
      <c r="I39" s="115" t="s">
        <v>237</v>
      </c>
      <c r="J39" s="116"/>
      <c r="K39" s="116"/>
      <c r="L39" s="116"/>
      <c r="M39" s="116"/>
      <c r="N39" s="116"/>
      <c r="O39" s="116"/>
      <c r="P39" s="116"/>
      <c r="Q39" s="133"/>
      <c r="R39" s="8" t="s">
        <v>236</v>
      </c>
      <c r="S39" s="116"/>
      <c r="T39" s="116"/>
      <c r="U39" s="116"/>
      <c r="V39" s="116"/>
      <c r="W39" s="116"/>
      <c r="X39" s="134"/>
      <c r="Y39" s="289" t="s">
        <v>155</v>
      </c>
      <c r="Z39" s="290"/>
      <c r="AA39" s="291" t="s">
        <v>156</v>
      </c>
      <c r="AB39" s="292"/>
      <c r="AC39" s="293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238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239</v>
      </c>
      <c r="C40" s="114"/>
      <c r="D40" s="114"/>
      <c r="E40" s="114"/>
      <c r="F40" s="114"/>
      <c r="G40" s="114"/>
      <c r="H40" s="134"/>
      <c r="I40" s="115" t="s">
        <v>240</v>
      </c>
      <c r="J40" s="116"/>
      <c r="K40" s="116"/>
      <c r="L40" s="116"/>
      <c r="M40" s="116"/>
      <c r="N40" s="116"/>
      <c r="O40" s="116"/>
      <c r="P40" s="116"/>
      <c r="Q40" s="133"/>
      <c r="R40" s="8" t="s">
        <v>239</v>
      </c>
      <c r="S40" s="116"/>
      <c r="T40" s="116"/>
      <c r="U40" s="116"/>
      <c r="V40" s="116"/>
      <c r="W40" s="116"/>
      <c r="X40" s="134"/>
      <c r="Y40" s="289" t="s">
        <v>169</v>
      </c>
      <c r="Z40" s="290"/>
      <c r="AA40" s="291" t="s">
        <v>170</v>
      </c>
      <c r="AB40" s="292"/>
      <c r="AC40" s="293"/>
      <c r="AD40" s="126"/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278</v>
      </c>
      <c r="C41" s="114"/>
      <c r="D41" s="114"/>
      <c r="E41" s="114"/>
      <c r="F41" s="114"/>
      <c r="G41" s="114"/>
      <c r="H41" s="134"/>
      <c r="I41" s="115" t="s">
        <v>279</v>
      </c>
      <c r="J41" s="116"/>
      <c r="K41" s="116"/>
      <c r="L41" s="116"/>
      <c r="M41" s="116"/>
      <c r="N41" s="116"/>
      <c r="O41" s="116"/>
      <c r="P41" s="116"/>
      <c r="Q41" s="133"/>
      <c r="R41" s="8" t="s">
        <v>278</v>
      </c>
      <c r="S41" s="116"/>
      <c r="T41" s="116"/>
      <c r="U41" s="116"/>
      <c r="V41" s="116"/>
      <c r="W41" s="116"/>
      <c r="X41" s="134"/>
      <c r="Y41" s="289" t="s">
        <v>155</v>
      </c>
      <c r="Z41" s="290"/>
      <c r="AA41" s="291" t="s">
        <v>156</v>
      </c>
      <c r="AB41" s="292"/>
      <c r="AC41" s="293"/>
      <c r="AD41" s="126">
        <v>1</v>
      </c>
      <c r="AE41" s="111"/>
      <c r="AF41" s="111"/>
      <c r="AG41" s="111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280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>
        <f>IF(B42="","",COUNTA($B$8:B42))</f>
        <v>34</v>
      </c>
      <c r="B42" s="8" t="s">
        <v>281</v>
      </c>
      <c r="C42" s="114"/>
      <c r="D42" s="114"/>
      <c r="E42" s="114"/>
      <c r="F42" s="114"/>
      <c r="G42" s="114"/>
      <c r="H42" s="134"/>
      <c r="I42" s="115" t="s">
        <v>282</v>
      </c>
      <c r="J42" s="116"/>
      <c r="K42" s="116"/>
      <c r="L42" s="116"/>
      <c r="M42" s="116"/>
      <c r="N42" s="116"/>
      <c r="O42" s="116"/>
      <c r="P42" s="116"/>
      <c r="Q42" s="133"/>
      <c r="R42" s="8" t="s">
        <v>281</v>
      </c>
      <c r="S42" s="116"/>
      <c r="T42" s="116"/>
      <c r="U42" s="116"/>
      <c r="V42" s="116"/>
      <c r="W42" s="116"/>
      <c r="X42" s="134"/>
      <c r="Y42" s="289" t="s">
        <v>155</v>
      </c>
      <c r="Z42" s="290"/>
      <c r="AA42" s="291" t="s">
        <v>156</v>
      </c>
      <c r="AB42" s="292"/>
      <c r="AC42" s="293"/>
      <c r="AD42" s="126">
        <v>1</v>
      </c>
      <c r="AE42" s="111"/>
      <c r="AF42" s="111"/>
      <c r="AG42" s="111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 t="s">
        <v>283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>
        <f>IF(B43="","",COUNTA($B$8:B43))</f>
        <v>35</v>
      </c>
      <c r="B43" s="8" t="s">
        <v>284</v>
      </c>
      <c r="C43" s="114"/>
      <c r="D43" s="114"/>
      <c r="E43" s="114"/>
      <c r="F43" s="114"/>
      <c r="G43" s="114"/>
      <c r="H43" s="134"/>
      <c r="I43" s="115" t="s">
        <v>285</v>
      </c>
      <c r="J43" s="116"/>
      <c r="K43" s="116"/>
      <c r="L43" s="116"/>
      <c r="M43" s="116"/>
      <c r="N43" s="116"/>
      <c r="O43" s="116"/>
      <c r="P43" s="116"/>
      <c r="Q43" s="133"/>
      <c r="R43" s="8" t="s">
        <v>284</v>
      </c>
      <c r="S43" s="116"/>
      <c r="T43" s="116"/>
      <c r="U43" s="116"/>
      <c r="V43" s="116"/>
      <c r="W43" s="116"/>
      <c r="X43" s="134"/>
      <c r="Y43" s="289" t="s">
        <v>155</v>
      </c>
      <c r="Z43" s="290"/>
      <c r="AA43" s="291" t="s">
        <v>156</v>
      </c>
      <c r="AB43" s="292"/>
      <c r="AC43" s="293"/>
      <c r="AD43" s="126">
        <v>1</v>
      </c>
      <c r="AE43" s="111"/>
      <c r="AF43" s="111"/>
      <c r="AG43" s="111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286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89" t="s">
        <v>150</v>
      </c>
      <c r="Z44" s="290"/>
      <c r="AA44" s="291" t="s">
        <v>151</v>
      </c>
      <c r="AB44" s="292"/>
      <c r="AC44" s="293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89" t="s">
        <v>150</v>
      </c>
      <c r="Z45" s="290"/>
      <c r="AA45" s="291" t="s">
        <v>151</v>
      </c>
      <c r="AB45" s="292"/>
      <c r="AC45" s="293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89" t="s">
        <v>150</v>
      </c>
      <c r="Z46" s="290"/>
      <c r="AA46" s="291" t="s">
        <v>151</v>
      </c>
      <c r="AB46" s="292"/>
      <c r="AC46" s="293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89" t="s">
        <v>150</v>
      </c>
      <c r="Z47" s="290"/>
      <c r="AA47" s="291" t="s">
        <v>151</v>
      </c>
      <c r="AB47" s="292"/>
      <c r="AC47" s="293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89" t="s">
        <v>169</v>
      </c>
      <c r="Z48" s="290"/>
      <c r="AA48" s="291" t="s">
        <v>243</v>
      </c>
      <c r="AB48" s="292"/>
      <c r="AC48" s="293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89" t="s">
        <v>150</v>
      </c>
      <c r="Z49" s="290"/>
      <c r="AA49" s="291" t="s">
        <v>151</v>
      </c>
      <c r="AB49" s="292"/>
      <c r="AC49" s="293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89" t="s">
        <v>150</v>
      </c>
      <c r="Z50" s="290"/>
      <c r="AA50" s="291" t="s">
        <v>151</v>
      </c>
      <c r="AB50" s="292"/>
      <c r="AC50" s="293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89" t="s">
        <v>169</v>
      </c>
      <c r="Z51" s="290"/>
      <c r="AA51" s="291" t="s">
        <v>243</v>
      </c>
      <c r="AB51" s="292"/>
      <c r="AC51" s="293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ht="14.45" customHeight="1" x14ac:dyDescent="0.25">
      <c r="A52" s="70" t="str">
        <f>IF(B52="","",COUNTA($B$8:B52))</f>
        <v/>
      </c>
      <c r="B52" s="19"/>
      <c r="C52" s="20"/>
      <c r="D52" s="20"/>
      <c r="E52" s="20"/>
      <c r="F52" s="20"/>
      <c r="G52" s="20"/>
      <c r="H52" s="24"/>
      <c r="I52" s="34"/>
      <c r="J52" s="23"/>
      <c r="K52" s="23"/>
      <c r="L52" s="23"/>
      <c r="M52" s="23"/>
      <c r="N52" s="23"/>
      <c r="O52" s="23"/>
      <c r="P52" s="23"/>
      <c r="Q52" s="37"/>
      <c r="R52" s="19"/>
      <c r="S52" s="23"/>
      <c r="T52" s="23"/>
      <c r="U52" s="23"/>
      <c r="V52" s="23"/>
      <c r="W52" s="23"/>
      <c r="X52" s="24"/>
      <c r="Y52" s="284"/>
      <c r="Z52" s="285"/>
      <c r="AA52" s="286"/>
      <c r="AB52" s="287"/>
      <c r="AC52" s="288"/>
      <c r="AD52" s="30"/>
      <c r="AE52" s="29" t="s">
        <v>244</v>
      </c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284"/>
      <c r="Z53" s="285"/>
      <c r="AA53" s="286"/>
      <c r="AB53" s="287"/>
      <c r="AC53" s="288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84"/>
      <c r="Z54" s="285"/>
      <c r="AA54" s="286"/>
      <c r="AB54" s="287"/>
      <c r="AC54" s="288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84"/>
      <c r="Z55" s="285"/>
      <c r="AA55" s="286"/>
      <c r="AB55" s="287"/>
      <c r="AC55" s="288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84"/>
      <c r="Z56" s="285"/>
      <c r="AA56" s="286"/>
      <c r="AB56" s="287"/>
      <c r="AC56" s="288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84"/>
      <c r="Z57" s="285"/>
      <c r="AA57" s="286"/>
      <c r="AB57" s="287"/>
      <c r="AC57" s="288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84"/>
      <c r="Z58" s="285"/>
      <c r="AA58" s="286"/>
      <c r="AB58" s="287"/>
      <c r="AC58" s="288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84"/>
      <c r="Z59" s="285"/>
      <c r="AA59" s="286"/>
      <c r="AB59" s="287"/>
      <c r="AC59" s="288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84"/>
      <c r="Z60" s="285"/>
      <c r="AA60" s="286"/>
      <c r="AB60" s="287"/>
      <c r="AC60" s="288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84"/>
      <c r="Z61" s="285"/>
      <c r="AA61" s="286"/>
      <c r="AB61" s="287"/>
      <c r="AC61" s="288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84"/>
      <c r="Z62" s="285"/>
      <c r="AA62" s="286"/>
      <c r="AB62" s="287"/>
      <c r="AC62" s="288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84"/>
      <c r="Z63" s="285"/>
      <c r="AA63" s="286"/>
      <c r="AB63" s="287"/>
      <c r="AC63" s="288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84"/>
      <c r="Z64" s="285"/>
      <c r="AA64" s="286"/>
      <c r="AB64" s="287"/>
      <c r="AC64" s="288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84"/>
      <c r="Z65" s="285"/>
      <c r="AA65" s="286"/>
      <c r="AB65" s="287"/>
      <c r="AC65" s="288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84"/>
      <c r="Z66" s="285"/>
      <c r="AA66" s="286"/>
      <c r="AB66" s="287"/>
      <c r="AC66" s="288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84"/>
      <c r="Z67" s="285"/>
      <c r="AA67" s="286"/>
      <c r="AB67" s="287"/>
      <c r="AC67" s="288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84"/>
      <c r="Z68" s="285"/>
      <c r="AA68" s="286"/>
      <c r="AB68" s="287"/>
      <c r="AC68" s="288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84"/>
      <c r="Z69" s="285"/>
      <c r="AA69" s="286"/>
      <c r="AB69" s="287"/>
      <c r="AC69" s="288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84"/>
      <c r="Z70" s="285"/>
      <c r="AA70" s="286"/>
      <c r="AB70" s="287"/>
      <c r="AC70" s="288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84"/>
      <c r="Z71" s="285"/>
      <c r="AA71" s="286"/>
      <c r="AB71" s="287"/>
      <c r="AC71" s="288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84"/>
      <c r="Z72" s="285"/>
      <c r="AA72" s="286"/>
      <c r="AB72" s="287"/>
      <c r="AC72" s="288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84"/>
      <c r="Z73" s="285"/>
      <c r="AA73" s="286"/>
      <c r="AB73" s="287"/>
      <c r="AC73" s="288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84"/>
      <c r="Z74" s="285"/>
      <c r="AA74" s="286"/>
      <c r="AB74" s="287"/>
      <c r="AC74" s="288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84"/>
      <c r="Z75" s="285"/>
      <c r="AA75" s="286"/>
      <c r="AB75" s="287"/>
      <c r="AC75" s="288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84"/>
      <c r="Z76" s="285"/>
      <c r="AA76" s="286"/>
      <c r="AB76" s="287"/>
      <c r="AC76" s="28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84"/>
      <c r="Z77" s="285"/>
      <c r="AA77" s="286"/>
      <c r="AB77" s="287"/>
      <c r="AC77" s="28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84"/>
      <c r="Z78" s="285"/>
      <c r="AA78" s="286"/>
      <c r="AB78" s="287"/>
      <c r="AC78" s="28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84"/>
      <c r="Z79" s="285"/>
      <c r="AA79" s="286"/>
      <c r="AB79" s="287"/>
      <c r="AC79" s="28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84"/>
      <c r="Z80" s="285"/>
      <c r="AA80" s="286"/>
      <c r="AB80" s="287"/>
      <c r="AC80" s="28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84"/>
      <c r="Z81" s="285"/>
      <c r="AA81" s="286"/>
      <c r="AB81" s="287"/>
      <c r="AC81" s="28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84"/>
      <c r="Z82" s="285"/>
      <c r="AA82" s="286"/>
      <c r="AB82" s="287"/>
      <c r="AC82" s="28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84"/>
      <c r="Z83" s="285"/>
      <c r="AA83" s="286"/>
      <c r="AB83" s="287"/>
      <c r="AC83" s="28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84"/>
      <c r="Z84" s="285"/>
      <c r="AA84" s="286"/>
      <c r="AB84" s="287"/>
      <c r="AC84" s="28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84"/>
      <c r="Z85" s="285"/>
      <c r="AA85" s="286"/>
      <c r="AB85" s="287"/>
      <c r="AC85" s="28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63:Z63"/>
    <mergeCell ref="Y62:Z62"/>
    <mergeCell ref="AA59:AC59"/>
    <mergeCell ref="AA60:AC60"/>
    <mergeCell ref="AA61:AC61"/>
    <mergeCell ref="AA62:AC62"/>
    <mergeCell ref="AA63:AC63"/>
    <mergeCell ref="AA48:AC48"/>
    <mergeCell ref="AA49:AC49"/>
    <mergeCell ref="AA50:AC50"/>
    <mergeCell ref="AA51:AC51"/>
    <mergeCell ref="AA53:AC53"/>
    <mergeCell ref="AA54:AC54"/>
    <mergeCell ref="AA55:AC55"/>
    <mergeCell ref="AA56:AC56"/>
    <mergeCell ref="AA57:AC57"/>
    <mergeCell ref="Y59:Z59"/>
    <mergeCell ref="Y60:Z60"/>
    <mergeCell ref="Y61:Z61"/>
    <mergeCell ref="AA42:AC42"/>
    <mergeCell ref="AA43:AC43"/>
    <mergeCell ref="AA44:AC44"/>
    <mergeCell ref="AA45:AC45"/>
    <mergeCell ref="AA46:AC46"/>
    <mergeCell ref="AA47:AC47"/>
    <mergeCell ref="Y52:Z52"/>
    <mergeCell ref="AA52:AC52"/>
    <mergeCell ref="AA58:AC58"/>
    <mergeCell ref="Y49:Z49"/>
    <mergeCell ref="Y50:Z50"/>
    <mergeCell ref="Y51:Z51"/>
    <mergeCell ref="Y46:Z46"/>
    <mergeCell ref="Y47:Z47"/>
    <mergeCell ref="Y48:Z48"/>
    <mergeCell ref="Y43:Z43"/>
    <mergeCell ref="Y44:Z44"/>
    <mergeCell ref="Y45:Z45"/>
    <mergeCell ref="Y56:Z56"/>
    <mergeCell ref="Y57:Z57"/>
    <mergeCell ref="Y58:Z58"/>
    <mergeCell ref="Y53:Z53"/>
    <mergeCell ref="Y54:Z54"/>
    <mergeCell ref="Y55:Z55"/>
    <mergeCell ref="AA25:AC25"/>
    <mergeCell ref="AA26:AC26"/>
    <mergeCell ref="AA27:AC27"/>
    <mergeCell ref="AA28:AC28"/>
    <mergeCell ref="AA29:AC29"/>
    <mergeCell ref="AA30:AC30"/>
    <mergeCell ref="AA39:AC39"/>
    <mergeCell ref="AA40:AC40"/>
    <mergeCell ref="AA41:AC41"/>
    <mergeCell ref="Y41:Z41"/>
    <mergeCell ref="Y42:Z42"/>
    <mergeCell ref="Y39:Z39"/>
    <mergeCell ref="Y38:Z38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22:AC22"/>
    <mergeCell ref="AA23:AC23"/>
    <mergeCell ref="AA24:AC24"/>
    <mergeCell ref="Y36:Z36"/>
    <mergeCell ref="Y37:Z37"/>
    <mergeCell ref="Y33:Z33"/>
    <mergeCell ref="Y34:Z34"/>
    <mergeCell ref="Y35:Z35"/>
    <mergeCell ref="Y40:Z40"/>
    <mergeCell ref="Y21:Z21"/>
    <mergeCell ref="Y22:Z22"/>
    <mergeCell ref="Y17:Z17"/>
    <mergeCell ref="Y19:Z19"/>
    <mergeCell ref="Y20:Z2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10:Z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生産計画情報（コーヒーフィルタ）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89" t="s">
        <v>150</v>
      </c>
      <c r="Z9" s="290"/>
      <c r="AA9" s="291" t="s">
        <v>151</v>
      </c>
      <c r="AB9" s="292"/>
      <c r="AC9" s="293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291" t="s">
        <v>170</v>
      </c>
      <c r="AB12" s="292"/>
      <c r="AC12" s="293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91" t="s">
        <v>170</v>
      </c>
      <c r="AB13" s="292"/>
      <c r="AC13" s="293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291" t="s">
        <v>156</v>
      </c>
      <c r="AB14" s="292"/>
      <c r="AC14" s="293"/>
      <c r="AD14" s="159">
        <v>5</v>
      </c>
      <c r="AE14" s="111">
        <v>1</v>
      </c>
      <c r="AF14" s="111"/>
      <c r="AG14" s="111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89" t="s">
        <v>150</v>
      </c>
      <c r="Z15" s="290"/>
      <c r="AA15" s="291" t="s">
        <v>151</v>
      </c>
      <c r="AB15" s="292"/>
      <c r="AC15" s="293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181</v>
      </c>
      <c r="C16" s="114"/>
      <c r="D16" s="114"/>
      <c r="E16" s="114"/>
      <c r="F16" s="114"/>
      <c r="G16" s="114"/>
      <c r="H16" s="134"/>
      <c r="I16" s="115" t="s">
        <v>182</v>
      </c>
      <c r="J16" s="116"/>
      <c r="K16" s="116"/>
      <c r="L16" s="116"/>
      <c r="M16" s="116"/>
      <c r="N16" s="116"/>
      <c r="O16" s="116"/>
      <c r="P16" s="116"/>
      <c r="Q16" s="133"/>
      <c r="R16" s="8" t="s">
        <v>181</v>
      </c>
      <c r="S16" s="116"/>
      <c r="T16" s="116"/>
      <c r="U16" s="116"/>
      <c r="V16" s="116"/>
      <c r="W16" s="116"/>
      <c r="X16" s="133"/>
      <c r="Y16" s="289" t="s">
        <v>150</v>
      </c>
      <c r="Z16" s="290"/>
      <c r="AA16" s="291" t="s">
        <v>151</v>
      </c>
      <c r="AB16" s="292"/>
      <c r="AC16" s="293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1413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183</v>
      </c>
      <c r="C17" s="114"/>
      <c r="D17" s="114"/>
      <c r="E17" s="114"/>
      <c r="F17" s="114"/>
      <c r="G17" s="114"/>
      <c r="H17" s="134"/>
      <c r="I17" s="115" t="s">
        <v>184</v>
      </c>
      <c r="J17" s="116"/>
      <c r="K17" s="116"/>
      <c r="L17" s="116"/>
      <c r="M17" s="116"/>
      <c r="N17" s="116"/>
      <c r="O17" s="116"/>
      <c r="P17" s="116"/>
      <c r="Q17" s="133"/>
      <c r="R17" s="8" t="s">
        <v>183</v>
      </c>
      <c r="S17" s="116"/>
      <c r="T17" s="116"/>
      <c r="U17" s="116"/>
      <c r="V17" s="116"/>
      <c r="W17" s="116"/>
      <c r="X17" s="134"/>
      <c r="Y17" s="289" t="s">
        <v>150</v>
      </c>
      <c r="Z17" s="290"/>
      <c r="AA17" s="291" t="s">
        <v>151</v>
      </c>
      <c r="AB17" s="292"/>
      <c r="AC17" s="293"/>
      <c r="AD17" s="126">
        <v>1000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ht="14.45" customHeight="1" x14ac:dyDescent="0.25">
      <c r="A18" s="131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284" t="s">
        <v>150</v>
      </c>
      <c r="Z18" s="285"/>
      <c r="AA18" s="291" t="s">
        <v>151</v>
      </c>
      <c r="AB18" s="292"/>
      <c r="AC18" s="293"/>
      <c r="AD18" s="126">
        <v>75</v>
      </c>
      <c r="AE18" s="111"/>
      <c r="AF18" s="111"/>
      <c r="AG18" s="111"/>
      <c r="AH18" s="120"/>
      <c r="AI18" s="120"/>
      <c r="AJ18" s="120" t="s">
        <v>161</v>
      </c>
      <c r="AK18" s="120"/>
      <c r="AL18" s="120"/>
      <c r="AM18" s="120"/>
      <c r="AN18" s="120"/>
      <c r="AO18" s="111"/>
      <c r="AP18" s="111"/>
      <c r="AQ18" s="111"/>
      <c r="AR18" s="111"/>
      <c r="AS18" s="118" t="s">
        <v>1407</v>
      </c>
      <c r="AT18" s="124"/>
      <c r="AU18" s="124"/>
      <c r="AV18" s="124"/>
      <c r="AW18" s="124"/>
      <c r="AX18" s="67"/>
      <c r="AY18" s="67"/>
      <c r="AZ18" s="67"/>
      <c r="BA18" s="67"/>
      <c r="BB18" s="67"/>
      <c r="BC18" s="67"/>
      <c r="BD18" s="68"/>
      <c r="BE18" s="18" t="s">
        <v>1414</v>
      </c>
    </row>
    <row r="19" spans="1:57" ht="14.45" customHeight="1" x14ac:dyDescent="0.25">
      <c r="A19" s="131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91" t="s">
        <v>151</v>
      </c>
      <c r="AB19" s="292"/>
      <c r="AC19" s="293"/>
      <c r="AD19" s="126">
        <v>25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 t="s">
        <v>1408</v>
      </c>
      <c r="AT19" s="157"/>
      <c r="AU19" s="157"/>
      <c r="AV19" s="157"/>
      <c r="AW19" s="157"/>
      <c r="AX19" s="32"/>
      <c r="AY19" s="32"/>
      <c r="AZ19" s="32"/>
      <c r="BA19" s="32"/>
      <c r="BB19" s="32"/>
      <c r="BC19" s="32"/>
      <c r="BD19" s="33"/>
      <c r="BE19" s="18" t="s">
        <v>1414</v>
      </c>
    </row>
    <row r="20" spans="1:57" s="1" customFormat="1" ht="14.45" customHeight="1" x14ac:dyDescent="0.25">
      <c r="A20" s="131">
        <f>IF(B20="","",COUNTA($B$8:B20))</f>
        <v>13</v>
      </c>
      <c r="B20" s="8" t="s">
        <v>195</v>
      </c>
      <c r="C20" s="114"/>
      <c r="D20" s="114"/>
      <c r="E20" s="114"/>
      <c r="F20" s="114"/>
      <c r="G20" s="114"/>
      <c r="H20" s="134"/>
      <c r="I20" s="115" t="s">
        <v>196</v>
      </c>
      <c r="J20" s="116"/>
      <c r="K20" s="116"/>
      <c r="L20" s="116"/>
      <c r="M20" s="116"/>
      <c r="N20" s="116"/>
      <c r="O20" s="116"/>
      <c r="P20" s="116"/>
      <c r="Q20" s="133"/>
      <c r="R20" s="8" t="s">
        <v>195</v>
      </c>
      <c r="S20" s="116"/>
      <c r="T20" s="116"/>
      <c r="U20" s="116"/>
      <c r="V20" s="116"/>
      <c r="W20" s="116"/>
      <c r="X20" s="134"/>
      <c r="Y20" s="289" t="s">
        <v>150</v>
      </c>
      <c r="Z20" s="290"/>
      <c r="AA20" s="291" t="s">
        <v>151</v>
      </c>
      <c r="AB20" s="292"/>
      <c r="AC20" s="293"/>
      <c r="AD20" s="187">
        <v>400</v>
      </c>
      <c r="AE20" s="111"/>
      <c r="AF20" s="111"/>
      <c r="AG20" s="120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 t="s">
        <v>1512</v>
      </c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  <c r="BE20" s="1" t="s">
        <v>1511</v>
      </c>
    </row>
    <row r="21" spans="1:57" s="1" customFormat="1" ht="14.45" customHeight="1" x14ac:dyDescent="0.25">
      <c r="A21" s="131">
        <f>IF(B21="","",COUNTA($B$8:B21))</f>
        <v>14</v>
      </c>
      <c r="B21" s="8" t="s">
        <v>197</v>
      </c>
      <c r="C21" s="114"/>
      <c r="D21" s="114"/>
      <c r="E21" s="114"/>
      <c r="F21" s="114"/>
      <c r="G21" s="114"/>
      <c r="H21" s="134"/>
      <c r="I21" s="115" t="s">
        <v>198</v>
      </c>
      <c r="J21" s="116"/>
      <c r="K21" s="116"/>
      <c r="L21" s="116"/>
      <c r="M21" s="116"/>
      <c r="N21" s="116"/>
      <c r="O21" s="116"/>
      <c r="P21" s="116"/>
      <c r="Q21" s="133"/>
      <c r="R21" s="8" t="s">
        <v>197</v>
      </c>
      <c r="S21" s="116"/>
      <c r="T21" s="116"/>
      <c r="U21" s="116"/>
      <c r="V21" s="116"/>
      <c r="W21" s="116"/>
      <c r="X21" s="134"/>
      <c r="Y21" s="289" t="s">
        <v>150</v>
      </c>
      <c r="Z21" s="290"/>
      <c r="AA21" s="291" t="s">
        <v>151</v>
      </c>
      <c r="AB21" s="292"/>
      <c r="AC21" s="293"/>
      <c r="AD21" s="126">
        <v>5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5" customHeight="1" x14ac:dyDescent="0.25">
      <c r="A22" s="131">
        <f>IF(B22="","",COUNTA($B$8:B22))</f>
        <v>15</v>
      </c>
      <c r="B22" s="8" t="s">
        <v>199</v>
      </c>
      <c r="C22" s="114"/>
      <c r="D22" s="114"/>
      <c r="E22" s="114"/>
      <c r="F22" s="114"/>
      <c r="G22" s="114"/>
      <c r="H22" s="134"/>
      <c r="I22" s="115" t="s">
        <v>200</v>
      </c>
      <c r="J22" s="116"/>
      <c r="K22" s="116"/>
      <c r="L22" s="116"/>
      <c r="M22" s="116"/>
      <c r="N22" s="116"/>
      <c r="O22" s="116"/>
      <c r="P22" s="116"/>
      <c r="Q22" s="133"/>
      <c r="R22" s="8" t="s">
        <v>199</v>
      </c>
      <c r="S22" s="116"/>
      <c r="T22" s="116"/>
      <c r="U22" s="116"/>
      <c r="V22" s="116"/>
      <c r="W22" s="116"/>
      <c r="X22" s="134"/>
      <c r="Y22" s="289" t="s">
        <v>150</v>
      </c>
      <c r="Z22" s="290"/>
      <c r="AA22" s="291" t="s">
        <v>151</v>
      </c>
      <c r="AB22" s="292"/>
      <c r="AC22" s="293"/>
      <c r="AD22" s="126">
        <v>20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5" customHeight="1" x14ac:dyDescent="0.25">
      <c r="A23" s="131">
        <f>IF(B23="","",COUNTA($B$8:B23))</f>
        <v>16</v>
      </c>
      <c r="B23" s="8" t="s">
        <v>201</v>
      </c>
      <c r="C23" s="114"/>
      <c r="D23" s="114"/>
      <c r="E23" s="114"/>
      <c r="F23" s="114"/>
      <c r="G23" s="114"/>
      <c r="H23" s="134"/>
      <c r="I23" s="115" t="s">
        <v>202</v>
      </c>
      <c r="J23" s="116"/>
      <c r="K23" s="116"/>
      <c r="L23" s="116"/>
      <c r="M23" s="116"/>
      <c r="N23" s="116"/>
      <c r="O23" s="116"/>
      <c r="P23" s="116"/>
      <c r="Q23" s="133"/>
      <c r="R23" s="8" t="s">
        <v>201</v>
      </c>
      <c r="S23" s="116"/>
      <c r="T23" s="116"/>
      <c r="U23" s="116"/>
      <c r="V23" s="116"/>
      <c r="W23" s="116"/>
      <c r="X23" s="134"/>
      <c r="Y23" s="289" t="s">
        <v>150</v>
      </c>
      <c r="Z23" s="290"/>
      <c r="AA23" s="291" t="s">
        <v>151</v>
      </c>
      <c r="AB23" s="292"/>
      <c r="AC23" s="293"/>
      <c r="AD23" s="126">
        <v>30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</row>
    <row r="24" spans="1:57" s="1" customFormat="1" ht="14.45" customHeight="1" x14ac:dyDescent="0.25">
      <c r="A24" s="131">
        <f>IF(B24="","",COUNTA($B$8:B24))</f>
        <v>17</v>
      </c>
      <c r="B24" s="8" t="s">
        <v>621</v>
      </c>
      <c r="C24" s="114"/>
      <c r="D24" s="114"/>
      <c r="E24" s="114"/>
      <c r="F24" s="114"/>
      <c r="G24" s="114"/>
      <c r="H24" s="134"/>
      <c r="I24" s="115" t="s">
        <v>1399</v>
      </c>
      <c r="J24" s="116"/>
      <c r="K24" s="116"/>
      <c r="L24" s="116"/>
      <c r="M24" s="116"/>
      <c r="N24" s="116"/>
      <c r="O24" s="116"/>
      <c r="P24" s="116"/>
      <c r="Q24" s="133"/>
      <c r="R24" s="8" t="s">
        <v>621</v>
      </c>
      <c r="S24" s="116"/>
      <c r="T24" s="116"/>
      <c r="U24" s="116"/>
      <c r="V24" s="116"/>
      <c r="W24" s="116"/>
      <c r="X24" s="133"/>
      <c r="Y24" s="289" t="s">
        <v>150</v>
      </c>
      <c r="Z24" s="290"/>
      <c r="AA24" s="291" t="s">
        <v>151</v>
      </c>
      <c r="AB24" s="292"/>
      <c r="AC24" s="293"/>
      <c r="AD24" s="126">
        <v>30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1458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1459</v>
      </c>
    </row>
    <row r="25" spans="1:57" s="1" customFormat="1" ht="14.45" customHeight="1" x14ac:dyDescent="0.25">
      <c r="A25" s="131">
        <f>IF(B25="","",COUNTA($B$8:B25))</f>
        <v>18</v>
      </c>
      <c r="B25" s="132" t="s">
        <v>287</v>
      </c>
      <c r="C25" s="114"/>
      <c r="D25" s="114"/>
      <c r="E25" s="114"/>
      <c r="F25" s="114"/>
      <c r="G25" s="114"/>
      <c r="H25" s="134"/>
      <c r="I25" s="115" t="s">
        <v>288</v>
      </c>
      <c r="J25" s="116"/>
      <c r="K25" s="116"/>
      <c r="L25" s="116"/>
      <c r="M25" s="116"/>
      <c r="N25" s="116"/>
      <c r="O25" s="116"/>
      <c r="P25" s="116"/>
      <c r="Q25" s="133"/>
      <c r="R25" s="132" t="s">
        <v>287</v>
      </c>
      <c r="S25" s="114"/>
      <c r="T25" s="114"/>
      <c r="U25" s="114"/>
      <c r="V25" s="114"/>
      <c r="W25" s="114"/>
      <c r="X25" s="134"/>
      <c r="Y25" s="289" t="s">
        <v>155</v>
      </c>
      <c r="Z25" s="290"/>
      <c r="AA25" s="291" t="s">
        <v>156</v>
      </c>
      <c r="AB25" s="292"/>
      <c r="AC25" s="293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289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19</v>
      </c>
      <c r="B26" s="132" t="s">
        <v>290</v>
      </c>
      <c r="C26" s="114"/>
      <c r="D26" s="114"/>
      <c r="E26" s="114"/>
      <c r="F26" s="114"/>
      <c r="G26" s="114"/>
      <c r="H26" s="134"/>
      <c r="I26" s="115" t="s">
        <v>291</v>
      </c>
      <c r="J26" s="116"/>
      <c r="K26" s="116"/>
      <c r="L26" s="116"/>
      <c r="M26" s="116"/>
      <c r="N26" s="116"/>
      <c r="O26" s="116"/>
      <c r="P26" s="116"/>
      <c r="Q26" s="133"/>
      <c r="R26" s="132" t="s">
        <v>290</v>
      </c>
      <c r="S26" s="114"/>
      <c r="T26" s="114"/>
      <c r="U26" s="114"/>
      <c r="V26" s="114"/>
      <c r="W26" s="114"/>
      <c r="X26" s="134"/>
      <c r="Y26" s="289" t="s">
        <v>155</v>
      </c>
      <c r="Z26" s="290"/>
      <c r="AA26" s="291" t="s">
        <v>156</v>
      </c>
      <c r="AB26" s="292"/>
      <c r="AC26" s="293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289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20</v>
      </c>
      <c r="B27" s="132" t="s">
        <v>292</v>
      </c>
      <c r="C27" s="114"/>
      <c r="D27" s="114"/>
      <c r="E27" s="114"/>
      <c r="F27" s="114"/>
      <c r="G27" s="114"/>
      <c r="H27" s="134"/>
      <c r="I27" s="115" t="s">
        <v>293</v>
      </c>
      <c r="J27" s="116"/>
      <c r="K27" s="116"/>
      <c r="L27" s="116"/>
      <c r="M27" s="116"/>
      <c r="N27" s="116"/>
      <c r="O27" s="116"/>
      <c r="P27" s="116"/>
      <c r="Q27" s="133"/>
      <c r="R27" s="132" t="s">
        <v>292</v>
      </c>
      <c r="S27" s="116"/>
      <c r="T27" s="116"/>
      <c r="U27" s="116"/>
      <c r="V27" s="116"/>
      <c r="W27" s="116"/>
      <c r="X27" s="134"/>
      <c r="Y27" s="289" t="s">
        <v>155</v>
      </c>
      <c r="Z27" s="290"/>
      <c r="AA27" s="291" t="s">
        <v>156</v>
      </c>
      <c r="AB27" s="292"/>
      <c r="AC27" s="293"/>
      <c r="AD27" s="126">
        <v>5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289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21</v>
      </c>
      <c r="B28" s="132" t="s">
        <v>294</v>
      </c>
      <c r="C28" s="114"/>
      <c r="D28" s="114"/>
      <c r="E28" s="114"/>
      <c r="F28" s="114"/>
      <c r="G28" s="114"/>
      <c r="H28" s="134"/>
      <c r="I28" s="115" t="s">
        <v>295</v>
      </c>
      <c r="J28" s="116"/>
      <c r="K28" s="116"/>
      <c r="L28" s="116"/>
      <c r="M28" s="116"/>
      <c r="N28" s="116"/>
      <c r="O28" s="116"/>
      <c r="P28" s="116"/>
      <c r="Q28" s="133"/>
      <c r="R28" s="132" t="s">
        <v>294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5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 t="s">
        <v>289</v>
      </c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22</v>
      </c>
      <c r="B29" s="132" t="s">
        <v>296</v>
      </c>
      <c r="C29" s="114"/>
      <c r="D29" s="114"/>
      <c r="E29" s="114"/>
      <c r="F29" s="114"/>
      <c r="G29" s="114"/>
      <c r="H29" s="134"/>
      <c r="I29" s="115" t="s">
        <v>297</v>
      </c>
      <c r="J29" s="116"/>
      <c r="K29" s="116"/>
      <c r="L29" s="116"/>
      <c r="M29" s="116"/>
      <c r="N29" s="116"/>
      <c r="O29" s="116"/>
      <c r="P29" s="116"/>
      <c r="Q29" s="133"/>
      <c r="R29" s="132" t="s">
        <v>296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5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23</v>
      </c>
      <c r="B30" s="132" t="s">
        <v>298</v>
      </c>
      <c r="C30" s="114"/>
      <c r="D30" s="114"/>
      <c r="E30" s="114"/>
      <c r="F30" s="114"/>
      <c r="G30" s="114"/>
      <c r="H30" s="134"/>
      <c r="I30" s="115" t="s">
        <v>299</v>
      </c>
      <c r="J30" s="116"/>
      <c r="K30" s="116"/>
      <c r="L30" s="116"/>
      <c r="M30" s="116"/>
      <c r="N30" s="116"/>
      <c r="O30" s="116"/>
      <c r="P30" s="116"/>
      <c r="Q30" s="133"/>
      <c r="R30" s="132" t="s">
        <v>298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6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24</v>
      </c>
      <c r="B31" s="8" t="s">
        <v>226</v>
      </c>
      <c r="C31" s="114"/>
      <c r="D31" s="114"/>
      <c r="E31" s="114"/>
      <c r="F31" s="114"/>
      <c r="G31" s="114"/>
      <c r="H31" s="134"/>
      <c r="I31" s="115" t="s">
        <v>227</v>
      </c>
      <c r="J31" s="116"/>
      <c r="K31" s="116"/>
      <c r="L31" s="116"/>
      <c r="M31" s="116"/>
      <c r="N31" s="116"/>
      <c r="O31" s="116"/>
      <c r="P31" s="116"/>
      <c r="Q31" s="133"/>
      <c r="R31" s="8" t="s">
        <v>226</v>
      </c>
      <c r="S31" s="116"/>
      <c r="T31" s="116"/>
      <c r="U31" s="116"/>
      <c r="V31" s="116"/>
      <c r="W31" s="116"/>
      <c r="X31" s="134"/>
      <c r="Y31" s="289" t="s">
        <v>150</v>
      </c>
      <c r="Z31" s="290"/>
      <c r="AA31" s="291" t="s">
        <v>151</v>
      </c>
      <c r="AB31" s="292"/>
      <c r="AC31" s="293"/>
      <c r="AD31" s="126">
        <v>3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25</v>
      </c>
      <c r="B32" s="8" t="s">
        <v>228</v>
      </c>
      <c r="C32" s="114"/>
      <c r="D32" s="114"/>
      <c r="E32" s="114"/>
      <c r="F32" s="114"/>
      <c r="G32" s="114"/>
      <c r="H32" s="134"/>
      <c r="I32" s="115" t="s">
        <v>229</v>
      </c>
      <c r="J32" s="116"/>
      <c r="K32" s="116"/>
      <c r="L32" s="116"/>
      <c r="M32" s="116"/>
      <c r="N32" s="116"/>
      <c r="O32" s="116"/>
      <c r="P32" s="116"/>
      <c r="Q32" s="133"/>
      <c r="R32" s="8" t="s">
        <v>228</v>
      </c>
      <c r="S32" s="116"/>
      <c r="T32" s="116"/>
      <c r="U32" s="116"/>
      <c r="V32" s="116"/>
      <c r="W32" s="116"/>
      <c r="X32" s="134"/>
      <c r="Y32" s="289" t="s">
        <v>150</v>
      </c>
      <c r="Z32" s="290"/>
      <c r="AA32" s="291" t="s">
        <v>151</v>
      </c>
      <c r="AB32" s="292"/>
      <c r="AC32" s="293"/>
      <c r="AD32" s="126">
        <v>1000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26</v>
      </c>
      <c r="B33" s="8" t="s">
        <v>230</v>
      </c>
      <c r="C33" s="114"/>
      <c r="D33" s="114"/>
      <c r="E33" s="114"/>
      <c r="F33" s="114"/>
      <c r="G33" s="114"/>
      <c r="H33" s="134"/>
      <c r="I33" s="115" t="s">
        <v>231</v>
      </c>
      <c r="J33" s="116"/>
      <c r="K33" s="116"/>
      <c r="L33" s="116"/>
      <c r="M33" s="116"/>
      <c r="N33" s="116"/>
      <c r="O33" s="116"/>
      <c r="P33" s="116"/>
      <c r="Q33" s="133"/>
      <c r="R33" s="8" t="s">
        <v>230</v>
      </c>
      <c r="S33" s="116"/>
      <c r="T33" s="116"/>
      <c r="U33" s="116"/>
      <c r="V33" s="116"/>
      <c r="W33" s="116"/>
      <c r="X33" s="134"/>
      <c r="Y33" s="289" t="s">
        <v>169</v>
      </c>
      <c r="Z33" s="290"/>
      <c r="AA33" s="291" t="s">
        <v>170</v>
      </c>
      <c r="AB33" s="292"/>
      <c r="AC33" s="293"/>
      <c r="AD33" s="126"/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232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27</v>
      </c>
      <c r="B34" s="8" t="s">
        <v>233</v>
      </c>
      <c r="C34" s="114"/>
      <c r="D34" s="114"/>
      <c r="E34" s="114"/>
      <c r="F34" s="114"/>
      <c r="G34" s="114"/>
      <c r="H34" s="134"/>
      <c r="I34" s="115" t="s">
        <v>234</v>
      </c>
      <c r="J34" s="116"/>
      <c r="K34" s="116"/>
      <c r="L34" s="116"/>
      <c r="M34" s="116"/>
      <c r="N34" s="116"/>
      <c r="O34" s="116"/>
      <c r="P34" s="116"/>
      <c r="Q34" s="133"/>
      <c r="R34" s="8" t="s">
        <v>233</v>
      </c>
      <c r="S34" s="116"/>
      <c r="T34" s="116"/>
      <c r="U34" s="116"/>
      <c r="V34" s="116"/>
      <c r="W34" s="116"/>
      <c r="X34" s="134"/>
      <c r="Y34" s="289" t="s">
        <v>155</v>
      </c>
      <c r="Z34" s="290"/>
      <c r="AA34" s="291" t="s">
        <v>156</v>
      </c>
      <c r="AB34" s="292"/>
      <c r="AC34" s="293"/>
      <c r="AD34" s="126">
        <v>1</v>
      </c>
      <c r="AE34" s="111"/>
      <c r="AF34" s="111"/>
      <c r="AG34" s="111"/>
      <c r="AH34" s="120">
        <v>0</v>
      </c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28</v>
      </c>
      <c r="B35" s="8" t="s">
        <v>236</v>
      </c>
      <c r="C35" s="114"/>
      <c r="D35" s="114"/>
      <c r="E35" s="114"/>
      <c r="F35" s="114"/>
      <c r="G35" s="114"/>
      <c r="H35" s="134"/>
      <c r="I35" s="115" t="s">
        <v>237</v>
      </c>
      <c r="J35" s="116"/>
      <c r="K35" s="116"/>
      <c r="L35" s="116"/>
      <c r="M35" s="116"/>
      <c r="N35" s="116"/>
      <c r="O35" s="116"/>
      <c r="P35" s="116"/>
      <c r="Q35" s="133"/>
      <c r="R35" s="8" t="s">
        <v>236</v>
      </c>
      <c r="S35" s="116"/>
      <c r="T35" s="116"/>
      <c r="U35" s="116"/>
      <c r="V35" s="116"/>
      <c r="W35" s="116"/>
      <c r="X35" s="134"/>
      <c r="Y35" s="289" t="s">
        <v>155</v>
      </c>
      <c r="Z35" s="290"/>
      <c r="AA35" s="291" t="s">
        <v>156</v>
      </c>
      <c r="AB35" s="292"/>
      <c r="AC35" s="293"/>
      <c r="AD35" s="126">
        <v>1</v>
      </c>
      <c r="AE35" s="111"/>
      <c r="AF35" s="111"/>
      <c r="AG35" s="111"/>
      <c r="AH35" s="120">
        <v>0</v>
      </c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 t="s">
        <v>238</v>
      </c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29</v>
      </c>
      <c r="B36" s="8" t="s">
        <v>239</v>
      </c>
      <c r="C36" s="114"/>
      <c r="D36" s="114"/>
      <c r="E36" s="114"/>
      <c r="F36" s="114"/>
      <c r="G36" s="114"/>
      <c r="H36" s="134"/>
      <c r="I36" s="115" t="s">
        <v>240</v>
      </c>
      <c r="J36" s="116"/>
      <c r="K36" s="116"/>
      <c r="L36" s="116"/>
      <c r="M36" s="116"/>
      <c r="N36" s="116"/>
      <c r="O36" s="116"/>
      <c r="P36" s="116"/>
      <c r="Q36" s="133"/>
      <c r="R36" s="8" t="s">
        <v>239</v>
      </c>
      <c r="S36" s="116"/>
      <c r="T36" s="116"/>
      <c r="U36" s="116"/>
      <c r="V36" s="116"/>
      <c r="W36" s="116"/>
      <c r="X36" s="134"/>
      <c r="Y36" s="289" t="s">
        <v>169</v>
      </c>
      <c r="Z36" s="290"/>
      <c r="AA36" s="291" t="s">
        <v>170</v>
      </c>
      <c r="AB36" s="292"/>
      <c r="AC36" s="293"/>
      <c r="AD36" s="126"/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60">
        <f>IF(B37="","",COUNTA($B$8:B37))</f>
        <v>30</v>
      </c>
      <c r="B37" s="4" t="s">
        <v>241</v>
      </c>
      <c r="C37" s="114"/>
      <c r="D37" s="114"/>
      <c r="E37" s="114"/>
      <c r="F37" s="114"/>
      <c r="G37" s="114"/>
      <c r="H37" s="114"/>
      <c r="I37" s="115" t="s">
        <v>242</v>
      </c>
      <c r="J37" s="116"/>
      <c r="K37" s="116"/>
      <c r="L37" s="116"/>
      <c r="M37" s="116"/>
      <c r="N37" s="116"/>
      <c r="O37" s="116"/>
      <c r="P37" s="116"/>
      <c r="Q37" s="116"/>
      <c r="R37" s="4" t="s">
        <v>241</v>
      </c>
      <c r="S37" s="114"/>
      <c r="T37" s="5"/>
      <c r="U37" s="5"/>
      <c r="V37" s="5"/>
      <c r="W37" s="5"/>
      <c r="X37" s="5"/>
      <c r="Y37" s="8" t="s">
        <v>150</v>
      </c>
      <c r="Z37" s="119"/>
      <c r="AA37" s="291" t="s">
        <v>243</v>
      </c>
      <c r="AB37" s="292"/>
      <c r="AC37" s="293"/>
      <c r="AD37" s="117"/>
      <c r="AE37" s="120" t="s">
        <v>244</v>
      </c>
      <c r="AF37" s="121"/>
      <c r="AG37" s="121"/>
      <c r="AH37" s="121"/>
      <c r="AI37" s="121"/>
      <c r="AJ37" s="121"/>
      <c r="AK37" s="121"/>
      <c r="AL37" s="121"/>
      <c r="AM37" s="121"/>
      <c r="AN37" s="121"/>
      <c r="AO37" s="122"/>
      <c r="AP37" s="122"/>
      <c r="AQ37" s="122"/>
      <c r="AR37" s="122"/>
      <c r="AS37" s="123" t="s">
        <v>245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60">
        <f>IF(B38="","",COUNTA($B$8:B38))</f>
        <v>31</v>
      </c>
      <c r="B38" s="4" t="s">
        <v>246</v>
      </c>
      <c r="C38" s="114"/>
      <c r="D38" s="114"/>
      <c r="E38" s="114"/>
      <c r="F38" s="114"/>
      <c r="G38" s="114"/>
      <c r="H38" s="114"/>
      <c r="I38" s="115" t="s">
        <v>247</v>
      </c>
      <c r="J38" s="116"/>
      <c r="K38" s="116"/>
      <c r="L38" s="116"/>
      <c r="M38" s="116"/>
      <c r="N38" s="116"/>
      <c r="O38" s="116"/>
      <c r="P38" s="116"/>
      <c r="Q38" s="116"/>
      <c r="R38" s="4" t="s">
        <v>246</v>
      </c>
      <c r="S38" s="114"/>
      <c r="T38" s="5"/>
      <c r="U38" s="5"/>
      <c r="V38" s="5"/>
      <c r="W38" s="5"/>
      <c r="X38" s="5"/>
      <c r="Y38" s="8" t="s">
        <v>150</v>
      </c>
      <c r="Z38" s="119"/>
      <c r="AA38" s="291" t="s">
        <v>243</v>
      </c>
      <c r="AB38" s="292"/>
      <c r="AC38" s="293"/>
      <c r="AD38" s="117"/>
      <c r="AE38" s="120" t="s">
        <v>244</v>
      </c>
      <c r="AF38" s="121"/>
      <c r="AG38" s="121"/>
      <c r="AH38" s="121"/>
      <c r="AI38" s="121"/>
      <c r="AJ38" s="121"/>
      <c r="AK38" s="121"/>
      <c r="AL38" s="121"/>
      <c r="AM38" s="121"/>
      <c r="AN38" s="121"/>
      <c r="AO38" s="122"/>
      <c r="AP38" s="122"/>
      <c r="AQ38" s="122"/>
      <c r="AR38" s="122"/>
      <c r="AS38" s="123" t="s">
        <v>248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32</v>
      </c>
      <c r="B39" s="8" t="s">
        <v>249</v>
      </c>
      <c r="C39" s="114"/>
      <c r="D39" s="114"/>
      <c r="E39" s="114"/>
      <c r="F39" s="114"/>
      <c r="G39" s="114"/>
      <c r="H39" s="134"/>
      <c r="I39" s="115" t="s">
        <v>250</v>
      </c>
      <c r="J39" s="116"/>
      <c r="K39" s="116"/>
      <c r="L39" s="116"/>
      <c r="M39" s="116"/>
      <c r="N39" s="116"/>
      <c r="O39" s="116"/>
      <c r="P39" s="116"/>
      <c r="Q39" s="133"/>
      <c r="R39" s="8" t="s">
        <v>249</v>
      </c>
      <c r="S39" s="116"/>
      <c r="T39" s="116"/>
      <c r="U39" s="116"/>
      <c r="V39" s="116"/>
      <c r="W39" s="116"/>
      <c r="X39" s="134"/>
      <c r="Y39" s="289" t="s">
        <v>150</v>
      </c>
      <c r="Z39" s="290"/>
      <c r="AA39" s="291" t="s">
        <v>151</v>
      </c>
      <c r="AB39" s="292"/>
      <c r="AC39" s="293"/>
      <c r="AD39" s="126">
        <v>4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ht="14.45" customHeight="1" x14ac:dyDescent="0.25">
      <c r="A40" s="70">
        <f>IF(B40="","",COUNTA($B$8:B40))</f>
        <v>33</v>
      </c>
      <c r="B40" s="19" t="s">
        <v>251</v>
      </c>
      <c r="C40" s="20"/>
      <c r="D40" s="20"/>
      <c r="E40" s="20"/>
      <c r="F40" s="20"/>
      <c r="G40" s="20"/>
      <c r="H40" s="24"/>
      <c r="I40" s="34" t="s">
        <v>252</v>
      </c>
      <c r="J40" s="23"/>
      <c r="K40" s="23"/>
      <c r="L40" s="23"/>
      <c r="M40" s="23"/>
      <c r="N40" s="23"/>
      <c r="O40" s="23"/>
      <c r="P40" s="23"/>
      <c r="Q40" s="37"/>
      <c r="R40" s="19" t="s">
        <v>251</v>
      </c>
      <c r="S40" s="23"/>
      <c r="T40" s="23"/>
      <c r="U40" s="23"/>
      <c r="V40" s="23"/>
      <c r="W40" s="23"/>
      <c r="X40" s="24"/>
      <c r="Y40" s="284" t="s">
        <v>150</v>
      </c>
      <c r="Z40" s="285"/>
      <c r="AA40" s="286" t="s">
        <v>151</v>
      </c>
      <c r="AB40" s="287"/>
      <c r="AC40" s="288"/>
      <c r="AD40" s="27">
        <v>4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>
        <f>IF(B41="","",COUNTA($B$8:B41))</f>
        <v>34</v>
      </c>
      <c r="B41" s="19" t="s">
        <v>253</v>
      </c>
      <c r="C41" s="20"/>
      <c r="D41" s="20"/>
      <c r="E41" s="20"/>
      <c r="F41" s="20"/>
      <c r="G41" s="20"/>
      <c r="H41" s="24"/>
      <c r="I41" s="31" t="s">
        <v>254</v>
      </c>
      <c r="J41" s="23"/>
      <c r="K41" s="23"/>
      <c r="L41" s="23"/>
      <c r="M41" s="23"/>
      <c r="N41" s="23"/>
      <c r="O41" s="23"/>
      <c r="P41" s="23"/>
      <c r="Q41" s="37"/>
      <c r="R41" s="19" t="s">
        <v>253</v>
      </c>
      <c r="S41" s="23"/>
      <c r="T41" s="23"/>
      <c r="U41" s="23"/>
      <c r="V41" s="23"/>
      <c r="W41" s="23"/>
      <c r="X41" s="24"/>
      <c r="Y41" s="284" t="s">
        <v>150</v>
      </c>
      <c r="Z41" s="285"/>
      <c r="AA41" s="286" t="s">
        <v>151</v>
      </c>
      <c r="AB41" s="287"/>
      <c r="AC41" s="288"/>
      <c r="AD41" s="27">
        <v>10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>
        <f>IF(B42="","",COUNTA($B$8:B42))</f>
        <v>35</v>
      </c>
      <c r="B42" s="19" t="s">
        <v>255</v>
      </c>
      <c r="C42" s="20"/>
      <c r="D42" s="20"/>
      <c r="E42" s="20"/>
      <c r="F42" s="20"/>
      <c r="G42" s="20"/>
      <c r="H42" s="24"/>
      <c r="I42" s="31" t="s">
        <v>256</v>
      </c>
      <c r="J42" s="23"/>
      <c r="K42" s="23"/>
      <c r="L42" s="23"/>
      <c r="M42" s="23"/>
      <c r="N42" s="23"/>
      <c r="O42" s="23"/>
      <c r="P42" s="23"/>
      <c r="Q42" s="37"/>
      <c r="R42" s="19" t="s">
        <v>255</v>
      </c>
      <c r="S42" s="23"/>
      <c r="T42" s="23"/>
      <c r="U42" s="23"/>
      <c r="V42" s="23"/>
      <c r="W42" s="23"/>
      <c r="X42" s="24"/>
      <c r="Y42" s="284" t="s">
        <v>150</v>
      </c>
      <c r="Z42" s="285"/>
      <c r="AA42" s="286" t="s">
        <v>151</v>
      </c>
      <c r="AB42" s="287"/>
      <c r="AC42" s="288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>
        <f>IF(B43="","",COUNTA($B$8:B43))</f>
        <v>36</v>
      </c>
      <c r="B43" s="19" t="s">
        <v>257</v>
      </c>
      <c r="C43" s="20"/>
      <c r="D43" s="20"/>
      <c r="E43" s="20"/>
      <c r="F43" s="20"/>
      <c r="G43" s="20"/>
      <c r="H43" s="24"/>
      <c r="I43" s="31" t="s">
        <v>258</v>
      </c>
      <c r="J43" s="23"/>
      <c r="K43" s="23"/>
      <c r="L43" s="23"/>
      <c r="M43" s="23"/>
      <c r="N43" s="23"/>
      <c r="O43" s="23"/>
      <c r="P43" s="23"/>
      <c r="Q43" s="37"/>
      <c r="R43" s="19" t="s">
        <v>257</v>
      </c>
      <c r="S43" s="23"/>
      <c r="T43" s="23"/>
      <c r="U43" s="23"/>
      <c r="V43" s="23"/>
      <c r="W43" s="23"/>
      <c r="X43" s="24"/>
      <c r="Y43" s="284" t="s">
        <v>169</v>
      </c>
      <c r="Z43" s="285"/>
      <c r="AA43" s="286" t="s">
        <v>243</v>
      </c>
      <c r="AB43" s="287"/>
      <c r="AC43" s="288"/>
      <c r="AD43" s="30"/>
      <c r="AE43" s="29"/>
      <c r="AF43" s="29"/>
      <c r="AG43" s="29"/>
      <c r="AH43" s="40"/>
      <c r="AI43" s="40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>
        <f>IF(B44="","",COUNTA($B$8:B44))</f>
        <v>37</v>
      </c>
      <c r="B44" s="19" t="s">
        <v>259</v>
      </c>
      <c r="C44" s="20"/>
      <c r="D44" s="20"/>
      <c r="E44" s="20"/>
      <c r="F44" s="20"/>
      <c r="G44" s="20"/>
      <c r="H44" s="24"/>
      <c r="I44" s="31" t="s">
        <v>260</v>
      </c>
      <c r="J44" s="23"/>
      <c r="K44" s="23"/>
      <c r="L44" s="23"/>
      <c r="M44" s="23"/>
      <c r="N44" s="23"/>
      <c r="O44" s="23"/>
      <c r="P44" s="23"/>
      <c r="Q44" s="37"/>
      <c r="R44" s="19" t="s">
        <v>259</v>
      </c>
      <c r="S44" s="23"/>
      <c r="T44" s="23"/>
      <c r="U44" s="23"/>
      <c r="V44" s="23"/>
      <c r="W44" s="23"/>
      <c r="X44" s="24"/>
      <c r="Y44" s="284" t="s">
        <v>150</v>
      </c>
      <c r="Z44" s="285"/>
      <c r="AA44" s="286" t="s">
        <v>151</v>
      </c>
      <c r="AB44" s="287"/>
      <c r="AC44" s="288"/>
      <c r="AD44" s="27">
        <v>10</v>
      </c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>
        <f>IF(B45="","",COUNTA($B$8:B45))</f>
        <v>38</v>
      </c>
      <c r="B45" s="19" t="s">
        <v>261</v>
      </c>
      <c r="C45" s="20"/>
      <c r="D45" s="20"/>
      <c r="E45" s="20"/>
      <c r="F45" s="20"/>
      <c r="G45" s="20"/>
      <c r="H45" s="24"/>
      <c r="I45" s="31" t="s">
        <v>262</v>
      </c>
      <c r="J45" s="23"/>
      <c r="K45" s="23"/>
      <c r="L45" s="23"/>
      <c r="M45" s="23"/>
      <c r="N45" s="23"/>
      <c r="O45" s="23"/>
      <c r="P45" s="23"/>
      <c r="Q45" s="37"/>
      <c r="R45" s="19" t="s">
        <v>261</v>
      </c>
      <c r="S45" s="23"/>
      <c r="T45" s="23"/>
      <c r="U45" s="23"/>
      <c r="V45" s="23"/>
      <c r="W45" s="23"/>
      <c r="X45" s="24"/>
      <c r="Y45" s="284" t="s">
        <v>150</v>
      </c>
      <c r="Z45" s="285"/>
      <c r="AA45" s="286" t="s">
        <v>151</v>
      </c>
      <c r="AB45" s="287"/>
      <c r="AC45" s="288"/>
      <c r="AD45" s="30">
        <v>10</v>
      </c>
      <c r="AE45" s="29"/>
      <c r="AF45" s="29"/>
      <c r="AG45" s="29"/>
      <c r="AH45" s="28"/>
      <c r="AI45" s="28"/>
      <c r="AJ45" s="28"/>
      <c r="AK45" s="28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>
        <f>IF(B46="","",COUNTA($B$8:B46))</f>
        <v>39</v>
      </c>
      <c r="B46" s="19" t="s">
        <v>263</v>
      </c>
      <c r="C46" s="20"/>
      <c r="D46" s="20"/>
      <c r="E46" s="20"/>
      <c r="F46" s="20"/>
      <c r="G46" s="20"/>
      <c r="H46" s="24"/>
      <c r="I46" s="31" t="s">
        <v>264</v>
      </c>
      <c r="J46" s="23"/>
      <c r="K46" s="23"/>
      <c r="L46" s="23"/>
      <c r="M46" s="23"/>
      <c r="N46" s="23"/>
      <c r="O46" s="23"/>
      <c r="P46" s="23"/>
      <c r="Q46" s="37"/>
      <c r="R46" s="22" t="s">
        <v>263</v>
      </c>
      <c r="S46" s="23"/>
      <c r="T46" s="23"/>
      <c r="U46" s="23"/>
      <c r="V46" s="23"/>
      <c r="W46" s="23"/>
      <c r="X46" s="24"/>
      <c r="Y46" s="284" t="s">
        <v>169</v>
      </c>
      <c r="Z46" s="285"/>
      <c r="AA46" s="286" t="s">
        <v>243</v>
      </c>
      <c r="AB46" s="287"/>
      <c r="AC46" s="288"/>
      <c r="AD46" s="30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5">
    <mergeCell ref="AS6:BD7"/>
    <mergeCell ref="Y8:Z8"/>
    <mergeCell ref="AZ4:BD4"/>
    <mergeCell ref="AA36:AC36"/>
    <mergeCell ref="AA42:AC42"/>
    <mergeCell ref="AA43:AC43"/>
    <mergeCell ref="AA44:AC44"/>
    <mergeCell ref="AA45:AC45"/>
    <mergeCell ref="AA46:AC46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41:AC41"/>
    <mergeCell ref="AA17:AC17"/>
    <mergeCell ref="AA21:AC21"/>
    <mergeCell ref="AA22:AC22"/>
    <mergeCell ref="AA23:AC23"/>
    <mergeCell ref="AA25:AC25"/>
    <mergeCell ref="AA26:AC26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Y36:Z36"/>
    <mergeCell ref="Y35:Z35"/>
    <mergeCell ref="Y32:Z32"/>
    <mergeCell ref="Y28:Z28"/>
    <mergeCell ref="Y29:Z29"/>
    <mergeCell ref="Y33:Z33"/>
    <mergeCell ref="Y34:Z34"/>
    <mergeCell ref="Y30:Z30"/>
    <mergeCell ref="Y39:Z39"/>
    <mergeCell ref="Y41:Z41"/>
    <mergeCell ref="Y45:Z45"/>
    <mergeCell ref="Y46:Z46"/>
    <mergeCell ref="Y42:Z42"/>
    <mergeCell ref="Y43:Z43"/>
    <mergeCell ref="Y44:Z44"/>
    <mergeCell ref="AA37:AC37"/>
    <mergeCell ref="AA38:AC38"/>
    <mergeCell ref="AA39:AC39"/>
    <mergeCell ref="AA40:AC40"/>
    <mergeCell ref="Y40:Z40"/>
  </mergeCells>
  <phoneticPr fontId="5"/>
  <dataValidations count="3">
    <dataValidation imeMode="hiragana" allowBlank="1" showInputMessage="1" showErrorMessage="1" sqref="JO65448:JZ65450 TK65448:TV65450 ADG65448:ADR65450 ANC65448:ANN65450 AWY65448:AXJ65450 BGU65448:BHF65450 BQQ65448:BRB65450 CAM65448:CAX65450 CKI65448:CKT65450 CUE65448:CUP65450 DEA65448:DEL65450 DNW65448:DOH65450 DXS65448:DYD65450 EHO65448:EHZ65450 ERK65448:ERV65450 FBG65448:FBR65450 FLC65448:FLN65450 FUY65448:FVJ65450 GEU65448:GFF65450 GOQ65448:GPB65450 GYM65448:GYX65450 HII65448:HIT65450 HSE65448:HSP65450 ICA65448:ICL65450 ILW65448:IMH65450 IVS65448:IWD65450 JFO65448:JFZ65450 JPK65448:JPV65450 JZG65448:JZR65450 KJC65448:KJN65450 KSY65448:KTJ65450 LCU65448:LDF65450 LMQ65448:LNB65450 LWM65448:LWX65450 MGI65448:MGT65450 MQE65448:MQP65450 NAA65448:NAL65450 NJW65448:NKH65450 NTS65448:NUD65450 ODO65448:ODZ65450 ONK65448:ONV65450 OXG65448:OXR65450 PHC65448:PHN65450 PQY65448:PRJ65450 QAU65448:QBF65450 QKQ65448:QLB65450 QUM65448:QUX65450 REI65448:RET65450 ROE65448:ROP65450 RYA65448:RYL65450 SHW65448:SIH65450 SRS65448:SSD65450 TBO65448:TBZ65450 TLK65448:TLV65450 TVG65448:TVR65450 UFC65448:UFN65450 UOY65448:UPJ65450 UYU65448:UZF65450 VIQ65448:VJB65450 VSM65448:VSX65450 WCI65448:WCT65450 WME65448:WMP65450 WWA65448:WWL65450 JO130984:JZ130986 TK130984:TV130986 ADG130984:ADR130986 ANC130984:ANN130986 AWY130984:AXJ130986 BGU130984:BHF130986 BQQ130984:BRB130986 CAM130984:CAX130986 CKI130984:CKT130986 CUE130984:CUP130986 DEA130984:DEL130986 DNW130984:DOH130986 DXS130984:DYD130986 EHO130984:EHZ130986 ERK130984:ERV130986 FBG130984:FBR130986 FLC130984:FLN130986 FUY130984:FVJ130986 GEU130984:GFF130986 GOQ130984:GPB130986 GYM130984:GYX130986 HII130984:HIT130986 HSE130984:HSP130986 ICA130984:ICL130986 ILW130984:IMH130986 IVS130984:IWD130986 JFO130984:JFZ130986 JPK130984:JPV130986 JZG130984:JZR130986 KJC130984:KJN130986 KSY130984:KTJ130986 LCU130984:LDF130986 LMQ130984:LNB130986 LWM130984:LWX130986 MGI130984:MGT130986 MQE130984:MQP130986 NAA130984:NAL130986 NJW130984:NKH130986 NTS130984:NUD130986 ODO130984:ODZ130986 ONK130984:ONV130986 OXG130984:OXR130986 PHC130984:PHN130986 PQY130984:PRJ130986 QAU130984:QBF130986 QKQ130984:QLB130986 QUM130984:QUX130986 REI130984:RET130986 ROE130984:ROP130986 RYA130984:RYL130986 SHW130984:SIH130986 SRS130984:SSD130986 TBO130984:TBZ130986 TLK130984:TLV130986 TVG130984:TVR130986 UFC130984:UFN130986 UOY130984:UPJ130986 UYU130984:UZF130986 VIQ130984:VJB130986 VSM130984:VSX130986 WCI130984:WCT130986 WME130984:WMP130986 WWA130984:WWL130986 JO196520:JZ196522 TK196520:TV196522 ADG196520:ADR196522 ANC196520:ANN196522 AWY196520:AXJ196522 BGU196520:BHF196522 BQQ196520:BRB196522 CAM196520:CAX196522 CKI196520:CKT196522 CUE196520:CUP196522 DEA196520:DEL196522 DNW196520:DOH196522 DXS196520:DYD196522 EHO196520:EHZ196522 ERK196520:ERV196522 FBG196520:FBR196522 FLC196520:FLN196522 FUY196520:FVJ196522 GEU196520:GFF196522 GOQ196520:GPB196522 GYM196520:GYX196522 HII196520:HIT196522 HSE196520:HSP196522 ICA196520:ICL196522 ILW196520:IMH196522 IVS196520:IWD196522 JFO196520:JFZ196522 JPK196520:JPV196522 JZG196520:JZR196522 KJC196520:KJN196522 KSY196520:KTJ196522 LCU196520:LDF196522 LMQ196520:LNB196522 LWM196520:LWX196522 MGI196520:MGT196522 MQE196520:MQP196522 NAA196520:NAL196522 NJW196520:NKH196522 NTS196520:NUD196522 ODO196520:ODZ196522 ONK196520:ONV196522 OXG196520:OXR196522 PHC196520:PHN196522 PQY196520:PRJ196522 QAU196520:QBF196522 QKQ196520:QLB196522 QUM196520:QUX196522 REI196520:RET196522 ROE196520:ROP196522 RYA196520:RYL196522 SHW196520:SIH196522 SRS196520:SSD196522 TBO196520:TBZ196522 TLK196520:TLV196522 TVG196520:TVR196522 UFC196520:UFN196522 UOY196520:UPJ196522 UYU196520:UZF196522 VIQ196520:VJB196522 VSM196520:VSX196522 WCI196520:WCT196522 WME196520:WMP196522 WWA196520:WWL196522 JO262056:JZ262058 TK262056:TV262058 ADG262056:ADR262058 ANC262056:ANN262058 AWY262056:AXJ262058 BGU262056:BHF262058 BQQ262056:BRB262058 CAM262056:CAX262058 CKI262056:CKT262058 CUE262056:CUP262058 DEA262056:DEL262058 DNW262056:DOH262058 DXS262056:DYD262058 EHO262056:EHZ262058 ERK262056:ERV262058 FBG262056:FBR262058 FLC262056:FLN262058 FUY262056:FVJ262058 GEU262056:GFF262058 GOQ262056:GPB262058 GYM262056:GYX262058 HII262056:HIT262058 HSE262056:HSP262058 ICA262056:ICL262058 ILW262056:IMH262058 IVS262056:IWD262058 JFO262056:JFZ262058 JPK262056:JPV262058 JZG262056:JZR262058 KJC262056:KJN262058 KSY262056:KTJ262058 LCU262056:LDF262058 LMQ262056:LNB262058 LWM262056:LWX262058 MGI262056:MGT262058 MQE262056:MQP262058 NAA262056:NAL262058 NJW262056:NKH262058 NTS262056:NUD262058 ODO262056:ODZ262058 ONK262056:ONV262058 OXG262056:OXR262058 PHC262056:PHN262058 PQY262056:PRJ262058 QAU262056:QBF262058 QKQ262056:QLB262058 QUM262056:QUX262058 REI262056:RET262058 ROE262056:ROP262058 RYA262056:RYL262058 SHW262056:SIH262058 SRS262056:SSD262058 TBO262056:TBZ262058 TLK262056:TLV262058 TVG262056:TVR262058 UFC262056:UFN262058 UOY262056:UPJ262058 UYU262056:UZF262058 VIQ262056:VJB262058 VSM262056:VSX262058 WCI262056:WCT262058 WME262056:WMP262058 WWA262056:WWL262058 JO327592:JZ327594 TK327592:TV327594 ADG327592:ADR327594 ANC327592:ANN327594 AWY327592:AXJ327594 BGU327592:BHF327594 BQQ327592:BRB327594 CAM327592:CAX327594 CKI327592:CKT327594 CUE327592:CUP327594 DEA327592:DEL327594 DNW327592:DOH327594 DXS327592:DYD327594 EHO327592:EHZ327594 ERK327592:ERV327594 FBG327592:FBR327594 FLC327592:FLN327594 FUY327592:FVJ327594 GEU327592:GFF327594 GOQ327592:GPB327594 GYM327592:GYX327594 HII327592:HIT327594 HSE327592:HSP327594 ICA327592:ICL327594 ILW327592:IMH327594 IVS327592:IWD327594 JFO327592:JFZ327594 JPK327592:JPV327594 JZG327592:JZR327594 KJC327592:KJN327594 KSY327592:KTJ327594 LCU327592:LDF327594 LMQ327592:LNB327594 LWM327592:LWX327594 MGI327592:MGT327594 MQE327592:MQP327594 NAA327592:NAL327594 NJW327592:NKH327594 NTS327592:NUD327594 ODO327592:ODZ327594 ONK327592:ONV327594 OXG327592:OXR327594 PHC327592:PHN327594 PQY327592:PRJ327594 QAU327592:QBF327594 QKQ327592:QLB327594 QUM327592:QUX327594 REI327592:RET327594 ROE327592:ROP327594 RYA327592:RYL327594 SHW327592:SIH327594 SRS327592:SSD327594 TBO327592:TBZ327594 TLK327592:TLV327594 TVG327592:TVR327594 UFC327592:UFN327594 UOY327592:UPJ327594 UYU327592:UZF327594 VIQ327592:VJB327594 VSM327592:VSX327594 WCI327592:WCT327594 WME327592:WMP327594 WWA327592:WWL327594 JO393128:JZ393130 TK393128:TV393130 ADG393128:ADR393130 ANC393128:ANN393130 AWY393128:AXJ393130 BGU393128:BHF393130 BQQ393128:BRB393130 CAM393128:CAX393130 CKI393128:CKT393130 CUE393128:CUP393130 DEA393128:DEL393130 DNW393128:DOH393130 DXS393128:DYD393130 EHO393128:EHZ393130 ERK393128:ERV393130 FBG393128:FBR393130 FLC393128:FLN393130 FUY393128:FVJ393130 GEU393128:GFF393130 GOQ393128:GPB393130 GYM393128:GYX393130 HII393128:HIT393130 HSE393128:HSP393130 ICA393128:ICL393130 ILW393128:IMH393130 IVS393128:IWD393130 JFO393128:JFZ393130 JPK393128:JPV393130 JZG393128:JZR393130 KJC393128:KJN393130 KSY393128:KTJ393130 LCU393128:LDF393130 LMQ393128:LNB393130 LWM393128:LWX393130 MGI393128:MGT393130 MQE393128:MQP393130 NAA393128:NAL393130 NJW393128:NKH393130 NTS393128:NUD393130 ODO393128:ODZ393130 ONK393128:ONV393130 OXG393128:OXR393130 PHC393128:PHN393130 PQY393128:PRJ393130 QAU393128:QBF393130 QKQ393128:QLB393130 QUM393128:QUX393130 REI393128:RET393130 ROE393128:ROP393130 RYA393128:RYL393130 SHW393128:SIH393130 SRS393128:SSD393130 TBO393128:TBZ393130 TLK393128:TLV393130 TVG393128:TVR393130 UFC393128:UFN393130 UOY393128:UPJ393130 UYU393128:UZF393130 VIQ393128:VJB393130 VSM393128:VSX393130 WCI393128:WCT393130 WME393128:WMP393130 WWA393128:WWL393130 JO458664:JZ458666 TK458664:TV458666 ADG458664:ADR458666 ANC458664:ANN458666 AWY458664:AXJ458666 BGU458664:BHF458666 BQQ458664:BRB458666 CAM458664:CAX458666 CKI458664:CKT458666 CUE458664:CUP458666 DEA458664:DEL458666 DNW458664:DOH458666 DXS458664:DYD458666 EHO458664:EHZ458666 ERK458664:ERV458666 FBG458664:FBR458666 FLC458664:FLN458666 FUY458664:FVJ458666 GEU458664:GFF458666 GOQ458664:GPB458666 GYM458664:GYX458666 HII458664:HIT458666 HSE458664:HSP458666 ICA458664:ICL458666 ILW458664:IMH458666 IVS458664:IWD458666 JFO458664:JFZ458666 JPK458664:JPV458666 JZG458664:JZR458666 KJC458664:KJN458666 KSY458664:KTJ458666 LCU458664:LDF458666 LMQ458664:LNB458666 LWM458664:LWX458666 MGI458664:MGT458666 MQE458664:MQP458666 NAA458664:NAL458666 NJW458664:NKH458666 NTS458664:NUD458666 ODO458664:ODZ458666 ONK458664:ONV458666 OXG458664:OXR458666 PHC458664:PHN458666 PQY458664:PRJ458666 QAU458664:QBF458666 QKQ458664:QLB458666 QUM458664:QUX458666 REI458664:RET458666 ROE458664:ROP458666 RYA458664:RYL458666 SHW458664:SIH458666 SRS458664:SSD458666 TBO458664:TBZ458666 TLK458664:TLV458666 TVG458664:TVR458666 UFC458664:UFN458666 UOY458664:UPJ458666 UYU458664:UZF458666 VIQ458664:VJB458666 VSM458664:VSX458666 WCI458664:WCT458666 WME458664:WMP458666 WWA458664:WWL458666 JO524200:JZ524202 TK524200:TV524202 ADG524200:ADR524202 ANC524200:ANN524202 AWY524200:AXJ524202 BGU524200:BHF524202 BQQ524200:BRB524202 CAM524200:CAX524202 CKI524200:CKT524202 CUE524200:CUP524202 DEA524200:DEL524202 DNW524200:DOH524202 DXS524200:DYD524202 EHO524200:EHZ524202 ERK524200:ERV524202 FBG524200:FBR524202 FLC524200:FLN524202 FUY524200:FVJ524202 GEU524200:GFF524202 GOQ524200:GPB524202 GYM524200:GYX524202 HII524200:HIT524202 HSE524200:HSP524202 ICA524200:ICL524202 ILW524200:IMH524202 IVS524200:IWD524202 JFO524200:JFZ524202 JPK524200:JPV524202 JZG524200:JZR524202 KJC524200:KJN524202 KSY524200:KTJ524202 LCU524200:LDF524202 LMQ524200:LNB524202 LWM524200:LWX524202 MGI524200:MGT524202 MQE524200:MQP524202 NAA524200:NAL524202 NJW524200:NKH524202 NTS524200:NUD524202 ODO524200:ODZ524202 ONK524200:ONV524202 OXG524200:OXR524202 PHC524200:PHN524202 PQY524200:PRJ524202 QAU524200:QBF524202 QKQ524200:QLB524202 QUM524200:QUX524202 REI524200:RET524202 ROE524200:ROP524202 RYA524200:RYL524202 SHW524200:SIH524202 SRS524200:SSD524202 TBO524200:TBZ524202 TLK524200:TLV524202 TVG524200:TVR524202 UFC524200:UFN524202 UOY524200:UPJ524202 UYU524200:UZF524202 VIQ524200:VJB524202 VSM524200:VSX524202 WCI524200:WCT524202 WME524200:WMP524202 WWA524200:WWL524202 JO589736:JZ589738 TK589736:TV589738 ADG589736:ADR589738 ANC589736:ANN589738 AWY589736:AXJ589738 BGU589736:BHF589738 BQQ589736:BRB589738 CAM589736:CAX589738 CKI589736:CKT589738 CUE589736:CUP589738 DEA589736:DEL589738 DNW589736:DOH589738 DXS589736:DYD589738 EHO589736:EHZ589738 ERK589736:ERV589738 FBG589736:FBR589738 FLC589736:FLN589738 FUY589736:FVJ589738 GEU589736:GFF589738 GOQ589736:GPB589738 GYM589736:GYX589738 HII589736:HIT589738 HSE589736:HSP589738 ICA589736:ICL589738 ILW589736:IMH589738 IVS589736:IWD589738 JFO589736:JFZ589738 JPK589736:JPV589738 JZG589736:JZR589738 KJC589736:KJN589738 KSY589736:KTJ589738 LCU589736:LDF589738 LMQ589736:LNB589738 LWM589736:LWX589738 MGI589736:MGT589738 MQE589736:MQP589738 NAA589736:NAL589738 NJW589736:NKH589738 NTS589736:NUD589738 ODO589736:ODZ589738 ONK589736:ONV589738 OXG589736:OXR589738 PHC589736:PHN589738 PQY589736:PRJ589738 QAU589736:QBF589738 QKQ589736:QLB589738 QUM589736:QUX589738 REI589736:RET589738 ROE589736:ROP589738 RYA589736:RYL589738 SHW589736:SIH589738 SRS589736:SSD589738 TBO589736:TBZ589738 TLK589736:TLV589738 TVG589736:TVR589738 UFC589736:UFN589738 UOY589736:UPJ589738 UYU589736:UZF589738 VIQ589736:VJB589738 VSM589736:VSX589738 WCI589736:WCT589738 WME589736:WMP589738 WWA589736:WWL589738 JO655272:JZ655274 TK655272:TV655274 ADG655272:ADR655274 ANC655272:ANN655274 AWY655272:AXJ655274 BGU655272:BHF655274 BQQ655272:BRB655274 CAM655272:CAX655274 CKI655272:CKT655274 CUE655272:CUP655274 DEA655272:DEL655274 DNW655272:DOH655274 DXS655272:DYD655274 EHO655272:EHZ655274 ERK655272:ERV655274 FBG655272:FBR655274 FLC655272:FLN655274 FUY655272:FVJ655274 GEU655272:GFF655274 GOQ655272:GPB655274 GYM655272:GYX655274 HII655272:HIT655274 HSE655272:HSP655274 ICA655272:ICL655274 ILW655272:IMH655274 IVS655272:IWD655274 JFO655272:JFZ655274 JPK655272:JPV655274 JZG655272:JZR655274 KJC655272:KJN655274 KSY655272:KTJ655274 LCU655272:LDF655274 LMQ655272:LNB655274 LWM655272:LWX655274 MGI655272:MGT655274 MQE655272:MQP655274 NAA655272:NAL655274 NJW655272:NKH655274 NTS655272:NUD655274 ODO655272:ODZ655274 ONK655272:ONV655274 OXG655272:OXR655274 PHC655272:PHN655274 PQY655272:PRJ655274 QAU655272:QBF655274 QKQ655272:QLB655274 QUM655272:QUX655274 REI655272:RET655274 ROE655272:ROP655274 RYA655272:RYL655274 SHW655272:SIH655274 SRS655272:SSD655274 TBO655272:TBZ655274 TLK655272:TLV655274 TVG655272:TVR655274 UFC655272:UFN655274 UOY655272:UPJ655274 UYU655272:UZF655274 VIQ655272:VJB655274 VSM655272:VSX655274 WCI655272:WCT655274 WME655272:WMP655274 WWA655272:WWL655274 JO720808:JZ720810 TK720808:TV720810 ADG720808:ADR720810 ANC720808:ANN720810 AWY720808:AXJ720810 BGU720808:BHF720810 BQQ720808:BRB720810 CAM720808:CAX720810 CKI720808:CKT720810 CUE720808:CUP720810 DEA720808:DEL720810 DNW720808:DOH720810 DXS720808:DYD720810 EHO720808:EHZ720810 ERK720808:ERV720810 FBG720808:FBR720810 FLC720808:FLN720810 FUY720808:FVJ720810 GEU720808:GFF720810 GOQ720808:GPB720810 GYM720808:GYX720810 HII720808:HIT720810 HSE720808:HSP720810 ICA720808:ICL720810 ILW720808:IMH720810 IVS720808:IWD720810 JFO720808:JFZ720810 JPK720808:JPV720810 JZG720808:JZR720810 KJC720808:KJN720810 KSY720808:KTJ720810 LCU720808:LDF720810 LMQ720808:LNB720810 LWM720808:LWX720810 MGI720808:MGT720810 MQE720808:MQP720810 NAA720808:NAL720810 NJW720808:NKH720810 NTS720808:NUD720810 ODO720808:ODZ720810 ONK720808:ONV720810 OXG720808:OXR720810 PHC720808:PHN720810 PQY720808:PRJ720810 QAU720808:QBF720810 QKQ720808:QLB720810 QUM720808:QUX720810 REI720808:RET720810 ROE720808:ROP720810 RYA720808:RYL720810 SHW720808:SIH720810 SRS720808:SSD720810 TBO720808:TBZ720810 TLK720808:TLV720810 TVG720808:TVR720810 UFC720808:UFN720810 UOY720808:UPJ720810 UYU720808:UZF720810 VIQ720808:VJB720810 VSM720808:VSX720810 WCI720808:WCT720810 WME720808:WMP720810 WWA720808:WWL720810 JO786344:JZ786346 TK786344:TV786346 ADG786344:ADR786346 ANC786344:ANN786346 AWY786344:AXJ786346 BGU786344:BHF786346 BQQ786344:BRB786346 CAM786344:CAX786346 CKI786344:CKT786346 CUE786344:CUP786346 DEA786344:DEL786346 DNW786344:DOH786346 DXS786344:DYD786346 EHO786344:EHZ786346 ERK786344:ERV786346 FBG786344:FBR786346 FLC786344:FLN786346 FUY786344:FVJ786346 GEU786344:GFF786346 GOQ786344:GPB786346 GYM786344:GYX786346 HII786344:HIT786346 HSE786344:HSP786346 ICA786344:ICL786346 ILW786344:IMH786346 IVS786344:IWD786346 JFO786344:JFZ786346 JPK786344:JPV786346 JZG786344:JZR786346 KJC786344:KJN786346 KSY786344:KTJ786346 LCU786344:LDF786346 LMQ786344:LNB786346 LWM786344:LWX786346 MGI786344:MGT786346 MQE786344:MQP786346 NAA786344:NAL786346 NJW786344:NKH786346 NTS786344:NUD786346 ODO786344:ODZ786346 ONK786344:ONV786346 OXG786344:OXR786346 PHC786344:PHN786346 PQY786344:PRJ786346 QAU786344:QBF786346 QKQ786344:QLB786346 QUM786344:QUX786346 REI786344:RET786346 ROE786344:ROP786346 RYA786344:RYL786346 SHW786344:SIH786346 SRS786344:SSD786346 TBO786344:TBZ786346 TLK786344:TLV786346 TVG786344:TVR786346 UFC786344:UFN786346 UOY786344:UPJ786346 UYU786344:UZF786346 VIQ786344:VJB786346 VSM786344:VSX786346 WCI786344:WCT786346 WME786344:WMP786346 WWA786344:WWL786346 JO851880:JZ851882 TK851880:TV851882 ADG851880:ADR851882 ANC851880:ANN851882 AWY851880:AXJ851882 BGU851880:BHF851882 BQQ851880:BRB851882 CAM851880:CAX851882 CKI851880:CKT851882 CUE851880:CUP851882 DEA851880:DEL851882 DNW851880:DOH851882 DXS851880:DYD851882 EHO851880:EHZ851882 ERK851880:ERV851882 FBG851880:FBR851882 FLC851880:FLN851882 FUY851880:FVJ851882 GEU851880:GFF851882 GOQ851880:GPB851882 GYM851880:GYX851882 HII851880:HIT851882 HSE851880:HSP851882 ICA851880:ICL851882 ILW851880:IMH851882 IVS851880:IWD851882 JFO851880:JFZ851882 JPK851880:JPV851882 JZG851880:JZR851882 KJC851880:KJN851882 KSY851880:KTJ851882 LCU851880:LDF851882 LMQ851880:LNB851882 LWM851880:LWX851882 MGI851880:MGT851882 MQE851880:MQP851882 NAA851880:NAL851882 NJW851880:NKH851882 NTS851880:NUD851882 ODO851880:ODZ851882 ONK851880:ONV851882 OXG851880:OXR851882 PHC851880:PHN851882 PQY851880:PRJ851882 QAU851880:QBF851882 QKQ851880:QLB851882 QUM851880:QUX851882 REI851880:RET851882 ROE851880:ROP851882 RYA851880:RYL851882 SHW851880:SIH851882 SRS851880:SSD851882 TBO851880:TBZ851882 TLK851880:TLV851882 TVG851880:TVR851882 UFC851880:UFN851882 UOY851880:UPJ851882 UYU851880:UZF851882 VIQ851880:VJB851882 VSM851880:VSX851882 WCI851880:WCT851882 WME851880:WMP851882 WWA851880:WWL851882 JO917416:JZ917418 TK917416:TV917418 ADG917416:ADR917418 ANC917416:ANN917418 AWY917416:AXJ917418 BGU917416:BHF917418 BQQ917416:BRB917418 CAM917416:CAX917418 CKI917416:CKT917418 CUE917416:CUP917418 DEA917416:DEL917418 DNW917416:DOH917418 DXS917416:DYD917418 EHO917416:EHZ917418 ERK917416:ERV917418 FBG917416:FBR917418 FLC917416:FLN917418 FUY917416:FVJ917418 GEU917416:GFF917418 GOQ917416:GPB917418 GYM917416:GYX917418 HII917416:HIT917418 HSE917416:HSP917418 ICA917416:ICL917418 ILW917416:IMH917418 IVS917416:IWD917418 JFO917416:JFZ917418 JPK917416:JPV917418 JZG917416:JZR917418 KJC917416:KJN917418 KSY917416:KTJ917418 LCU917416:LDF917418 LMQ917416:LNB917418 LWM917416:LWX917418 MGI917416:MGT917418 MQE917416:MQP917418 NAA917416:NAL917418 NJW917416:NKH917418 NTS917416:NUD917418 ODO917416:ODZ917418 ONK917416:ONV917418 OXG917416:OXR917418 PHC917416:PHN917418 PQY917416:PRJ917418 QAU917416:QBF917418 QKQ917416:QLB917418 QUM917416:QUX917418 REI917416:RET917418 ROE917416:ROP917418 RYA917416:RYL917418 SHW917416:SIH917418 SRS917416:SSD917418 TBO917416:TBZ917418 TLK917416:TLV917418 TVG917416:TVR917418 UFC917416:UFN917418 UOY917416:UPJ917418 UYU917416:UZF917418 VIQ917416:VJB917418 VSM917416:VSX917418 WCI917416:WCT917418 WME917416:WMP917418 WWA917416:WWL917418 JO982952:JZ982954 TK982952:TV982954 ADG982952:ADR982954 ANC982952:ANN982954 AWY982952:AXJ982954 BGU982952:BHF982954 BQQ982952:BRB982954 CAM982952:CAX982954 CKI982952:CKT982954 CUE982952:CUP982954 DEA982952:DEL982954 DNW982952:DOH982954 DXS982952:DYD982954 EHO982952:EHZ982954 ERK982952:ERV982954 FBG982952:FBR982954 FLC982952:FLN982954 FUY982952:FVJ982954 GEU982952:GFF982954 GOQ982952:GPB982954 GYM982952:GYX982954 HII982952:HIT982954 HSE982952:HSP982954 ICA982952:ICL982954 ILW982952:IMH982954 IVS982952:IWD982954 JFO982952:JFZ982954 JPK982952:JPV982954 JZG982952:JZR982954 KJC982952:KJN982954 KSY982952:KTJ982954 LCU982952:LDF982954 LMQ982952:LNB982954 LWM982952:LWX982954 MGI982952:MGT982954 MQE982952:MQP982954 NAA982952:NAL982954 NJW982952:NKH982954 NTS982952:NUD982954 ODO982952:ODZ982954 ONK982952:ONV982954 OXG982952:OXR982954 PHC982952:PHN982954 PQY982952:PRJ982954 QAU982952:QBF982954 QKQ982952:QLB982954 QUM982952:QUX982954 REI982952:RET982954 ROE982952:ROP982954 RYA982952:RYL982954 SHW982952:SIH982954 SRS982952:SSD982954 TBO982952:TBZ982954 TLK982952:TLV982954 TVG982952:TVR982954 UFC982952:UFN982954 UOY982952:UPJ982954 UYU982952:UZF982954 VIQ982952:VJB982954 VSM982952:VSX982954 WCI982952:WCT982954 WME982952:WMP982954 WWA982952:WWL98295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48:AM65450 AC982952:AM982954 AC917416:AM917418 AC851880:AM851882 AC786344:AM786346 AC720808:AM720810 AC655272:AM655274 AC589736:AM589738 AC524200:AM524202 AC458664:AM458666 AC393128:AM393130 AC327592:AM327594 AC262056:AM262058 AC196520:AM196522 AC130984:AM130986 R2" xr:uid="{00000000-0002-0000-0700-000000000000}"/>
    <dataValidation type="list" allowBlank="1" showInputMessage="1" showErrorMessage="1" sqref="Y8:Z46" xr:uid="{00000000-0002-0000-0700-000001000000}">
      <formula1>"文字,数値,日付,時間"</formula1>
    </dataValidation>
    <dataValidation type="list" allowBlank="1" showInputMessage="1" showErrorMessage="1" sqref="AA8:AC46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生産計画情報（パッケージ工場）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89" t="s">
        <v>150</v>
      </c>
      <c r="Z9" s="290"/>
      <c r="AA9" s="291" t="s">
        <v>151</v>
      </c>
      <c r="AB9" s="292"/>
      <c r="AC9" s="293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64" t="s">
        <v>170</v>
      </c>
      <c r="AB12" s="2"/>
      <c r="AC12" s="3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64" t="s">
        <v>156</v>
      </c>
      <c r="AB14" s="2"/>
      <c r="AC14" s="3"/>
      <c r="AD14" s="159">
        <v>5</v>
      </c>
      <c r="AE14" s="111">
        <v>1</v>
      </c>
      <c r="AF14" s="120"/>
      <c r="AG14" s="120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89" t="s">
        <v>150</v>
      </c>
      <c r="Z15" s="290"/>
      <c r="AA15" s="291" t="s">
        <v>151</v>
      </c>
      <c r="AB15" s="292"/>
      <c r="AC15" s="293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168" t="s">
        <v>1489</v>
      </c>
      <c r="C16" s="2"/>
      <c r="D16" s="2"/>
      <c r="E16" s="2"/>
      <c r="F16" s="2"/>
      <c r="G16" s="2"/>
      <c r="H16" s="3"/>
      <c r="I16" s="115" t="s">
        <v>1422</v>
      </c>
      <c r="J16" s="116"/>
      <c r="K16" s="116"/>
      <c r="L16" s="116"/>
      <c r="M16" s="116"/>
      <c r="N16" s="116"/>
      <c r="O16" s="116"/>
      <c r="P16" s="116"/>
      <c r="Q16" s="133"/>
      <c r="R16" s="168" t="s">
        <v>1489</v>
      </c>
      <c r="S16" s="116"/>
      <c r="T16" s="116"/>
      <c r="U16" s="116"/>
      <c r="V16" s="116"/>
      <c r="W16" s="116"/>
      <c r="X16" s="134"/>
      <c r="Y16" s="289" t="s">
        <v>150</v>
      </c>
      <c r="Z16" s="290"/>
      <c r="AA16" s="291" t="s">
        <v>151</v>
      </c>
      <c r="AB16" s="292"/>
      <c r="AC16" s="293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1415</v>
      </c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8"/>
    </row>
    <row r="17" spans="1:57" s="1" customFormat="1" ht="14.45" customHeight="1" x14ac:dyDescent="0.25">
      <c r="A17" s="131">
        <f>IF(B17="","",COUNTA($B$8:B17))</f>
        <v>10</v>
      </c>
      <c r="B17" s="64" t="s">
        <v>1394</v>
      </c>
      <c r="C17" s="2"/>
      <c r="D17" s="2"/>
      <c r="E17" s="2"/>
      <c r="F17" s="2"/>
      <c r="G17" s="2"/>
      <c r="H17" s="3"/>
      <c r="I17" s="115" t="s">
        <v>1395</v>
      </c>
      <c r="J17" s="116"/>
      <c r="K17" s="116"/>
      <c r="L17" s="116"/>
      <c r="M17" s="116"/>
      <c r="N17" s="116"/>
      <c r="O17" s="116"/>
      <c r="P17" s="116"/>
      <c r="Q17" s="133"/>
      <c r="R17" s="64" t="s">
        <v>1394</v>
      </c>
      <c r="S17" s="116"/>
      <c r="T17" s="116"/>
      <c r="U17" s="116"/>
      <c r="V17" s="116"/>
      <c r="W17" s="116"/>
      <c r="X17" s="134"/>
      <c r="Y17" s="289" t="s">
        <v>150</v>
      </c>
      <c r="Z17" s="290"/>
      <c r="AA17" s="291" t="s">
        <v>151</v>
      </c>
      <c r="AB17" s="292"/>
      <c r="AC17" s="293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8"/>
      <c r="BE17" s="1" t="s">
        <v>455</v>
      </c>
    </row>
    <row r="18" spans="1:57" s="1" customFormat="1" ht="14.45" customHeight="1" x14ac:dyDescent="0.25">
      <c r="A18" s="131">
        <f>IF(B18="","",COUNTA($B$8:B18))</f>
        <v>11</v>
      </c>
      <c r="B18" s="8" t="s">
        <v>197</v>
      </c>
      <c r="C18" s="114"/>
      <c r="D18" s="114"/>
      <c r="E18" s="114"/>
      <c r="F18" s="114"/>
      <c r="G18" s="114"/>
      <c r="H18" s="134"/>
      <c r="I18" s="115" t="s">
        <v>198</v>
      </c>
      <c r="J18" s="116"/>
      <c r="K18" s="116"/>
      <c r="L18" s="116"/>
      <c r="M18" s="116"/>
      <c r="N18" s="116"/>
      <c r="O18" s="116"/>
      <c r="P18" s="116"/>
      <c r="Q18" s="133"/>
      <c r="R18" s="8" t="s">
        <v>197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5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199</v>
      </c>
      <c r="C19" s="114"/>
      <c r="D19" s="114"/>
      <c r="E19" s="114"/>
      <c r="F19" s="114"/>
      <c r="G19" s="114"/>
      <c r="H19" s="134"/>
      <c r="I19" s="115" t="s">
        <v>200</v>
      </c>
      <c r="J19" s="116"/>
      <c r="K19" s="116"/>
      <c r="L19" s="116"/>
      <c r="M19" s="116"/>
      <c r="N19" s="116"/>
      <c r="O19" s="116"/>
      <c r="P19" s="116"/>
      <c r="Q19" s="133"/>
      <c r="R19" s="8" t="s">
        <v>199</v>
      </c>
      <c r="S19" s="116"/>
      <c r="T19" s="116"/>
      <c r="U19" s="116"/>
      <c r="V19" s="116"/>
      <c r="W19" s="116"/>
      <c r="X19" s="134"/>
      <c r="Y19" s="289" t="s">
        <v>150</v>
      </c>
      <c r="Z19" s="290"/>
      <c r="AA19" s="291" t="s">
        <v>151</v>
      </c>
      <c r="AB19" s="292"/>
      <c r="AC19" s="293"/>
      <c r="AD19" s="126">
        <v>20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5" customHeight="1" x14ac:dyDescent="0.25">
      <c r="A20" s="131">
        <f>IF(B20="","",COUNTA($B$8:B20))</f>
        <v>13</v>
      </c>
      <c r="B20" s="8" t="s">
        <v>201</v>
      </c>
      <c r="C20" s="114"/>
      <c r="D20" s="114"/>
      <c r="E20" s="114"/>
      <c r="F20" s="114"/>
      <c r="G20" s="114"/>
      <c r="H20" s="134"/>
      <c r="I20" s="115" t="s">
        <v>202</v>
      </c>
      <c r="J20" s="116"/>
      <c r="K20" s="116"/>
      <c r="L20" s="116"/>
      <c r="M20" s="116"/>
      <c r="N20" s="116"/>
      <c r="O20" s="116"/>
      <c r="P20" s="116"/>
      <c r="Q20" s="133"/>
      <c r="R20" s="8" t="s">
        <v>201</v>
      </c>
      <c r="S20" s="116"/>
      <c r="T20" s="116"/>
      <c r="U20" s="116"/>
      <c r="V20" s="116"/>
      <c r="W20" s="116"/>
      <c r="X20" s="134"/>
      <c r="Y20" s="289" t="s">
        <v>150</v>
      </c>
      <c r="Z20" s="290"/>
      <c r="AA20" s="291" t="s">
        <v>151</v>
      </c>
      <c r="AB20" s="292"/>
      <c r="AC20" s="293"/>
      <c r="AD20" s="126">
        <v>30</v>
      </c>
      <c r="AE20" s="111"/>
      <c r="AF20" s="111"/>
      <c r="AG20" s="111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5" customHeight="1" x14ac:dyDescent="0.25">
      <c r="A21" s="131">
        <f>IF(B21="","",COUNTA($B$8:B21))</f>
        <v>14</v>
      </c>
      <c r="B21" s="8" t="s">
        <v>1472</v>
      </c>
      <c r="C21" s="114"/>
      <c r="D21" s="114"/>
      <c r="E21" s="114"/>
      <c r="F21" s="114"/>
      <c r="G21" s="114"/>
      <c r="H21" s="134"/>
      <c r="I21" s="115" t="s">
        <v>1470</v>
      </c>
      <c r="J21" s="116"/>
      <c r="K21" s="116"/>
      <c r="L21" s="116"/>
      <c r="M21" s="116"/>
      <c r="N21" s="116"/>
      <c r="O21" s="116"/>
      <c r="P21" s="116"/>
      <c r="Q21" s="133"/>
      <c r="R21" s="8" t="s">
        <v>1472</v>
      </c>
      <c r="S21" s="116"/>
      <c r="T21" s="116"/>
      <c r="U21" s="116"/>
      <c r="V21" s="116"/>
      <c r="W21" s="116"/>
      <c r="X21" s="134"/>
      <c r="Y21" s="289" t="s">
        <v>150</v>
      </c>
      <c r="Z21" s="290"/>
      <c r="AA21" s="291" t="s">
        <v>151</v>
      </c>
      <c r="AB21" s="292"/>
      <c r="AC21" s="293"/>
      <c r="AD21" s="126">
        <v>30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 t="s">
        <v>1476</v>
      </c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  <c r="BE21" s="217" t="s">
        <v>1471</v>
      </c>
    </row>
    <row r="22" spans="1:57" s="1" customFormat="1" ht="14.45" customHeight="1" x14ac:dyDescent="0.25">
      <c r="A22" s="131">
        <f>IF(B22="","",COUNTA($B$8:B22))</f>
        <v>15</v>
      </c>
      <c r="B22" s="132" t="s">
        <v>296</v>
      </c>
      <c r="C22" s="114"/>
      <c r="D22" s="114"/>
      <c r="E22" s="114"/>
      <c r="F22" s="114"/>
      <c r="G22" s="114"/>
      <c r="H22" s="134"/>
      <c r="I22" s="115" t="s">
        <v>297</v>
      </c>
      <c r="J22" s="116"/>
      <c r="K22" s="116"/>
      <c r="L22" s="116"/>
      <c r="M22" s="116"/>
      <c r="N22" s="116"/>
      <c r="O22" s="116"/>
      <c r="P22" s="116"/>
      <c r="Q22" s="133"/>
      <c r="R22" s="132" t="s">
        <v>296</v>
      </c>
      <c r="S22" s="116"/>
      <c r="T22" s="116"/>
      <c r="U22" s="116"/>
      <c r="V22" s="116"/>
      <c r="W22" s="116"/>
      <c r="X22" s="134"/>
      <c r="Y22" s="289" t="s">
        <v>155</v>
      </c>
      <c r="Z22" s="290"/>
      <c r="AA22" s="291" t="s">
        <v>156</v>
      </c>
      <c r="AB22" s="292"/>
      <c r="AC22" s="293"/>
      <c r="AD22" s="126">
        <v>5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  <c r="BE22" s="217" t="s">
        <v>1563</v>
      </c>
    </row>
    <row r="23" spans="1:57" s="1" customFormat="1" ht="14.45" customHeight="1" x14ac:dyDescent="0.25">
      <c r="A23" s="131">
        <f>IF(B23="","",COUNTA($B$8:B23))</f>
        <v>16</v>
      </c>
      <c r="B23" s="132" t="s">
        <v>294</v>
      </c>
      <c r="C23" s="114"/>
      <c r="D23" s="114"/>
      <c r="E23" s="114"/>
      <c r="F23" s="114"/>
      <c r="G23" s="114"/>
      <c r="H23" s="134"/>
      <c r="I23" s="115" t="s">
        <v>295</v>
      </c>
      <c r="J23" s="116"/>
      <c r="K23" s="116"/>
      <c r="L23" s="116"/>
      <c r="M23" s="116"/>
      <c r="N23" s="116"/>
      <c r="O23" s="116"/>
      <c r="P23" s="116"/>
      <c r="Q23" s="133"/>
      <c r="R23" s="132" t="s">
        <v>294</v>
      </c>
      <c r="S23" s="116"/>
      <c r="T23" s="116"/>
      <c r="U23" s="116"/>
      <c r="V23" s="116"/>
      <c r="W23" s="116"/>
      <c r="X23" s="134"/>
      <c r="Y23" s="289" t="s">
        <v>155</v>
      </c>
      <c r="Z23" s="290"/>
      <c r="AA23" s="291" t="s">
        <v>156</v>
      </c>
      <c r="AB23" s="292"/>
      <c r="AC23" s="293"/>
      <c r="AD23" s="126">
        <v>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289</v>
      </c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  <c r="BE23" s="217" t="s">
        <v>1563</v>
      </c>
    </row>
    <row r="24" spans="1:57" s="1" customFormat="1" ht="14.45" customHeight="1" x14ac:dyDescent="0.25">
      <c r="A24" s="131">
        <f>IF(B24="","",COUNTA($B$8:B24))</f>
        <v>17</v>
      </c>
      <c r="B24" s="8" t="s">
        <v>298</v>
      </c>
      <c r="C24" s="114"/>
      <c r="D24" s="114"/>
      <c r="E24" s="114"/>
      <c r="F24" s="114"/>
      <c r="G24" s="114"/>
      <c r="H24" s="134"/>
      <c r="I24" s="115" t="s">
        <v>299</v>
      </c>
      <c r="J24" s="116"/>
      <c r="K24" s="116"/>
      <c r="L24" s="116"/>
      <c r="M24" s="116"/>
      <c r="N24" s="116"/>
      <c r="O24" s="116"/>
      <c r="P24" s="116"/>
      <c r="Q24" s="133"/>
      <c r="R24" s="8" t="s">
        <v>298</v>
      </c>
      <c r="S24" s="116"/>
      <c r="T24" s="116"/>
      <c r="U24" s="116"/>
      <c r="V24" s="116"/>
      <c r="W24" s="116"/>
      <c r="X24" s="134"/>
      <c r="Y24" s="8" t="s">
        <v>155</v>
      </c>
      <c r="Z24" s="119"/>
      <c r="AA24" s="64" t="s">
        <v>156</v>
      </c>
      <c r="AB24" s="2"/>
      <c r="AC24" s="3"/>
      <c r="AD24" s="159">
        <v>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</row>
    <row r="25" spans="1:57" s="1" customFormat="1" ht="14.45" customHeight="1" x14ac:dyDescent="0.25">
      <c r="A25" s="131">
        <f>IF(B25="","",COUNTA($B$8:B25))</f>
        <v>18</v>
      </c>
      <c r="B25" s="8" t="s">
        <v>226</v>
      </c>
      <c r="C25" s="114"/>
      <c r="D25" s="114"/>
      <c r="E25" s="114"/>
      <c r="F25" s="114"/>
      <c r="G25" s="114"/>
      <c r="H25" s="134"/>
      <c r="I25" s="115" t="s">
        <v>227</v>
      </c>
      <c r="J25" s="116"/>
      <c r="K25" s="116"/>
      <c r="L25" s="116"/>
      <c r="M25" s="116"/>
      <c r="N25" s="116"/>
      <c r="O25" s="116"/>
      <c r="P25" s="116"/>
      <c r="Q25" s="133"/>
      <c r="R25" s="8" t="s">
        <v>226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26">
        <v>3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19</v>
      </c>
      <c r="B26" s="8" t="s">
        <v>228</v>
      </c>
      <c r="C26" s="114"/>
      <c r="D26" s="114"/>
      <c r="E26" s="114"/>
      <c r="F26" s="114"/>
      <c r="G26" s="114"/>
      <c r="H26" s="134"/>
      <c r="I26" s="115" t="s">
        <v>229</v>
      </c>
      <c r="J26" s="116"/>
      <c r="K26" s="116"/>
      <c r="L26" s="116"/>
      <c r="M26" s="116"/>
      <c r="N26" s="116"/>
      <c r="O26" s="116"/>
      <c r="P26" s="116"/>
      <c r="Q26" s="133"/>
      <c r="R26" s="8" t="s">
        <v>228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1000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20</v>
      </c>
      <c r="B27" s="8" t="s">
        <v>230</v>
      </c>
      <c r="C27" s="114"/>
      <c r="D27" s="114"/>
      <c r="E27" s="114"/>
      <c r="F27" s="114"/>
      <c r="G27" s="114"/>
      <c r="H27" s="134"/>
      <c r="I27" s="115" t="s">
        <v>231</v>
      </c>
      <c r="J27" s="116"/>
      <c r="K27" s="116"/>
      <c r="L27" s="116"/>
      <c r="M27" s="116"/>
      <c r="N27" s="116"/>
      <c r="O27" s="116"/>
      <c r="P27" s="116"/>
      <c r="Q27" s="133"/>
      <c r="R27" s="8" t="s">
        <v>230</v>
      </c>
      <c r="S27" s="116"/>
      <c r="T27" s="116"/>
      <c r="U27" s="116"/>
      <c r="V27" s="116"/>
      <c r="W27" s="116"/>
      <c r="X27" s="134"/>
      <c r="Y27" s="289" t="s">
        <v>169</v>
      </c>
      <c r="Z27" s="290"/>
      <c r="AA27" s="291" t="s">
        <v>170</v>
      </c>
      <c r="AB27" s="292"/>
      <c r="AC27" s="293"/>
      <c r="AD27" s="126"/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232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21</v>
      </c>
      <c r="B28" s="8" t="s">
        <v>233</v>
      </c>
      <c r="C28" s="114"/>
      <c r="D28" s="114"/>
      <c r="E28" s="114"/>
      <c r="F28" s="114"/>
      <c r="G28" s="114"/>
      <c r="H28" s="134"/>
      <c r="I28" s="115" t="s">
        <v>234</v>
      </c>
      <c r="J28" s="116"/>
      <c r="K28" s="116"/>
      <c r="L28" s="116"/>
      <c r="M28" s="116"/>
      <c r="N28" s="116"/>
      <c r="O28" s="116"/>
      <c r="P28" s="116"/>
      <c r="Q28" s="133"/>
      <c r="R28" s="8" t="s">
        <v>233</v>
      </c>
      <c r="S28" s="116"/>
      <c r="T28" s="116"/>
      <c r="U28" s="116"/>
      <c r="V28" s="116"/>
      <c r="W28" s="116"/>
      <c r="X28" s="134"/>
      <c r="Y28" s="289" t="s">
        <v>155</v>
      </c>
      <c r="Z28" s="290"/>
      <c r="AA28" s="291" t="s">
        <v>156</v>
      </c>
      <c r="AB28" s="292"/>
      <c r="AC28" s="293"/>
      <c r="AD28" s="126">
        <v>1</v>
      </c>
      <c r="AE28" s="111"/>
      <c r="AF28" s="111"/>
      <c r="AG28" s="111"/>
      <c r="AH28" s="120">
        <v>0</v>
      </c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22</v>
      </c>
      <c r="B29" s="8" t="s">
        <v>239</v>
      </c>
      <c r="C29" s="114"/>
      <c r="D29" s="114"/>
      <c r="E29" s="114"/>
      <c r="F29" s="114"/>
      <c r="G29" s="114"/>
      <c r="H29" s="134"/>
      <c r="I29" s="115" t="s">
        <v>240</v>
      </c>
      <c r="J29" s="116"/>
      <c r="K29" s="116"/>
      <c r="L29" s="116"/>
      <c r="M29" s="116"/>
      <c r="N29" s="116"/>
      <c r="O29" s="116"/>
      <c r="P29" s="116"/>
      <c r="Q29" s="133"/>
      <c r="R29" s="8" t="s">
        <v>239</v>
      </c>
      <c r="S29" s="116"/>
      <c r="T29" s="116"/>
      <c r="U29" s="116"/>
      <c r="V29" s="116"/>
      <c r="W29" s="116"/>
      <c r="X29" s="134"/>
      <c r="Y29" s="289" t="s">
        <v>169</v>
      </c>
      <c r="Z29" s="290"/>
      <c r="AA29" s="291" t="s">
        <v>170</v>
      </c>
      <c r="AB29" s="292"/>
      <c r="AC29" s="293"/>
      <c r="AD29" s="126"/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23</v>
      </c>
      <c r="B30" s="4" t="s">
        <v>241</v>
      </c>
      <c r="C30" s="114"/>
      <c r="D30" s="114"/>
      <c r="E30" s="114"/>
      <c r="F30" s="114"/>
      <c r="G30" s="114"/>
      <c r="H30" s="114"/>
      <c r="I30" s="115" t="s">
        <v>242</v>
      </c>
      <c r="J30" s="116"/>
      <c r="K30" s="116"/>
      <c r="L30" s="116"/>
      <c r="M30" s="116"/>
      <c r="N30" s="116"/>
      <c r="O30" s="116"/>
      <c r="P30" s="116"/>
      <c r="Q30" s="116"/>
      <c r="R30" s="4" t="s">
        <v>241</v>
      </c>
      <c r="S30" s="114"/>
      <c r="T30" s="5"/>
      <c r="U30" s="5"/>
      <c r="V30" s="5"/>
      <c r="W30" s="5"/>
      <c r="X30" s="5"/>
      <c r="Y30" s="8" t="s">
        <v>150</v>
      </c>
      <c r="Z30" s="119"/>
      <c r="AA30" s="291" t="s">
        <v>243</v>
      </c>
      <c r="AB30" s="292"/>
      <c r="AC30" s="293"/>
      <c r="AD30" s="117"/>
      <c r="AE30" s="120" t="s">
        <v>244</v>
      </c>
      <c r="AF30" s="121"/>
      <c r="AG30" s="121"/>
      <c r="AH30" s="121"/>
      <c r="AI30" s="121"/>
      <c r="AJ30" s="121"/>
      <c r="AK30" s="121"/>
      <c r="AL30" s="121"/>
      <c r="AM30" s="121"/>
      <c r="AN30" s="121"/>
      <c r="AO30" s="122"/>
      <c r="AP30" s="122"/>
      <c r="AQ30" s="122"/>
      <c r="AR30" s="122"/>
      <c r="AS30" s="123" t="s">
        <v>245</v>
      </c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24</v>
      </c>
      <c r="B31" s="4" t="s">
        <v>246</v>
      </c>
      <c r="C31" s="114"/>
      <c r="D31" s="114"/>
      <c r="E31" s="114"/>
      <c r="F31" s="114"/>
      <c r="G31" s="114"/>
      <c r="H31" s="114"/>
      <c r="I31" s="115" t="s">
        <v>247</v>
      </c>
      <c r="J31" s="116"/>
      <c r="K31" s="116"/>
      <c r="L31" s="116"/>
      <c r="M31" s="116"/>
      <c r="N31" s="116"/>
      <c r="O31" s="116"/>
      <c r="P31" s="116"/>
      <c r="Q31" s="116"/>
      <c r="R31" s="4" t="s">
        <v>246</v>
      </c>
      <c r="S31" s="114"/>
      <c r="T31" s="5"/>
      <c r="U31" s="5"/>
      <c r="V31" s="5"/>
      <c r="W31" s="5"/>
      <c r="X31" s="5"/>
      <c r="Y31" s="8" t="s">
        <v>150</v>
      </c>
      <c r="Z31" s="119"/>
      <c r="AA31" s="291" t="s">
        <v>243</v>
      </c>
      <c r="AB31" s="292"/>
      <c r="AC31" s="293"/>
      <c r="AD31" s="117"/>
      <c r="AE31" s="120" t="s">
        <v>244</v>
      </c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  <c r="AP31" s="122"/>
      <c r="AQ31" s="122"/>
      <c r="AR31" s="122"/>
      <c r="AS31" s="123" t="s">
        <v>248</v>
      </c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25</v>
      </c>
      <c r="B32" s="8" t="s">
        <v>249</v>
      </c>
      <c r="C32" s="114"/>
      <c r="D32" s="114"/>
      <c r="E32" s="114"/>
      <c r="F32" s="114"/>
      <c r="G32" s="114"/>
      <c r="H32" s="134"/>
      <c r="I32" s="115" t="s">
        <v>250</v>
      </c>
      <c r="J32" s="116"/>
      <c r="K32" s="116"/>
      <c r="L32" s="116"/>
      <c r="M32" s="116"/>
      <c r="N32" s="116"/>
      <c r="O32" s="116"/>
      <c r="P32" s="116"/>
      <c r="Q32" s="133"/>
      <c r="R32" s="8" t="s">
        <v>249</v>
      </c>
      <c r="S32" s="116"/>
      <c r="T32" s="116"/>
      <c r="U32" s="116"/>
      <c r="V32" s="116"/>
      <c r="W32" s="116"/>
      <c r="X32" s="134"/>
      <c r="Y32" s="289" t="s">
        <v>150</v>
      </c>
      <c r="Z32" s="290"/>
      <c r="AA32" s="291" t="s">
        <v>151</v>
      </c>
      <c r="AB32" s="292"/>
      <c r="AC32" s="293"/>
      <c r="AD32" s="126">
        <v>4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26</v>
      </c>
      <c r="B33" s="8" t="s">
        <v>251</v>
      </c>
      <c r="C33" s="114"/>
      <c r="D33" s="114"/>
      <c r="E33" s="114"/>
      <c r="F33" s="114"/>
      <c r="G33" s="114"/>
      <c r="H33" s="134"/>
      <c r="I33" s="115" t="s">
        <v>252</v>
      </c>
      <c r="J33" s="116"/>
      <c r="K33" s="116"/>
      <c r="L33" s="116"/>
      <c r="M33" s="116"/>
      <c r="N33" s="116"/>
      <c r="O33" s="116"/>
      <c r="P33" s="116"/>
      <c r="Q33" s="133"/>
      <c r="R33" s="8" t="s">
        <v>251</v>
      </c>
      <c r="S33" s="116"/>
      <c r="T33" s="116"/>
      <c r="U33" s="116"/>
      <c r="V33" s="116"/>
      <c r="W33" s="116"/>
      <c r="X33" s="134"/>
      <c r="Y33" s="289" t="s">
        <v>150</v>
      </c>
      <c r="Z33" s="290"/>
      <c r="AA33" s="291" t="s">
        <v>151</v>
      </c>
      <c r="AB33" s="292"/>
      <c r="AC33" s="293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27</v>
      </c>
      <c r="B34" s="8" t="s">
        <v>253</v>
      </c>
      <c r="C34" s="114"/>
      <c r="D34" s="114"/>
      <c r="E34" s="114"/>
      <c r="F34" s="114"/>
      <c r="G34" s="114"/>
      <c r="H34" s="134"/>
      <c r="I34" s="118" t="s">
        <v>254</v>
      </c>
      <c r="J34" s="116"/>
      <c r="K34" s="116"/>
      <c r="L34" s="116"/>
      <c r="M34" s="116"/>
      <c r="N34" s="116"/>
      <c r="O34" s="116"/>
      <c r="P34" s="116"/>
      <c r="Q34" s="133"/>
      <c r="R34" s="8" t="s">
        <v>253</v>
      </c>
      <c r="S34" s="116"/>
      <c r="T34" s="116"/>
      <c r="U34" s="116"/>
      <c r="V34" s="116"/>
      <c r="W34" s="116"/>
      <c r="X34" s="134"/>
      <c r="Y34" s="289" t="s">
        <v>150</v>
      </c>
      <c r="Z34" s="290"/>
      <c r="AA34" s="291" t="s">
        <v>151</v>
      </c>
      <c r="AB34" s="292"/>
      <c r="AC34" s="293"/>
      <c r="AD34" s="126">
        <v>10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28</v>
      </c>
      <c r="B35" s="8" t="s">
        <v>255</v>
      </c>
      <c r="C35" s="114"/>
      <c r="D35" s="114"/>
      <c r="E35" s="114"/>
      <c r="F35" s="114"/>
      <c r="G35" s="114"/>
      <c r="H35" s="134"/>
      <c r="I35" s="118" t="s">
        <v>256</v>
      </c>
      <c r="J35" s="116"/>
      <c r="K35" s="116"/>
      <c r="L35" s="116"/>
      <c r="M35" s="116"/>
      <c r="N35" s="116"/>
      <c r="O35" s="116"/>
      <c r="P35" s="116"/>
      <c r="Q35" s="133"/>
      <c r="R35" s="8" t="s">
        <v>255</v>
      </c>
      <c r="S35" s="116"/>
      <c r="T35" s="116"/>
      <c r="U35" s="116"/>
      <c r="V35" s="116"/>
      <c r="W35" s="116"/>
      <c r="X35" s="134"/>
      <c r="Y35" s="289" t="s">
        <v>150</v>
      </c>
      <c r="Z35" s="290"/>
      <c r="AA35" s="291" t="s">
        <v>151</v>
      </c>
      <c r="AB35" s="292"/>
      <c r="AC35" s="293"/>
      <c r="AD35" s="126">
        <v>10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29</v>
      </c>
      <c r="B36" s="8" t="s">
        <v>257</v>
      </c>
      <c r="C36" s="114"/>
      <c r="D36" s="114"/>
      <c r="E36" s="114"/>
      <c r="F36" s="114"/>
      <c r="G36" s="114"/>
      <c r="H36" s="134"/>
      <c r="I36" s="118" t="s">
        <v>258</v>
      </c>
      <c r="J36" s="116"/>
      <c r="K36" s="116"/>
      <c r="L36" s="116"/>
      <c r="M36" s="116"/>
      <c r="N36" s="116"/>
      <c r="O36" s="116"/>
      <c r="P36" s="116"/>
      <c r="Q36" s="133"/>
      <c r="R36" s="8" t="s">
        <v>257</v>
      </c>
      <c r="S36" s="116"/>
      <c r="T36" s="116"/>
      <c r="U36" s="116"/>
      <c r="V36" s="116"/>
      <c r="W36" s="116"/>
      <c r="X36" s="134"/>
      <c r="Y36" s="289" t="s">
        <v>169</v>
      </c>
      <c r="Z36" s="290"/>
      <c r="AA36" s="291" t="s">
        <v>243</v>
      </c>
      <c r="AB36" s="292"/>
      <c r="AC36" s="293"/>
      <c r="AD36" s="159"/>
      <c r="AE36" s="111"/>
      <c r="AF36" s="111"/>
      <c r="AG36" s="111"/>
      <c r="AH36" s="121"/>
      <c r="AI36" s="121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30</v>
      </c>
      <c r="B37" s="8" t="s">
        <v>259</v>
      </c>
      <c r="C37" s="114"/>
      <c r="D37" s="114"/>
      <c r="E37" s="114"/>
      <c r="F37" s="114"/>
      <c r="G37" s="114"/>
      <c r="H37" s="134"/>
      <c r="I37" s="118" t="s">
        <v>260</v>
      </c>
      <c r="J37" s="116"/>
      <c r="K37" s="116"/>
      <c r="L37" s="116"/>
      <c r="M37" s="116"/>
      <c r="N37" s="116"/>
      <c r="O37" s="116"/>
      <c r="P37" s="116"/>
      <c r="Q37" s="133"/>
      <c r="R37" s="8" t="s">
        <v>259</v>
      </c>
      <c r="S37" s="116"/>
      <c r="T37" s="116"/>
      <c r="U37" s="116"/>
      <c r="V37" s="116"/>
      <c r="W37" s="116"/>
      <c r="X37" s="134"/>
      <c r="Y37" s="289" t="s">
        <v>150</v>
      </c>
      <c r="Z37" s="290"/>
      <c r="AA37" s="291" t="s">
        <v>151</v>
      </c>
      <c r="AB37" s="292"/>
      <c r="AC37" s="293"/>
      <c r="AD37" s="126">
        <v>10</v>
      </c>
      <c r="AE37" s="111"/>
      <c r="AF37" s="111"/>
      <c r="AG37" s="111"/>
      <c r="AH37" s="121"/>
      <c r="AI37" s="121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31</v>
      </c>
      <c r="B38" s="8" t="s">
        <v>261</v>
      </c>
      <c r="C38" s="114"/>
      <c r="D38" s="114"/>
      <c r="E38" s="114"/>
      <c r="F38" s="114"/>
      <c r="G38" s="114"/>
      <c r="H38" s="134"/>
      <c r="I38" s="118" t="s">
        <v>262</v>
      </c>
      <c r="J38" s="116"/>
      <c r="K38" s="116"/>
      <c r="L38" s="116"/>
      <c r="M38" s="116"/>
      <c r="N38" s="116"/>
      <c r="O38" s="116"/>
      <c r="P38" s="116"/>
      <c r="Q38" s="133"/>
      <c r="R38" s="8" t="s">
        <v>261</v>
      </c>
      <c r="S38" s="116"/>
      <c r="T38" s="116"/>
      <c r="U38" s="116"/>
      <c r="V38" s="116"/>
      <c r="W38" s="116"/>
      <c r="X38" s="134"/>
      <c r="Y38" s="289" t="s">
        <v>150</v>
      </c>
      <c r="Z38" s="290"/>
      <c r="AA38" s="291" t="s">
        <v>151</v>
      </c>
      <c r="AB38" s="292"/>
      <c r="AC38" s="293"/>
      <c r="AD38" s="159">
        <v>10</v>
      </c>
      <c r="AE38" s="111"/>
      <c r="AF38" s="111"/>
      <c r="AG38" s="111"/>
      <c r="AH38" s="120"/>
      <c r="AI38" s="120"/>
      <c r="AJ38" s="120"/>
      <c r="AK38" s="120"/>
      <c r="AL38" s="121"/>
      <c r="AM38" s="121"/>
      <c r="AN38" s="121"/>
      <c r="AO38" s="122"/>
      <c r="AP38" s="122"/>
      <c r="AQ38" s="122"/>
      <c r="AR38" s="122"/>
      <c r="AS38" s="123"/>
      <c r="AT38" s="161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32</v>
      </c>
      <c r="B39" s="8" t="s">
        <v>263</v>
      </c>
      <c r="C39" s="114"/>
      <c r="D39" s="114"/>
      <c r="E39" s="114"/>
      <c r="F39" s="114"/>
      <c r="G39" s="114"/>
      <c r="H39" s="134"/>
      <c r="I39" s="118" t="s">
        <v>264</v>
      </c>
      <c r="J39" s="116"/>
      <c r="K39" s="116"/>
      <c r="L39" s="116"/>
      <c r="M39" s="116"/>
      <c r="N39" s="116"/>
      <c r="O39" s="116"/>
      <c r="P39" s="116"/>
      <c r="Q39" s="133"/>
      <c r="R39" s="132" t="s">
        <v>263</v>
      </c>
      <c r="S39" s="116"/>
      <c r="T39" s="116"/>
      <c r="U39" s="116"/>
      <c r="V39" s="116"/>
      <c r="W39" s="116"/>
      <c r="X39" s="134"/>
      <c r="Y39" s="289" t="s">
        <v>169</v>
      </c>
      <c r="Z39" s="290"/>
      <c r="AA39" s="291" t="s">
        <v>243</v>
      </c>
      <c r="AB39" s="292"/>
      <c r="AC39" s="293"/>
      <c r="AD39" s="159"/>
      <c r="AE39" s="111"/>
      <c r="AF39" s="111"/>
      <c r="AG39" s="111"/>
      <c r="AH39" s="121"/>
      <c r="AI39" s="121"/>
      <c r="AJ39" s="121"/>
      <c r="AK39" s="121"/>
      <c r="AL39" s="121"/>
      <c r="AM39" s="121"/>
      <c r="AN39" s="121"/>
      <c r="AO39" s="122"/>
      <c r="AP39" s="122"/>
      <c r="AQ39" s="122"/>
      <c r="AR39" s="122"/>
      <c r="AS39" s="123"/>
      <c r="AT39" s="161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 t="str">
        <f>IF(B40="","",COUNTA($B$8:B40))</f>
        <v/>
      </c>
      <c r="B40" s="8"/>
      <c r="C40" s="114"/>
      <c r="D40" s="114"/>
      <c r="E40" s="114"/>
      <c r="F40" s="114"/>
      <c r="G40" s="114"/>
      <c r="H40" s="134"/>
      <c r="I40" s="115"/>
      <c r="J40" s="116"/>
      <c r="K40" s="116"/>
      <c r="L40" s="116"/>
      <c r="M40" s="116"/>
      <c r="N40" s="116"/>
      <c r="O40" s="116"/>
      <c r="P40" s="116"/>
      <c r="Q40" s="133"/>
      <c r="R40" s="8"/>
      <c r="S40" s="116"/>
      <c r="T40" s="116"/>
      <c r="U40" s="116"/>
      <c r="V40" s="116"/>
      <c r="W40" s="116"/>
      <c r="X40" s="134"/>
      <c r="Y40" s="289"/>
      <c r="Z40" s="290"/>
      <c r="AA40" s="291"/>
      <c r="AB40" s="292"/>
      <c r="AC40" s="293"/>
      <c r="AD40" s="159"/>
      <c r="AE40" s="111" t="s">
        <v>244</v>
      </c>
      <c r="AF40" s="111"/>
      <c r="AG40" s="111"/>
      <c r="AH40" s="121"/>
      <c r="AI40" s="121"/>
      <c r="AJ40" s="121"/>
      <c r="AK40" s="121"/>
      <c r="AL40" s="121"/>
      <c r="AM40" s="121"/>
      <c r="AN40" s="121"/>
      <c r="AO40" s="122"/>
      <c r="AP40" s="122"/>
      <c r="AQ40" s="122"/>
      <c r="AR40" s="122"/>
      <c r="AS40" s="123"/>
      <c r="AT40" s="161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 t="str">
        <f>IF(B41="","",COUNTA($B$8:B41))</f>
        <v/>
      </c>
      <c r="B41" s="8"/>
      <c r="C41" s="114"/>
      <c r="D41" s="114"/>
      <c r="E41" s="114"/>
      <c r="F41" s="114"/>
      <c r="G41" s="114"/>
      <c r="H41" s="134"/>
      <c r="I41" s="115"/>
      <c r="J41" s="116"/>
      <c r="K41" s="116"/>
      <c r="L41" s="116"/>
      <c r="M41" s="116"/>
      <c r="N41" s="116"/>
      <c r="O41" s="116"/>
      <c r="P41" s="116"/>
      <c r="Q41" s="133"/>
      <c r="R41" s="8"/>
      <c r="S41" s="116"/>
      <c r="T41" s="116"/>
      <c r="U41" s="116"/>
      <c r="V41" s="116"/>
      <c r="W41" s="116"/>
      <c r="X41" s="134"/>
      <c r="Y41" s="289"/>
      <c r="Z41" s="290"/>
      <c r="AA41" s="291"/>
      <c r="AB41" s="292"/>
      <c r="AC41" s="293"/>
      <c r="AD41" s="159"/>
      <c r="AE41" s="111" t="s">
        <v>244</v>
      </c>
      <c r="AF41" s="111"/>
      <c r="AG41" s="111"/>
      <c r="AH41" s="121"/>
      <c r="AI41" s="121"/>
      <c r="AJ41" s="121"/>
      <c r="AK41" s="121"/>
      <c r="AL41" s="121"/>
      <c r="AM41" s="121"/>
      <c r="AN41" s="121"/>
      <c r="AO41" s="122"/>
      <c r="AP41" s="122"/>
      <c r="AQ41" s="122"/>
      <c r="AR41" s="122"/>
      <c r="AS41" s="123"/>
      <c r="AT41" s="161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 t="str">
        <f>IF(B42="","",COUNTA($B$8:B42))</f>
        <v/>
      </c>
      <c r="B42" s="8"/>
      <c r="C42" s="114"/>
      <c r="D42" s="114"/>
      <c r="E42" s="114"/>
      <c r="F42" s="114"/>
      <c r="G42" s="114"/>
      <c r="H42" s="134"/>
      <c r="I42" s="115"/>
      <c r="J42" s="116"/>
      <c r="K42" s="116"/>
      <c r="L42" s="116"/>
      <c r="M42" s="116"/>
      <c r="N42" s="116"/>
      <c r="O42" s="116"/>
      <c r="P42" s="116"/>
      <c r="Q42" s="133"/>
      <c r="R42" s="8"/>
      <c r="S42" s="116"/>
      <c r="T42" s="116"/>
      <c r="U42" s="116"/>
      <c r="V42" s="116"/>
      <c r="W42" s="116"/>
      <c r="X42" s="134"/>
      <c r="Y42" s="289"/>
      <c r="Z42" s="290"/>
      <c r="AA42" s="291"/>
      <c r="AB42" s="292"/>
      <c r="AC42" s="293"/>
      <c r="AD42" s="159"/>
      <c r="AE42" s="111" t="s">
        <v>244</v>
      </c>
      <c r="AF42" s="111"/>
      <c r="AG42" s="11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/>
      <c r="AT42" s="161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 t="str">
        <f>IF(B43="","",COUNTA($B$8:B43))</f>
        <v/>
      </c>
      <c r="B43" s="8"/>
      <c r="C43" s="114"/>
      <c r="D43" s="114"/>
      <c r="E43" s="114"/>
      <c r="F43" s="114"/>
      <c r="G43" s="114"/>
      <c r="H43" s="134"/>
      <c r="I43" s="115"/>
      <c r="J43" s="116"/>
      <c r="K43" s="116"/>
      <c r="L43" s="116"/>
      <c r="M43" s="116"/>
      <c r="N43" s="116"/>
      <c r="O43" s="116"/>
      <c r="P43" s="116"/>
      <c r="Q43" s="133"/>
      <c r="R43" s="8"/>
      <c r="S43" s="116"/>
      <c r="T43" s="116"/>
      <c r="U43" s="116"/>
      <c r="V43" s="116"/>
      <c r="W43" s="116"/>
      <c r="X43" s="134"/>
      <c r="Y43" s="289"/>
      <c r="Z43" s="290"/>
      <c r="AA43" s="291"/>
      <c r="AB43" s="292"/>
      <c r="AC43" s="293"/>
      <c r="AD43" s="159"/>
      <c r="AE43" s="111" t="s">
        <v>244</v>
      </c>
      <c r="AF43" s="111"/>
      <c r="AG43" s="11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/>
      <c r="AT43" s="161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 t="str">
        <f>IF(B44="","",COUNTA($B$8:B44))</f>
        <v/>
      </c>
      <c r="B44" s="8"/>
      <c r="C44" s="114"/>
      <c r="D44" s="114"/>
      <c r="E44" s="114"/>
      <c r="F44" s="114"/>
      <c r="G44" s="114"/>
      <c r="H44" s="134"/>
      <c r="I44" s="115"/>
      <c r="J44" s="116"/>
      <c r="K44" s="116"/>
      <c r="L44" s="116"/>
      <c r="M44" s="116"/>
      <c r="N44" s="116"/>
      <c r="O44" s="116"/>
      <c r="P44" s="116"/>
      <c r="Q44" s="133"/>
      <c r="R44" s="8"/>
      <c r="S44" s="116"/>
      <c r="T44" s="116"/>
      <c r="U44" s="116"/>
      <c r="V44" s="116"/>
      <c r="W44" s="116"/>
      <c r="X44" s="134"/>
      <c r="Y44" s="289"/>
      <c r="Z44" s="290"/>
      <c r="AA44" s="291"/>
      <c r="AB44" s="292"/>
      <c r="AC44" s="293"/>
      <c r="AD44" s="159"/>
      <c r="AE44" s="111" t="s">
        <v>244</v>
      </c>
      <c r="AF44" s="111"/>
      <c r="AG44" s="11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/>
      <c r="AT44" s="161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 t="str">
        <f>IF(B45="","",COUNTA($B$8:B45))</f>
        <v/>
      </c>
      <c r="B45" s="8"/>
      <c r="C45" s="114"/>
      <c r="D45" s="114"/>
      <c r="E45" s="114"/>
      <c r="F45" s="114"/>
      <c r="G45" s="114"/>
      <c r="H45" s="134"/>
      <c r="I45" s="115"/>
      <c r="J45" s="116"/>
      <c r="K45" s="116"/>
      <c r="L45" s="116"/>
      <c r="M45" s="116"/>
      <c r="N45" s="116"/>
      <c r="O45" s="116"/>
      <c r="P45" s="116"/>
      <c r="Q45" s="133"/>
      <c r="R45" s="8"/>
      <c r="S45" s="116"/>
      <c r="T45" s="116"/>
      <c r="U45" s="116"/>
      <c r="V45" s="116"/>
      <c r="W45" s="116"/>
      <c r="X45" s="134"/>
      <c r="Y45" s="289"/>
      <c r="Z45" s="290"/>
      <c r="AA45" s="291"/>
      <c r="AB45" s="292"/>
      <c r="AC45" s="293"/>
      <c r="AD45" s="159"/>
      <c r="AE45" s="111" t="s">
        <v>244</v>
      </c>
      <c r="AF45" s="111"/>
      <c r="AG45" s="11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/>
      <c r="AT45" s="161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</sheetData>
  <mergeCells count="98">
    <mergeCell ref="Y45:Z45"/>
    <mergeCell ref="AA45:AC45"/>
    <mergeCell ref="AG6:AG7"/>
    <mergeCell ref="AH6:AH7"/>
    <mergeCell ref="AI6:AR6"/>
    <mergeCell ref="AA28:AC28"/>
    <mergeCell ref="AA26:AC26"/>
    <mergeCell ref="AA44:AC44"/>
    <mergeCell ref="AA35:AC35"/>
    <mergeCell ref="Y36:Z36"/>
    <mergeCell ref="AA36:AC36"/>
    <mergeCell ref="Y42:Z42"/>
    <mergeCell ref="AA42:AC42"/>
    <mergeCell ref="Y40:Z40"/>
    <mergeCell ref="AA40:AC40"/>
    <mergeCell ref="Y41:Z41"/>
    <mergeCell ref="AS6:BD7"/>
    <mergeCell ref="AF6:AF7"/>
    <mergeCell ref="AD6:AD7"/>
    <mergeCell ref="AE6:AE7"/>
    <mergeCell ref="AA25:AC25"/>
    <mergeCell ref="AA9:AC9"/>
    <mergeCell ref="AA20:AC20"/>
    <mergeCell ref="AA19:AC19"/>
    <mergeCell ref="AA21:AC21"/>
    <mergeCell ref="AA23:AC23"/>
    <mergeCell ref="AA22:AC22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38:Z38"/>
    <mergeCell ref="AA38:AC38"/>
    <mergeCell ref="Y10:Z10"/>
    <mergeCell ref="AA10:AC10"/>
    <mergeCell ref="Y11:Z11"/>
    <mergeCell ref="AA11:AC11"/>
    <mergeCell ref="AA30:AC30"/>
    <mergeCell ref="AA29:AC29"/>
    <mergeCell ref="AA37:AC37"/>
    <mergeCell ref="AA27:AC27"/>
    <mergeCell ref="AA8:AC8"/>
    <mergeCell ref="AA6:AC7"/>
    <mergeCell ref="Y19:Z19"/>
    <mergeCell ref="AA43:AC43"/>
    <mergeCell ref="A6:A7"/>
    <mergeCell ref="B6:H7"/>
    <mergeCell ref="Y15:Z15"/>
    <mergeCell ref="AA15:AC15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6:Z16"/>
    <mergeCell ref="AA16:AC16"/>
    <mergeCell ref="Y20:Z20"/>
    <mergeCell ref="Y26:Z26"/>
    <mergeCell ref="Y25:Z25"/>
    <mergeCell ref="Y21:Z21"/>
    <mergeCell ref="AA41:AC41"/>
    <mergeCell ref="Y39:Z39"/>
    <mergeCell ref="AA39:AC39"/>
    <mergeCell ref="Y44:Z44"/>
    <mergeCell ref="Y23:Z23"/>
    <mergeCell ref="Y22:Z22"/>
    <mergeCell ref="AA33:AC33"/>
    <mergeCell ref="Y34:Z34"/>
    <mergeCell ref="AA34:AC34"/>
    <mergeCell ref="Y37:Z37"/>
    <mergeCell ref="Y27:Z27"/>
    <mergeCell ref="Y28:Z28"/>
    <mergeCell ref="Y33:Z33"/>
    <mergeCell ref="Y29:Z29"/>
    <mergeCell ref="AA31:AC31"/>
    <mergeCell ref="Y32:Z32"/>
    <mergeCell ref="AA32:AC32"/>
    <mergeCell ref="Y35:Z35"/>
    <mergeCell ref="Y43:Z43"/>
  </mergeCells>
  <phoneticPr fontId="5"/>
  <dataValidations count="3">
    <dataValidation imeMode="hiragana" allowBlank="1" showInputMessage="1" showErrorMessage="1" sqref="JO65485:JZ65487 TK65485:TV65487 ADG65485:ADR65487 ANC65485:ANN65487 AWY65485:AXJ65487 BGU65485:BHF65487 BQQ65485:BRB65487 CAM65485:CAX65487 CKI65485:CKT65487 CUE65485:CUP65487 DEA65485:DEL65487 DNW65485:DOH65487 DXS65485:DYD65487 EHO65485:EHZ65487 ERK65485:ERV65487 FBG65485:FBR65487 FLC65485:FLN65487 FUY65485:FVJ65487 GEU65485:GFF65487 GOQ65485:GPB65487 GYM65485:GYX65487 HII65485:HIT65487 HSE65485:HSP65487 ICA65485:ICL65487 ILW65485:IMH65487 IVS65485:IWD65487 JFO65485:JFZ65487 JPK65485:JPV65487 JZG65485:JZR65487 KJC65485:KJN65487 KSY65485:KTJ65487 LCU65485:LDF65487 LMQ65485:LNB65487 LWM65485:LWX65487 MGI65485:MGT65487 MQE65485:MQP65487 NAA65485:NAL65487 NJW65485:NKH65487 NTS65485:NUD65487 ODO65485:ODZ65487 ONK65485:ONV65487 OXG65485:OXR65487 PHC65485:PHN65487 PQY65485:PRJ65487 QAU65485:QBF65487 QKQ65485:QLB65487 QUM65485:QUX65487 REI65485:RET65487 ROE65485:ROP65487 RYA65485:RYL65487 SHW65485:SIH65487 SRS65485:SSD65487 TBO65485:TBZ65487 TLK65485:TLV65487 TVG65485:TVR65487 UFC65485:UFN65487 UOY65485:UPJ65487 UYU65485:UZF65487 VIQ65485:VJB65487 VSM65485:VSX65487 WCI65485:WCT65487 WME65485:WMP65487 WWA65485:WWL65487 JO131021:JZ131023 TK131021:TV131023 ADG131021:ADR131023 ANC131021:ANN131023 AWY131021:AXJ131023 BGU131021:BHF131023 BQQ131021:BRB131023 CAM131021:CAX131023 CKI131021:CKT131023 CUE131021:CUP131023 DEA131021:DEL131023 DNW131021:DOH131023 DXS131021:DYD131023 EHO131021:EHZ131023 ERK131021:ERV131023 FBG131021:FBR131023 FLC131021:FLN131023 FUY131021:FVJ131023 GEU131021:GFF131023 GOQ131021:GPB131023 GYM131021:GYX131023 HII131021:HIT131023 HSE131021:HSP131023 ICA131021:ICL131023 ILW131021:IMH131023 IVS131021:IWD131023 JFO131021:JFZ131023 JPK131021:JPV131023 JZG131021:JZR131023 KJC131021:KJN131023 KSY131021:KTJ131023 LCU131021:LDF131023 LMQ131021:LNB131023 LWM131021:LWX131023 MGI131021:MGT131023 MQE131021:MQP131023 NAA131021:NAL131023 NJW131021:NKH131023 NTS131021:NUD131023 ODO131021:ODZ131023 ONK131021:ONV131023 OXG131021:OXR131023 PHC131021:PHN131023 PQY131021:PRJ131023 QAU131021:QBF131023 QKQ131021:QLB131023 QUM131021:QUX131023 REI131021:RET131023 ROE131021:ROP131023 RYA131021:RYL131023 SHW131021:SIH131023 SRS131021:SSD131023 TBO131021:TBZ131023 TLK131021:TLV131023 TVG131021:TVR131023 UFC131021:UFN131023 UOY131021:UPJ131023 UYU131021:UZF131023 VIQ131021:VJB131023 VSM131021:VSX131023 WCI131021:WCT131023 WME131021:WMP131023 WWA131021:WWL131023 JO196557:JZ196559 TK196557:TV196559 ADG196557:ADR196559 ANC196557:ANN196559 AWY196557:AXJ196559 BGU196557:BHF196559 BQQ196557:BRB196559 CAM196557:CAX196559 CKI196557:CKT196559 CUE196557:CUP196559 DEA196557:DEL196559 DNW196557:DOH196559 DXS196557:DYD196559 EHO196557:EHZ196559 ERK196557:ERV196559 FBG196557:FBR196559 FLC196557:FLN196559 FUY196557:FVJ196559 GEU196557:GFF196559 GOQ196557:GPB196559 GYM196557:GYX196559 HII196557:HIT196559 HSE196557:HSP196559 ICA196557:ICL196559 ILW196557:IMH196559 IVS196557:IWD196559 JFO196557:JFZ196559 JPK196557:JPV196559 JZG196557:JZR196559 KJC196557:KJN196559 KSY196557:KTJ196559 LCU196557:LDF196559 LMQ196557:LNB196559 LWM196557:LWX196559 MGI196557:MGT196559 MQE196557:MQP196559 NAA196557:NAL196559 NJW196557:NKH196559 NTS196557:NUD196559 ODO196557:ODZ196559 ONK196557:ONV196559 OXG196557:OXR196559 PHC196557:PHN196559 PQY196557:PRJ196559 QAU196557:QBF196559 QKQ196557:QLB196559 QUM196557:QUX196559 REI196557:RET196559 ROE196557:ROP196559 RYA196557:RYL196559 SHW196557:SIH196559 SRS196557:SSD196559 TBO196557:TBZ196559 TLK196557:TLV196559 TVG196557:TVR196559 UFC196557:UFN196559 UOY196557:UPJ196559 UYU196557:UZF196559 VIQ196557:VJB196559 VSM196557:VSX196559 WCI196557:WCT196559 WME196557:WMP196559 WWA196557:WWL196559 JO262093:JZ262095 TK262093:TV262095 ADG262093:ADR262095 ANC262093:ANN262095 AWY262093:AXJ262095 BGU262093:BHF262095 BQQ262093:BRB262095 CAM262093:CAX262095 CKI262093:CKT262095 CUE262093:CUP262095 DEA262093:DEL262095 DNW262093:DOH262095 DXS262093:DYD262095 EHO262093:EHZ262095 ERK262093:ERV262095 FBG262093:FBR262095 FLC262093:FLN262095 FUY262093:FVJ262095 GEU262093:GFF262095 GOQ262093:GPB262095 GYM262093:GYX262095 HII262093:HIT262095 HSE262093:HSP262095 ICA262093:ICL262095 ILW262093:IMH262095 IVS262093:IWD262095 JFO262093:JFZ262095 JPK262093:JPV262095 JZG262093:JZR262095 KJC262093:KJN262095 KSY262093:KTJ262095 LCU262093:LDF262095 LMQ262093:LNB262095 LWM262093:LWX262095 MGI262093:MGT262095 MQE262093:MQP262095 NAA262093:NAL262095 NJW262093:NKH262095 NTS262093:NUD262095 ODO262093:ODZ262095 ONK262093:ONV262095 OXG262093:OXR262095 PHC262093:PHN262095 PQY262093:PRJ262095 QAU262093:QBF262095 QKQ262093:QLB262095 QUM262093:QUX262095 REI262093:RET262095 ROE262093:ROP262095 RYA262093:RYL262095 SHW262093:SIH262095 SRS262093:SSD262095 TBO262093:TBZ262095 TLK262093:TLV262095 TVG262093:TVR262095 UFC262093:UFN262095 UOY262093:UPJ262095 UYU262093:UZF262095 VIQ262093:VJB262095 VSM262093:VSX262095 WCI262093:WCT262095 WME262093:WMP262095 WWA262093:WWL262095 JO327629:JZ327631 TK327629:TV327631 ADG327629:ADR327631 ANC327629:ANN327631 AWY327629:AXJ327631 BGU327629:BHF327631 BQQ327629:BRB327631 CAM327629:CAX327631 CKI327629:CKT327631 CUE327629:CUP327631 DEA327629:DEL327631 DNW327629:DOH327631 DXS327629:DYD327631 EHO327629:EHZ327631 ERK327629:ERV327631 FBG327629:FBR327631 FLC327629:FLN327631 FUY327629:FVJ327631 GEU327629:GFF327631 GOQ327629:GPB327631 GYM327629:GYX327631 HII327629:HIT327631 HSE327629:HSP327631 ICA327629:ICL327631 ILW327629:IMH327631 IVS327629:IWD327631 JFO327629:JFZ327631 JPK327629:JPV327631 JZG327629:JZR327631 KJC327629:KJN327631 KSY327629:KTJ327631 LCU327629:LDF327631 LMQ327629:LNB327631 LWM327629:LWX327631 MGI327629:MGT327631 MQE327629:MQP327631 NAA327629:NAL327631 NJW327629:NKH327631 NTS327629:NUD327631 ODO327629:ODZ327631 ONK327629:ONV327631 OXG327629:OXR327631 PHC327629:PHN327631 PQY327629:PRJ327631 QAU327629:QBF327631 QKQ327629:QLB327631 QUM327629:QUX327631 REI327629:RET327631 ROE327629:ROP327631 RYA327629:RYL327631 SHW327629:SIH327631 SRS327629:SSD327631 TBO327629:TBZ327631 TLK327629:TLV327631 TVG327629:TVR327631 UFC327629:UFN327631 UOY327629:UPJ327631 UYU327629:UZF327631 VIQ327629:VJB327631 VSM327629:VSX327631 WCI327629:WCT327631 WME327629:WMP327631 WWA327629:WWL327631 JO393165:JZ393167 TK393165:TV393167 ADG393165:ADR393167 ANC393165:ANN393167 AWY393165:AXJ393167 BGU393165:BHF393167 BQQ393165:BRB393167 CAM393165:CAX393167 CKI393165:CKT393167 CUE393165:CUP393167 DEA393165:DEL393167 DNW393165:DOH393167 DXS393165:DYD393167 EHO393165:EHZ393167 ERK393165:ERV393167 FBG393165:FBR393167 FLC393165:FLN393167 FUY393165:FVJ393167 GEU393165:GFF393167 GOQ393165:GPB393167 GYM393165:GYX393167 HII393165:HIT393167 HSE393165:HSP393167 ICA393165:ICL393167 ILW393165:IMH393167 IVS393165:IWD393167 JFO393165:JFZ393167 JPK393165:JPV393167 JZG393165:JZR393167 KJC393165:KJN393167 KSY393165:KTJ393167 LCU393165:LDF393167 LMQ393165:LNB393167 LWM393165:LWX393167 MGI393165:MGT393167 MQE393165:MQP393167 NAA393165:NAL393167 NJW393165:NKH393167 NTS393165:NUD393167 ODO393165:ODZ393167 ONK393165:ONV393167 OXG393165:OXR393167 PHC393165:PHN393167 PQY393165:PRJ393167 QAU393165:QBF393167 QKQ393165:QLB393167 QUM393165:QUX393167 REI393165:RET393167 ROE393165:ROP393167 RYA393165:RYL393167 SHW393165:SIH393167 SRS393165:SSD393167 TBO393165:TBZ393167 TLK393165:TLV393167 TVG393165:TVR393167 UFC393165:UFN393167 UOY393165:UPJ393167 UYU393165:UZF393167 VIQ393165:VJB393167 VSM393165:VSX393167 WCI393165:WCT393167 WME393165:WMP393167 WWA393165:WWL393167 JO458701:JZ458703 TK458701:TV458703 ADG458701:ADR458703 ANC458701:ANN458703 AWY458701:AXJ458703 BGU458701:BHF458703 BQQ458701:BRB458703 CAM458701:CAX458703 CKI458701:CKT458703 CUE458701:CUP458703 DEA458701:DEL458703 DNW458701:DOH458703 DXS458701:DYD458703 EHO458701:EHZ458703 ERK458701:ERV458703 FBG458701:FBR458703 FLC458701:FLN458703 FUY458701:FVJ458703 GEU458701:GFF458703 GOQ458701:GPB458703 GYM458701:GYX458703 HII458701:HIT458703 HSE458701:HSP458703 ICA458701:ICL458703 ILW458701:IMH458703 IVS458701:IWD458703 JFO458701:JFZ458703 JPK458701:JPV458703 JZG458701:JZR458703 KJC458701:KJN458703 KSY458701:KTJ458703 LCU458701:LDF458703 LMQ458701:LNB458703 LWM458701:LWX458703 MGI458701:MGT458703 MQE458701:MQP458703 NAA458701:NAL458703 NJW458701:NKH458703 NTS458701:NUD458703 ODO458701:ODZ458703 ONK458701:ONV458703 OXG458701:OXR458703 PHC458701:PHN458703 PQY458701:PRJ458703 QAU458701:QBF458703 QKQ458701:QLB458703 QUM458701:QUX458703 REI458701:RET458703 ROE458701:ROP458703 RYA458701:RYL458703 SHW458701:SIH458703 SRS458701:SSD458703 TBO458701:TBZ458703 TLK458701:TLV458703 TVG458701:TVR458703 UFC458701:UFN458703 UOY458701:UPJ458703 UYU458701:UZF458703 VIQ458701:VJB458703 VSM458701:VSX458703 WCI458701:WCT458703 WME458701:WMP458703 WWA458701:WWL458703 JO524237:JZ524239 TK524237:TV524239 ADG524237:ADR524239 ANC524237:ANN524239 AWY524237:AXJ524239 BGU524237:BHF524239 BQQ524237:BRB524239 CAM524237:CAX524239 CKI524237:CKT524239 CUE524237:CUP524239 DEA524237:DEL524239 DNW524237:DOH524239 DXS524237:DYD524239 EHO524237:EHZ524239 ERK524237:ERV524239 FBG524237:FBR524239 FLC524237:FLN524239 FUY524237:FVJ524239 GEU524237:GFF524239 GOQ524237:GPB524239 GYM524237:GYX524239 HII524237:HIT524239 HSE524237:HSP524239 ICA524237:ICL524239 ILW524237:IMH524239 IVS524237:IWD524239 JFO524237:JFZ524239 JPK524237:JPV524239 JZG524237:JZR524239 KJC524237:KJN524239 KSY524237:KTJ524239 LCU524237:LDF524239 LMQ524237:LNB524239 LWM524237:LWX524239 MGI524237:MGT524239 MQE524237:MQP524239 NAA524237:NAL524239 NJW524237:NKH524239 NTS524237:NUD524239 ODO524237:ODZ524239 ONK524237:ONV524239 OXG524237:OXR524239 PHC524237:PHN524239 PQY524237:PRJ524239 QAU524237:QBF524239 QKQ524237:QLB524239 QUM524237:QUX524239 REI524237:RET524239 ROE524237:ROP524239 RYA524237:RYL524239 SHW524237:SIH524239 SRS524237:SSD524239 TBO524237:TBZ524239 TLK524237:TLV524239 TVG524237:TVR524239 UFC524237:UFN524239 UOY524237:UPJ524239 UYU524237:UZF524239 VIQ524237:VJB524239 VSM524237:VSX524239 WCI524237:WCT524239 WME524237:WMP524239 WWA524237:WWL524239 JO589773:JZ589775 TK589773:TV589775 ADG589773:ADR589775 ANC589773:ANN589775 AWY589773:AXJ589775 BGU589773:BHF589775 BQQ589773:BRB589775 CAM589773:CAX589775 CKI589773:CKT589775 CUE589773:CUP589775 DEA589773:DEL589775 DNW589773:DOH589775 DXS589773:DYD589775 EHO589773:EHZ589775 ERK589773:ERV589775 FBG589773:FBR589775 FLC589773:FLN589775 FUY589773:FVJ589775 GEU589773:GFF589775 GOQ589773:GPB589775 GYM589773:GYX589775 HII589773:HIT589775 HSE589773:HSP589775 ICA589773:ICL589775 ILW589773:IMH589775 IVS589773:IWD589775 JFO589773:JFZ589775 JPK589773:JPV589775 JZG589773:JZR589775 KJC589773:KJN589775 KSY589773:KTJ589775 LCU589773:LDF589775 LMQ589773:LNB589775 LWM589773:LWX589775 MGI589773:MGT589775 MQE589773:MQP589775 NAA589773:NAL589775 NJW589773:NKH589775 NTS589773:NUD589775 ODO589773:ODZ589775 ONK589773:ONV589775 OXG589773:OXR589775 PHC589773:PHN589775 PQY589773:PRJ589775 QAU589773:QBF589775 QKQ589773:QLB589775 QUM589773:QUX589775 REI589773:RET589775 ROE589773:ROP589775 RYA589773:RYL589775 SHW589773:SIH589775 SRS589773:SSD589775 TBO589773:TBZ589775 TLK589773:TLV589775 TVG589773:TVR589775 UFC589773:UFN589775 UOY589773:UPJ589775 UYU589773:UZF589775 VIQ589773:VJB589775 VSM589773:VSX589775 WCI589773:WCT589775 WME589773:WMP589775 WWA589773:WWL589775 JO655309:JZ655311 TK655309:TV655311 ADG655309:ADR655311 ANC655309:ANN655311 AWY655309:AXJ655311 BGU655309:BHF655311 BQQ655309:BRB655311 CAM655309:CAX655311 CKI655309:CKT655311 CUE655309:CUP655311 DEA655309:DEL655311 DNW655309:DOH655311 DXS655309:DYD655311 EHO655309:EHZ655311 ERK655309:ERV655311 FBG655309:FBR655311 FLC655309:FLN655311 FUY655309:FVJ655311 GEU655309:GFF655311 GOQ655309:GPB655311 GYM655309:GYX655311 HII655309:HIT655311 HSE655309:HSP655311 ICA655309:ICL655311 ILW655309:IMH655311 IVS655309:IWD655311 JFO655309:JFZ655311 JPK655309:JPV655311 JZG655309:JZR655311 KJC655309:KJN655311 KSY655309:KTJ655311 LCU655309:LDF655311 LMQ655309:LNB655311 LWM655309:LWX655311 MGI655309:MGT655311 MQE655309:MQP655311 NAA655309:NAL655311 NJW655309:NKH655311 NTS655309:NUD655311 ODO655309:ODZ655311 ONK655309:ONV655311 OXG655309:OXR655311 PHC655309:PHN655311 PQY655309:PRJ655311 QAU655309:QBF655311 QKQ655309:QLB655311 QUM655309:QUX655311 REI655309:RET655311 ROE655309:ROP655311 RYA655309:RYL655311 SHW655309:SIH655311 SRS655309:SSD655311 TBO655309:TBZ655311 TLK655309:TLV655311 TVG655309:TVR655311 UFC655309:UFN655311 UOY655309:UPJ655311 UYU655309:UZF655311 VIQ655309:VJB655311 VSM655309:VSX655311 WCI655309:WCT655311 WME655309:WMP655311 WWA655309:WWL655311 JO720845:JZ720847 TK720845:TV720847 ADG720845:ADR720847 ANC720845:ANN720847 AWY720845:AXJ720847 BGU720845:BHF720847 BQQ720845:BRB720847 CAM720845:CAX720847 CKI720845:CKT720847 CUE720845:CUP720847 DEA720845:DEL720847 DNW720845:DOH720847 DXS720845:DYD720847 EHO720845:EHZ720847 ERK720845:ERV720847 FBG720845:FBR720847 FLC720845:FLN720847 FUY720845:FVJ720847 GEU720845:GFF720847 GOQ720845:GPB720847 GYM720845:GYX720847 HII720845:HIT720847 HSE720845:HSP720847 ICA720845:ICL720847 ILW720845:IMH720847 IVS720845:IWD720847 JFO720845:JFZ720847 JPK720845:JPV720847 JZG720845:JZR720847 KJC720845:KJN720847 KSY720845:KTJ720847 LCU720845:LDF720847 LMQ720845:LNB720847 LWM720845:LWX720847 MGI720845:MGT720847 MQE720845:MQP720847 NAA720845:NAL720847 NJW720845:NKH720847 NTS720845:NUD720847 ODO720845:ODZ720847 ONK720845:ONV720847 OXG720845:OXR720847 PHC720845:PHN720847 PQY720845:PRJ720847 QAU720845:QBF720847 QKQ720845:QLB720847 QUM720845:QUX720847 REI720845:RET720847 ROE720845:ROP720847 RYA720845:RYL720847 SHW720845:SIH720847 SRS720845:SSD720847 TBO720845:TBZ720847 TLK720845:TLV720847 TVG720845:TVR720847 UFC720845:UFN720847 UOY720845:UPJ720847 UYU720845:UZF720847 VIQ720845:VJB720847 VSM720845:VSX720847 WCI720845:WCT720847 WME720845:WMP720847 WWA720845:WWL720847 JO786381:JZ786383 TK786381:TV786383 ADG786381:ADR786383 ANC786381:ANN786383 AWY786381:AXJ786383 BGU786381:BHF786383 BQQ786381:BRB786383 CAM786381:CAX786383 CKI786381:CKT786383 CUE786381:CUP786383 DEA786381:DEL786383 DNW786381:DOH786383 DXS786381:DYD786383 EHO786381:EHZ786383 ERK786381:ERV786383 FBG786381:FBR786383 FLC786381:FLN786383 FUY786381:FVJ786383 GEU786381:GFF786383 GOQ786381:GPB786383 GYM786381:GYX786383 HII786381:HIT786383 HSE786381:HSP786383 ICA786381:ICL786383 ILW786381:IMH786383 IVS786381:IWD786383 JFO786381:JFZ786383 JPK786381:JPV786383 JZG786381:JZR786383 KJC786381:KJN786383 KSY786381:KTJ786383 LCU786381:LDF786383 LMQ786381:LNB786383 LWM786381:LWX786383 MGI786381:MGT786383 MQE786381:MQP786383 NAA786381:NAL786383 NJW786381:NKH786383 NTS786381:NUD786383 ODO786381:ODZ786383 ONK786381:ONV786383 OXG786381:OXR786383 PHC786381:PHN786383 PQY786381:PRJ786383 QAU786381:QBF786383 QKQ786381:QLB786383 QUM786381:QUX786383 REI786381:RET786383 ROE786381:ROP786383 RYA786381:RYL786383 SHW786381:SIH786383 SRS786381:SSD786383 TBO786381:TBZ786383 TLK786381:TLV786383 TVG786381:TVR786383 UFC786381:UFN786383 UOY786381:UPJ786383 UYU786381:UZF786383 VIQ786381:VJB786383 VSM786381:VSX786383 WCI786381:WCT786383 WME786381:WMP786383 WWA786381:WWL786383 JO851917:JZ851919 TK851917:TV851919 ADG851917:ADR851919 ANC851917:ANN851919 AWY851917:AXJ851919 BGU851917:BHF851919 BQQ851917:BRB851919 CAM851917:CAX851919 CKI851917:CKT851919 CUE851917:CUP851919 DEA851917:DEL851919 DNW851917:DOH851919 DXS851917:DYD851919 EHO851917:EHZ851919 ERK851917:ERV851919 FBG851917:FBR851919 FLC851917:FLN851919 FUY851917:FVJ851919 GEU851917:GFF851919 GOQ851917:GPB851919 GYM851917:GYX851919 HII851917:HIT851919 HSE851917:HSP851919 ICA851917:ICL851919 ILW851917:IMH851919 IVS851917:IWD851919 JFO851917:JFZ851919 JPK851917:JPV851919 JZG851917:JZR851919 KJC851917:KJN851919 KSY851917:KTJ851919 LCU851917:LDF851919 LMQ851917:LNB851919 LWM851917:LWX851919 MGI851917:MGT851919 MQE851917:MQP851919 NAA851917:NAL851919 NJW851917:NKH851919 NTS851917:NUD851919 ODO851917:ODZ851919 ONK851917:ONV851919 OXG851917:OXR851919 PHC851917:PHN851919 PQY851917:PRJ851919 QAU851917:QBF851919 QKQ851917:QLB851919 QUM851917:QUX851919 REI851917:RET851919 ROE851917:ROP851919 RYA851917:RYL851919 SHW851917:SIH851919 SRS851917:SSD851919 TBO851917:TBZ851919 TLK851917:TLV851919 TVG851917:TVR851919 UFC851917:UFN851919 UOY851917:UPJ851919 UYU851917:UZF851919 VIQ851917:VJB851919 VSM851917:VSX851919 WCI851917:WCT851919 WME851917:WMP851919 WWA851917:WWL851919 JO917453:JZ917455 TK917453:TV917455 ADG917453:ADR917455 ANC917453:ANN917455 AWY917453:AXJ917455 BGU917453:BHF917455 BQQ917453:BRB917455 CAM917453:CAX917455 CKI917453:CKT917455 CUE917453:CUP917455 DEA917453:DEL917455 DNW917453:DOH917455 DXS917453:DYD917455 EHO917453:EHZ917455 ERK917453:ERV917455 FBG917453:FBR917455 FLC917453:FLN917455 FUY917453:FVJ917455 GEU917453:GFF917455 GOQ917453:GPB917455 GYM917453:GYX917455 HII917453:HIT917455 HSE917453:HSP917455 ICA917453:ICL917455 ILW917453:IMH917455 IVS917453:IWD917455 JFO917453:JFZ917455 JPK917453:JPV917455 JZG917453:JZR917455 KJC917453:KJN917455 KSY917453:KTJ917455 LCU917453:LDF917455 LMQ917453:LNB917455 LWM917453:LWX917455 MGI917453:MGT917455 MQE917453:MQP917455 NAA917453:NAL917455 NJW917453:NKH917455 NTS917453:NUD917455 ODO917453:ODZ917455 ONK917453:ONV917455 OXG917453:OXR917455 PHC917453:PHN917455 PQY917453:PRJ917455 QAU917453:QBF917455 QKQ917453:QLB917455 QUM917453:QUX917455 REI917453:RET917455 ROE917453:ROP917455 RYA917453:RYL917455 SHW917453:SIH917455 SRS917453:SSD917455 TBO917453:TBZ917455 TLK917453:TLV917455 TVG917453:TVR917455 UFC917453:UFN917455 UOY917453:UPJ917455 UYU917453:UZF917455 VIQ917453:VJB917455 VSM917453:VSX917455 WCI917453:WCT917455 WME917453:WMP917455 WWA917453:WWL917455 JO982989:JZ982991 TK982989:TV982991 ADG982989:ADR982991 ANC982989:ANN982991 AWY982989:AXJ982991 BGU982989:BHF982991 BQQ982989:BRB982991 CAM982989:CAX982991 CKI982989:CKT982991 CUE982989:CUP982991 DEA982989:DEL982991 DNW982989:DOH982991 DXS982989:DYD982991 EHO982989:EHZ982991 ERK982989:ERV982991 FBG982989:FBR982991 FLC982989:FLN982991 FUY982989:FVJ982991 GEU982989:GFF982991 GOQ982989:GPB982991 GYM982989:GYX982991 HII982989:HIT982991 HSE982989:HSP982991 ICA982989:ICL982991 ILW982989:IMH982991 IVS982989:IWD982991 JFO982989:JFZ982991 JPK982989:JPV982991 JZG982989:JZR982991 KJC982989:KJN982991 KSY982989:KTJ982991 LCU982989:LDF982991 LMQ982989:LNB982991 LWM982989:LWX982991 MGI982989:MGT982991 MQE982989:MQP982991 NAA982989:NAL982991 NJW982989:NKH982991 NTS982989:NUD982991 ODO982989:ODZ982991 ONK982989:ONV982991 OXG982989:OXR982991 PHC982989:PHN982991 PQY982989:PRJ982991 QAU982989:QBF982991 QKQ982989:QLB982991 QUM982989:QUX982991 REI982989:RET982991 ROE982989:ROP982991 RYA982989:RYL982991 SHW982989:SIH982991 SRS982989:SSD982991 TBO982989:TBZ982991 TLK982989:TLV982991 TVG982989:TVR982991 UFC982989:UFN982991 UOY982989:UPJ982991 UYU982989:UZF982991 VIQ982989:VJB982991 VSM982989:VSX982991 WCI982989:WCT982991 WME982989:WMP982991 WWA982989:WWL98299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5:AM65487 AC982989:AM982991 AC917453:AM917455 AC851917:AM851919 AC786381:AM786383 AC720845:AM720847 AC655309:AM655311 AC589773:AM589775 AC524237:AM524239 AC458701:AM458703 AC393165:AM393167 AC327629:AM327631 AC262093:AM262095 AC196557:AM196559 AC131021:AM131023 R2" xr:uid="{00000000-0002-0000-0800-000000000000}"/>
    <dataValidation type="list" allowBlank="1" showInputMessage="1" showErrorMessage="1" sqref="Y8:Z45" xr:uid="{00000000-0002-0000-0800-000001000000}">
      <formula1>"文字,数値,日付,時間"</formula1>
    </dataValidation>
    <dataValidation type="list" allowBlank="1" showInputMessage="1" showErrorMessage="1" sqref="AA8:AC45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生産計画情報（WD工場）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6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02" t="s">
        <v>1477</v>
      </c>
      <c r="C9" s="191"/>
      <c r="D9" s="191"/>
      <c r="E9" s="191"/>
      <c r="F9" s="191"/>
      <c r="G9" s="191"/>
      <c r="H9" s="189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102" t="s">
        <v>1477</v>
      </c>
      <c r="S9" s="188"/>
      <c r="T9" s="188"/>
      <c r="U9" s="188"/>
      <c r="V9" s="188"/>
      <c r="W9" s="188"/>
      <c r="X9" s="189"/>
      <c r="Y9" s="284" t="s">
        <v>155</v>
      </c>
      <c r="Z9" s="285"/>
      <c r="AA9" s="286" t="s">
        <v>156</v>
      </c>
      <c r="AB9" s="287"/>
      <c r="AC9" s="288"/>
      <c r="AD9" s="190">
        <v>5</v>
      </c>
      <c r="AE9" s="29"/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23" t="s">
        <v>1396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1514</v>
      </c>
    </row>
    <row r="10" spans="1:57" ht="14.45" customHeight="1" x14ac:dyDescent="0.25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284" t="s">
        <v>155</v>
      </c>
      <c r="Z10" s="285"/>
      <c r="AA10" s="286" t="s">
        <v>156</v>
      </c>
      <c r="AB10" s="287"/>
      <c r="AC10" s="288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18" t="s">
        <v>355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18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18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55" t="s">
        <v>162</v>
      </c>
      <c r="D13" s="20"/>
      <c r="E13" s="20"/>
      <c r="F13" s="20"/>
      <c r="G13" s="20"/>
      <c r="H13" s="24"/>
      <c r="I13" s="155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18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9" t="s">
        <v>166</v>
      </c>
      <c r="C14" s="20"/>
      <c r="D14" s="20"/>
      <c r="E14" s="20"/>
      <c r="F14" s="20"/>
      <c r="G14" s="20"/>
      <c r="H14" s="24"/>
      <c r="I14" s="34" t="s">
        <v>167</v>
      </c>
      <c r="J14" s="23"/>
      <c r="K14" s="23"/>
      <c r="L14" s="23"/>
      <c r="M14" s="23"/>
      <c r="N14" s="23"/>
      <c r="O14" s="23"/>
      <c r="P14" s="23"/>
      <c r="Q14" s="37"/>
      <c r="R14" s="19" t="s">
        <v>1558</v>
      </c>
      <c r="S14" s="23"/>
      <c r="T14" s="23"/>
      <c r="U14" s="23"/>
      <c r="V14" s="23"/>
      <c r="W14" s="23"/>
      <c r="X14" s="24"/>
      <c r="Y14" s="19" t="s">
        <v>169</v>
      </c>
      <c r="Z14" s="154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18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174</v>
      </c>
      <c r="C15" s="20"/>
      <c r="D15" s="20"/>
      <c r="E15" s="20"/>
      <c r="F15" s="20"/>
      <c r="G15" s="20"/>
      <c r="H15" s="24"/>
      <c r="I15" s="34" t="s">
        <v>175</v>
      </c>
      <c r="J15" s="23"/>
      <c r="K15" s="23"/>
      <c r="L15" s="23"/>
      <c r="M15" s="23"/>
      <c r="N15" s="23"/>
      <c r="O15" s="23"/>
      <c r="P15" s="23"/>
      <c r="Q15" s="37"/>
      <c r="R15" s="19" t="s">
        <v>176</v>
      </c>
      <c r="S15" s="23"/>
      <c r="T15" s="23"/>
      <c r="U15" s="23"/>
      <c r="V15" s="23"/>
      <c r="W15" s="23"/>
      <c r="X15" s="24"/>
      <c r="Y15" s="19" t="s">
        <v>169</v>
      </c>
      <c r="Z15" s="154"/>
      <c r="AA15" s="25" t="s">
        <v>170</v>
      </c>
      <c r="AB15" s="26"/>
      <c r="AC15" s="39"/>
      <c r="AD15" s="30"/>
      <c r="AE15" s="29"/>
      <c r="AF15" s="29"/>
      <c r="AG15" s="29"/>
      <c r="AH15" s="28"/>
      <c r="AI15" s="28" t="s">
        <v>302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18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172</v>
      </c>
      <c r="C16" s="20"/>
      <c r="D16" s="20"/>
      <c r="E16" s="20"/>
      <c r="F16" s="20"/>
      <c r="G16" s="20"/>
      <c r="H16" s="24"/>
      <c r="I16" s="34" t="s">
        <v>177</v>
      </c>
      <c r="J16" s="23"/>
      <c r="K16" s="23"/>
      <c r="L16" s="23"/>
      <c r="M16" s="23"/>
      <c r="N16" s="23"/>
      <c r="O16" s="23"/>
      <c r="P16" s="23"/>
      <c r="Q16" s="37"/>
      <c r="R16" s="19" t="s">
        <v>172</v>
      </c>
      <c r="S16" s="23"/>
      <c r="T16" s="23"/>
      <c r="U16" s="23"/>
      <c r="V16" s="23"/>
      <c r="W16" s="23"/>
      <c r="X16" s="24"/>
      <c r="Y16" s="19" t="s">
        <v>155</v>
      </c>
      <c r="Z16" s="154"/>
      <c r="AA16" s="25" t="s">
        <v>156</v>
      </c>
      <c r="AB16" s="26"/>
      <c r="AC16" s="39"/>
      <c r="AD16" s="30">
        <v>5</v>
      </c>
      <c r="AE16" s="29">
        <v>1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118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303</v>
      </c>
      <c r="C17" s="20"/>
      <c r="D17" s="20"/>
      <c r="E17" s="20"/>
      <c r="F17" s="20"/>
      <c r="G17" s="20"/>
      <c r="H17" s="24"/>
      <c r="I17" s="34" t="s">
        <v>304</v>
      </c>
      <c r="J17" s="35"/>
      <c r="K17" s="35"/>
      <c r="L17" s="35"/>
      <c r="M17" s="35"/>
      <c r="N17" s="35"/>
      <c r="O17" s="35"/>
      <c r="P17" s="35"/>
      <c r="Q17" s="36"/>
      <c r="R17" s="19" t="s">
        <v>303</v>
      </c>
      <c r="S17" s="35"/>
      <c r="T17" s="35"/>
      <c r="U17" s="35"/>
      <c r="V17" s="35"/>
      <c r="W17" s="35"/>
      <c r="X17" s="36"/>
      <c r="Y17" s="19" t="s">
        <v>169</v>
      </c>
      <c r="Z17" s="154"/>
      <c r="AA17" s="25" t="s">
        <v>170</v>
      </c>
      <c r="AB17" s="26"/>
      <c r="AC17" s="39"/>
      <c r="AD17" s="30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18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11</v>
      </c>
      <c r="B18" s="19" t="s">
        <v>305</v>
      </c>
      <c r="C18" s="20"/>
      <c r="D18" s="20"/>
      <c r="E18" s="20"/>
      <c r="F18" s="20"/>
      <c r="G18" s="20"/>
      <c r="H18" s="20"/>
      <c r="I18" s="34" t="s">
        <v>306</v>
      </c>
      <c r="J18" s="23"/>
      <c r="K18" s="23"/>
      <c r="L18" s="23"/>
      <c r="M18" s="23"/>
      <c r="N18" s="23"/>
      <c r="O18" s="23"/>
      <c r="P18" s="23"/>
      <c r="Q18" s="23"/>
      <c r="R18" s="19" t="s">
        <v>305</v>
      </c>
      <c r="S18" s="20"/>
      <c r="T18" s="49"/>
      <c r="U18" s="49"/>
      <c r="V18" s="49"/>
      <c r="W18" s="49"/>
      <c r="X18" s="49"/>
      <c r="Y18" s="19" t="s">
        <v>150</v>
      </c>
      <c r="Z18" s="154"/>
      <c r="AA18" s="25" t="s">
        <v>151</v>
      </c>
      <c r="AB18" s="26"/>
      <c r="AC18" s="39"/>
      <c r="AD18" s="51">
        <v>10</v>
      </c>
      <c r="AE18" s="28" t="s">
        <v>244</v>
      </c>
      <c r="AF18" s="40"/>
      <c r="AG18" s="40"/>
      <c r="AH18" s="40"/>
      <c r="AI18" s="40"/>
      <c r="AJ18" s="40"/>
      <c r="AK18" s="40"/>
      <c r="AL18" s="40"/>
      <c r="AM18" s="40"/>
      <c r="AN18" s="40"/>
      <c r="AO18" s="41"/>
      <c r="AP18" s="41"/>
      <c r="AQ18" s="41"/>
      <c r="AR18" s="41"/>
      <c r="AS18" s="123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307</v>
      </c>
      <c r="C19" s="20"/>
      <c r="D19" s="20"/>
      <c r="E19" s="20"/>
      <c r="F19" s="20"/>
      <c r="G19" s="20"/>
      <c r="H19" s="24"/>
      <c r="I19" s="34" t="s">
        <v>308</v>
      </c>
      <c r="J19" s="23"/>
      <c r="K19" s="23"/>
      <c r="L19" s="23"/>
      <c r="M19" s="23"/>
      <c r="N19" s="23"/>
      <c r="O19" s="23"/>
      <c r="P19" s="23"/>
      <c r="Q19" s="37"/>
      <c r="R19" s="19" t="s">
        <v>307</v>
      </c>
      <c r="S19" s="23"/>
      <c r="T19" s="23"/>
      <c r="U19" s="23"/>
      <c r="V19" s="23"/>
      <c r="W19" s="23"/>
      <c r="X19" s="24"/>
      <c r="Y19" s="19" t="s">
        <v>169</v>
      </c>
      <c r="Z19" s="154"/>
      <c r="AA19" s="25" t="s">
        <v>170</v>
      </c>
      <c r="AB19" s="26"/>
      <c r="AC19" s="39"/>
      <c r="AD19" s="30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118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178</v>
      </c>
      <c r="C20" s="20"/>
      <c r="D20" s="20"/>
      <c r="E20" s="20"/>
      <c r="F20" s="20"/>
      <c r="G20" s="20"/>
      <c r="H20" s="24"/>
      <c r="I20" s="34" t="s">
        <v>179</v>
      </c>
      <c r="J20" s="23"/>
      <c r="K20" s="23"/>
      <c r="L20" s="23"/>
      <c r="M20" s="23"/>
      <c r="N20" s="23"/>
      <c r="O20" s="23"/>
      <c r="P20" s="23"/>
      <c r="Q20" s="37"/>
      <c r="R20" s="19" t="s">
        <v>178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20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18" t="s">
        <v>180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14</v>
      </c>
      <c r="B21" s="19" t="s">
        <v>181</v>
      </c>
      <c r="C21" s="20"/>
      <c r="D21" s="20"/>
      <c r="E21" s="20"/>
      <c r="F21" s="20"/>
      <c r="G21" s="20"/>
      <c r="H21" s="24"/>
      <c r="I21" s="34" t="s">
        <v>182</v>
      </c>
      <c r="J21" s="23"/>
      <c r="K21" s="23"/>
      <c r="L21" s="23"/>
      <c r="M21" s="23"/>
      <c r="N21" s="23"/>
      <c r="O21" s="23"/>
      <c r="P21" s="23"/>
      <c r="Q21" s="37"/>
      <c r="R21" s="19" t="s">
        <v>181</v>
      </c>
      <c r="S21" s="23"/>
      <c r="T21" s="23"/>
      <c r="U21" s="23"/>
      <c r="V21" s="23"/>
      <c r="W21" s="23"/>
      <c r="X21" s="37"/>
      <c r="Y21" s="284" t="s">
        <v>150</v>
      </c>
      <c r="Z21" s="285"/>
      <c r="AA21" s="286" t="s">
        <v>151</v>
      </c>
      <c r="AB21" s="287"/>
      <c r="AC21" s="288"/>
      <c r="AD21" s="27">
        <v>30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18" t="s">
        <v>1416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70">
        <f>IF(B22="","",COUNTA($B$8:B22))</f>
        <v>15</v>
      </c>
      <c r="B22" s="19" t="s">
        <v>183</v>
      </c>
      <c r="C22" s="20"/>
      <c r="D22" s="20"/>
      <c r="E22" s="20"/>
      <c r="F22" s="20"/>
      <c r="G22" s="20"/>
      <c r="H22" s="24"/>
      <c r="I22" s="34" t="s">
        <v>184</v>
      </c>
      <c r="J22" s="23"/>
      <c r="K22" s="23"/>
      <c r="L22" s="23"/>
      <c r="M22" s="23"/>
      <c r="N22" s="23"/>
      <c r="O22" s="23"/>
      <c r="P22" s="23"/>
      <c r="Q22" s="37"/>
      <c r="R22" s="19" t="s">
        <v>183</v>
      </c>
      <c r="S22" s="23"/>
      <c r="T22" s="23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1000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18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187</v>
      </c>
      <c r="C23" s="20"/>
      <c r="D23" s="20"/>
      <c r="E23" s="20"/>
      <c r="F23" s="20"/>
      <c r="G23" s="20"/>
      <c r="H23" s="24"/>
      <c r="I23" s="34" t="s">
        <v>188</v>
      </c>
      <c r="J23" s="23"/>
      <c r="K23" s="23"/>
      <c r="L23" s="23"/>
      <c r="M23" s="23"/>
      <c r="N23" s="23"/>
      <c r="O23" s="23"/>
      <c r="P23" s="23"/>
      <c r="Q23" s="37"/>
      <c r="R23" s="19" t="s">
        <v>187</v>
      </c>
      <c r="S23" s="23"/>
      <c r="T23" s="23"/>
      <c r="U23" s="23"/>
      <c r="V23" s="23"/>
      <c r="W23" s="23"/>
      <c r="X23" s="24"/>
      <c r="Y23" s="284" t="s">
        <v>155</v>
      </c>
      <c r="Z23" s="285"/>
      <c r="AA23" s="286" t="s">
        <v>156</v>
      </c>
      <c r="AB23" s="287"/>
      <c r="AC23" s="288"/>
      <c r="AD23" s="27">
        <v>3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123"/>
      <c r="AT23" s="43"/>
      <c r="AU23" s="67"/>
      <c r="AV23" s="67"/>
      <c r="AW23" s="67"/>
      <c r="AX23" s="32"/>
      <c r="AY23" s="32"/>
      <c r="AZ23" s="32"/>
      <c r="BA23" s="32"/>
      <c r="BB23" s="32"/>
      <c r="BC23" s="32"/>
      <c r="BD23" s="33"/>
    </row>
    <row r="24" spans="1:57" ht="14.45" customHeight="1" x14ac:dyDescent="0.25">
      <c r="A24" s="70">
        <f>IF(B24="","",COUNTA($B$8:B24))</f>
        <v>17</v>
      </c>
      <c r="B24" s="19" t="s">
        <v>189</v>
      </c>
      <c r="C24" s="20"/>
      <c r="D24" s="20"/>
      <c r="E24" s="20"/>
      <c r="F24" s="20"/>
      <c r="G24" s="20"/>
      <c r="H24" s="24"/>
      <c r="I24" s="34" t="s">
        <v>190</v>
      </c>
      <c r="J24" s="23"/>
      <c r="K24" s="23"/>
      <c r="L24" s="23"/>
      <c r="M24" s="23"/>
      <c r="N24" s="23"/>
      <c r="O24" s="23"/>
      <c r="P24" s="23"/>
      <c r="Q24" s="37"/>
      <c r="R24" s="19" t="s">
        <v>189</v>
      </c>
      <c r="S24" s="23"/>
      <c r="T24" s="23"/>
      <c r="U24" s="23"/>
      <c r="V24" s="23"/>
      <c r="W24" s="23"/>
      <c r="X24" s="24"/>
      <c r="Y24" s="284" t="s">
        <v>155</v>
      </c>
      <c r="Z24" s="285"/>
      <c r="AA24" s="286" t="s">
        <v>156</v>
      </c>
      <c r="AB24" s="287"/>
      <c r="AC24" s="288"/>
      <c r="AD24" s="27">
        <v>3</v>
      </c>
      <c r="AE24" s="41"/>
      <c r="AF24" s="41"/>
      <c r="AG24" s="40"/>
      <c r="AH24" s="40">
        <v>0</v>
      </c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23" t="s">
        <v>191</v>
      </c>
      <c r="AT24" s="43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4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284"/>
      <c r="Z25" s="285"/>
      <c r="AA25" s="286"/>
      <c r="AB25" s="287"/>
      <c r="AC25" s="288"/>
      <c r="AD25" s="27"/>
      <c r="AE25" s="41"/>
      <c r="AF25" s="41"/>
      <c r="AG25" s="40"/>
      <c r="AH25" s="40"/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23" t="s">
        <v>192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18</v>
      </c>
      <c r="B26" s="25" t="s">
        <v>193</v>
      </c>
      <c r="C26" s="26"/>
      <c r="D26" s="26"/>
      <c r="E26" s="26"/>
      <c r="F26" s="26"/>
      <c r="G26" s="26"/>
      <c r="H26" s="39"/>
      <c r="I26" s="34" t="s">
        <v>194</v>
      </c>
      <c r="J26" s="23"/>
      <c r="K26" s="23"/>
      <c r="L26" s="23"/>
      <c r="M26" s="23"/>
      <c r="N26" s="23"/>
      <c r="O26" s="23"/>
      <c r="P26" s="23"/>
      <c r="Q26" s="37"/>
      <c r="R26" s="25" t="s">
        <v>193</v>
      </c>
      <c r="S26" s="23"/>
      <c r="T26" s="23"/>
      <c r="U26" s="23"/>
      <c r="V26" s="23"/>
      <c r="W26" s="23"/>
      <c r="X26" s="24"/>
      <c r="Y26" s="284" t="s">
        <v>150</v>
      </c>
      <c r="Z26" s="285"/>
      <c r="AA26" s="286" t="s">
        <v>151</v>
      </c>
      <c r="AB26" s="287"/>
      <c r="AC26" s="288"/>
      <c r="AD26" s="27">
        <v>25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118" t="s">
        <v>1408</v>
      </c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3"/>
      <c r="BE26" s="18" t="s">
        <v>1445</v>
      </c>
    </row>
    <row r="27" spans="1:57" ht="14.45" customHeight="1" x14ac:dyDescent="0.25">
      <c r="A27" s="70">
        <f>IF(B27="","",COUNTA($B$8:B27))</f>
        <v>19</v>
      </c>
      <c r="B27" s="19" t="s">
        <v>195</v>
      </c>
      <c r="C27" s="20"/>
      <c r="D27" s="20"/>
      <c r="E27" s="20"/>
      <c r="F27" s="20"/>
      <c r="G27" s="20"/>
      <c r="H27" s="24"/>
      <c r="I27" s="34" t="s">
        <v>196</v>
      </c>
      <c r="J27" s="23"/>
      <c r="K27" s="23"/>
      <c r="L27" s="23"/>
      <c r="M27" s="23"/>
      <c r="N27" s="23"/>
      <c r="O27" s="23"/>
      <c r="P27" s="23"/>
      <c r="Q27" s="37"/>
      <c r="R27" s="19" t="s">
        <v>195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187">
        <v>400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1512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  <c r="BE27" s="1" t="s">
        <v>1511</v>
      </c>
    </row>
    <row r="28" spans="1:57" ht="14.45" customHeight="1" x14ac:dyDescent="0.25">
      <c r="A28" s="70">
        <f>IF(B28="","",COUNTA($B$8:B28))</f>
        <v>20</v>
      </c>
      <c r="B28" s="19" t="s">
        <v>197</v>
      </c>
      <c r="C28" s="20"/>
      <c r="D28" s="20"/>
      <c r="E28" s="20"/>
      <c r="F28" s="20"/>
      <c r="G28" s="20"/>
      <c r="H28" s="24"/>
      <c r="I28" s="34" t="s">
        <v>198</v>
      </c>
      <c r="J28" s="23"/>
      <c r="K28" s="23"/>
      <c r="L28" s="23"/>
      <c r="M28" s="23"/>
      <c r="N28" s="23"/>
      <c r="O28" s="23"/>
      <c r="P28" s="23"/>
      <c r="Q28" s="37"/>
      <c r="R28" s="19" t="s">
        <v>197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27">
        <v>5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18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21</v>
      </c>
      <c r="B29" s="19" t="s">
        <v>199</v>
      </c>
      <c r="C29" s="20"/>
      <c r="D29" s="20"/>
      <c r="E29" s="20"/>
      <c r="F29" s="20"/>
      <c r="G29" s="20"/>
      <c r="H29" s="24"/>
      <c r="I29" s="34" t="s">
        <v>200</v>
      </c>
      <c r="J29" s="23"/>
      <c r="K29" s="23"/>
      <c r="L29" s="23"/>
      <c r="M29" s="23"/>
      <c r="N29" s="23"/>
      <c r="O29" s="23"/>
      <c r="P29" s="23"/>
      <c r="Q29" s="37"/>
      <c r="R29" s="19" t="s">
        <v>199</v>
      </c>
      <c r="S29" s="23"/>
      <c r="T29" s="23"/>
      <c r="U29" s="23"/>
      <c r="V29" s="23"/>
      <c r="W29" s="23"/>
      <c r="X29" s="24"/>
      <c r="Y29" s="284" t="s">
        <v>150</v>
      </c>
      <c r="Z29" s="285"/>
      <c r="AA29" s="286" t="s">
        <v>151</v>
      </c>
      <c r="AB29" s="287"/>
      <c r="AC29" s="288"/>
      <c r="AD29" s="27">
        <v>20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18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22</v>
      </c>
      <c r="B30" s="19" t="s">
        <v>201</v>
      </c>
      <c r="C30" s="20"/>
      <c r="D30" s="20"/>
      <c r="E30" s="20"/>
      <c r="F30" s="20"/>
      <c r="G30" s="20"/>
      <c r="H30" s="24"/>
      <c r="I30" s="34" t="s">
        <v>202</v>
      </c>
      <c r="J30" s="23"/>
      <c r="K30" s="23"/>
      <c r="L30" s="23"/>
      <c r="M30" s="23"/>
      <c r="N30" s="23"/>
      <c r="O30" s="23"/>
      <c r="P30" s="23"/>
      <c r="Q30" s="37"/>
      <c r="R30" s="19" t="s">
        <v>201</v>
      </c>
      <c r="S30" s="23"/>
      <c r="T30" s="23"/>
      <c r="U30" s="23"/>
      <c r="V30" s="23"/>
      <c r="W30" s="23"/>
      <c r="X30" s="24"/>
      <c r="Y30" s="284" t="s">
        <v>150</v>
      </c>
      <c r="Z30" s="285"/>
      <c r="AA30" s="286" t="s">
        <v>151</v>
      </c>
      <c r="AB30" s="287"/>
      <c r="AC30" s="288"/>
      <c r="AD30" s="27">
        <v>30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18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23</v>
      </c>
      <c r="B31" s="22" t="s">
        <v>203</v>
      </c>
      <c r="C31" s="20"/>
      <c r="D31" s="20"/>
      <c r="E31" s="20"/>
      <c r="F31" s="20"/>
      <c r="G31" s="20"/>
      <c r="H31" s="24"/>
      <c r="I31" s="34" t="s">
        <v>204</v>
      </c>
      <c r="J31" s="23"/>
      <c r="K31" s="23"/>
      <c r="L31" s="23"/>
      <c r="M31" s="23"/>
      <c r="N31" s="23"/>
      <c r="O31" s="23"/>
      <c r="P31" s="23"/>
      <c r="Q31" s="37"/>
      <c r="R31" s="22" t="s">
        <v>203</v>
      </c>
      <c r="S31" s="23"/>
      <c r="T31" s="23"/>
      <c r="U31" s="23"/>
      <c r="V31" s="23"/>
      <c r="W31" s="23"/>
      <c r="X31" s="24"/>
      <c r="Y31" s="284" t="s">
        <v>155</v>
      </c>
      <c r="Z31" s="285"/>
      <c r="AA31" s="286" t="s">
        <v>156</v>
      </c>
      <c r="AB31" s="287"/>
      <c r="AC31" s="288"/>
      <c r="AD31" s="27">
        <v>5</v>
      </c>
      <c r="AE31" s="29">
        <v>2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18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24</v>
      </c>
      <c r="B32" s="22" t="s">
        <v>205</v>
      </c>
      <c r="C32" s="26"/>
      <c r="D32" s="26"/>
      <c r="E32" s="26"/>
      <c r="F32" s="26"/>
      <c r="G32" s="26"/>
      <c r="H32" s="39"/>
      <c r="I32" s="34" t="s">
        <v>206</v>
      </c>
      <c r="J32" s="23"/>
      <c r="K32" s="23"/>
      <c r="L32" s="23"/>
      <c r="M32" s="23"/>
      <c r="N32" s="23"/>
      <c r="O32" s="23"/>
      <c r="P32" s="23"/>
      <c r="Q32" s="37"/>
      <c r="R32" s="22" t="s">
        <v>207</v>
      </c>
      <c r="S32" s="23"/>
      <c r="T32" s="23"/>
      <c r="U32" s="23"/>
      <c r="V32" s="23"/>
      <c r="W32" s="23"/>
      <c r="X32" s="24"/>
      <c r="Y32" s="284" t="s">
        <v>155</v>
      </c>
      <c r="Z32" s="285"/>
      <c r="AA32" s="286" t="s">
        <v>156</v>
      </c>
      <c r="AB32" s="287"/>
      <c r="AC32" s="288"/>
      <c r="AD32" s="27">
        <v>4</v>
      </c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18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5" customHeight="1" x14ac:dyDescent="0.25">
      <c r="A33" s="70">
        <f>IF(B33="","",COUNTA($B$8:B33))</f>
        <v>25</v>
      </c>
      <c r="B33" s="22" t="s">
        <v>208</v>
      </c>
      <c r="C33" s="26"/>
      <c r="D33" s="26"/>
      <c r="E33" s="26"/>
      <c r="F33" s="26"/>
      <c r="G33" s="26"/>
      <c r="H33" s="39"/>
      <c r="I33" s="34" t="s">
        <v>209</v>
      </c>
      <c r="J33" s="23"/>
      <c r="K33" s="23"/>
      <c r="L33" s="23"/>
      <c r="M33" s="23"/>
      <c r="N33" s="23"/>
      <c r="O33" s="23"/>
      <c r="P33" s="23"/>
      <c r="Q33" s="37"/>
      <c r="R33" s="22" t="s">
        <v>210</v>
      </c>
      <c r="S33" s="23"/>
      <c r="T33" s="23"/>
      <c r="U33" s="23"/>
      <c r="V33" s="23"/>
      <c r="W33" s="23"/>
      <c r="X33" s="24"/>
      <c r="Y33" s="284" t="s">
        <v>155</v>
      </c>
      <c r="Z33" s="285"/>
      <c r="AA33" s="286" t="s">
        <v>156</v>
      </c>
      <c r="AB33" s="287"/>
      <c r="AC33" s="288"/>
      <c r="AD33" s="27">
        <v>5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18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5" customHeight="1" x14ac:dyDescent="0.25">
      <c r="A34" s="70">
        <f>IF(B34="","",COUNTA($B$8:B34))</f>
        <v>26</v>
      </c>
      <c r="B34" s="19" t="s">
        <v>673</v>
      </c>
      <c r="C34" s="20"/>
      <c r="D34" s="20"/>
      <c r="E34" s="20"/>
      <c r="F34" s="20"/>
      <c r="G34" s="20"/>
      <c r="H34" s="24"/>
      <c r="I34" s="34" t="s">
        <v>1402</v>
      </c>
      <c r="J34" s="23"/>
      <c r="K34" s="23"/>
      <c r="L34" s="23"/>
      <c r="M34" s="23"/>
      <c r="N34" s="23"/>
      <c r="O34" s="23"/>
      <c r="P34" s="23"/>
      <c r="Q34" s="37"/>
      <c r="R34" s="19" t="s">
        <v>673</v>
      </c>
      <c r="S34" s="23"/>
      <c r="T34" s="23"/>
      <c r="U34" s="23"/>
      <c r="V34" s="23"/>
      <c r="W34" s="23"/>
      <c r="X34" s="37"/>
      <c r="Y34" s="284" t="s">
        <v>150</v>
      </c>
      <c r="Z34" s="285"/>
      <c r="AA34" s="286" t="s">
        <v>151</v>
      </c>
      <c r="AB34" s="287"/>
      <c r="AC34" s="288"/>
      <c r="AD34" s="27">
        <v>4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18" t="s">
        <v>1401</v>
      </c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  <c r="BE34" s="18" t="s">
        <v>1403</v>
      </c>
    </row>
    <row r="35" spans="1:57" ht="14.45" customHeight="1" x14ac:dyDescent="0.25">
      <c r="A35" s="70">
        <f>IF(B35="","",COUNTA($B$8:B35))</f>
        <v>27</v>
      </c>
      <c r="B35" s="22" t="s">
        <v>309</v>
      </c>
      <c r="C35" s="20"/>
      <c r="D35" s="20"/>
      <c r="E35" s="20"/>
      <c r="F35" s="20"/>
      <c r="G35" s="20"/>
      <c r="H35" s="24"/>
      <c r="I35" s="34" t="s">
        <v>310</v>
      </c>
      <c r="J35" s="23"/>
      <c r="K35" s="23"/>
      <c r="L35" s="23"/>
      <c r="M35" s="23"/>
      <c r="N35" s="23"/>
      <c r="O35" s="23"/>
      <c r="P35" s="23"/>
      <c r="Q35" s="37"/>
      <c r="R35" s="22" t="s">
        <v>309</v>
      </c>
      <c r="S35" s="23"/>
      <c r="T35" s="23"/>
      <c r="U35" s="23"/>
      <c r="V35" s="23"/>
      <c r="W35" s="23"/>
      <c r="X35" s="24"/>
      <c r="Y35" s="284" t="s">
        <v>155</v>
      </c>
      <c r="Z35" s="285"/>
      <c r="AA35" s="286" t="s">
        <v>156</v>
      </c>
      <c r="AB35" s="287"/>
      <c r="AC35" s="288"/>
      <c r="AD35" s="27">
        <v>5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18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7" ht="14.45" customHeight="1" x14ac:dyDescent="0.25">
      <c r="A36" s="70">
        <f>IF(B36="","",COUNTA($B$8:B36))</f>
        <v>28</v>
      </c>
      <c r="B36" s="22" t="s">
        <v>211</v>
      </c>
      <c r="C36" s="20"/>
      <c r="D36" s="20"/>
      <c r="E36" s="20"/>
      <c r="F36" s="20"/>
      <c r="G36" s="20"/>
      <c r="H36" s="24"/>
      <c r="I36" s="34" t="s">
        <v>212</v>
      </c>
      <c r="J36" s="23"/>
      <c r="K36" s="23"/>
      <c r="L36" s="23"/>
      <c r="M36" s="23"/>
      <c r="N36" s="23"/>
      <c r="O36" s="23"/>
      <c r="P36" s="23"/>
      <c r="Q36" s="37"/>
      <c r="R36" s="22" t="s">
        <v>213</v>
      </c>
      <c r="S36" s="23"/>
      <c r="T36" s="23"/>
      <c r="U36" s="23"/>
      <c r="V36" s="23"/>
      <c r="W36" s="23"/>
      <c r="X36" s="24"/>
      <c r="Y36" s="284" t="s">
        <v>155</v>
      </c>
      <c r="Z36" s="285"/>
      <c r="AA36" s="286" t="s">
        <v>156</v>
      </c>
      <c r="AB36" s="287"/>
      <c r="AC36" s="288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18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5" customHeight="1" x14ac:dyDescent="0.25">
      <c r="A37" s="70">
        <f>IF(B37="","",COUNTA($B$8:B37))</f>
        <v>29</v>
      </c>
      <c r="B37" s="22" t="s">
        <v>311</v>
      </c>
      <c r="C37" s="20"/>
      <c r="D37" s="20"/>
      <c r="E37" s="20"/>
      <c r="F37" s="20"/>
      <c r="G37" s="20"/>
      <c r="H37" s="24"/>
      <c r="I37" s="34" t="s">
        <v>312</v>
      </c>
      <c r="J37" s="23"/>
      <c r="K37" s="23"/>
      <c r="L37" s="23"/>
      <c r="M37" s="23"/>
      <c r="N37" s="23"/>
      <c r="O37" s="23"/>
      <c r="P37" s="23"/>
      <c r="Q37" s="37"/>
      <c r="R37" s="22" t="s">
        <v>313</v>
      </c>
      <c r="S37" s="23"/>
      <c r="T37" s="23"/>
      <c r="U37" s="23"/>
      <c r="V37" s="23"/>
      <c r="W37" s="23"/>
      <c r="X37" s="24"/>
      <c r="Y37" s="284" t="s">
        <v>155</v>
      </c>
      <c r="Z37" s="285"/>
      <c r="AA37" s="286" t="s">
        <v>156</v>
      </c>
      <c r="AB37" s="287"/>
      <c r="AC37" s="288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18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5" customHeight="1" x14ac:dyDescent="0.25">
      <c r="A38" s="70">
        <f>IF(B38="","",COUNTA($B$8:B38))</f>
        <v>30</v>
      </c>
      <c r="B38" s="19" t="s">
        <v>228</v>
      </c>
      <c r="C38" s="20"/>
      <c r="D38" s="20"/>
      <c r="E38" s="20"/>
      <c r="F38" s="20"/>
      <c r="G38" s="20"/>
      <c r="H38" s="24"/>
      <c r="I38" s="34" t="s">
        <v>229</v>
      </c>
      <c r="J38" s="23"/>
      <c r="K38" s="23"/>
      <c r="L38" s="23"/>
      <c r="M38" s="23"/>
      <c r="N38" s="23"/>
      <c r="O38" s="23"/>
      <c r="P38" s="23"/>
      <c r="Q38" s="37"/>
      <c r="R38" s="19" t="s">
        <v>228</v>
      </c>
      <c r="S38" s="23"/>
      <c r="T38" s="23"/>
      <c r="U38" s="23"/>
      <c r="V38" s="23"/>
      <c r="W38" s="23"/>
      <c r="X38" s="24"/>
      <c r="Y38" s="284" t="s">
        <v>150</v>
      </c>
      <c r="Z38" s="285"/>
      <c r="AA38" s="286" t="s">
        <v>151</v>
      </c>
      <c r="AB38" s="287"/>
      <c r="AC38" s="288"/>
      <c r="AD38" s="27">
        <v>1000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18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5" customHeight="1" x14ac:dyDescent="0.25">
      <c r="A39" s="70">
        <f>IF(B39="","",COUNTA($B$8:B39))</f>
        <v>31</v>
      </c>
      <c r="B39" s="19" t="s">
        <v>314</v>
      </c>
      <c r="C39" s="20"/>
      <c r="D39" s="20"/>
      <c r="E39" s="20"/>
      <c r="F39" s="20"/>
      <c r="G39" s="20"/>
      <c r="H39" s="24"/>
      <c r="I39" s="34" t="s">
        <v>315</v>
      </c>
      <c r="J39" s="23"/>
      <c r="K39" s="23"/>
      <c r="L39" s="23"/>
      <c r="M39" s="23"/>
      <c r="N39" s="23"/>
      <c r="O39" s="23"/>
      <c r="P39" s="23"/>
      <c r="Q39" s="37"/>
      <c r="R39" s="19" t="s">
        <v>314</v>
      </c>
      <c r="S39" s="23"/>
      <c r="T39" s="23"/>
      <c r="U39" s="23"/>
      <c r="V39" s="23"/>
      <c r="W39" s="23"/>
      <c r="X39" s="24"/>
      <c r="Y39" s="284" t="s">
        <v>150</v>
      </c>
      <c r="Z39" s="285"/>
      <c r="AA39" s="286" t="s">
        <v>151</v>
      </c>
      <c r="AB39" s="287"/>
      <c r="AC39" s="288"/>
      <c r="AD39" s="27">
        <v>5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18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5" customHeight="1" x14ac:dyDescent="0.25">
      <c r="A40" s="70">
        <f>IF(B40="","",COUNTA($B$8:B40))</f>
        <v>32</v>
      </c>
      <c r="B40" s="19" t="s">
        <v>316</v>
      </c>
      <c r="C40" s="20"/>
      <c r="D40" s="20"/>
      <c r="E40" s="20"/>
      <c r="F40" s="20"/>
      <c r="G40" s="20"/>
      <c r="H40" s="24"/>
      <c r="I40" s="34" t="s">
        <v>317</v>
      </c>
      <c r="J40" s="23"/>
      <c r="K40" s="23"/>
      <c r="L40" s="23"/>
      <c r="M40" s="23"/>
      <c r="N40" s="23"/>
      <c r="O40" s="23"/>
      <c r="P40" s="23"/>
      <c r="Q40" s="37"/>
      <c r="R40" s="19" t="s">
        <v>316</v>
      </c>
      <c r="S40" s="23"/>
      <c r="T40" s="23"/>
      <c r="U40" s="23"/>
      <c r="V40" s="23"/>
      <c r="W40" s="23"/>
      <c r="X40" s="24"/>
      <c r="Y40" s="284" t="s">
        <v>150</v>
      </c>
      <c r="Z40" s="285"/>
      <c r="AA40" s="286" t="s">
        <v>151</v>
      </c>
      <c r="AB40" s="287"/>
      <c r="AC40" s="288"/>
      <c r="AD40" s="27">
        <v>20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18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 x14ac:dyDescent="0.25">
      <c r="A41" s="70">
        <f>IF(B41="","",COUNTA($B$8:B41))</f>
        <v>33</v>
      </c>
      <c r="B41" s="19" t="s">
        <v>318</v>
      </c>
      <c r="C41" s="20"/>
      <c r="D41" s="20"/>
      <c r="E41" s="20"/>
      <c r="F41" s="20"/>
      <c r="G41" s="20"/>
      <c r="H41" s="24"/>
      <c r="I41" s="34" t="s">
        <v>319</v>
      </c>
      <c r="J41" s="23"/>
      <c r="K41" s="23"/>
      <c r="L41" s="23"/>
      <c r="M41" s="23"/>
      <c r="N41" s="23"/>
      <c r="O41" s="23"/>
      <c r="P41" s="23"/>
      <c r="Q41" s="37"/>
      <c r="R41" s="19" t="s">
        <v>318</v>
      </c>
      <c r="S41" s="23"/>
      <c r="T41" s="23"/>
      <c r="U41" s="23"/>
      <c r="V41" s="23"/>
      <c r="W41" s="23"/>
      <c r="X41" s="24"/>
      <c r="Y41" s="284" t="s">
        <v>150</v>
      </c>
      <c r="Z41" s="285"/>
      <c r="AA41" s="286" t="s">
        <v>151</v>
      </c>
      <c r="AB41" s="287"/>
      <c r="AC41" s="288"/>
      <c r="AD41" s="27">
        <v>30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18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34</v>
      </c>
      <c r="B42" s="22" t="s">
        <v>320</v>
      </c>
      <c r="C42" s="20"/>
      <c r="D42" s="20"/>
      <c r="E42" s="20"/>
      <c r="F42" s="20"/>
      <c r="G42" s="20"/>
      <c r="H42" s="24"/>
      <c r="I42" s="34" t="s">
        <v>321</v>
      </c>
      <c r="J42" s="23"/>
      <c r="K42" s="23"/>
      <c r="L42" s="23"/>
      <c r="M42" s="23"/>
      <c r="N42" s="23"/>
      <c r="O42" s="23"/>
      <c r="P42" s="23"/>
      <c r="Q42" s="37"/>
      <c r="R42" s="22" t="s">
        <v>320</v>
      </c>
      <c r="S42" s="23"/>
      <c r="T42" s="23"/>
      <c r="U42" s="23"/>
      <c r="V42" s="23"/>
      <c r="W42" s="23"/>
      <c r="X42" s="24"/>
      <c r="Y42" s="284" t="s">
        <v>155</v>
      </c>
      <c r="Z42" s="285"/>
      <c r="AA42" s="286" t="s">
        <v>156</v>
      </c>
      <c r="AB42" s="287"/>
      <c r="AC42" s="288"/>
      <c r="AD42" s="27">
        <v>5</v>
      </c>
      <c r="AE42" s="29">
        <v>2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18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35</v>
      </c>
      <c r="B43" s="22" t="s">
        <v>322</v>
      </c>
      <c r="C43" s="26"/>
      <c r="D43" s="26"/>
      <c r="E43" s="26"/>
      <c r="F43" s="26"/>
      <c r="G43" s="26"/>
      <c r="H43" s="39"/>
      <c r="I43" s="34" t="s">
        <v>323</v>
      </c>
      <c r="J43" s="23"/>
      <c r="K43" s="23"/>
      <c r="L43" s="23"/>
      <c r="M43" s="23"/>
      <c r="N43" s="23"/>
      <c r="O43" s="23"/>
      <c r="P43" s="23"/>
      <c r="Q43" s="37"/>
      <c r="R43" s="22" t="s">
        <v>322</v>
      </c>
      <c r="S43" s="23"/>
      <c r="T43" s="23"/>
      <c r="U43" s="23"/>
      <c r="V43" s="23"/>
      <c r="W43" s="23"/>
      <c r="X43" s="24"/>
      <c r="Y43" s="284" t="s">
        <v>155</v>
      </c>
      <c r="Z43" s="285"/>
      <c r="AA43" s="286" t="s">
        <v>156</v>
      </c>
      <c r="AB43" s="287"/>
      <c r="AC43" s="288"/>
      <c r="AD43" s="27">
        <v>4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18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36</v>
      </c>
      <c r="B44" s="22" t="s">
        <v>324</v>
      </c>
      <c r="C44" s="26"/>
      <c r="D44" s="26"/>
      <c r="E44" s="26"/>
      <c r="F44" s="26"/>
      <c r="G44" s="26"/>
      <c r="H44" s="39"/>
      <c r="I44" s="34" t="s">
        <v>325</v>
      </c>
      <c r="J44" s="23"/>
      <c r="K44" s="23"/>
      <c r="L44" s="23"/>
      <c r="M44" s="23"/>
      <c r="N44" s="23"/>
      <c r="O44" s="23"/>
      <c r="P44" s="23"/>
      <c r="Q44" s="37"/>
      <c r="R44" s="22" t="s">
        <v>324</v>
      </c>
      <c r="S44" s="23"/>
      <c r="T44" s="23"/>
      <c r="U44" s="23"/>
      <c r="V44" s="23"/>
      <c r="W44" s="23"/>
      <c r="X44" s="24"/>
      <c r="Y44" s="284" t="s">
        <v>155</v>
      </c>
      <c r="Z44" s="285"/>
      <c r="AA44" s="286" t="s">
        <v>156</v>
      </c>
      <c r="AB44" s="287"/>
      <c r="AC44" s="288"/>
      <c r="AD44" s="27">
        <v>5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18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37</v>
      </c>
      <c r="B45" s="22" t="s">
        <v>326</v>
      </c>
      <c r="C45" s="20"/>
      <c r="D45" s="20"/>
      <c r="E45" s="20"/>
      <c r="F45" s="20"/>
      <c r="G45" s="20"/>
      <c r="H45" s="24"/>
      <c r="I45" s="34" t="s">
        <v>327</v>
      </c>
      <c r="J45" s="23"/>
      <c r="K45" s="23"/>
      <c r="L45" s="23"/>
      <c r="M45" s="23"/>
      <c r="N45" s="23"/>
      <c r="O45" s="23"/>
      <c r="P45" s="23"/>
      <c r="Q45" s="37"/>
      <c r="R45" s="22" t="s">
        <v>326</v>
      </c>
      <c r="S45" s="23"/>
      <c r="T45" s="23"/>
      <c r="U45" s="23"/>
      <c r="V45" s="23"/>
      <c r="W45" s="23"/>
      <c r="X45" s="24"/>
      <c r="Y45" s="284" t="s">
        <v>155</v>
      </c>
      <c r="Z45" s="285"/>
      <c r="AA45" s="286" t="s">
        <v>156</v>
      </c>
      <c r="AB45" s="287"/>
      <c r="AC45" s="288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18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38</v>
      </c>
      <c r="B46" s="19" t="s">
        <v>328</v>
      </c>
      <c r="C46" s="20"/>
      <c r="D46" s="20"/>
      <c r="E46" s="20"/>
      <c r="F46" s="20"/>
      <c r="G46" s="20"/>
      <c r="H46" s="24"/>
      <c r="I46" s="34" t="s">
        <v>329</v>
      </c>
      <c r="J46" s="23"/>
      <c r="K46" s="23"/>
      <c r="L46" s="23"/>
      <c r="M46" s="23"/>
      <c r="N46" s="23"/>
      <c r="O46" s="23"/>
      <c r="P46" s="23"/>
      <c r="Q46" s="37"/>
      <c r="R46" s="19" t="s">
        <v>328</v>
      </c>
      <c r="S46" s="23"/>
      <c r="T46" s="23"/>
      <c r="U46" s="23"/>
      <c r="V46" s="23"/>
      <c r="W46" s="23"/>
      <c r="X46" s="24"/>
      <c r="Y46" s="284" t="s">
        <v>150</v>
      </c>
      <c r="Z46" s="285"/>
      <c r="AA46" s="286" t="s">
        <v>151</v>
      </c>
      <c r="AB46" s="287"/>
      <c r="AC46" s="288"/>
      <c r="AD46" s="27">
        <v>1000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18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39</v>
      </c>
      <c r="B47" s="19" t="s">
        <v>330</v>
      </c>
      <c r="C47" s="20"/>
      <c r="D47" s="20"/>
      <c r="E47" s="20"/>
      <c r="F47" s="20"/>
      <c r="G47" s="20"/>
      <c r="H47" s="24"/>
      <c r="I47" s="34" t="s">
        <v>331</v>
      </c>
      <c r="J47" s="23"/>
      <c r="K47" s="23"/>
      <c r="L47" s="23"/>
      <c r="M47" s="23"/>
      <c r="N47" s="23"/>
      <c r="O47" s="23"/>
      <c r="P47" s="23"/>
      <c r="Q47" s="37"/>
      <c r="R47" s="19" t="s">
        <v>330</v>
      </c>
      <c r="S47" s="23"/>
      <c r="T47" s="23"/>
      <c r="U47" s="23"/>
      <c r="V47" s="23"/>
      <c r="W47" s="23"/>
      <c r="X47" s="24"/>
      <c r="Y47" s="284" t="s">
        <v>150</v>
      </c>
      <c r="Z47" s="285"/>
      <c r="AA47" s="286" t="s">
        <v>151</v>
      </c>
      <c r="AB47" s="287"/>
      <c r="AC47" s="288"/>
      <c r="AD47" s="27">
        <v>100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18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>
        <f>IF(B48="","",COUNTA($B$8:B48))</f>
        <v>40</v>
      </c>
      <c r="B48" s="22" t="s">
        <v>294</v>
      </c>
      <c r="C48" s="20"/>
      <c r="D48" s="20"/>
      <c r="E48" s="20"/>
      <c r="F48" s="20"/>
      <c r="G48" s="20"/>
      <c r="H48" s="24"/>
      <c r="I48" s="34" t="s">
        <v>295</v>
      </c>
      <c r="J48" s="23"/>
      <c r="K48" s="23"/>
      <c r="L48" s="23"/>
      <c r="M48" s="23"/>
      <c r="N48" s="23"/>
      <c r="O48" s="23"/>
      <c r="P48" s="23"/>
      <c r="Q48" s="37"/>
      <c r="R48" s="22" t="s">
        <v>294</v>
      </c>
      <c r="S48" s="23"/>
      <c r="T48" s="23"/>
      <c r="U48" s="23"/>
      <c r="V48" s="23"/>
      <c r="W48" s="23"/>
      <c r="X48" s="24"/>
      <c r="Y48" s="284" t="s">
        <v>155</v>
      </c>
      <c r="Z48" s="285"/>
      <c r="AA48" s="286" t="s">
        <v>156</v>
      </c>
      <c r="AB48" s="287"/>
      <c r="AC48" s="288"/>
      <c r="AD48" s="27">
        <v>5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18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>
        <f>IF(B49="","",COUNTA($B$8:B49))</f>
        <v>41</v>
      </c>
      <c r="B49" s="19" t="s">
        <v>226</v>
      </c>
      <c r="C49" s="20"/>
      <c r="D49" s="20"/>
      <c r="E49" s="20"/>
      <c r="F49" s="20"/>
      <c r="G49" s="20"/>
      <c r="H49" s="24"/>
      <c r="I49" s="34" t="s">
        <v>227</v>
      </c>
      <c r="J49" s="23"/>
      <c r="K49" s="23"/>
      <c r="L49" s="23"/>
      <c r="M49" s="23"/>
      <c r="N49" s="23"/>
      <c r="O49" s="23"/>
      <c r="P49" s="23"/>
      <c r="Q49" s="37"/>
      <c r="R49" s="19" t="s">
        <v>226</v>
      </c>
      <c r="S49" s="23"/>
      <c r="T49" s="23"/>
      <c r="U49" s="23"/>
      <c r="V49" s="23"/>
      <c r="W49" s="23"/>
      <c r="X49" s="24"/>
      <c r="Y49" s="284" t="s">
        <v>150</v>
      </c>
      <c r="Z49" s="285"/>
      <c r="AA49" s="286" t="s">
        <v>151</v>
      </c>
      <c r="AB49" s="287"/>
      <c r="AC49" s="288"/>
      <c r="AD49" s="27">
        <v>3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18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>
        <f>IF(B50="","",COUNTA($B$8:B50))</f>
        <v>42</v>
      </c>
      <c r="B50" s="19" t="s">
        <v>332</v>
      </c>
      <c r="C50" s="20"/>
      <c r="D50" s="20"/>
      <c r="E50" s="20"/>
      <c r="F50" s="20"/>
      <c r="G50" s="20"/>
      <c r="H50" s="24"/>
      <c r="I50" s="34" t="s">
        <v>333</v>
      </c>
      <c r="J50" s="23"/>
      <c r="K50" s="23"/>
      <c r="L50" s="23"/>
      <c r="M50" s="23"/>
      <c r="N50" s="23"/>
      <c r="O50" s="23"/>
      <c r="P50" s="23"/>
      <c r="Q50" s="37"/>
      <c r="R50" s="19" t="s">
        <v>332</v>
      </c>
      <c r="S50" s="23"/>
      <c r="T50" s="23"/>
      <c r="U50" s="23"/>
      <c r="V50" s="23"/>
      <c r="W50" s="23"/>
      <c r="X50" s="24"/>
      <c r="Y50" s="284" t="s">
        <v>155</v>
      </c>
      <c r="Z50" s="285"/>
      <c r="AA50" s="286" t="s">
        <v>156</v>
      </c>
      <c r="AB50" s="287"/>
      <c r="AC50" s="288"/>
      <c r="AD50" s="27">
        <v>1</v>
      </c>
      <c r="AE50" s="29"/>
      <c r="AF50" s="29"/>
      <c r="AG50" s="29"/>
      <c r="AH50" s="28">
        <v>0</v>
      </c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18" t="s">
        <v>334</v>
      </c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>
        <f>IF(B51="","",COUNTA($B$8:B51))</f>
        <v>43</v>
      </c>
      <c r="B51" s="19" t="s">
        <v>335</v>
      </c>
      <c r="C51" s="20"/>
      <c r="D51" s="20"/>
      <c r="E51" s="20"/>
      <c r="F51" s="20"/>
      <c r="G51" s="20"/>
      <c r="H51" s="24"/>
      <c r="I51" s="34" t="s">
        <v>336</v>
      </c>
      <c r="J51" s="23"/>
      <c r="K51" s="23"/>
      <c r="L51" s="23"/>
      <c r="M51" s="23"/>
      <c r="N51" s="23"/>
      <c r="O51" s="23"/>
      <c r="P51" s="23"/>
      <c r="Q51" s="37"/>
      <c r="R51" s="19" t="s">
        <v>335</v>
      </c>
      <c r="S51" s="23"/>
      <c r="T51" s="23"/>
      <c r="U51" s="23"/>
      <c r="V51" s="23"/>
      <c r="W51" s="23"/>
      <c r="X51" s="24"/>
      <c r="Y51" s="284" t="s">
        <v>155</v>
      </c>
      <c r="Z51" s="285"/>
      <c r="AA51" s="286" t="s">
        <v>156</v>
      </c>
      <c r="AB51" s="287"/>
      <c r="AC51" s="288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18" t="s">
        <v>334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>
        <f>IF(B52="","",COUNTA($B$8:B52))</f>
        <v>44</v>
      </c>
      <c r="B52" s="19" t="s">
        <v>230</v>
      </c>
      <c r="C52" s="20"/>
      <c r="D52" s="20"/>
      <c r="E52" s="20"/>
      <c r="F52" s="20"/>
      <c r="G52" s="20"/>
      <c r="H52" s="24"/>
      <c r="I52" s="34" t="s">
        <v>231</v>
      </c>
      <c r="J52" s="23"/>
      <c r="K52" s="23"/>
      <c r="L52" s="23"/>
      <c r="M52" s="23"/>
      <c r="N52" s="23"/>
      <c r="O52" s="23"/>
      <c r="P52" s="23"/>
      <c r="Q52" s="37"/>
      <c r="R52" s="19" t="s">
        <v>230</v>
      </c>
      <c r="S52" s="23"/>
      <c r="T52" s="23"/>
      <c r="U52" s="23"/>
      <c r="V52" s="23"/>
      <c r="W52" s="23"/>
      <c r="X52" s="24"/>
      <c r="Y52" s="284" t="s">
        <v>169</v>
      </c>
      <c r="Z52" s="285"/>
      <c r="AA52" s="286" t="s">
        <v>170</v>
      </c>
      <c r="AB52" s="287"/>
      <c r="AC52" s="288"/>
      <c r="AD52" s="27"/>
      <c r="AE52" s="29"/>
      <c r="AF52" s="29"/>
      <c r="AG52" s="29"/>
      <c r="AH52" s="28"/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18" t="s">
        <v>232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>
        <f>IF(B53="","",COUNTA($B$8:B53))</f>
        <v>45</v>
      </c>
      <c r="B53" s="19" t="s">
        <v>233</v>
      </c>
      <c r="C53" s="20"/>
      <c r="D53" s="20"/>
      <c r="E53" s="20"/>
      <c r="F53" s="20"/>
      <c r="G53" s="20"/>
      <c r="H53" s="24"/>
      <c r="I53" s="34" t="s">
        <v>234</v>
      </c>
      <c r="J53" s="23"/>
      <c r="K53" s="23"/>
      <c r="L53" s="23"/>
      <c r="M53" s="23"/>
      <c r="N53" s="23"/>
      <c r="O53" s="23"/>
      <c r="P53" s="23"/>
      <c r="Q53" s="37"/>
      <c r="R53" s="19" t="s">
        <v>233</v>
      </c>
      <c r="S53" s="23"/>
      <c r="T53" s="23"/>
      <c r="U53" s="23"/>
      <c r="V53" s="23"/>
      <c r="W53" s="23"/>
      <c r="X53" s="24"/>
      <c r="Y53" s="284" t="s">
        <v>155</v>
      </c>
      <c r="Z53" s="285"/>
      <c r="AA53" s="286" t="s">
        <v>156</v>
      </c>
      <c r="AB53" s="287"/>
      <c r="AC53" s="288"/>
      <c r="AD53" s="27">
        <v>1</v>
      </c>
      <c r="AE53" s="29"/>
      <c r="AF53" s="29"/>
      <c r="AG53" s="29"/>
      <c r="AH53" s="28">
        <v>0</v>
      </c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18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>
        <f>IF(B54="","",COUNTA($B$8:B54))</f>
        <v>46</v>
      </c>
      <c r="B54" s="19" t="s">
        <v>236</v>
      </c>
      <c r="C54" s="20"/>
      <c r="D54" s="20"/>
      <c r="E54" s="20"/>
      <c r="F54" s="20"/>
      <c r="G54" s="20"/>
      <c r="H54" s="24"/>
      <c r="I54" s="34" t="s">
        <v>237</v>
      </c>
      <c r="J54" s="23"/>
      <c r="K54" s="23"/>
      <c r="L54" s="23"/>
      <c r="M54" s="23"/>
      <c r="N54" s="23"/>
      <c r="O54" s="23"/>
      <c r="P54" s="23"/>
      <c r="Q54" s="37"/>
      <c r="R54" s="19" t="s">
        <v>236</v>
      </c>
      <c r="S54" s="23"/>
      <c r="T54" s="23"/>
      <c r="U54" s="23"/>
      <c r="V54" s="23"/>
      <c r="W54" s="23"/>
      <c r="X54" s="24"/>
      <c r="Y54" s="284" t="s">
        <v>155</v>
      </c>
      <c r="Z54" s="285"/>
      <c r="AA54" s="286" t="s">
        <v>156</v>
      </c>
      <c r="AB54" s="287"/>
      <c r="AC54" s="288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18" t="s">
        <v>238</v>
      </c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>
        <f>IF(B55="","",COUNTA($B$8:B55))</f>
        <v>47</v>
      </c>
      <c r="B55" s="19" t="s">
        <v>239</v>
      </c>
      <c r="C55" s="20"/>
      <c r="D55" s="20"/>
      <c r="E55" s="20"/>
      <c r="F55" s="20"/>
      <c r="G55" s="20"/>
      <c r="H55" s="24"/>
      <c r="I55" s="34" t="s">
        <v>240</v>
      </c>
      <c r="J55" s="23"/>
      <c r="K55" s="23"/>
      <c r="L55" s="23"/>
      <c r="M55" s="23"/>
      <c r="N55" s="23"/>
      <c r="O55" s="23"/>
      <c r="P55" s="23"/>
      <c r="Q55" s="37"/>
      <c r="R55" s="19" t="s">
        <v>239</v>
      </c>
      <c r="S55" s="23"/>
      <c r="T55" s="23"/>
      <c r="U55" s="23"/>
      <c r="V55" s="23"/>
      <c r="W55" s="23"/>
      <c r="X55" s="24"/>
      <c r="Y55" s="284" t="s">
        <v>169</v>
      </c>
      <c r="Z55" s="285"/>
      <c r="AA55" s="286" t="s">
        <v>170</v>
      </c>
      <c r="AB55" s="287"/>
      <c r="AC55" s="288"/>
      <c r="AD55" s="27"/>
      <c r="AE55" s="29"/>
      <c r="AF55" s="29"/>
      <c r="AG55" s="29"/>
      <c r="AH55" s="28"/>
      <c r="AI55" s="28"/>
      <c r="AJ55" s="28"/>
      <c r="AK55" s="28"/>
      <c r="AL55" s="28"/>
      <c r="AM55" s="28"/>
      <c r="AN55" s="28"/>
      <c r="AO55" s="29"/>
      <c r="AP55" s="29"/>
      <c r="AQ55" s="29"/>
      <c r="AR55" s="29"/>
      <c r="AS55" s="118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50">
        <f>IF(B56="","",COUNTA($B$8:B56))</f>
        <v>48</v>
      </c>
      <c r="B56" s="156" t="s">
        <v>241</v>
      </c>
      <c r="C56" s="20"/>
      <c r="D56" s="20"/>
      <c r="E56" s="20"/>
      <c r="F56" s="20"/>
      <c r="G56" s="20"/>
      <c r="H56" s="20"/>
      <c r="I56" s="34" t="s">
        <v>242</v>
      </c>
      <c r="J56" s="23"/>
      <c r="K56" s="23"/>
      <c r="L56" s="23"/>
      <c r="M56" s="23"/>
      <c r="N56" s="23"/>
      <c r="O56" s="23"/>
      <c r="P56" s="23"/>
      <c r="Q56" s="23"/>
      <c r="R56" s="156" t="s">
        <v>241</v>
      </c>
      <c r="S56" s="20"/>
      <c r="T56" s="49"/>
      <c r="U56" s="49"/>
      <c r="V56" s="49"/>
      <c r="W56" s="49"/>
      <c r="X56" s="49"/>
      <c r="Y56" s="19" t="s">
        <v>150</v>
      </c>
      <c r="Z56" s="154"/>
      <c r="AA56" s="286" t="s">
        <v>243</v>
      </c>
      <c r="AB56" s="287"/>
      <c r="AC56" s="288"/>
      <c r="AD56" s="51"/>
      <c r="AE56" s="28" t="s">
        <v>244</v>
      </c>
      <c r="AF56" s="40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123" t="s">
        <v>245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50">
        <f>IF(B57="","",COUNTA($B$8:B57))</f>
        <v>49</v>
      </c>
      <c r="B57" s="156" t="s">
        <v>246</v>
      </c>
      <c r="C57" s="20"/>
      <c r="D57" s="20"/>
      <c r="E57" s="20"/>
      <c r="F57" s="20"/>
      <c r="G57" s="20"/>
      <c r="H57" s="20"/>
      <c r="I57" s="34" t="s">
        <v>247</v>
      </c>
      <c r="J57" s="23"/>
      <c r="K57" s="23"/>
      <c r="L57" s="23"/>
      <c r="M57" s="23"/>
      <c r="N57" s="23"/>
      <c r="O57" s="23"/>
      <c r="P57" s="23"/>
      <c r="Q57" s="23"/>
      <c r="R57" s="156" t="s">
        <v>246</v>
      </c>
      <c r="S57" s="20"/>
      <c r="T57" s="49"/>
      <c r="U57" s="49"/>
      <c r="V57" s="49"/>
      <c r="W57" s="49"/>
      <c r="X57" s="49"/>
      <c r="Y57" s="19" t="s">
        <v>150</v>
      </c>
      <c r="Z57" s="154"/>
      <c r="AA57" s="286" t="s">
        <v>243</v>
      </c>
      <c r="AB57" s="287"/>
      <c r="AC57" s="288"/>
      <c r="AD57" s="51"/>
      <c r="AE57" s="28" t="s">
        <v>244</v>
      </c>
      <c r="AF57" s="40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123" t="s">
        <v>248</v>
      </c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>
        <f>IF(B58="","",COUNTA($B$8:B58))</f>
        <v>50</v>
      </c>
      <c r="B58" s="19" t="s">
        <v>249</v>
      </c>
      <c r="C58" s="20"/>
      <c r="D58" s="20"/>
      <c r="E58" s="20"/>
      <c r="F58" s="20"/>
      <c r="G58" s="20"/>
      <c r="H58" s="24"/>
      <c r="I58" s="34" t="s">
        <v>250</v>
      </c>
      <c r="J58" s="23"/>
      <c r="K58" s="23"/>
      <c r="L58" s="23"/>
      <c r="M58" s="23"/>
      <c r="N58" s="23"/>
      <c r="O58" s="23"/>
      <c r="P58" s="23"/>
      <c r="Q58" s="37"/>
      <c r="R58" s="19" t="s">
        <v>249</v>
      </c>
      <c r="S58" s="23"/>
      <c r="T58" s="23"/>
      <c r="U58" s="23"/>
      <c r="V58" s="23"/>
      <c r="W58" s="23"/>
      <c r="X58" s="24"/>
      <c r="Y58" s="284" t="s">
        <v>150</v>
      </c>
      <c r="Z58" s="285"/>
      <c r="AA58" s="286" t="s">
        <v>151</v>
      </c>
      <c r="AB58" s="287"/>
      <c r="AC58" s="288"/>
      <c r="AD58" s="27">
        <v>4</v>
      </c>
      <c r="AE58" s="29"/>
      <c r="AF58" s="29"/>
      <c r="AG58" s="29"/>
      <c r="AH58" s="28"/>
      <c r="AI58" s="28"/>
      <c r="AJ58" s="28"/>
      <c r="AK58" s="28"/>
      <c r="AL58" s="28"/>
      <c r="AM58" s="28"/>
      <c r="AN58" s="28"/>
      <c r="AO58" s="29"/>
      <c r="AP58" s="29"/>
      <c r="AQ58" s="29"/>
      <c r="AR58" s="29"/>
      <c r="AS58" s="118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>
        <f>IF(B59="","",COUNTA($B$8:B59))</f>
        <v>51</v>
      </c>
      <c r="B59" s="19" t="s">
        <v>251</v>
      </c>
      <c r="C59" s="20"/>
      <c r="D59" s="20"/>
      <c r="E59" s="20"/>
      <c r="F59" s="20"/>
      <c r="G59" s="20"/>
      <c r="H59" s="24"/>
      <c r="I59" s="34" t="s">
        <v>252</v>
      </c>
      <c r="J59" s="23"/>
      <c r="K59" s="23"/>
      <c r="L59" s="23"/>
      <c r="M59" s="23"/>
      <c r="N59" s="23"/>
      <c r="O59" s="23"/>
      <c r="P59" s="23"/>
      <c r="Q59" s="37"/>
      <c r="R59" s="19" t="s">
        <v>251</v>
      </c>
      <c r="S59" s="23"/>
      <c r="T59" s="23"/>
      <c r="U59" s="23"/>
      <c r="V59" s="23"/>
      <c r="W59" s="23"/>
      <c r="X59" s="24"/>
      <c r="Y59" s="284" t="s">
        <v>150</v>
      </c>
      <c r="Z59" s="285"/>
      <c r="AA59" s="286" t="s">
        <v>151</v>
      </c>
      <c r="AB59" s="287"/>
      <c r="AC59" s="288"/>
      <c r="AD59" s="27">
        <v>4</v>
      </c>
      <c r="AE59" s="29"/>
      <c r="AF59" s="29"/>
      <c r="AG59" s="29"/>
      <c r="AH59" s="28"/>
      <c r="AI59" s="28"/>
      <c r="AJ59" s="28"/>
      <c r="AK59" s="28"/>
      <c r="AL59" s="28"/>
      <c r="AM59" s="28"/>
      <c r="AN59" s="28"/>
      <c r="AO59" s="29"/>
      <c r="AP59" s="29"/>
      <c r="AQ59" s="29"/>
      <c r="AR59" s="29"/>
      <c r="AS59" s="118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>
        <f>IF(B60="","",COUNTA($B$8:B60))</f>
        <v>52</v>
      </c>
      <c r="B60" s="19" t="s">
        <v>253</v>
      </c>
      <c r="C60" s="20"/>
      <c r="D60" s="20"/>
      <c r="E60" s="20"/>
      <c r="F60" s="20"/>
      <c r="G60" s="20"/>
      <c r="H60" s="24"/>
      <c r="I60" s="31" t="s">
        <v>254</v>
      </c>
      <c r="J60" s="23"/>
      <c r="K60" s="23"/>
      <c r="L60" s="23"/>
      <c r="M60" s="23"/>
      <c r="N60" s="23"/>
      <c r="O60" s="23"/>
      <c r="P60" s="23"/>
      <c r="Q60" s="37"/>
      <c r="R60" s="19" t="s">
        <v>253</v>
      </c>
      <c r="S60" s="23"/>
      <c r="T60" s="23"/>
      <c r="U60" s="23"/>
      <c r="V60" s="23"/>
      <c r="W60" s="23"/>
      <c r="X60" s="24"/>
      <c r="Y60" s="284" t="s">
        <v>150</v>
      </c>
      <c r="Z60" s="285"/>
      <c r="AA60" s="286" t="s">
        <v>151</v>
      </c>
      <c r="AB60" s="287"/>
      <c r="AC60" s="288"/>
      <c r="AD60" s="27">
        <v>10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18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>
        <f>IF(B61="","",COUNTA($B$8:B61))</f>
        <v>53</v>
      </c>
      <c r="B61" s="19" t="s">
        <v>255</v>
      </c>
      <c r="C61" s="20"/>
      <c r="D61" s="20"/>
      <c r="E61" s="20"/>
      <c r="F61" s="20"/>
      <c r="G61" s="20"/>
      <c r="H61" s="24"/>
      <c r="I61" s="31" t="s">
        <v>256</v>
      </c>
      <c r="J61" s="23"/>
      <c r="K61" s="23"/>
      <c r="L61" s="23"/>
      <c r="M61" s="23"/>
      <c r="N61" s="23"/>
      <c r="O61" s="23"/>
      <c r="P61" s="23"/>
      <c r="Q61" s="37"/>
      <c r="R61" s="19" t="s">
        <v>255</v>
      </c>
      <c r="S61" s="23"/>
      <c r="T61" s="23"/>
      <c r="U61" s="23"/>
      <c r="V61" s="23"/>
      <c r="W61" s="23"/>
      <c r="X61" s="24"/>
      <c r="Y61" s="284" t="s">
        <v>150</v>
      </c>
      <c r="Z61" s="285"/>
      <c r="AA61" s="286" t="s">
        <v>151</v>
      </c>
      <c r="AB61" s="287"/>
      <c r="AC61" s="288"/>
      <c r="AD61" s="27">
        <v>10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18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>
        <f>IF(B62="","",COUNTA($B$8:B62))</f>
        <v>54</v>
      </c>
      <c r="B62" s="19" t="s">
        <v>257</v>
      </c>
      <c r="C62" s="20"/>
      <c r="D62" s="20"/>
      <c r="E62" s="20"/>
      <c r="F62" s="20"/>
      <c r="G62" s="20"/>
      <c r="H62" s="24"/>
      <c r="I62" s="31" t="s">
        <v>258</v>
      </c>
      <c r="J62" s="23"/>
      <c r="K62" s="23"/>
      <c r="L62" s="23"/>
      <c r="M62" s="23"/>
      <c r="N62" s="23"/>
      <c r="O62" s="23"/>
      <c r="P62" s="23"/>
      <c r="Q62" s="37"/>
      <c r="R62" s="19" t="s">
        <v>257</v>
      </c>
      <c r="S62" s="23"/>
      <c r="T62" s="23"/>
      <c r="U62" s="23"/>
      <c r="V62" s="23"/>
      <c r="W62" s="23"/>
      <c r="X62" s="24"/>
      <c r="Y62" s="284" t="s">
        <v>169</v>
      </c>
      <c r="Z62" s="285"/>
      <c r="AA62" s="286" t="s">
        <v>243</v>
      </c>
      <c r="AB62" s="287"/>
      <c r="AC62" s="288"/>
      <c r="AD62" s="30"/>
      <c r="AE62" s="29"/>
      <c r="AF62" s="29"/>
      <c r="AG62" s="29"/>
      <c r="AH62" s="40"/>
      <c r="AI62" s="40"/>
      <c r="AJ62" s="28"/>
      <c r="AK62" s="28"/>
      <c r="AL62" s="28"/>
      <c r="AM62" s="28"/>
      <c r="AN62" s="28"/>
      <c r="AO62" s="29"/>
      <c r="AP62" s="29"/>
      <c r="AQ62" s="29"/>
      <c r="AR62" s="29"/>
      <c r="AS62" s="118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>
        <f>IF(B63="","",COUNTA($B$8:B63))</f>
        <v>55</v>
      </c>
      <c r="B63" s="19" t="s">
        <v>259</v>
      </c>
      <c r="C63" s="20"/>
      <c r="D63" s="20"/>
      <c r="E63" s="20"/>
      <c r="F63" s="20"/>
      <c r="G63" s="20"/>
      <c r="H63" s="24"/>
      <c r="I63" s="31" t="s">
        <v>260</v>
      </c>
      <c r="J63" s="23"/>
      <c r="K63" s="23"/>
      <c r="L63" s="23"/>
      <c r="M63" s="23"/>
      <c r="N63" s="23"/>
      <c r="O63" s="23"/>
      <c r="P63" s="23"/>
      <c r="Q63" s="37"/>
      <c r="R63" s="19" t="s">
        <v>259</v>
      </c>
      <c r="S63" s="23"/>
      <c r="T63" s="23"/>
      <c r="U63" s="23"/>
      <c r="V63" s="23"/>
      <c r="W63" s="23"/>
      <c r="X63" s="24"/>
      <c r="Y63" s="284" t="s">
        <v>150</v>
      </c>
      <c r="Z63" s="285"/>
      <c r="AA63" s="286" t="s">
        <v>151</v>
      </c>
      <c r="AB63" s="287"/>
      <c r="AC63" s="288"/>
      <c r="AD63" s="27">
        <v>10</v>
      </c>
      <c r="AE63" s="29"/>
      <c r="AF63" s="29"/>
      <c r="AG63" s="29"/>
      <c r="AH63" s="40"/>
      <c r="AI63" s="40"/>
      <c r="AJ63" s="28"/>
      <c r="AK63" s="28"/>
      <c r="AL63" s="28"/>
      <c r="AM63" s="28"/>
      <c r="AN63" s="28"/>
      <c r="AO63" s="29"/>
      <c r="AP63" s="29"/>
      <c r="AQ63" s="29"/>
      <c r="AR63" s="29"/>
      <c r="AS63" s="118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>
        <f>IF(B64="","",COUNTA($B$8:B64))</f>
        <v>56</v>
      </c>
      <c r="B64" s="19" t="s">
        <v>261</v>
      </c>
      <c r="C64" s="20"/>
      <c r="D64" s="20"/>
      <c r="E64" s="20"/>
      <c r="F64" s="20"/>
      <c r="G64" s="20"/>
      <c r="H64" s="24"/>
      <c r="I64" s="31" t="s">
        <v>262</v>
      </c>
      <c r="J64" s="23"/>
      <c r="K64" s="23"/>
      <c r="L64" s="23"/>
      <c r="M64" s="23"/>
      <c r="N64" s="23"/>
      <c r="O64" s="23"/>
      <c r="P64" s="23"/>
      <c r="Q64" s="37"/>
      <c r="R64" s="19" t="s">
        <v>261</v>
      </c>
      <c r="S64" s="23"/>
      <c r="T64" s="23"/>
      <c r="U64" s="23"/>
      <c r="V64" s="23"/>
      <c r="W64" s="23"/>
      <c r="X64" s="24"/>
      <c r="Y64" s="284" t="s">
        <v>150</v>
      </c>
      <c r="Z64" s="285"/>
      <c r="AA64" s="286" t="s">
        <v>151</v>
      </c>
      <c r="AB64" s="287"/>
      <c r="AC64" s="288"/>
      <c r="AD64" s="30">
        <v>10</v>
      </c>
      <c r="AE64" s="29"/>
      <c r="AF64" s="29"/>
      <c r="AG64" s="29"/>
      <c r="AH64" s="28"/>
      <c r="AI64" s="28"/>
      <c r="AJ64" s="28"/>
      <c r="AK64" s="28"/>
      <c r="AL64" s="40"/>
      <c r="AM64" s="40"/>
      <c r="AN64" s="40"/>
      <c r="AO64" s="41"/>
      <c r="AP64" s="41"/>
      <c r="AQ64" s="41"/>
      <c r="AR64" s="41"/>
      <c r="AS64" s="123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>
        <f>IF(B65="","",COUNTA($B$8:B65))</f>
        <v>57</v>
      </c>
      <c r="B65" s="19" t="s">
        <v>263</v>
      </c>
      <c r="C65" s="20"/>
      <c r="D65" s="20"/>
      <c r="E65" s="20"/>
      <c r="F65" s="20"/>
      <c r="G65" s="20"/>
      <c r="H65" s="24"/>
      <c r="I65" s="31" t="s">
        <v>264</v>
      </c>
      <c r="J65" s="23"/>
      <c r="K65" s="23"/>
      <c r="L65" s="23"/>
      <c r="M65" s="23"/>
      <c r="N65" s="23"/>
      <c r="O65" s="23"/>
      <c r="P65" s="23"/>
      <c r="Q65" s="37"/>
      <c r="R65" s="22" t="s">
        <v>263</v>
      </c>
      <c r="S65" s="23"/>
      <c r="T65" s="23"/>
      <c r="U65" s="23"/>
      <c r="V65" s="23"/>
      <c r="W65" s="23"/>
      <c r="X65" s="24"/>
      <c r="Y65" s="284" t="s">
        <v>169</v>
      </c>
      <c r="Z65" s="285"/>
      <c r="AA65" s="286" t="s">
        <v>243</v>
      </c>
      <c r="AB65" s="287"/>
      <c r="AC65" s="288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123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84"/>
      <c r="Z66" s="285"/>
      <c r="AA66" s="286"/>
      <c r="AB66" s="287"/>
      <c r="AC66" s="288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123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84"/>
      <c r="Z67" s="285"/>
      <c r="AA67" s="286"/>
      <c r="AB67" s="287"/>
      <c r="AC67" s="288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23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84"/>
      <c r="Z68" s="285"/>
      <c r="AA68" s="286"/>
      <c r="AB68" s="287"/>
      <c r="AC68" s="288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23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84"/>
      <c r="Z69" s="285"/>
      <c r="AA69" s="286"/>
      <c r="AB69" s="287"/>
      <c r="AC69" s="288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23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84"/>
      <c r="Z70" s="285"/>
      <c r="AA70" s="286"/>
      <c r="AB70" s="287"/>
      <c r="AC70" s="288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23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84"/>
      <c r="Z71" s="285"/>
      <c r="AA71" s="286"/>
      <c r="AB71" s="287"/>
      <c r="AC71" s="288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23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84"/>
      <c r="Z72" s="285"/>
      <c r="AA72" s="286"/>
      <c r="AB72" s="287"/>
      <c r="AC72" s="288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23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84"/>
      <c r="Z73" s="285"/>
      <c r="AA73" s="286"/>
      <c r="AB73" s="287"/>
      <c r="AC73" s="288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23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84"/>
      <c r="Z74" s="285"/>
      <c r="AA74" s="286"/>
      <c r="AB74" s="287"/>
      <c r="AC74" s="288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23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84"/>
      <c r="Z75" s="285"/>
      <c r="AA75" s="286"/>
      <c r="AB75" s="287"/>
      <c r="AC75" s="288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23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84"/>
      <c r="Z76" s="285"/>
      <c r="AA76" s="286"/>
      <c r="AB76" s="287"/>
      <c r="AC76" s="288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23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84"/>
      <c r="Z77" s="285"/>
      <c r="AA77" s="286"/>
      <c r="AB77" s="287"/>
      <c r="AC77" s="28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23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84"/>
      <c r="Z78" s="285"/>
      <c r="AA78" s="286"/>
      <c r="AB78" s="287"/>
      <c r="AC78" s="28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23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84"/>
      <c r="Z79" s="285"/>
      <c r="AA79" s="286"/>
      <c r="AB79" s="287"/>
      <c r="AC79" s="28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23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84"/>
      <c r="Z80" s="285"/>
      <c r="AA80" s="286"/>
      <c r="AB80" s="287"/>
      <c r="AC80" s="28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23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84"/>
      <c r="Z81" s="285"/>
      <c r="AA81" s="286"/>
      <c r="AB81" s="287"/>
      <c r="AC81" s="28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23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84"/>
      <c r="Z82" s="285"/>
      <c r="AA82" s="286"/>
      <c r="AB82" s="287"/>
      <c r="AC82" s="28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23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84"/>
      <c r="Z83" s="285"/>
      <c r="AA83" s="286"/>
      <c r="AB83" s="287"/>
      <c r="AC83" s="28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23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84"/>
      <c r="Z84" s="285"/>
      <c r="AA84" s="286"/>
      <c r="AB84" s="287"/>
      <c r="AC84" s="28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23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84"/>
      <c r="Z85" s="285"/>
      <c r="AA85" s="286"/>
      <c r="AB85" s="287"/>
      <c r="AC85" s="28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23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4">
    <mergeCell ref="Y84:Z84"/>
    <mergeCell ref="AA84:AC84"/>
    <mergeCell ref="Y85:Z85"/>
    <mergeCell ref="AA85:AC85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Y43:Z43"/>
    <mergeCell ref="AA43:AC43"/>
    <mergeCell ref="Y44:Z44"/>
    <mergeCell ref="AA44:AC44"/>
    <mergeCell ref="Y30:Z30"/>
    <mergeCell ref="Y38:Z38"/>
    <mergeCell ref="AA38:AC38"/>
    <mergeCell ref="Y39:Z39"/>
    <mergeCell ref="AA39:AC39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Y36:Z36"/>
    <mergeCell ref="AA36:AC36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11:Z11"/>
    <mergeCell ref="AA11:AC11"/>
    <mergeCell ref="Y12:Z12"/>
    <mergeCell ref="AA12:AC12"/>
    <mergeCell ref="Y13:Z13"/>
    <mergeCell ref="AA13:AC13"/>
    <mergeCell ref="Y21:Z21"/>
    <mergeCell ref="AA21:AC21"/>
    <mergeCell ref="Y22:Z22"/>
    <mergeCell ref="AA22:AC22"/>
    <mergeCell ref="Y20:Z20"/>
    <mergeCell ref="AA20:AC20"/>
    <mergeCell ref="Y48:Z48"/>
    <mergeCell ref="AA26:AC26"/>
    <mergeCell ref="Y27:Z27"/>
    <mergeCell ref="Y52:Z52"/>
    <mergeCell ref="AA52:AC52"/>
    <mergeCell ref="Y53:Z53"/>
    <mergeCell ref="AA53:AC53"/>
    <mergeCell ref="Y51:Z51"/>
    <mergeCell ref="AA51:AC51"/>
    <mergeCell ref="AA48:AC48"/>
    <mergeCell ref="AA49:AC49"/>
    <mergeCell ref="AA30:AC30"/>
    <mergeCell ref="AA32:AC32"/>
    <mergeCell ref="Y34:Z34"/>
    <mergeCell ref="AA34:AC34"/>
    <mergeCell ref="Y33:Z33"/>
    <mergeCell ref="Y40:Z40"/>
    <mergeCell ref="AA40:AC40"/>
    <mergeCell ref="Y41:Z41"/>
    <mergeCell ref="AA41:AC41"/>
    <mergeCell ref="Y42:Z42"/>
    <mergeCell ref="Y23:Z23"/>
    <mergeCell ref="AA23:AC23"/>
    <mergeCell ref="Y49:Z49"/>
    <mergeCell ref="AA33:AC33"/>
    <mergeCell ref="AA27:AC27"/>
    <mergeCell ref="Y28:Z28"/>
    <mergeCell ref="AA28:AC28"/>
    <mergeCell ref="Y29:Z29"/>
    <mergeCell ref="AA29:AC29"/>
    <mergeCell ref="AA31:AC31"/>
    <mergeCell ref="Y32:Z32"/>
    <mergeCell ref="Y35:Z35"/>
    <mergeCell ref="Y24:Z24"/>
    <mergeCell ref="AA24:AC24"/>
    <mergeCell ref="AA35:AC35"/>
    <mergeCell ref="Y31:Z31"/>
    <mergeCell ref="Y45:Z45"/>
    <mergeCell ref="AA45:AC45"/>
    <mergeCell ref="Y46:Z46"/>
    <mergeCell ref="AA46:AC46"/>
    <mergeCell ref="Y47:Z47"/>
    <mergeCell ref="AA25:AC25"/>
    <mergeCell ref="Y26:Z26"/>
    <mergeCell ref="Y25:Z25"/>
    <mergeCell ref="AA47:AC47"/>
    <mergeCell ref="Y37:Z37"/>
    <mergeCell ref="AA37:AC37"/>
    <mergeCell ref="Y67:Z67"/>
    <mergeCell ref="AA67:AC67"/>
    <mergeCell ref="Y68:Z68"/>
    <mergeCell ref="AA68:AC68"/>
    <mergeCell ref="Y69:Z69"/>
    <mergeCell ref="AA69:AC69"/>
    <mergeCell ref="AA42:AC42"/>
    <mergeCell ref="Y50:Z50"/>
    <mergeCell ref="AA50:AC50"/>
    <mergeCell ref="Y54:Z54"/>
    <mergeCell ref="AA54:AC54"/>
    <mergeCell ref="AA57:AC57"/>
    <mergeCell ref="Y76:Z76"/>
    <mergeCell ref="AA76:AC76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Y73:Z73"/>
    <mergeCell ref="AA73:AC73"/>
    <mergeCell ref="Y70:Z70"/>
    <mergeCell ref="AA70:AC70"/>
    <mergeCell ref="Y74:Z74"/>
    <mergeCell ref="AA74:AC74"/>
    <mergeCell ref="Y75:Z75"/>
    <mergeCell ref="AA75:AC75"/>
    <mergeCell ref="Y72:Z72"/>
    <mergeCell ref="AA72:AC72"/>
    <mergeCell ref="Y58:Z58"/>
    <mergeCell ref="AA58:AC58"/>
    <mergeCell ref="Y55:Z55"/>
    <mergeCell ref="AA55:AC55"/>
    <mergeCell ref="Y82:Z82"/>
    <mergeCell ref="AA82:AC82"/>
    <mergeCell ref="AA62:AC62"/>
    <mergeCell ref="Y59:Z59"/>
    <mergeCell ref="AA59:AC59"/>
    <mergeCell ref="Y60:Z60"/>
    <mergeCell ref="AA60:AC60"/>
    <mergeCell ref="AA56:AC56"/>
    <mergeCell ref="Y71:Z71"/>
    <mergeCell ref="AA71:AC71"/>
    <mergeCell ref="Y83:Z83"/>
    <mergeCell ref="AA83:AC83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</mergeCells>
  <phoneticPr fontId="5"/>
  <dataValidations count="3">
    <dataValidation imeMode="hiragana" allowBlank="1" showInputMessage="1" showErrorMessage="1" sqref="JO65527:JZ65529 TK65527:TV65529 ADG65527:ADR65529 ANC65527:ANN65529 AWY65527:AXJ65529 BGU65527:BHF65529 BQQ65527:BRB65529 CAM65527:CAX65529 CKI65527:CKT65529 CUE65527:CUP65529 DEA65527:DEL65529 DNW65527:DOH65529 DXS65527:DYD65529 EHO65527:EHZ65529 ERK65527:ERV65529 FBG65527:FBR65529 FLC65527:FLN65529 FUY65527:FVJ65529 GEU65527:GFF65529 GOQ65527:GPB65529 GYM65527:GYX65529 HII65527:HIT65529 HSE65527:HSP65529 ICA65527:ICL65529 ILW65527:IMH65529 IVS65527:IWD65529 JFO65527:JFZ65529 JPK65527:JPV65529 JZG65527:JZR65529 KJC65527:KJN65529 KSY65527:KTJ65529 LCU65527:LDF65529 LMQ65527:LNB65529 LWM65527:LWX65529 MGI65527:MGT65529 MQE65527:MQP65529 NAA65527:NAL65529 NJW65527:NKH65529 NTS65527:NUD65529 ODO65527:ODZ65529 ONK65527:ONV65529 OXG65527:OXR65529 PHC65527:PHN65529 PQY65527:PRJ65529 QAU65527:QBF65529 QKQ65527:QLB65529 QUM65527:QUX65529 REI65527:RET65529 ROE65527:ROP65529 RYA65527:RYL65529 SHW65527:SIH65529 SRS65527:SSD65529 TBO65527:TBZ65529 TLK65527:TLV65529 TVG65527:TVR65529 UFC65527:UFN65529 UOY65527:UPJ65529 UYU65527:UZF65529 VIQ65527:VJB65529 VSM65527:VSX65529 WCI65527:WCT65529 WME65527:WMP65529 WWA65527:WWL65529 JO131063:JZ131065 TK131063:TV131065 ADG131063:ADR131065 ANC131063:ANN131065 AWY131063:AXJ131065 BGU131063:BHF131065 BQQ131063:BRB131065 CAM131063:CAX131065 CKI131063:CKT131065 CUE131063:CUP131065 DEA131063:DEL131065 DNW131063:DOH131065 DXS131063:DYD131065 EHO131063:EHZ131065 ERK131063:ERV131065 FBG131063:FBR131065 FLC131063:FLN131065 FUY131063:FVJ131065 GEU131063:GFF131065 GOQ131063:GPB131065 GYM131063:GYX131065 HII131063:HIT131065 HSE131063:HSP131065 ICA131063:ICL131065 ILW131063:IMH131065 IVS131063:IWD131065 JFO131063:JFZ131065 JPK131063:JPV131065 JZG131063:JZR131065 KJC131063:KJN131065 KSY131063:KTJ131065 LCU131063:LDF131065 LMQ131063:LNB131065 LWM131063:LWX131065 MGI131063:MGT131065 MQE131063:MQP131065 NAA131063:NAL131065 NJW131063:NKH131065 NTS131063:NUD131065 ODO131063:ODZ131065 ONK131063:ONV131065 OXG131063:OXR131065 PHC131063:PHN131065 PQY131063:PRJ131065 QAU131063:QBF131065 QKQ131063:QLB131065 QUM131063:QUX131065 REI131063:RET131065 ROE131063:ROP131065 RYA131063:RYL131065 SHW131063:SIH131065 SRS131063:SSD131065 TBO131063:TBZ131065 TLK131063:TLV131065 TVG131063:TVR131065 UFC131063:UFN131065 UOY131063:UPJ131065 UYU131063:UZF131065 VIQ131063:VJB131065 VSM131063:VSX131065 WCI131063:WCT131065 WME131063:WMP131065 WWA131063:WWL131065 JO196599:JZ196601 TK196599:TV196601 ADG196599:ADR196601 ANC196599:ANN196601 AWY196599:AXJ196601 BGU196599:BHF196601 BQQ196599:BRB196601 CAM196599:CAX196601 CKI196599:CKT196601 CUE196599:CUP196601 DEA196599:DEL196601 DNW196599:DOH196601 DXS196599:DYD196601 EHO196599:EHZ196601 ERK196599:ERV196601 FBG196599:FBR196601 FLC196599:FLN196601 FUY196599:FVJ196601 GEU196599:GFF196601 GOQ196599:GPB196601 GYM196599:GYX196601 HII196599:HIT196601 HSE196599:HSP196601 ICA196599:ICL196601 ILW196599:IMH196601 IVS196599:IWD196601 JFO196599:JFZ196601 JPK196599:JPV196601 JZG196599:JZR196601 KJC196599:KJN196601 KSY196599:KTJ196601 LCU196599:LDF196601 LMQ196599:LNB196601 LWM196599:LWX196601 MGI196599:MGT196601 MQE196599:MQP196601 NAA196599:NAL196601 NJW196599:NKH196601 NTS196599:NUD196601 ODO196599:ODZ196601 ONK196599:ONV196601 OXG196599:OXR196601 PHC196599:PHN196601 PQY196599:PRJ196601 QAU196599:QBF196601 QKQ196599:QLB196601 QUM196599:QUX196601 REI196599:RET196601 ROE196599:ROP196601 RYA196599:RYL196601 SHW196599:SIH196601 SRS196599:SSD196601 TBO196599:TBZ196601 TLK196599:TLV196601 TVG196599:TVR196601 UFC196599:UFN196601 UOY196599:UPJ196601 UYU196599:UZF196601 VIQ196599:VJB196601 VSM196599:VSX196601 WCI196599:WCT196601 WME196599:WMP196601 WWA196599:WWL196601 JO262135:JZ262137 TK262135:TV262137 ADG262135:ADR262137 ANC262135:ANN262137 AWY262135:AXJ262137 BGU262135:BHF262137 BQQ262135:BRB262137 CAM262135:CAX262137 CKI262135:CKT262137 CUE262135:CUP262137 DEA262135:DEL262137 DNW262135:DOH262137 DXS262135:DYD262137 EHO262135:EHZ262137 ERK262135:ERV262137 FBG262135:FBR262137 FLC262135:FLN262137 FUY262135:FVJ262137 GEU262135:GFF262137 GOQ262135:GPB262137 GYM262135:GYX262137 HII262135:HIT262137 HSE262135:HSP262137 ICA262135:ICL262137 ILW262135:IMH262137 IVS262135:IWD262137 JFO262135:JFZ262137 JPK262135:JPV262137 JZG262135:JZR262137 KJC262135:KJN262137 KSY262135:KTJ262137 LCU262135:LDF262137 LMQ262135:LNB262137 LWM262135:LWX262137 MGI262135:MGT262137 MQE262135:MQP262137 NAA262135:NAL262137 NJW262135:NKH262137 NTS262135:NUD262137 ODO262135:ODZ262137 ONK262135:ONV262137 OXG262135:OXR262137 PHC262135:PHN262137 PQY262135:PRJ262137 QAU262135:QBF262137 QKQ262135:QLB262137 QUM262135:QUX262137 REI262135:RET262137 ROE262135:ROP262137 RYA262135:RYL262137 SHW262135:SIH262137 SRS262135:SSD262137 TBO262135:TBZ262137 TLK262135:TLV262137 TVG262135:TVR262137 UFC262135:UFN262137 UOY262135:UPJ262137 UYU262135:UZF262137 VIQ262135:VJB262137 VSM262135:VSX262137 WCI262135:WCT262137 WME262135:WMP262137 WWA262135:WWL262137 JO327671:JZ327673 TK327671:TV327673 ADG327671:ADR327673 ANC327671:ANN327673 AWY327671:AXJ327673 BGU327671:BHF327673 BQQ327671:BRB327673 CAM327671:CAX327673 CKI327671:CKT327673 CUE327671:CUP327673 DEA327671:DEL327673 DNW327671:DOH327673 DXS327671:DYD327673 EHO327671:EHZ327673 ERK327671:ERV327673 FBG327671:FBR327673 FLC327671:FLN327673 FUY327671:FVJ327673 GEU327671:GFF327673 GOQ327671:GPB327673 GYM327671:GYX327673 HII327671:HIT327673 HSE327671:HSP327673 ICA327671:ICL327673 ILW327671:IMH327673 IVS327671:IWD327673 JFO327671:JFZ327673 JPK327671:JPV327673 JZG327671:JZR327673 KJC327671:KJN327673 KSY327671:KTJ327673 LCU327671:LDF327673 LMQ327671:LNB327673 LWM327671:LWX327673 MGI327671:MGT327673 MQE327671:MQP327673 NAA327671:NAL327673 NJW327671:NKH327673 NTS327671:NUD327673 ODO327671:ODZ327673 ONK327671:ONV327673 OXG327671:OXR327673 PHC327671:PHN327673 PQY327671:PRJ327673 QAU327671:QBF327673 QKQ327671:QLB327673 QUM327671:QUX327673 REI327671:RET327673 ROE327671:ROP327673 RYA327671:RYL327673 SHW327671:SIH327673 SRS327671:SSD327673 TBO327671:TBZ327673 TLK327671:TLV327673 TVG327671:TVR327673 UFC327671:UFN327673 UOY327671:UPJ327673 UYU327671:UZF327673 VIQ327671:VJB327673 VSM327671:VSX327673 WCI327671:WCT327673 WME327671:WMP327673 WWA327671:WWL327673 JO393207:JZ393209 TK393207:TV393209 ADG393207:ADR393209 ANC393207:ANN393209 AWY393207:AXJ393209 BGU393207:BHF393209 BQQ393207:BRB393209 CAM393207:CAX393209 CKI393207:CKT393209 CUE393207:CUP393209 DEA393207:DEL393209 DNW393207:DOH393209 DXS393207:DYD393209 EHO393207:EHZ393209 ERK393207:ERV393209 FBG393207:FBR393209 FLC393207:FLN393209 FUY393207:FVJ393209 GEU393207:GFF393209 GOQ393207:GPB393209 GYM393207:GYX393209 HII393207:HIT393209 HSE393207:HSP393209 ICA393207:ICL393209 ILW393207:IMH393209 IVS393207:IWD393209 JFO393207:JFZ393209 JPK393207:JPV393209 JZG393207:JZR393209 KJC393207:KJN393209 KSY393207:KTJ393209 LCU393207:LDF393209 LMQ393207:LNB393209 LWM393207:LWX393209 MGI393207:MGT393209 MQE393207:MQP393209 NAA393207:NAL393209 NJW393207:NKH393209 NTS393207:NUD393209 ODO393207:ODZ393209 ONK393207:ONV393209 OXG393207:OXR393209 PHC393207:PHN393209 PQY393207:PRJ393209 QAU393207:QBF393209 QKQ393207:QLB393209 QUM393207:QUX393209 REI393207:RET393209 ROE393207:ROP393209 RYA393207:RYL393209 SHW393207:SIH393209 SRS393207:SSD393209 TBO393207:TBZ393209 TLK393207:TLV393209 TVG393207:TVR393209 UFC393207:UFN393209 UOY393207:UPJ393209 UYU393207:UZF393209 VIQ393207:VJB393209 VSM393207:VSX393209 WCI393207:WCT393209 WME393207:WMP393209 WWA393207:WWL393209 JO458743:JZ458745 TK458743:TV458745 ADG458743:ADR458745 ANC458743:ANN458745 AWY458743:AXJ458745 BGU458743:BHF458745 BQQ458743:BRB458745 CAM458743:CAX458745 CKI458743:CKT458745 CUE458743:CUP458745 DEA458743:DEL458745 DNW458743:DOH458745 DXS458743:DYD458745 EHO458743:EHZ458745 ERK458743:ERV458745 FBG458743:FBR458745 FLC458743:FLN458745 FUY458743:FVJ458745 GEU458743:GFF458745 GOQ458743:GPB458745 GYM458743:GYX458745 HII458743:HIT458745 HSE458743:HSP458745 ICA458743:ICL458745 ILW458743:IMH458745 IVS458743:IWD458745 JFO458743:JFZ458745 JPK458743:JPV458745 JZG458743:JZR458745 KJC458743:KJN458745 KSY458743:KTJ458745 LCU458743:LDF458745 LMQ458743:LNB458745 LWM458743:LWX458745 MGI458743:MGT458745 MQE458743:MQP458745 NAA458743:NAL458745 NJW458743:NKH458745 NTS458743:NUD458745 ODO458743:ODZ458745 ONK458743:ONV458745 OXG458743:OXR458745 PHC458743:PHN458745 PQY458743:PRJ458745 QAU458743:QBF458745 QKQ458743:QLB458745 QUM458743:QUX458745 REI458743:RET458745 ROE458743:ROP458745 RYA458743:RYL458745 SHW458743:SIH458745 SRS458743:SSD458745 TBO458743:TBZ458745 TLK458743:TLV458745 TVG458743:TVR458745 UFC458743:UFN458745 UOY458743:UPJ458745 UYU458743:UZF458745 VIQ458743:VJB458745 VSM458743:VSX458745 WCI458743:WCT458745 WME458743:WMP458745 WWA458743:WWL458745 JO524279:JZ524281 TK524279:TV524281 ADG524279:ADR524281 ANC524279:ANN524281 AWY524279:AXJ524281 BGU524279:BHF524281 BQQ524279:BRB524281 CAM524279:CAX524281 CKI524279:CKT524281 CUE524279:CUP524281 DEA524279:DEL524281 DNW524279:DOH524281 DXS524279:DYD524281 EHO524279:EHZ524281 ERK524279:ERV524281 FBG524279:FBR524281 FLC524279:FLN524281 FUY524279:FVJ524281 GEU524279:GFF524281 GOQ524279:GPB524281 GYM524279:GYX524281 HII524279:HIT524281 HSE524279:HSP524281 ICA524279:ICL524281 ILW524279:IMH524281 IVS524279:IWD524281 JFO524279:JFZ524281 JPK524279:JPV524281 JZG524279:JZR524281 KJC524279:KJN524281 KSY524279:KTJ524281 LCU524279:LDF524281 LMQ524279:LNB524281 LWM524279:LWX524281 MGI524279:MGT524281 MQE524279:MQP524281 NAA524279:NAL524281 NJW524279:NKH524281 NTS524279:NUD524281 ODO524279:ODZ524281 ONK524279:ONV524281 OXG524279:OXR524281 PHC524279:PHN524281 PQY524279:PRJ524281 QAU524279:QBF524281 QKQ524279:QLB524281 QUM524279:QUX524281 REI524279:RET524281 ROE524279:ROP524281 RYA524279:RYL524281 SHW524279:SIH524281 SRS524279:SSD524281 TBO524279:TBZ524281 TLK524279:TLV524281 TVG524279:TVR524281 UFC524279:UFN524281 UOY524279:UPJ524281 UYU524279:UZF524281 VIQ524279:VJB524281 VSM524279:VSX524281 WCI524279:WCT524281 WME524279:WMP524281 WWA524279:WWL524281 JO589815:JZ589817 TK589815:TV589817 ADG589815:ADR589817 ANC589815:ANN589817 AWY589815:AXJ589817 BGU589815:BHF589817 BQQ589815:BRB589817 CAM589815:CAX589817 CKI589815:CKT589817 CUE589815:CUP589817 DEA589815:DEL589817 DNW589815:DOH589817 DXS589815:DYD589817 EHO589815:EHZ589817 ERK589815:ERV589817 FBG589815:FBR589817 FLC589815:FLN589817 FUY589815:FVJ589817 GEU589815:GFF589817 GOQ589815:GPB589817 GYM589815:GYX589817 HII589815:HIT589817 HSE589815:HSP589817 ICA589815:ICL589817 ILW589815:IMH589817 IVS589815:IWD589817 JFO589815:JFZ589817 JPK589815:JPV589817 JZG589815:JZR589817 KJC589815:KJN589817 KSY589815:KTJ589817 LCU589815:LDF589817 LMQ589815:LNB589817 LWM589815:LWX589817 MGI589815:MGT589817 MQE589815:MQP589817 NAA589815:NAL589817 NJW589815:NKH589817 NTS589815:NUD589817 ODO589815:ODZ589817 ONK589815:ONV589817 OXG589815:OXR589817 PHC589815:PHN589817 PQY589815:PRJ589817 QAU589815:QBF589817 QKQ589815:QLB589817 QUM589815:QUX589817 REI589815:RET589817 ROE589815:ROP589817 RYA589815:RYL589817 SHW589815:SIH589817 SRS589815:SSD589817 TBO589815:TBZ589817 TLK589815:TLV589817 TVG589815:TVR589817 UFC589815:UFN589817 UOY589815:UPJ589817 UYU589815:UZF589817 VIQ589815:VJB589817 VSM589815:VSX589817 WCI589815:WCT589817 WME589815:WMP589817 WWA589815:WWL589817 JO655351:JZ655353 TK655351:TV655353 ADG655351:ADR655353 ANC655351:ANN655353 AWY655351:AXJ655353 BGU655351:BHF655353 BQQ655351:BRB655353 CAM655351:CAX655353 CKI655351:CKT655353 CUE655351:CUP655353 DEA655351:DEL655353 DNW655351:DOH655353 DXS655351:DYD655353 EHO655351:EHZ655353 ERK655351:ERV655353 FBG655351:FBR655353 FLC655351:FLN655353 FUY655351:FVJ655353 GEU655351:GFF655353 GOQ655351:GPB655353 GYM655351:GYX655353 HII655351:HIT655353 HSE655351:HSP655353 ICA655351:ICL655353 ILW655351:IMH655353 IVS655351:IWD655353 JFO655351:JFZ655353 JPK655351:JPV655353 JZG655351:JZR655353 KJC655351:KJN655353 KSY655351:KTJ655353 LCU655351:LDF655353 LMQ655351:LNB655353 LWM655351:LWX655353 MGI655351:MGT655353 MQE655351:MQP655353 NAA655351:NAL655353 NJW655351:NKH655353 NTS655351:NUD655353 ODO655351:ODZ655353 ONK655351:ONV655353 OXG655351:OXR655353 PHC655351:PHN655353 PQY655351:PRJ655353 QAU655351:QBF655353 QKQ655351:QLB655353 QUM655351:QUX655353 REI655351:RET655353 ROE655351:ROP655353 RYA655351:RYL655353 SHW655351:SIH655353 SRS655351:SSD655353 TBO655351:TBZ655353 TLK655351:TLV655353 TVG655351:TVR655353 UFC655351:UFN655353 UOY655351:UPJ655353 UYU655351:UZF655353 VIQ655351:VJB655353 VSM655351:VSX655353 WCI655351:WCT655353 WME655351:WMP655353 WWA655351:WWL655353 JO720887:JZ720889 TK720887:TV720889 ADG720887:ADR720889 ANC720887:ANN720889 AWY720887:AXJ720889 BGU720887:BHF720889 BQQ720887:BRB720889 CAM720887:CAX720889 CKI720887:CKT720889 CUE720887:CUP720889 DEA720887:DEL720889 DNW720887:DOH720889 DXS720887:DYD720889 EHO720887:EHZ720889 ERK720887:ERV720889 FBG720887:FBR720889 FLC720887:FLN720889 FUY720887:FVJ720889 GEU720887:GFF720889 GOQ720887:GPB720889 GYM720887:GYX720889 HII720887:HIT720889 HSE720887:HSP720889 ICA720887:ICL720889 ILW720887:IMH720889 IVS720887:IWD720889 JFO720887:JFZ720889 JPK720887:JPV720889 JZG720887:JZR720889 KJC720887:KJN720889 KSY720887:KTJ720889 LCU720887:LDF720889 LMQ720887:LNB720889 LWM720887:LWX720889 MGI720887:MGT720889 MQE720887:MQP720889 NAA720887:NAL720889 NJW720887:NKH720889 NTS720887:NUD720889 ODO720887:ODZ720889 ONK720887:ONV720889 OXG720887:OXR720889 PHC720887:PHN720889 PQY720887:PRJ720889 QAU720887:QBF720889 QKQ720887:QLB720889 QUM720887:QUX720889 REI720887:RET720889 ROE720887:ROP720889 RYA720887:RYL720889 SHW720887:SIH720889 SRS720887:SSD720889 TBO720887:TBZ720889 TLK720887:TLV720889 TVG720887:TVR720889 UFC720887:UFN720889 UOY720887:UPJ720889 UYU720887:UZF720889 VIQ720887:VJB720889 VSM720887:VSX720889 WCI720887:WCT720889 WME720887:WMP720889 WWA720887:WWL720889 JO786423:JZ786425 TK786423:TV786425 ADG786423:ADR786425 ANC786423:ANN786425 AWY786423:AXJ786425 BGU786423:BHF786425 BQQ786423:BRB786425 CAM786423:CAX786425 CKI786423:CKT786425 CUE786423:CUP786425 DEA786423:DEL786425 DNW786423:DOH786425 DXS786423:DYD786425 EHO786423:EHZ786425 ERK786423:ERV786425 FBG786423:FBR786425 FLC786423:FLN786425 FUY786423:FVJ786425 GEU786423:GFF786425 GOQ786423:GPB786425 GYM786423:GYX786425 HII786423:HIT786425 HSE786423:HSP786425 ICA786423:ICL786425 ILW786423:IMH786425 IVS786423:IWD786425 JFO786423:JFZ786425 JPK786423:JPV786425 JZG786423:JZR786425 KJC786423:KJN786425 KSY786423:KTJ786425 LCU786423:LDF786425 LMQ786423:LNB786425 LWM786423:LWX786425 MGI786423:MGT786425 MQE786423:MQP786425 NAA786423:NAL786425 NJW786423:NKH786425 NTS786423:NUD786425 ODO786423:ODZ786425 ONK786423:ONV786425 OXG786423:OXR786425 PHC786423:PHN786425 PQY786423:PRJ786425 QAU786423:QBF786425 QKQ786423:QLB786425 QUM786423:QUX786425 REI786423:RET786425 ROE786423:ROP786425 RYA786423:RYL786425 SHW786423:SIH786425 SRS786423:SSD786425 TBO786423:TBZ786425 TLK786423:TLV786425 TVG786423:TVR786425 UFC786423:UFN786425 UOY786423:UPJ786425 UYU786423:UZF786425 VIQ786423:VJB786425 VSM786423:VSX786425 WCI786423:WCT786425 WME786423:WMP786425 WWA786423:WWL786425 JO851959:JZ851961 TK851959:TV851961 ADG851959:ADR851961 ANC851959:ANN851961 AWY851959:AXJ851961 BGU851959:BHF851961 BQQ851959:BRB851961 CAM851959:CAX851961 CKI851959:CKT851961 CUE851959:CUP851961 DEA851959:DEL851961 DNW851959:DOH851961 DXS851959:DYD851961 EHO851959:EHZ851961 ERK851959:ERV851961 FBG851959:FBR851961 FLC851959:FLN851961 FUY851959:FVJ851961 GEU851959:GFF851961 GOQ851959:GPB851961 GYM851959:GYX851961 HII851959:HIT851961 HSE851959:HSP851961 ICA851959:ICL851961 ILW851959:IMH851961 IVS851959:IWD851961 JFO851959:JFZ851961 JPK851959:JPV851961 JZG851959:JZR851961 KJC851959:KJN851961 KSY851959:KTJ851961 LCU851959:LDF851961 LMQ851959:LNB851961 LWM851959:LWX851961 MGI851959:MGT851961 MQE851959:MQP851961 NAA851959:NAL851961 NJW851959:NKH851961 NTS851959:NUD851961 ODO851959:ODZ851961 ONK851959:ONV851961 OXG851959:OXR851961 PHC851959:PHN851961 PQY851959:PRJ851961 QAU851959:QBF851961 QKQ851959:QLB851961 QUM851959:QUX851961 REI851959:RET851961 ROE851959:ROP851961 RYA851959:RYL851961 SHW851959:SIH851961 SRS851959:SSD851961 TBO851959:TBZ851961 TLK851959:TLV851961 TVG851959:TVR851961 UFC851959:UFN851961 UOY851959:UPJ851961 UYU851959:UZF851961 VIQ851959:VJB851961 VSM851959:VSX851961 WCI851959:WCT851961 WME851959:WMP851961 WWA851959:WWL851961 JO917495:JZ917497 TK917495:TV917497 ADG917495:ADR917497 ANC917495:ANN917497 AWY917495:AXJ917497 BGU917495:BHF917497 BQQ917495:BRB917497 CAM917495:CAX917497 CKI917495:CKT917497 CUE917495:CUP917497 DEA917495:DEL917497 DNW917495:DOH917497 DXS917495:DYD917497 EHO917495:EHZ917497 ERK917495:ERV917497 FBG917495:FBR917497 FLC917495:FLN917497 FUY917495:FVJ917497 GEU917495:GFF917497 GOQ917495:GPB917497 GYM917495:GYX917497 HII917495:HIT917497 HSE917495:HSP917497 ICA917495:ICL917497 ILW917495:IMH917497 IVS917495:IWD917497 JFO917495:JFZ917497 JPK917495:JPV917497 JZG917495:JZR917497 KJC917495:KJN917497 KSY917495:KTJ917497 LCU917495:LDF917497 LMQ917495:LNB917497 LWM917495:LWX917497 MGI917495:MGT917497 MQE917495:MQP917497 NAA917495:NAL917497 NJW917495:NKH917497 NTS917495:NUD917497 ODO917495:ODZ917497 ONK917495:ONV917497 OXG917495:OXR917497 PHC917495:PHN917497 PQY917495:PRJ917497 QAU917495:QBF917497 QKQ917495:QLB917497 QUM917495:QUX917497 REI917495:RET917497 ROE917495:ROP917497 RYA917495:RYL917497 SHW917495:SIH917497 SRS917495:SSD917497 TBO917495:TBZ917497 TLK917495:TLV917497 TVG917495:TVR917497 UFC917495:UFN917497 UOY917495:UPJ917497 UYU917495:UZF917497 VIQ917495:VJB917497 VSM917495:VSX917497 WCI917495:WCT917497 WME917495:WMP917497 WWA917495:WWL917497 JO983031:JZ983033 TK983031:TV983033 ADG983031:ADR983033 ANC983031:ANN983033 AWY983031:AXJ983033 BGU983031:BHF983033 BQQ983031:BRB983033 CAM983031:CAX983033 CKI983031:CKT983033 CUE983031:CUP983033 DEA983031:DEL983033 DNW983031:DOH983033 DXS983031:DYD983033 EHO983031:EHZ983033 ERK983031:ERV983033 FBG983031:FBR983033 FLC983031:FLN983033 FUY983031:FVJ983033 GEU983031:GFF983033 GOQ983031:GPB983033 GYM983031:GYX983033 HII983031:HIT983033 HSE983031:HSP983033 ICA983031:ICL983033 ILW983031:IMH983033 IVS983031:IWD983033 JFO983031:JFZ983033 JPK983031:JPV983033 JZG983031:JZR983033 KJC983031:KJN983033 KSY983031:KTJ983033 LCU983031:LDF983033 LMQ983031:LNB983033 LWM983031:LWX983033 MGI983031:MGT983033 MQE983031:MQP983033 NAA983031:NAL983033 NJW983031:NKH983033 NTS983031:NUD983033 ODO983031:ODZ983033 ONK983031:ONV983033 OXG983031:OXR983033 PHC983031:PHN983033 PQY983031:PRJ983033 QAU983031:QBF983033 QKQ983031:QLB983033 QUM983031:QUX983033 REI983031:RET983033 ROE983031:ROP983033 RYA983031:RYL983033 SHW983031:SIH983033 SRS983031:SSD983033 TBO983031:TBZ983033 TLK983031:TLV983033 TVG983031:TVR983033 UFC983031:UFN983033 UOY983031:UPJ983033 UYU983031:UZF983033 VIQ983031:VJB983033 VSM983031:VSX983033 WCI983031:WCT983033 WME983031:WMP983033 WWA983031:WWL98303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7:AM65529 AC983031:AM983033 AC917495:AM917497 AC851959:AM851961 AC786423:AM786425 AC720887:AM720889 AC655351:AM655353 AC589815:AM589817 AC524279:AM524281 AC458743:AM458745 AC393207:AM393209 AC327671:AM327673 AC262135:AM262137 AC196599:AM196601 AC131063:AM131065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32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生産計画情報（外注加工）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89" t="s">
        <v>150</v>
      </c>
      <c r="Z8" s="290"/>
      <c r="AA8" s="291" t="s">
        <v>151</v>
      </c>
      <c r="AB8" s="292"/>
      <c r="AC8" s="293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7" s="1" customFormat="1" ht="14.45" customHeight="1" x14ac:dyDescent="0.25">
      <c r="A9" s="131">
        <f>IF(B9="","",COUNTA($B$8:B9))</f>
        <v>2</v>
      </c>
      <c r="B9" s="8" t="s">
        <v>338</v>
      </c>
      <c r="C9" s="114"/>
      <c r="D9" s="114"/>
      <c r="E9" s="114"/>
      <c r="F9" s="114"/>
      <c r="G9" s="114"/>
      <c r="H9" s="134"/>
      <c r="I9" s="170" t="s">
        <v>339</v>
      </c>
      <c r="J9" s="171"/>
      <c r="K9" s="171"/>
      <c r="L9" s="171"/>
      <c r="M9" s="171"/>
      <c r="N9" s="171"/>
      <c r="O9" s="171"/>
      <c r="P9" s="171"/>
      <c r="Q9" s="172"/>
      <c r="R9" s="173" t="s">
        <v>338</v>
      </c>
      <c r="S9" s="171"/>
      <c r="T9" s="171"/>
      <c r="U9" s="171"/>
      <c r="V9" s="171"/>
      <c r="W9" s="171"/>
      <c r="X9" s="174"/>
      <c r="Y9" s="336" t="s">
        <v>155</v>
      </c>
      <c r="Z9" s="337"/>
      <c r="AA9" s="291" t="s">
        <v>156</v>
      </c>
      <c r="AB9" s="292"/>
      <c r="AC9" s="293"/>
      <c r="AD9" s="126">
        <v>3</v>
      </c>
      <c r="AE9" s="111"/>
      <c r="AF9" s="111">
        <v>2</v>
      </c>
      <c r="AG9" s="120" t="s">
        <v>152</v>
      </c>
      <c r="AH9" s="120"/>
      <c r="AI9" s="120" t="s">
        <v>302</v>
      </c>
      <c r="AJ9" s="120" t="s">
        <v>340</v>
      </c>
      <c r="AK9" s="120"/>
      <c r="AL9" s="120"/>
      <c r="AM9" s="120"/>
      <c r="AN9" s="120"/>
      <c r="AO9" s="111"/>
      <c r="AP9" s="111"/>
      <c r="AQ9" s="111"/>
      <c r="AR9" s="111"/>
      <c r="AS9" s="118" t="s">
        <v>341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7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89" t="s">
        <v>150</v>
      </c>
      <c r="Z10" s="290"/>
      <c r="AA10" s="291" t="s">
        <v>151</v>
      </c>
      <c r="AB10" s="292"/>
      <c r="AC10" s="293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  <c r="BE10" s="1" t="s">
        <v>1419</v>
      </c>
    </row>
    <row r="11" spans="1:57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4</v>
      </c>
      <c r="AE11" s="111"/>
      <c r="AF11" s="111"/>
      <c r="AG11" s="111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5" customHeight="1" x14ac:dyDescent="0.25">
      <c r="A12" s="131">
        <f>IF(B12="","",COUNTA($B$8:B12))</f>
        <v>5</v>
      </c>
      <c r="B12" s="4" t="s">
        <v>342</v>
      </c>
      <c r="C12" s="114"/>
      <c r="D12" s="114"/>
      <c r="E12" s="114"/>
      <c r="F12" s="114"/>
      <c r="G12" s="114"/>
      <c r="H12" s="114"/>
      <c r="I12" s="115" t="s">
        <v>343</v>
      </c>
      <c r="J12" s="116"/>
      <c r="K12" s="116"/>
      <c r="L12" s="116"/>
      <c r="M12" s="116"/>
      <c r="N12" s="116"/>
      <c r="O12" s="116"/>
      <c r="P12" s="116"/>
      <c r="Q12" s="133"/>
      <c r="R12" s="4" t="s">
        <v>342</v>
      </c>
      <c r="S12" s="114"/>
      <c r="T12" s="5"/>
      <c r="U12" s="5"/>
      <c r="V12" s="5"/>
      <c r="W12" s="5"/>
      <c r="X12" s="5"/>
      <c r="Y12" s="8" t="s">
        <v>150</v>
      </c>
      <c r="Z12" s="119"/>
      <c r="AA12" s="291" t="s">
        <v>151</v>
      </c>
      <c r="AB12" s="292"/>
      <c r="AC12" s="293"/>
      <c r="AD12" s="117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s="1" customFormat="1" ht="14.45" customHeight="1" x14ac:dyDescent="0.25">
      <c r="A13" s="131">
        <f>IF(B13="","",COUNTA($B$8:B13))</f>
        <v>6</v>
      </c>
      <c r="B13" s="8" t="s">
        <v>300</v>
      </c>
      <c r="C13" s="114"/>
      <c r="D13" s="114"/>
      <c r="E13" s="114"/>
      <c r="F13" s="114"/>
      <c r="G13" s="114"/>
      <c r="H13" s="134"/>
      <c r="I13" s="115" t="s">
        <v>301</v>
      </c>
      <c r="J13" s="116"/>
      <c r="K13" s="116"/>
      <c r="L13" s="116"/>
      <c r="M13" s="116"/>
      <c r="N13" s="116"/>
      <c r="O13" s="116"/>
      <c r="P13" s="116"/>
      <c r="Q13" s="133"/>
      <c r="R13" s="8" t="s">
        <v>300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26"/>
      <c r="AE13" s="111"/>
      <c r="AF13" s="111"/>
      <c r="AG13" s="111"/>
      <c r="AH13" s="120"/>
      <c r="AI13" s="120" t="s">
        <v>161</v>
      </c>
      <c r="AJ13" s="120" t="s">
        <v>344</v>
      </c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5" customHeight="1" x14ac:dyDescent="0.25">
      <c r="A14" s="131">
        <f>IF(B14="","",COUNTA($B$8:B14))</f>
        <v>7</v>
      </c>
      <c r="B14" s="8" t="s">
        <v>345</v>
      </c>
      <c r="C14" s="114"/>
      <c r="D14" s="114"/>
      <c r="E14" s="114"/>
      <c r="F14" s="114"/>
      <c r="G14" s="114"/>
      <c r="H14" s="134"/>
      <c r="I14" s="115" t="s">
        <v>346</v>
      </c>
      <c r="J14" s="116"/>
      <c r="K14" s="116"/>
      <c r="L14" s="116"/>
      <c r="M14" s="116"/>
      <c r="N14" s="116"/>
      <c r="O14" s="116"/>
      <c r="P14" s="116"/>
      <c r="Q14" s="133"/>
      <c r="R14" s="8" t="s">
        <v>345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64" t="s">
        <v>170</v>
      </c>
      <c r="AB14" s="2"/>
      <c r="AC14" s="3"/>
      <c r="AD14" s="126"/>
      <c r="AE14" s="111"/>
      <c r="AF14" s="111"/>
      <c r="AG14" s="111"/>
      <c r="AH14" s="120"/>
      <c r="AI14" s="120" t="s">
        <v>344</v>
      </c>
      <c r="AJ14" s="120" t="s">
        <v>161</v>
      </c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5" customHeight="1" x14ac:dyDescent="0.25">
      <c r="A15" s="131">
        <f>IF(B15="","",COUNTA($B$8:B15))</f>
        <v>8</v>
      </c>
      <c r="B15" s="8" t="s">
        <v>307</v>
      </c>
      <c r="C15" s="114"/>
      <c r="D15" s="114"/>
      <c r="E15" s="114"/>
      <c r="F15" s="114"/>
      <c r="G15" s="114"/>
      <c r="H15" s="134"/>
      <c r="I15" s="115" t="s">
        <v>308</v>
      </c>
      <c r="J15" s="116"/>
      <c r="K15" s="116"/>
      <c r="L15" s="116"/>
      <c r="M15" s="116"/>
      <c r="N15" s="116"/>
      <c r="O15" s="116"/>
      <c r="P15" s="116"/>
      <c r="Q15" s="133"/>
      <c r="R15" s="8" t="s">
        <v>307</v>
      </c>
      <c r="S15" s="116"/>
      <c r="T15" s="116"/>
      <c r="U15" s="116"/>
      <c r="V15" s="116"/>
      <c r="W15" s="116"/>
      <c r="X15" s="134"/>
      <c r="Y15" s="8" t="s">
        <v>169</v>
      </c>
      <c r="Z15" s="119"/>
      <c r="AA15" s="64" t="s">
        <v>170</v>
      </c>
      <c r="AB15" s="2"/>
      <c r="AC15" s="3"/>
      <c r="AD15" s="159"/>
      <c r="AE15" s="111"/>
      <c r="AF15" s="111"/>
      <c r="AG15" s="111"/>
      <c r="AH15" s="120"/>
      <c r="AI15" s="120" t="s">
        <v>340</v>
      </c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5" customHeight="1" x14ac:dyDescent="0.25">
      <c r="A16" s="131">
        <f>IF(B16="","",COUNTA($B$8:B16))</f>
        <v>9</v>
      </c>
      <c r="B16" s="8" t="s">
        <v>305</v>
      </c>
      <c r="C16" s="114"/>
      <c r="D16" s="114"/>
      <c r="E16" s="114"/>
      <c r="F16" s="114"/>
      <c r="G16" s="114"/>
      <c r="H16" s="114"/>
      <c r="I16" s="115" t="s">
        <v>306</v>
      </c>
      <c r="J16" s="116"/>
      <c r="K16" s="116"/>
      <c r="L16" s="116"/>
      <c r="M16" s="116"/>
      <c r="N16" s="116"/>
      <c r="O16" s="116"/>
      <c r="P16" s="116"/>
      <c r="Q16" s="116"/>
      <c r="R16" s="8" t="s">
        <v>305</v>
      </c>
      <c r="S16" s="114"/>
      <c r="T16" s="5"/>
      <c r="U16" s="5"/>
      <c r="V16" s="5"/>
      <c r="W16" s="5"/>
      <c r="X16" s="5"/>
      <c r="Y16" s="8" t="s">
        <v>150</v>
      </c>
      <c r="Z16" s="119"/>
      <c r="AA16" s="64" t="s">
        <v>151</v>
      </c>
      <c r="AB16" s="2"/>
      <c r="AC16" s="3"/>
      <c r="AD16" s="117">
        <v>10</v>
      </c>
      <c r="AE16" s="120" t="s">
        <v>244</v>
      </c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  <c r="AP16" s="122"/>
      <c r="AQ16" s="122"/>
      <c r="AR16" s="122"/>
      <c r="AS16" s="123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178</v>
      </c>
      <c r="C17" s="114"/>
      <c r="D17" s="114"/>
      <c r="E17" s="114"/>
      <c r="F17" s="114"/>
      <c r="G17" s="114"/>
      <c r="H17" s="134"/>
      <c r="I17" s="115" t="s">
        <v>179</v>
      </c>
      <c r="J17" s="116"/>
      <c r="K17" s="116"/>
      <c r="L17" s="116"/>
      <c r="M17" s="116"/>
      <c r="N17" s="116"/>
      <c r="O17" s="116"/>
      <c r="P17" s="116"/>
      <c r="Q17" s="133"/>
      <c r="R17" s="8" t="s">
        <v>178</v>
      </c>
      <c r="S17" s="116"/>
      <c r="T17" s="116"/>
      <c r="U17" s="116"/>
      <c r="V17" s="116"/>
      <c r="W17" s="116"/>
      <c r="X17" s="134"/>
      <c r="Y17" s="289" t="s">
        <v>150</v>
      </c>
      <c r="Z17" s="290"/>
      <c r="AA17" s="291" t="s">
        <v>151</v>
      </c>
      <c r="AB17" s="292"/>
      <c r="AC17" s="293"/>
      <c r="AD17" s="126">
        <v>20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180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347</v>
      </c>
      <c r="C18" s="114"/>
      <c r="D18" s="114"/>
      <c r="E18" s="114"/>
      <c r="F18" s="114"/>
      <c r="G18" s="114"/>
      <c r="H18" s="134"/>
      <c r="I18" s="115" t="s">
        <v>348</v>
      </c>
      <c r="J18" s="116"/>
      <c r="K18" s="116"/>
      <c r="L18" s="116"/>
      <c r="M18" s="116"/>
      <c r="N18" s="116"/>
      <c r="O18" s="116"/>
      <c r="P18" s="116"/>
      <c r="Q18" s="133"/>
      <c r="R18" s="8" t="s">
        <v>347</v>
      </c>
      <c r="S18" s="116"/>
      <c r="T18" s="116"/>
      <c r="U18" s="116"/>
      <c r="V18" s="116"/>
      <c r="W18" s="116"/>
      <c r="X18" s="134"/>
      <c r="Y18" s="289" t="s">
        <v>150</v>
      </c>
      <c r="Z18" s="290"/>
      <c r="AA18" s="291" t="s">
        <v>151</v>
      </c>
      <c r="AB18" s="292"/>
      <c r="AC18" s="293"/>
      <c r="AD18" s="126">
        <v>30</v>
      </c>
      <c r="AE18" s="111"/>
      <c r="AF18" s="111"/>
      <c r="AG18" s="111"/>
      <c r="AH18" s="120">
        <v>0</v>
      </c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 t="s">
        <v>349</v>
      </c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350</v>
      </c>
      <c r="C19" s="114"/>
      <c r="D19" s="114"/>
      <c r="E19" s="114"/>
      <c r="F19" s="114"/>
      <c r="G19" s="114"/>
      <c r="H19" s="134"/>
      <c r="I19" s="115" t="s">
        <v>351</v>
      </c>
      <c r="J19" s="116"/>
      <c r="K19" s="116"/>
      <c r="L19" s="116"/>
      <c r="M19" s="116"/>
      <c r="N19" s="116"/>
      <c r="O19" s="116"/>
      <c r="P19" s="116"/>
      <c r="Q19" s="133"/>
      <c r="R19" s="8" t="s">
        <v>350</v>
      </c>
      <c r="S19" s="116"/>
      <c r="T19" s="116"/>
      <c r="U19" s="116"/>
      <c r="V19" s="116"/>
      <c r="W19" s="116"/>
      <c r="X19" s="134"/>
      <c r="Y19" s="289" t="s">
        <v>155</v>
      </c>
      <c r="Z19" s="290"/>
      <c r="AA19" s="291" t="s">
        <v>156</v>
      </c>
      <c r="AB19" s="292"/>
      <c r="AC19" s="293"/>
      <c r="AD19" s="126">
        <v>3</v>
      </c>
      <c r="AE19" s="122"/>
      <c r="AF19" s="122"/>
      <c r="AG19" s="121"/>
      <c r="AH19" s="121">
        <v>0</v>
      </c>
      <c r="AI19" s="121"/>
      <c r="AJ19" s="121"/>
      <c r="AK19" s="121"/>
      <c r="AL19" s="121"/>
      <c r="AM19" s="121"/>
      <c r="AN19" s="121"/>
      <c r="AO19" s="122"/>
      <c r="AP19" s="122"/>
      <c r="AQ19" s="122"/>
      <c r="AR19" s="122"/>
      <c r="AS19" s="123" t="s">
        <v>352</v>
      </c>
      <c r="AT19" s="161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5" customHeight="1" x14ac:dyDescent="0.25">
      <c r="A20" s="131" t="str">
        <f>IF(B20="","",COUNTA($B$8:B20))</f>
        <v/>
      </c>
      <c r="B20" s="8"/>
      <c r="C20" s="114"/>
      <c r="D20" s="114"/>
      <c r="E20" s="114"/>
      <c r="F20" s="114"/>
      <c r="G20" s="114"/>
      <c r="H20" s="134"/>
      <c r="I20" s="115"/>
      <c r="J20" s="116"/>
      <c r="K20" s="116"/>
      <c r="L20" s="116"/>
      <c r="M20" s="116"/>
      <c r="N20" s="116"/>
      <c r="O20" s="116"/>
      <c r="P20" s="116"/>
      <c r="Q20" s="133"/>
      <c r="R20" s="8"/>
      <c r="S20" s="116"/>
      <c r="T20" s="116"/>
      <c r="U20" s="116"/>
      <c r="V20" s="116"/>
      <c r="W20" s="116"/>
      <c r="X20" s="134"/>
      <c r="Y20" s="289"/>
      <c r="Z20" s="290"/>
      <c r="AA20" s="291"/>
      <c r="AB20" s="292"/>
      <c r="AC20" s="293"/>
      <c r="AD20" s="126"/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 t="s">
        <v>192</v>
      </c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5" customHeight="1" x14ac:dyDescent="0.25">
      <c r="A21" s="131">
        <f>IF(B21="","",COUNTA($B$8:B21))</f>
        <v>13</v>
      </c>
      <c r="B21" s="132" t="s">
        <v>353</v>
      </c>
      <c r="C21" s="2"/>
      <c r="D21" s="2"/>
      <c r="E21" s="2"/>
      <c r="F21" s="2"/>
      <c r="G21" s="2"/>
      <c r="H21" s="3"/>
      <c r="I21" s="115" t="s">
        <v>354</v>
      </c>
      <c r="J21" s="116"/>
      <c r="K21" s="116"/>
      <c r="L21" s="116"/>
      <c r="M21" s="116"/>
      <c r="N21" s="116"/>
      <c r="O21" s="116"/>
      <c r="P21" s="116"/>
      <c r="Q21" s="133"/>
      <c r="R21" s="132" t="s">
        <v>353</v>
      </c>
      <c r="S21" s="116"/>
      <c r="T21" s="116"/>
      <c r="U21" s="116"/>
      <c r="V21" s="116"/>
      <c r="W21" s="116"/>
      <c r="X21" s="134"/>
      <c r="Y21" s="289" t="s">
        <v>155</v>
      </c>
      <c r="Z21" s="290"/>
      <c r="AA21" s="291" t="s">
        <v>156</v>
      </c>
      <c r="AB21" s="292"/>
      <c r="AC21" s="293"/>
      <c r="AD21" s="126">
        <v>3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5" customHeight="1" x14ac:dyDescent="0.25">
      <c r="A22" s="131">
        <f>IF(B22="","",COUNTA($B$8:B22))</f>
        <v>14</v>
      </c>
      <c r="B22" s="8" t="s">
        <v>153</v>
      </c>
      <c r="C22" s="114"/>
      <c r="D22" s="114"/>
      <c r="E22" s="114"/>
      <c r="F22" s="114"/>
      <c r="G22" s="114"/>
      <c r="H22" s="134"/>
      <c r="I22" s="115" t="s">
        <v>154</v>
      </c>
      <c r="J22" s="116"/>
      <c r="K22" s="116"/>
      <c r="L22" s="116"/>
      <c r="M22" s="116"/>
      <c r="N22" s="116"/>
      <c r="O22" s="116"/>
      <c r="P22" s="116"/>
      <c r="Q22" s="133"/>
      <c r="R22" s="8" t="s">
        <v>153</v>
      </c>
      <c r="S22" s="116"/>
      <c r="T22" s="116"/>
      <c r="U22" s="116"/>
      <c r="V22" s="116"/>
      <c r="W22" s="116"/>
      <c r="X22" s="134"/>
      <c r="Y22" s="289" t="s">
        <v>155</v>
      </c>
      <c r="Z22" s="290"/>
      <c r="AA22" s="291" t="s">
        <v>156</v>
      </c>
      <c r="AB22" s="292"/>
      <c r="AC22" s="293"/>
      <c r="AD22" s="126">
        <v>3</v>
      </c>
      <c r="AE22" s="111"/>
      <c r="AF22" s="111"/>
      <c r="AG22" s="120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 t="s">
        <v>355</v>
      </c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5" customHeight="1" x14ac:dyDescent="0.25">
      <c r="A23" s="131">
        <f>IF(B23="","",COUNTA($B$8:B23))</f>
        <v>15</v>
      </c>
      <c r="B23" s="8" t="s">
        <v>187</v>
      </c>
      <c r="C23" s="114"/>
      <c r="D23" s="114"/>
      <c r="E23" s="114"/>
      <c r="F23" s="114"/>
      <c r="G23" s="114"/>
      <c r="H23" s="134"/>
      <c r="I23" s="115" t="s">
        <v>188</v>
      </c>
      <c r="J23" s="116"/>
      <c r="K23" s="116"/>
      <c r="L23" s="116"/>
      <c r="M23" s="116"/>
      <c r="N23" s="116"/>
      <c r="O23" s="116"/>
      <c r="P23" s="116"/>
      <c r="Q23" s="133"/>
      <c r="R23" s="8" t="s">
        <v>187</v>
      </c>
      <c r="S23" s="116"/>
      <c r="T23" s="116"/>
      <c r="U23" s="116"/>
      <c r="V23" s="116"/>
      <c r="W23" s="116"/>
      <c r="X23" s="134"/>
      <c r="Y23" s="289" t="s">
        <v>155</v>
      </c>
      <c r="Z23" s="290"/>
      <c r="AA23" s="291" t="s">
        <v>156</v>
      </c>
      <c r="AB23" s="292"/>
      <c r="AC23" s="293"/>
      <c r="AD23" s="126">
        <v>3</v>
      </c>
      <c r="AE23" s="111"/>
      <c r="AF23" s="111"/>
      <c r="AG23" s="111"/>
      <c r="AH23" s="121"/>
      <c r="AI23" s="121"/>
      <c r="AJ23" s="121"/>
      <c r="AK23" s="121"/>
      <c r="AL23" s="121"/>
      <c r="AM23" s="121"/>
      <c r="AN23" s="121"/>
      <c r="AO23" s="122"/>
      <c r="AP23" s="122"/>
      <c r="AQ23" s="122"/>
      <c r="AR23" s="122"/>
      <c r="AS23" s="123"/>
      <c r="AT23" s="161"/>
      <c r="AU23" s="124"/>
      <c r="AV23" s="124"/>
      <c r="AW23" s="124"/>
      <c r="AX23" s="157"/>
      <c r="AY23" s="157"/>
      <c r="AZ23" s="157"/>
      <c r="BA23" s="157"/>
      <c r="BB23" s="157"/>
      <c r="BC23" s="157"/>
      <c r="BD23" s="158"/>
    </row>
    <row r="24" spans="1:57" s="1" customFormat="1" ht="14.45" customHeight="1" x14ac:dyDescent="0.25">
      <c r="A24" s="131">
        <f>IF(B24="","",COUNTA($B$8:B24))</f>
        <v>16</v>
      </c>
      <c r="B24" s="64" t="s">
        <v>193</v>
      </c>
      <c r="C24" s="2"/>
      <c r="D24" s="2"/>
      <c r="E24" s="2"/>
      <c r="F24" s="2"/>
      <c r="G24" s="2"/>
      <c r="H24" s="3"/>
      <c r="I24" s="115" t="s">
        <v>194</v>
      </c>
      <c r="J24" s="116"/>
      <c r="K24" s="116"/>
      <c r="L24" s="116"/>
      <c r="M24" s="116"/>
      <c r="N24" s="116"/>
      <c r="O24" s="116"/>
      <c r="P24" s="116"/>
      <c r="Q24" s="133"/>
      <c r="R24" s="64" t="s">
        <v>193</v>
      </c>
      <c r="S24" s="116"/>
      <c r="T24" s="116"/>
      <c r="U24" s="116"/>
      <c r="V24" s="116"/>
      <c r="W24" s="116"/>
      <c r="X24" s="134"/>
      <c r="Y24" s="289" t="s">
        <v>150</v>
      </c>
      <c r="Z24" s="290"/>
      <c r="AA24" s="291" t="s">
        <v>151</v>
      </c>
      <c r="AB24" s="292"/>
      <c r="AC24" s="293"/>
      <c r="AD24" s="126">
        <v>25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1408</v>
      </c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8"/>
    </row>
    <row r="25" spans="1:57" s="1" customFormat="1" ht="14.45" customHeight="1" x14ac:dyDescent="0.25">
      <c r="A25" s="131">
        <f>IF(B25="","",COUNTA($B$8:B25))</f>
        <v>17</v>
      </c>
      <c r="B25" s="8" t="s">
        <v>195</v>
      </c>
      <c r="C25" s="114"/>
      <c r="D25" s="114"/>
      <c r="E25" s="114"/>
      <c r="F25" s="114"/>
      <c r="G25" s="114"/>
      <c r="H25" s="134"/>
      <c r="I25" s="115" t="s">
        <v>196</v>
      </c>
      <c r="J25" s="116"/>
      <c r="K25" s="116"/>
      <c r="L25" s="116"/>
      <c r="M25" s="116"/>
      <c r="N25" s="116"/>
      <c r="O25" s="116"/>
      <c r="P25" s="116"/>
      <c r="Q25" s="133"/>
      <c r="R25" s="8" t="s">
        <v>195</v>
      </c>
      <c r="S25" s="116"/>
      <c r="T25" s="116"/>
      <c r="U25" s="116"/>
      <c r="V25" s="116"/>
      <c r="W25" s="116"/>
      <c r="X25" s="134"/>
      <c r="Y25" s="289" t="s">
        <v>150</v>
      </c>
      <c r="Z25" s="290"/>
      <c r="AA25" s="291" t="s">
        <v>151</v>
      </c>
      <c r="AB25" s="292"/>
      <c r="AC25" s="293"/>
      <c r="AD25" s="187">
        <v>400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1512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1511</v>
      </c>
    </row>
    <row r="26" spans="1:57" s="1" customFormat="1" ht="14.45" customHeight="1" x14ac:dyDescent="0.25">
      <c r="A26" s="131">
        <f>IF(B26="","",COUNTA($B$8:B26))</f>
        <v>18</v>
      </c>
      <c r="B26" s="8" t="s">
        <v>197</v>
      </c>
      <c r="C26" s="114"/>
      <c r="D26" s="114"/>
      <c r="E26" s="114"/>
      <c r="F26" s="114"/>
      <c r="G26" s="114"/>
      <c r="H26" s="134"/>
      <c r="I26" s="115" t="s">
        <v>198</v>
      </c>
      <c r="J26" s="116"/>
      <c r="K26" s="116"/>
      <c r="L26" s="116"/>
      <c r="M26" s="116"/>
      <c r="N26" s="116"/>
      <c r="O26" s="116"/>
      <c r="P26" s="116"/>
      <c r="Q26" s="133"/>
      <c r="R26" s="8" t="s">
        <v>197</v>
      </c>
      <c r="S26" s="116"/>
      <c r="T26" s="116"/>
      <c r="U26" s="116"/>
      <c r="V26" s="116"/>
      <c r="W26" s="116"/>
      <c r="X26" s="134"/>
      <c r="Y26" s="289" t="s">
        <v>150</v>
      </c>
      <c r="Z26" s="290"/>
      <c r="AA26" s="291" t="s">
        <v>151</v>
      </c>
      <c r="AB26" s="292"/>
      <c r="AC26" s="293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199</v>
      </c>
      <c r="C27" s="114"/>
      <c r="D27" s="114"/>
      <c r="E27" s="114"/>
      <c r="F27" s="114"/>
      <c r="G27" s="114"/>
      <c r="H27" s="134"/>
      <c r="I27" s="115" t="s">
        <v>200</v>
      </c>
      <c r="J27" s="116"/>
      <c r="K27" s="116"/>
      <c r="L27" s="116"/>
      <c r="M27" s="116"/>
      <c r="N27" s="116"/>
      <c r="O27" s="116"/>
      <c r="P27" s="116"/>
      <c r="Q27" s="133"/>
      <c r="R27" s="8" t="s">
        <v>199</v>
      </c>
      <c r="S27" s="116"/>
      <c r="T27" s="116"/>
      <c r="U27" s="116"/>
      <c r="V27" s="116"/>
      <c r="W27" s="116"/>
      <c r="X27" s="134"/>
      <c r="Y27" s="289" t="s">
        <v>150</v>
      </c>
      <c r="Z27" s="290"/>
      <c r="AA27" s="291" t="s">
        <v>151</v>
      </c>
      <c r="AB27" s="292"/>
      <c r="AC27" s="293"/>
      <c r="AD27" s="126">
        <v>20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8" t="s">
        <v>201</v>
      </c>
      <c r="C28" s="114"/>
      <c r="D28" s="114"/>
      <c r="E28" s="114"/>
      <c r="F28" s="114"/>
      <c r="G28" s="114"/>
      <c r="H28" s="134"/>
      <c r="I28" s="115" t="s">
        <v>202</v>
      </c>
      <c r="J28" s="116"/>
      <c r="K28" s="116"/>
      <c r="L28" s="116"/>
      <c r="M28" s="116"/>
      <c r="N28" s="116"/>
      <c r="O28" s="116"/>
      <c r="P28" s="116"/>
      <c r="Q28" s="133"/>
      <c r="R28" s="8" t="s">
        <v>201</v>
      </c>
      <c r="S28" s="116"/>
      <c r="T28" s="116"/>
      <c r="U28" s="116"/>
      <c r="V28" s="116"/>
      <c r="W28" s="116"/>
      <c r="X28" s="134"/>
      <c r="Y28" s="289" t="s">
        <v>150</v>
      </c>
      <c r="Z28" s="290"/>
      <c r="AA28" s="291" t="s">
        <v>151</v>
      </c>
      <c r="AB28" s="292"/>
      <c r="AC28" s="293"/>
      <c r="AD28" s="126">
        <v>30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203</v>
      </c>
      <c r="C29" s="114"/>
      <c r="D29" s="114"/>
      <c r="E29" s="114"/>
      <c r="F29" s="114"/>
      <c r="G29" s="114"/>
      <c r="H29" s="134"/>
      <c r="I29" s="115" t="s">
        <v>204</v>
      </c>
      <c r="J29" s="116"/>
      <c r="K29" s="116"/>
      <c r="L29" s="116"/>
      <c r="M29" s="116"/>
      <c r="N29" s="116"/>
      <c r="O29" s="116"/>
      <c r="P29" s="116"/>
      <c r="Q29" s="133"/>
      <c r="R29" s="132" t="s">
        <v>203</v>
      </c>
      <c r="S29" s="116"/>
      <c r="T29" s="116"/>
      <c r="U29" s="116"/>
      <c r="V29" s="116"/>
      <c r="W29" s="116"/>
      <c r="X29" s="134"/>
      <c r="Y29" s="289" t="s">
        <v>155</v>
      </c>
      <c r="Z29" s="290"/>
      <c r="AA29" s="291" t="s">
        <v>156</v>
      </c>
      <c r="AB29" s="292"/>
      <c r="AC29" s="293"/>
      <c r="AD29" s="126">
        <v>5</v>
      </c>
      <c r="AE29" s="111">
        <v>2</v>
      </c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205</v>
      </c>
      <c r="C30" s="2"/>
      <c r="D30" s="2"/>
      <c r="E30" s="2"/>
      <c r="F30" s="2"/>
      <c r="G30" s="2"/>
      <c r="H30" s="3"/>
      <c r="I30" s="115" t="s">
        <v>206</v>
      </c>
      <c r="J30" s="116"/>
      <c r="K30" s="116"/>
      <c r="L30" s="116"/>
      <c r="M30" s="116"/>
      <c r="N30" s="116"/>
      <c r="O30" s="116"/>
      <c r="P30" s="116"/>
      <c r="Q30" s="133"/>
      <c r="R30" s="132" t="s">
        <v>207</v>
      </c>
      <c r="S30" s="116"/>
      <c r="T30" s="116"/>
      <c r="U30" s="116"/>
      <c r="V30" s="116"/>
      <c r="W30" s="116"/>
      <c r="X30" s="134"/>
      <c r="Y30" s="289" t="s">
        <v>155</v>
      </c>
      <c r="Z30" s="290"/>
      <c r="AA30" s="291" t="s">
        <v>156</v>
      </c>
      <c r="AB30" s="292"/>
      <c r="AC30" s="293"/>
      <c r="AD30" s="126">
        <v>4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208</v>
      </c>
      <c r="C31" s="2"/>
      <c r="D31" s="2"/>
      <c r="E31" s="2"/>
      <c r="F31" s="2"/>
      <c r="G31" s="2"/>
      <c r="H31" s="3"/>
      <c r="I31" s="115" t="s">
        <v>209</v>
      </c>
      <c r="J31" s="116"/>
      <c r="K31" s="116"/>
      <c r="L31" s="116"/>
      <c r="M31" s="116"/>
      <c r="N31" s="116"/>
      <c r="O31" s="116"/>
      <c r="P31" s="116"/>
      <c r="Q31" s="133"/>
      <c r="R31" s="132" t="s">
        <v>210</v>
      </c>
      <c r="S31" s="116"/>
      <c r="T31" s="116"/>
      <c r="U31" s="116"/>
      <c r="V31" s="116"/>
      <c r="W31" s="116"/>
      <c r="X31" s="134"/>
      <c r="Y31" s="289" t="s">
        <v>155</v>
      </c>
      <c r="Z31" s="290"/>
      <c r="AA31" s="291" t="s">
        <v>156</v>
      </c>
      <c r="AB31" s="292"/>
      <c r="AC31" s="293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8" t="s">
        <v>621</v>
      </c>
      <c r="C32" s="114"/>
      <c r="D32" s="114"/>
      <c r="E32" s="114"/>
      <c r="F32" s="114"/>
      <c r="G32" s="114"/>
      <c r="H32" s="134"/>
      <c r="I32" s="115" t="s">
        <v>1399</v>
      </c>
      <c r="J32" s="116"/>
      <c r="K32" s="116"/>
      <c r="L32" s="116"/>
      <c r="M32" s="116"/>
      <c r="N32" s="116"/>
      <c r="O32" s="116"/>
      <c r="P32" s="116"/>
      <c r="Q32" s="133"/>
      <c r="R32" s="8" t="s">
        <v>621</v>
      </c>
      <c r="S32" s="116"/>
      <c r="T32" s="116"/>
      <c r="U32" s="116"/>
      <c r="V32" s="116"/>
      <c r="W32" s="116"/>
      <c r="X32" s="133"/>
      <c r="Y32" s="289" t="s">
        <v>150</v>
      </c>
      <c r="Z32" s="290"/>
      <c r="AA32" s="291" t="s">
        <v>151</v>
      </c>
      <c r="AB32" s="292"/>
      <c r="AC32" s="293"/>
      <c r="AD32" s="187">
        <v>30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 t="s">
        <v>1398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  <c r="BE32" s="1" t="s">
        <v>1511</v>
      </c>
    </row>
    <row r="33" spans="1:57" s="1" customFormat="1" ht="14.45" customHeight="1" x14ac:dyDescent="0.25">
      <c r="A33" s="131">
        <f>IF(B33="","",COUNTA($B$8:B33))</f>
        <v>25</v>
      </c>
      <c r="B33" s="8" t="s">
        <v>673</v>
      </c>
      <c r="C33" s="114"/>
      <c r="D33" s="114"/>
      <c r="E33" s="114"/>
      <c r="F33" s="114"/>
      <c r="G33" s="114"/>
      <c r="H33" s="134"/>
      <c r="I33" s="115" t="s">
        <v>1402</v>
      </c>
      <c r="J33" s="116"/>
      <c r="K33" s="116"/>
      <c r="L33" s="116"/>
      <c r="M33" s="116"/>
      <c r="N33" s="116"/>
      <c r="O33" s="116"/>
      <c r="P33" s="116"/>
      <c r="Q33" s="133"/>
      <c r="R33" s="8" t="s">
        <v>673</v>
      </c>
      <c r="S33" s="116"/>
      <c r="T33" s="116"/>
      <c r="U33" s="116"/>
      <c r="V33" s="116"/>
      <c r="W33" s="116"/>
      <c r="X33" s="133"/>
      <c r="Y33" s="289" t="s">
        <v>150</v>
      </c>
      <c r="Z33" s="290"/>
      <c r="AA33" s="291" t="s">
        <v>151</v>
      </c>
      <c r="AB33" s="292"/>
      <c r="AC33" s="293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1400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  <c r="BE33" s="1" t="s">
        <v>1403</v>
      </c>
    </row>
    <row r="34" spans="1:57" s="1" customFormat="1" ht="14.45" customHeight="1" x14ac:dyDescent="0.25">
      <c r="A34" s="131">
        <f>IF(B34="","",COUNTA($B$8:B34))</f>
        <v>26</v>
      </c>
      <c r="B34" s="132" t="s">
        <v>309</v>
      </c>
      <c r="C34" s="114"/>
      <c r="D34" s="114"/>
      <c r="E34" s="114"/>
      <c r="F34" s="114"/>
      <c r="G34" s="114"/>
      <c r="H34" s="134"/>
      <c r="I34" s="115" t="s">
        <v>310</v>
      </c>
      <c r="J34" s="116"/>
      <c r="K34" s="116"/>
      <c r="L34" s="116"/>
      <c r="M34" s="116"/>
      <c r="N34" s="116"/>
      <c r="O34" s="116"/>
      <c r="P34" s="116"/>
      <c r="Q34" s="133"/>
      <c r="R34" s="132" t="s">
        <v>309</v>
      </c>
      <c r="S34" s="116"/>
      <c r="T34" s="116"/>
      <c r="U34" s="116"/>
      <c r="V34" s="116"/>
      <c r="W34" s="116"/>
      <c r="X34" s="134"/>
      <c r="Y34" s="289" t="s">
        <v>155</v>
      </c>
      <c r="Z34" s="290"/>
      <c r="AA34" s="291" t="s">
        <v>156</v>
      </c>
      <c r="AB34" s="292"/>
      <c r="AC34" s="293"/>
      <c r="AD34" s="126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7" s="1" customFormat="1" ht="14.45" customHeight="1" x14ac:dyDescent="0.25">
      <c r="A35" s="131">
        <f>IF(B35="","",COUNTA($B$8:B35))</f>
        <v>27</v>
      </c>
      <c r="B35" s="132" t="s">
        <v>211</v>
      </c>
      <c r="C35" s="114"/>
      <c r="D35" s="114"/>
      <c r="E35" s="114"/>
      <c r="F35" s="114"/>
      <c r="G35" s="114"/>
      <c r="H35" s="134"/>
      <c r="I35" s="115" t="s">
        <v>212</v>
      </c>
      <c r="J35" s="116"/>
      <c r="K35" s="116"/>
      <c r="L35" s="116"/>
      <c r="M35" s="116"/>
      <c r="N35" s="116"/>
      <c r="O35" s="116"/>
      <c r="P35" s="116"/>
      <c r="Q35" s="133"/>
      <c r="R35" s="132" t="s">
        <v>213</v>
      </c>
      <c r="S35" s="116"/>
      <c r="T35" s="116"/>
      <c r="U35" s="116"/>
      <c r="V35" s="116"/>
      <c r="W35" s="116"/>
      <c r="X35" s="134"/>
      <c r="Y35" s="289" t="s">
        <v>155</v>
      </c>
      <c r="Z35" s="290"/>
      <c r="AA35" s="291" t="s">
        <v>156</v>
      </c>
      <c r="AB35" s="292"/>
      <c r="AC35" s="293"/>
      <c r="AD35" s="126">
        <v>5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7" s="1" customFormat="1" ht="14.45" customHeight="1" x14ac:dyDescent="0.25">
      <c r="A36" s="131">
        <f>IF(B36="","",COUNTA($B$8:B36))</f>
        <v>28</v>
      </c>
      <c r="B36" s="8" t="s">
        <v>356</v>
      </c>
      <c r="C36" s="114"/>
      <c r="D36" s="114"/>
      <c r="E36" s="114"/>
      <c r="F36" s="114"/>
      <c r="G36" s="114"/>
      <c r="H36" s="134"/>
      <c r="I36" s="115" t="s">
        <v>357</v>
      </c>
      <c r="J36" s="116"/>
      <c r="K36" s="116"/>
      <c r="L36" s="116"/>
      <c r="M36" s="116"/>
      <c r="N36" s="116"/>
      <c r="O36" s="116"/>
      <c r="P36" s="116"/>
      <c r="Q36" s="133"/>
      <c r="R36" s="8" t="s">
        <v>356</v>
      </c>
      <c r="S36" s="116"/>
      <c r="T36" s="116"/>
      <c r="U36" s="116"/>
      <c r="V36" s="116"/>
      <c r="W36" s="116"/>
      <c r="X36" s="134"/>
      <c r="Y36" s="289" t="s">
        <v>150</v>
      </c>
      <c r="Z36" s="290"/>
      <c r="AA36" s="291" t="s">
        <v>151</v>
      </c>
      <c r="AB36" s="292"/>
      <c r="AC36" s="293"/>
      <c r="AD36" s="126">
        <v>30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7" s="1" customFormat="1" ht="14.45" customHeight="1" x14ac:dyDescent="0.25">
      <c r="A37" s="131">
        <f>IF(B37="","",COUNTA($B$8:B37))</f>
        <v>29</v>
      </c>
      <c r="B37" s="132" t="s">
        <v>311</v>
      </c>
      <c r="C37" s="114"/>
      <c r="D37" s="114"/>
      <c r="E37" s="114"/>
      <c r="F37" s="114"/>
      <c r="G37" s="114"/>
      <c r="H37" s="134"/>
      <c r="I37" s="115" t="s">
        <v>312</v>
      </c>
      <c r="J37" s="116"/>
      <c r="K37" s="116"/>
      <c r="L37" s="116"/>
      <c r="M37" s="116"/>
      <c r="N37" s="116"/>
      <c r="O37" s="116"/>
      <c r="P37" s="116"/>
      <c r="Q37" s="133"/>
      <c r="R37" s="132" t="s">
        <v>313</v>
      </c>
      <c r="S37" s="116"/>
      <c r="T37" s="116"/>
      <c r="U37" s="116"/>
      <c r="V37" s="116"/>
      <c r="W37" s="116"/>
      <c r="X37" s="134"/>
      <c r="Y37" s="289" t="s">
        <v>155</v>
      </c>
      <c r="Z37" s="290"/>
      <c r="AA37" s="291" t="s">
        <v>156</v>
      </c>
      <c r="AB37" s="292"/>
      <c r="AC37" s="293"/>
      <c r="AD37" s="126">
        <v>5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7" s="1" customFormat="1" ht="14.45" customHeight="1" x14ac:dyDescent="0.25">
      <c r="A38" s="131">
        <f>IF(B38="","",COUNTA($B$8:B38))</f>
        <v>30</v>
      </c>
      <c r="B38" s="8" t="s">
        <v>358</v>
      </c>
      <c r="C38" s="114"/>
      <c r="D38" s="114"/>
      <c r="E38" s="114"/>
      <c r="F38" s="114"/>
      <c r="G38" s="114"/>
      <c r="H38" s="134"/>
      <c r="I38" s="115" t="s">
        <v>359</v>
      </c>
      <c r="J38" s="116"/>
      <c r="K38" s="116"/>
      <c r="L38" s="116"/>
      <c r="M38" s="116"/>
      <c r="N38" s="116"/>
      <c r="O38" s="116"/>
      <c r="P38" s="116"/>
      <c r="Q38" s="133"/>
      <c r="R38" s="8" t="s">
        <v>358</v>
      </c>
      <c r="S38" s="116"/>
      <c r="T38" s="116"/>
      <c r="U38" s="116"/>
      <c r="V38" s="116"/>
      <c r="W38" s="116"/>
      <c r="X38" s="134"/>
      <c r="Y38" s="289" t="s">
        <v>150</v>
      </c>
      <c r="Z38" s="290"/>
      <c r="AA38" s="291" t="s">
        <v>151</v>
      </c>
      <c r="AB38" s="292"/>
      <c r="AC38" s="293"/>
      <c r="AD38" s="126">
        <v>30</v>
      </c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7" s="1" customFormat="1" ht="14.45" customHeight="1" x14ac:dyDescent="0.25">
      <c r="A39" s="131">
        <f>IF(B39="","",COUNTA($B$8:B39))</f>
        <v>31</v>
      </c>
      <c r="B39" s="132" t="s">
        <v>360</v>
      </c>
      <c r="C39" s="114"/>
      <c r="D39" s="114"/>
      <c r="E39" s="114"/>
      <c r="F39" s="114"/>
      <c r="G39" s="114"/>
      <c r="H39" s="134"/>
      <c r="I39" s="115" t="s">
        <v>361</v>
      </c>
      <c r="J39" s="116"/>
      <c r="K39" s="116"/>
      <c r="L39" s="116"/>
      <c r="M39" s="116"/>
      <c r="N39" s="116"/>
      <c r="O39" s="116"/>
      <c r="P39" s="116"/>
      <c r="Q39" s="133"/>
      <c r="R39" s="132" t="s">
        <v>360</v>
      </c>
      <c r="S39" s="116"/>
      <c r="T39" s="116"/>
      <c r="U39" s="116"/>
      <c r="V39" s="116"/>
      <c r="W39" s="116"/>
      <c r="X39" s="134"/>
      <c r="Y39" s="289" t="s">
        <v>155</v>
      </c>
      <c r="Z39" s="290"/>
      <c r="AA39" s="291" t="s">
        <v>156</v>
      </c>
      <c r="AB39" s="292"/>
      <c r="AC39" s="293"/>
      <c r="AD39" s="126">
        <v>5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7" s="1" customFormat="1" ht="14.45" customHeight="1" x14ac:dyDescent="0.25">
      <c r="A40" s="131">
        <f>IF(B40="","",COUNTA($B$8:B40))</f>
        <v>32</v>
      </c>
      <c r="B40" s="8" t="s">
        <v>362</v>
      </c>
      <c r="C40" s="114"/>
      <c r="D40" s="114"/>
      <c r="E40" s="114"/>
      <c r="F40" s="114"/>
      <c r="G40" s="114"/>
      <c r="H40" s="134"/>
      <c r="I40" s="115" t="s">
        <v>363</v>
      </c>
      <c r="J40" s="116"/>
      <c r="K40" s="116"/>
      <c r="L40" s="116"/>
      <c r="M40" s="116"/>
      <c r="N40" s="116"/>
      <c r="O40" s="116"/>
      <c r="P40" s="116"/>
      <c r="Q40" s="133"/>
      <c r="R40" s="8" t="s">
        <v>362</v>
      </c>
      <c r="S40" s="116"/>
      <c r="T40" s="116"/>
      <c r="U40" s="116"/>
      <c r="V40" s="116"/>
      <c r="W40" s="116"/>
      <c r="X40" s="134"/>
      <c r="Y40" s="289" t="s">
        <v>150</v>
      </c>
      <c r="Z40" s="290"/>
      <c r="AA40" s="291" t="s">
        <v>151</v>
      </c>
      <c r="AB40" s="292"/>
      <c r="AC40" s="293"/>
      <c r="AD40" s="126">
        <v>30</v>
      </c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7" s="1" customFormat="1" ht="14.45" customHeight="1" x14ac:dyDescent="0.25">
      <c r="A41" s="131">
        <f>IF(B41="","",COUNTA($B$8:B41))</f>
        <v>33</v>
      </c>
      <c r="B41" s="8" t="s">
        <v>228</v>
      </c>
      <c r="C41" s="114"/>
      <c r="D41" s="114"/>
      <c r="E41" s="114"/>
      <c r="F41" s="114"/>
      <c r="G41" s="114"/>
      <c r="H41" s="134"/>
      <c r="I41" s="115" t="s">
        <v>229</v>
      </c>
      <c r="J41" s="116"/>
      <c r="K41" s="116"/>
      <c r="L41" s="116"/>
      <c r="M41" s="116"/>
      <c r="N41" s="116"/>
      <c r="O41" s="116"/>
      <c r="P41" s="116"/>
      <c r="Q41" s="133"/>
      <c r="R41" s="8" t="s">
        <v>228</v>
      </c>
      <c r="S41" s="116"/>
      <c r="T41" s="116"/>
      <c r="U41" s="116"/>
      <c r="V41" s="116"/>
      <c r="W41" s="116"/>
      <c r="X41" s="134"/>
      <c r="Y41" s="289" t="s">
        <v>150</v>
      </c>
      <c r="Z41" s="290"/>
      <c r="AA41" s="291" t="s">
        <v>151</v>
      </c>
      <c r="AB41" s="292"/>
      <c r="AC41" s="293"/>
      <c r="AD41" s="126">
        <v>1000</v>
      </c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7" s="1" customFormat="1" ht="14.45" customHeight="1" x14ac:dyDescent="0.25">
      <c r="A42" s="131">
        <f>IF(B42="","",COUNTA($B$8:B42))</f>
        <v>34</v>
      </c>
      <c r="B42" s="132" t="s">
        <v>364</v>
      </c>
      <c r="C42" s="2"/>
      <c r="D42" s="2"/>
      <c r="E42" s="2"/>
      <c r="F42" s="2"/>
      <c r="G42" s="2"/>
      <c r="H42" s="3"/>
      <c r="I42" s="115" t="s">
        <v>365</v>
      </c>
      <c r="J42" s="116"/>
      <c r="K42" s="116"/>
      <c r="L42" s="116"/>
      <c r="M42" s="116"/>
      <c r="N42" s="116"/>
      <c r="O42" s="116"/>
      <c r="P42" s="116"/>
      <c r="Q42" s="133"/>
      <c r="R42" s="132" t="s">
        <v>364</v>
      </c>
      <c r="S42" s="116"/>
      <c r="T42" s="116"/>
      <c r="U42" s="116"/>
      <c r="V42" s="116"/>
      <c r="W42" s="116"/>
      <c r="X42" s="134"/>
      <c r="Y42" s="289" t="s">
        <v>155</v>
      </c>
      <c r="Z42" s="290"/>
      <c r="AA42" s="291" t="s">
        <v>156</v>
      </c>
      <c r="AB42" s="292"/>
      <c r="AC42" s="293"/>
      <c r="AD42" s="126">
        <v>3</v>
      </c>
      <c r="AE42" s="111"/>
      <c r="AF42" s="111"/>
      <c r="AG42" s="111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7" s="1" customFormat="1" ht="14.45" customHeight="1" x14ac:dyDescent="0.25">
      <c r="A43" s="131">
        <f>IF(B43="","",COUNTA($B$8:B43))</f>
        <v>35</v>
      </c>
      <c r="B43" s="8" t="s">
        <v>314</v>
      </c>
      <c r="C43" s="114"/>
      <c r="D43" s="114"/>
      <c r="E43" s="114"/>
      <c r="F43" s="114"/>
      <c r="G43" s="114"/>
      <c r="H43" s="134"/>
      <c r="I43" s="115" t="s">
        <v>315</v>
      </c>
      <c r="J43" s="116"/>
      <c r="K43" s="116"/>
      <c r="L43" s="116"/>
      <c r="M43" s="116"/>
      <c r="N43" s="116"/>
      <c r="O43" s="116"/>
      <c r="P43" s="116"/>
      <c r="Q43" s="133"/>
      <c r="R43" s="8" t="s">
        <v>314</v>
      </c>
      <c r="S43" s="116"/>
      <c r="T43" s="116"/>
      <c r="U43" s="116"/>
      <c r="V43" s="116"/>
      <c r="W43" s="116"/>
      <c r="X43" s="134"/>
      <c r="Y43" s="289" t="s">
        <v>150</v>
      </c>
      <c r="Z43" s="290"/>
      <c r="AA43" s="291" t="s">
        <v>151</v>
      </c>
      <c r="AB43" s="292"/>
      <c r="AC43" s="293"/>
      <c r="AD43" s="126">
        <v>5</v>
      </c>
      <c r="AE43" s="111"/>
      <c r="AF43" s="111"/>
      <c r="AG43" s="111"/>
      <c r="AH43" s="120"/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7" s="1" customFormat="1" ht="14.45" customHeight="1" x14ac:dyDescent="0.25">
      <c r="A44" s="131">
        <f>IF(B44="","",COUNTA($B$8:B44))</f>
        <v>36</v>
      </c>
      <c r="B44" s="8" t="s">
        <v>316</v>
      </c>
      <c r="C44" s="114"/>
      <c r="D44" s="114"/>
      <c r="E44" s="114"/>
      <c r="F44" s="114"/>
      <c r="G44" s="114"/>
      <c r="H44" s="134"/>
      <c r="I44" s="115" t="s">
        <v>317</v>
      </c>
      <c r="J44" s="116"/>
      <c r="K44" s="116"/>
      <c r="L44" s="116"/>
      <c r="M44" s="116"/>
      <c r="N44" s="116"/>
      <c r="O44" s="116"/>
      <c r="P44" s="116"/>
      <c r="Q44" s="133"/>
      <c r="R44" s="8" t="s">
        <v>316</v>
      </c>
      <c r="S44" s="116"/>
      <c r="T44" s="116"/>
      <c r="U44" s="116"/>
      <c r="V44" s="116"/>
      <c r="W44" s="116"/>
      <c r="X44" s="134"/>
      <c r="Y44" s="289" t="s">
        <v>150</v>
      </c>
      <c r="Z44" s="290"/>
      <c r="AA44" s="291" t="s">
        <v>151</v>
      </c>
      <c r="AB44" s="292"/>
      <c r="AC44" s="293"/>
      <c r="AD44" s="126">
        <v>20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7" s="1" customFormat="1" ht="14.45" customHeight="1" x14ac:dyDescent="0.25">
      <c r="A45" s="131">
        <f>IF(B45="","",COUNTA($B$8:B45))</f>
        <v>37</v>
      </c>
      <c r="B45" s="8" t="s">
        <v>318</v>
      </c>
      <c r="C45" s="114"/>
      <c r="D45" s="114"/>
      <c r="E45" s="114"/>
      <c r="F45" s="114"/>
      <c r="G45" s="114"/>
      <c r="H45" s="134"/>
      <c r="I45" s="115" t="s">
        <v>319</v>
      </c>
      <c r="J45" s="116"/>
      <c r="K45" s="116"/>
      <c r="L45" s="116"/>
      <c r="M45" s="116"/>
      <c r="N45" s="116"/>
      <c r="O45" s="116"/>
      <c r="P45" s="116"/>
      <c r="Q45" s="133"/>
      <c r="R45" s="8" t="s">
        <v>318</v>
      </c>
      <c r="S45" s="116"/>
      <c r="T45" s="116"/>
      <c r="U45" s="116"/>
      <c r="V45" s="116"/>
      <c r="W45" s="116"/>
      <c r="X45" s="134"/>
      <c r="Y45" s="289" t="s">
        <v>150</v>
      </c>
      <c r="Z45" s="290"/>
      <c r="AA45" s="291" t="s">
        <v>151</v>
      </c>
      <c r="AB45" s="292"/>
      <c r="AC45" s="293"/>
      <c r="AD45" s="126">
        <v>30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7" s="1" customFormat="1" ht="14.45" customHeight="1" x14ac:dyDescent="0.25">
      <c r="A46" s="131">
        <f>IF(B46="","",COUNTA($B$8:B46))</f>
        <v>38</v>
      </c>
      <c r="B46" s="132" t="s">
        <v>320</v>
      </c>
      <c r="C46" s="114"/>
      <c r="D46" s="114"/>
      <c r="E46" s="114"/>
      <c r="F46" s="114"/>
      <c r="G46" s="114"/>
      <c r="H46" s="134"/>
      <c r="I46" s="115" t="s">
        <v>321</v>
      </c>
      <c r="J46" s="116"/>
      <c r="K46" s="116"/>
      <c r="L46" s="116"/>
      <c r="M46" s="116"/>
      <c r="N46" s="116"/>
      <c r="O46" s="116"/>
      <c r="P46" s="116"/>
      <c r="Q46" s="133"/>
      <c r="R46" s="132" t="s">
        <v>320</v>
      </c>
      <c r="S46" s="116"/>
      <c r="T46" s="116"/>
      <c r="U46" s="116"/>
      <c r="V46" s="116"/>
      <c r="W46" s="116"/>
      <c r="X46" s="134"/>
      <c r="Y46" s="289" t="s">
        <v>155</v>
      </c>
      <c r="Z46" s="290"/>
      <c r="AA46" s="291" t="s">
        <v>156</v>
      </c>
      <c r="AB46" s="292"/>
      <c r="AC46" s="293"/>
      <c r="AD46" s="126">
        <v>5</v>
      </c>
      <c r="AE46" s="111">
        <v>2</v>
      </c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7" s="1" customFormat="1" ht="14.45" customHeight="1" x14ac:dyDescent="0.25">
      <c r="A47" s="131">
        <f>IF(B47="","",COUNTA($B$8:B47))</f>
        <v>39</v>
      </c>
      <c r="B47" s="132" t="s">
        <v>322</v>
      </c>
      <c r="C47" s="2"/>
      <c r="D47" s="2"/>
      <c r="E47" s="2"/>
      <c r="F47" s="2"/>
      <c r="G47" s="2"/>
      <c r="H47" s="3"/>
      <c r="I47" s="115" t="s">
        <v>323</v>
      </c>
      <c r="J47" s="116"/>
      <c r="K47" s="116"/>
      <c r="L47" s="116"/>
      <c r="M47" s="116"/>
      <c r="N47" s="116"/>
      <c r="O47" s="116"/>
      <c r="P47" s="116"/>
      <c r="Q47" s="133"/>
      <c r="R47" s="132" t="s">
        <v>322</v>
      </c>
      <c r="S47" s="116"/>
      <c r="T47" s="116"/>
      <c r="U47" s="116"/>
      <c r="V47" s="116"/>
      <c r="W47" s="116"/>
      <c r="X47" s="134"/>
      <c r="Y47" s="289" t="s">
        <v>155</v>
      </c>
      <c r="Z47" s="290"/>
      <c r="AA47" s="291" t="s">
        <v>156</v>
      </c>
      <c r="AB47" s="292"/>
      <c r="AC47" s="293"/>
      <c r="AD47" s="126">
        <v>4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7" s="1" customFormat="1" ht="14.45" customHeight="1" x14ac:dyDescent="0.25">
      <c r="A48" s="131">
        <f>IF(B48="","",COUNTA($B$8:B48))</f>
        <v>40</v>
      </c>
      <c r="B48" s="132" t="s">
        <v>324</v>
      </c>
      <c r="C48" s="2"/>
      <c r="D48" s="2"/>
      <c r="E48" s="2"/>
      <c r="F48" s="2"/>
      <c r="G48" s="2"/>
      <c r="H48" s="3"/>
      <c r="I48" s="115" t="s">
        <v>325</v>
      </c>
      <c r="J48" s="116"/>
      <c r="K48" s="116"/>
      <c r="L48" s="116"/>
      <c r="M48" s="116"/>
      <c r="N48" s="116"/>
      <c r="O48" s="116"/>
      <c r="P48" s="116"/>
      <c r="Q48" s="133"/>
      <c r="R48" s="132" t="s">
        <v>324</v>
      </c>
      <c r="S48" s="116"/>
      <c r="T48" s="116"/>
      <c r="U48" s="116"/>
      <c r="V48" s="116"/>
      <c r="W48" s="116"/>
      <c r="X48" s="134"/>
      <c r="Y48" s="289" t="s">
        <v>155</v>
      </c>
      <c r="Z48" s="290"/>
      <c r="AA48" s="291" t="s">
        <v>156</v>
      </c>
      <c r="AB48" s="292"/>
      <c r="AC48" s="293"/>
      <c r="AD48" s="126">
        <v>5</v>
      </c>
      <c r="AE48" s="111"/>
      <c r="AF48" s="111"/>
      <c r="AG48" s="111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7" s="1" customFormat="1" ht="14.45" customHeight="1" x14ac:dyDescent="0.25">
      <c r="A49" s="131">
        <f>IF(B49="","",COUNTA($B$8:B49))</f>
        <v>41</v>
      </c>
      <c r="B49" s="132" t="s">
        <v>326</v>
      </c>
      <c r="C49" s="114"/>
      <c r="D49" s="114"/>
      <c r="E49" s="114"/>
      <c r="F49" s="114"/>
      <c r="G49" s="114"/>
      <c r="H49" s="134"/>
      <c r="I49" s="115" t="s">
        <v>327</v>
      </c>
      <c r="J49" s="116"/>
      <c r="K49" s="116"/>
      <c r="L49" s="116"/>
      <c r="M49" s="116"/>
      <c r="N49" s="116"/>
      <c r="O49" s="116"/>
      <c r="P49" s="116"/>
      <c r="Q49" s="133"/>
      <c r="R49" s="132" t="s">
        <v>326</v>
      </c>
      <c r="S49" s="116"/>
      <c r="T49" s="116"/>
      <c r="U49" s="116"/>
      <c r="V49" s="116"/>
      <c r="W49" s="116"/>
      <c r="X49" s="134"/>
      <c r="Y49" s="289" t="s">
        <v>155</v>
      </c>
      <c r="Z49" s="290"/>
      <c r="AA49" s="291" t="s">
        <v>156</v>
      </c>
      <c r="AB49" s="292"/>
      <c r="AC49" s="293"/>
      <c r="AD49" s="126">
        <v>5</v>
      </c>
      <c r="AE49" s="111"/>
      <c r="AF49" s="111"/>
      <c r="AG49" s="111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7" s="1" customFormat="1" ht="14.45" customHeight="1" x14ac:dyDescent="0.25">
      <c r="A50" s="131">
        <f>IF(B50="","",COUNTA($B$8:B50))</f>
        <v>42</v>
      </c>
      <c r="B50" s="8" t="s">
        <v>328</v>
      </c>
      <c r="C50" s="114"/>
      <c r="D50" s="114"/>
      <c r="E50" s="114"/>
      <c r="F50" s="114"/>
      <c r="G50" s="114"/>
      <c r="H50" s="134"/>
      <c r="I50" s="115" t="s">
        <v>329</v>
      </c>
      <c r="J50" s="116"/>
      <c r="K50" s="116"/>
      <c r="L50" s="116"/>
      <c r="M50" s="116"/>
      <c r="N50" s="116"/>
      <c r="O50" s="116"/>
      <c r="P50" s="116"/>
      <c r="Q50" s="133"/>
      <c r="R50" s="8" t="s">
        <v>328</v>
      </c>
      <c r="S50" s="116"/>
      <c r="T50" s="116"/>
      <c r="U50" s="116"/>
      <c r="V50" s="116"/>
      <c r="W50" s="116"/>
      <c r="X50" s="134"/>
      <c r="Y50" s="289" t="s">
        <v>150</v>
      </c>
      <c r="Z50" s="290"/>
      <c r="AA50" s="291" t="s">
        <v>151</v>
      </c>
      <c r="AB50" s="292"/>
      <c r="AC50" s="293"/>
      <c r="AD50" s="126">
        <v>1000</v>
      </c>
      <c r="AE50" s="111"/>
      <c r="AF50" s="111"/>
      <c r="AG50" s="111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7" s="1" customFormat="1" ht="14.45" customHeight="1" x14ac:dyDescent="0.25">
      <c r="A51" s="131">
        <f>IF(B51="","",COUNTA($B$8:B51))</f>
        <v>43</v>
      </c>
      <c r="B51" s="132" t="s">
        <v>294</v>
      </c>
      <c r="C51" s="114"/>
      <c r="D51" s="114"/>
      <c r="E51" s="114"/>
      <c r="F51" s="114"/>
      <c r="G51" s="114"/>
      <c r="H51" s="134"/>
      <c r="I51" s="115" t="s">
        <v>295</v>
      </c>
      <c r="J51" s="116"/>
      <c r="K51" s="116"/>
      <c r="L51" s="116"/>
      <c r="M51" s="116"/>
      <c r="N51" s="116"/>
      <c r="O51" s="116"/>
      <c r="P51" s="116"/>
      <c r="Q51" s="133"/>
      <c r="R51" s="132" t="s">
        <v>294</v>
      </c>
      <c r="S51" s="116"/>
      <c r="T51" s="116"/>
      <c r="U51" s="116"/>
      <c r="V51" s="116"/>
      <c r="W51" s="116"/>
      <c r="X51" s="134"/>
      <c r="Y51" s="289" t="s">
        <v>155</v>
      </c>
      <c r="Z51" s="290"/>
      <c r="AA51" s="291" t="s">
        <v>156</v>
      </c>
      <c r="AB51" s="292"/>
      <c r="AC51" s="293"/>
      <c r="AD51" s="126">
        <v>5</v>
      </c>
      <c r="AE51" s="111"/>
      <c r="AF51" s="111"/>
      <c r="AG51" s="111"/>
      <c r="AH51" s="120"/>
      <c r="AI51" s="120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7" s="1" customFormat="1" ht="14.45" customHeight="1" x14ac:dyDescent="0.25">
      <c r="A52" s="131">
        <f>IF(B52="","",COUNTA($B$8:B52))</f>
        <v>44</v>
      </c>
      <c r="B52" s="8" t="s">
        <v>332</v>
      </c>
      <c r="C52" s="114"/>
      <c r="D52" s="114"/>
      <c r="E52" s="114"/>
      <c r="F52" s="114"/>
      <c r="G52" s="114"/>
      <c r="H52" s="134"/>
      <c r="I52" s="115" t="s">
        <v>333</v>
      </c>
      <c r="J52" s="116"/>
      <c r="K52" s="116"/>
      <c r="L52" s="116"/>
      <c r="M52" s="116"/>
      <c r="N52" s="116"/>
      <c r="O52" s="116"/>
      <c r="P52" s="116"/>
      <c r="Q52" s="133"/>
      <c r="R52" s="8" t="s">
        <v>332</v>
      </c>
      <c r="S52" s="116"/>
      <c r="T52" s="116"/>
      <c r="U52" s="116"/>
      <c r="V52" s="116"/>
      <c r="W52" s="116"/>
      <c r="X52" s="134"/>
      <c r="Y52" s="289" t="s">
        <v>155</v>
      </c>
      <c r="Z52" s="290"/>
      <c r="AA52" s="291" t="s">
        <v>156</v>
      </c>
      <c r="AB52" s="292"/>
      <c r="AC52" s="293"/>
      <c r="AD52" s="126">
        <v>1</v>
      </c>
      <c r="AE52" s="111"/>
      <c r="AF52" s="111"/>
      <c r="AG52" s="111"/>
      <c r="AH52" s="120">
        <v>0</v>
      </c>
      <c r="AI52" s="120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 t="s">
        <v>334</v>
      </c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7" s="1" customFormat="1" ht="14.45" customHeight="1" x14ac:dyDescent="0.25">
      <c r="A53" s="131">
        <f>IF(B53="","",COUNTA($B$8:B53))</f>
        <v>45</v>
      </c>
      <c r="B53" s="8" t="s">
        <v>335</v>
      </c>
      <c r="C53" s="114"/>
      <c r="D53" s="114"/>
      <c r="E53" s="114"/>
      <c r="F53" s="114"/>
      <c r="G53" s="114"/>
      <c r="H53" s="134"/>
      <c r="I53" s="115" t="s">
        <v>336</v>
      </c>
      <c r="J53" s="116"/>
      <c r="K53" s="116"/>
      <c r="L53" s="116"/>
      <c r="M53" s="116"/>
      <c r="N53" s="116"/>
      <c r="O53" s="116"/>
      <c r="P53" s="116"/>
      <c r="Q53" s="133"/>
      <c r="R53" s="8" t="s">
        <v>335</v>
      </c>
      <c r="S53" s="116"/>
      <c r="T53" s="116"/>
      <c r="U53" s="116"/>
      <c r="V53" s="116"/>
      <c r="W53" s="116"/>
      <c r="X53" s="134"/>
      <c r="Y53" s="289" t="s">
        <v>155</v>
      </c>
      <c r="Z53" s="290"/>
      <c r="AA53" s="291" t="s">
        <v>156</v>
      </c>
      <c r="AB53" s="292"/>
      <c r="AC53" s="293"/>
      <c r="AD53" s="126">
        <v>1</v>
      </c>
      <c r="AE53" s="111"/>
      <c r="AF53" s="111"/>
      <c r="AG53" s="111"/>
      <c r="AH53" s="120">
        <v>0</v>
      </c>
      <c r="AI53" s="120"/>
      <c r="AJ53" s="120"/>
      <c r="AK53" s="120"/>
      <c r="AL53" s="120"/>
      <c r="AM53" s="120"/>
      <c r="AN53" s="120"/>
      <c r="AO53" s="111"/>
      <c r="AP53" s="111"/>
      <c r="AQ53" s="111"/>
      <c r="AR53" s="111"/>
      <c r="AS53" s="118" t="s">
        <v>334</v>
      </c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7" s="238" customFormat="1" ht="14.45" customHeight="1" x14ac:dyDescent="0.25">
      <c r="A54" s="225">
        <f>IF(B54="","",COUNTA($B$8:B54))</f>
        <v>46</v>
      </c>
      <c r="B54" s="226" t="s">
        <v>366</v>
      </c>
      <c r="C54" s="227"/>
      <c r="D54" s="227"/>
      <c r="E54" s="227"/>
      <c r="F54" s="227"/>
      <c r="G54" s="227"/>
      <c r="H54" s="228"/>
      <c r="I54" s="229" t="s">
        <v>367</v>
      </c>
      <c r="J54" s="230"/>
      <c r="K54" s="230"/>
      <c r="L54" s="230"/>
      <c r="M54" s="230"/>
      <c r="N54" s="230"/>
      <c r="O54" s="230"/>
      <c r="P54" s="230"/>
      <c r="Q54" s="231"/>
      <c r="R54" s="226" t="s">
        <v>366</v>
      </c>
      <c r="S54" s="230"/>
      <c r="T54" s="230"/>
      <c r="U54" s="230"/>
      <c r="V54" s="230"/>
      <c r="W54" s="230"/>
      <c r="X54" s="228"/>
      <c r="Y54" s="346" t="s">
        <v>169</v>
      </c>
      <c r="Z54" s="347"/>
      <c r="AA54" s="348" t="s">
        <v>170</v>
      </c>
      <c r="AB54" s="349"/>
      <c r="AC54" s="350"/>
      <c r="AD54" s="232"/>
      <c r="AE54" s="233"/>
      <c r="AF54" s="233"/>
      <c r="AG54" s="234"/>
      <c r="AH54" s="234"/>
      <c r="AI54" s="234"/>
      <c r="AJ54" s="234"/>
      <c r="AK54" s="234"/>
      <c r="AL54" s="234"/>
      <c r="AM54" s="234"/>
      <c r="AN54" s="234"/>
      <c r="AO54" s="233"/>
      <c r="AP54" s="233"/>
      <c r="AQ54" s="233"/>
      <c r="AR54" s="233"/>
      <c r="AS54" s="235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7"/>
      <c r="BE54" s="238" t="s">
        <v>1565</v>
      </c>
    </row>
    <row r="55" spans="1:57" s="238" customFormat="1" ht="14.45" customHeight="1" x14ac:dyDescent="0.25">
      <c r="A55" s="225">
        <f>IF(B55="","",COUNTA($B$8:B55))</f>
        <v>47</v>
      </c>
      <c r="B55" s="226" t="s">
        <v>368</v>
      </c>
      <c r="C55" s="227"/>
      <c r="D55" s="227"/>
      <c r="E55" s="227"/>
      <c r="F55" s="227"/>
      <c r="G55" s="227"/>
      <c r="H55" s="228"/>
      <c r="I55" s="229" t="s">
        <v>369</v>
      </c>
      <c r="J55" s="230"/>
      <c r="K55" s="230"/>
      <c r="L55" s="230"/>
      <c r="M55" s="230"/>
      <c r="N55" s="230"/>
      <c r="O55" s="230"/>
      <c r="P55" s="230"/>
      <c r="Q55" s="231"/>
      <c r="R55" s="226" t="s">
        <v>368</v>
      </c>
      <c r="S55" s="230"/>
      <c r="T55" s="230"/>
      <c r="U55" s="230"/>
      <c r="V55" s="230"/>
      <c r="W55" s="230"/>
      <c r="X55" s="228"/>
      <c r="Y55" s="346" t="s">
        <v>155</v>
      </c>
      <c r="Z55" s="347"/>
      <c r="AA55" s="348" t="s">
        <v>156</v>
      </c>
      <c r="AB55" s="349"/>
      <c r="AC55" s="350"/>
      <c r="AD55" s="232">
        <v>1</v>
      </c>
      <c r="AE55" s="233"/>
      <c r="AF55" s="233"/>
      <c r="AG55" s="234"/>
      <c r="AH55" s="234">
        <v>0</v>
      </c>
      <c r="AI55" s="234"/>
      <c r="AJ55" s="234"/>
      <c r="AK55" s="234"/>
      <c r="AL55" s="234"/>
      <c r="AM55" s="234"/>
      <c r="AN55" s="234"/>
      <c r="AO55" s="233"/>
      <c r="AP55" s="233"/>
      <c r="AQ55" s="233"/>
      <c r="AR55" s="233"/>
      <c r="AS55" s="235" t="s">
        <v>235</v>
      </c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7"/>
      <c r="BE55" s="238" t="s">
        <v>1564</v>
      </c>
    </row>
    <row r="56" spans="1:57" s="1" customFormat="1" ht="14.45" customHeight="1" x14ac:dyDescent="0.25">
      <c r="A56" s="131">
        <f>IF(B56="","",COUNTA($B$8:B56))</f>
        <v>48</v>
      </c>
      <c r="B56" s="8" t="s">
        <v>1566</v>
      </c>
      <c r="C56" s="114"/>
      <c r="D56" s="114"/>
      <c r="E56" s="114"/>
      <c r="F56" s="114"/>
      <c r="G56" s="114"/>
      <c r="H56" s="134"/>
      <c r="I56" s="115" t="s">
        <v>371</v>
      </c>
      <c r="J56" s="116"/>
      <c r="K56" s="116"/>
      <c r="L56" s="116"/>
      <c r="M56" s="116"/>
      <c r="N56" s="116"/>
      <c r="O56" s="116"/>
      <c r="P56" s="116"/>
      <c r="Q56" s="133"/>
      <c r="R56" s="8" t="s">
        <v>370</v>
      </c>
      <c r="S56" s="116"/>
      <c r="T56" s="116"/>
      <c r="U56" s="116"/>
      <c r="V56" s="116"/>
      <c r="W56" s="116"/>
      <c r="X56" s="134"/>
      <c r="Y56" s="289" t="s">
        <v>169</v>
      </c>
      <c r="Z56" s="290"/>
      <c r="AA56" s="291" t="s">
        <v>170</v>
      </c>
      <c r="AB56" s="292"/>
      <c r="AC56" s="293"/>
      <c r="AD56" s="126"/>
      <c r="AE56" s="111"/>
      <c r="AF56" s="111"/>
      <c r="AG56" s="120"/>
      <c r="AH56" s="120"/>
      <c r="AI56" s="120"/>
      <c r="AJ56" s="120"/>
      <c r="AK56" s="120"/>
      <c r="AL56" s="120"/>
      <c r="AM56" s="120"/>
      <c r="AN56" s="120"/>
      <c r="AO56" s="111"/>
      <c r="AP56" s="111"/>
      <c r="AQ56" s="111"/>
      <c r="AR56" s="111"/>
      <c r="AS56" s="118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7" s="238" customFormat="1" ht="14.45" customHeight="1" x14ac:dyDescent="0.25">
      <c r="A57" s="225">
        <f>IF(B57="","",COUNTA($B$8:B57))</f>
        <v>49</v>
      </c>
      <c r="B57" s="226" t="s">
        <v>372</v>
      </c>
      <c r="C57" s="227"/>
      <c r="D57" s="227"/>
      <c r="E57" s="227"/>
      <c r="F57" s="227"/>
      <c r="G57" s="227"/>
      <c r="H57" s="228"/>
      <c r="I57" s="229" t="s">
        <v>373</v>
      </c>
      <c r="J57" s="230"/>
      <c r="K57" s="230"/>
      <c r="L57" s="230"/>
      <c r="M57" s="230"/>
      <c r="N57" s="230"/>
      <c r="O57" s="230"/>
      <c r="P57" s="230"/>
      <c r="Q57" s="231"/>
      <c r="R57" s="226" t="s">
        <v>372</v>
      </c>
      <c r="S57" s="230"/>
      <c r="T57" s="230"/>
      <c r="U57" s="230"/>
      <c r="V57" s="230"/>
      <c r="W57" s="230"/>
      <c r="X57" s="228"/>
      <c r="Y57" s="346" t="s">
        <v>169</v>
      </c>
      <c r="Z57" s="347"/>
      <c r="AA57" s="348" t="s">
        <v>170</v>
      </c>
      <c r="AB57" s="349"/>
      <c r="AC57" s="350"/>
      <c r="AD57" s="232"/>
      <c r="AE57" s="233"/>
      <c r="AF57" s="233"/>
      <c r="AG57" s="234"/>
      <c r="AH57" s="234"/>
      <c r="AI57" s="234"/>
      <c r="AJ57" s="234"/>
      <c r="AK57" s="234"/>
      <c r="AL57" s="234"/>
      <c r="AM57" s="234"/>
      <c r="AN57" s="234"/>
      <c r="AO57" s="233"/>
      <c r="AP57" s="233"/>
      <c r="AQ57" s="233"/>
      <c r="AR57" s="233"/>
      <c r="AS57" s="235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7"/>
      <c r="BE57" s="238" t="s">
        <v>1564</v>
      </c>
    </row>
    <row r="58" spans="1:57" s="1" customFormat="1" ht="14.45" customHeight="1" x14ac:dyDescent="0.25">
      <c r="A58" s="131">
        <f>IF(B58="","",COUNTA($B$8:B58))</f>
        <v>50</v>
      </c>
      <c r="B58" s="8" t="s">
        <v>239</v>
      </c>
      <c r="C58" s="114"/>
      <c r="D58" s="114"/>
      <c r="E58" s="114"/>
      <c r="F58" s="114"/>
      <c r="G58" s="114"/>
      <c r="H58" s="134"/>
      <c r="I58" s="115" t="s">
        <v>240</v>
      </c>
      <c r="J58" s="116"/>
      <c r="K58" s="116"/>
      <c r="L58" s="116"/>
      <c r="M58" s="116"/>
      <c r="N58" s="116"/>
      <c r="O58" s="116"/>
      <c r="P58" s="116"/>
      <c r="Q58" s="133"/>
      <c r="R58" s="8" t="s">
        <v>239</v>
      </c>
      <c r="S58" s="116"/>
      <c r="T58" s="116"/>
      <c r="U58" s="116"/>
      <c r="V58" s="116"/>
      <c r="W58" s="116"/>
      <c r="X58" s="134"/>
      <c r="Y58" s="289" t="s">
        <v>169</v>
      </c>
      <c r="Z58" s="290"/>
      <c r="AA58" s="291" t="s">
        <v>170</v>
      </c>
      <c r="AB58" s="292"/>
      <c r="AC58" s="293"/>
      <c r="AD58" s="126"/>
      <c r="AE58" s="111"/>
      <c r="AF58" s="111"/>
      <c r="AG58" s="111"/>
      <c r="AH58" s="120"/>
      <c r="AI58" s="120"/>
      <c r="AJ58" s="120"/>
      <c r="AK58" s="120"/>
      <c r="AL58" s="120"/>
      <c r="AM58" s="120"/>
      <c r="AN58" s="120"/>
      <c r="AO58" s="111"/>
      <c r="AP58" s="111"/>
      <c r="AQ58" s="111"/>
      <c r="AR58" s="111"/>
      <c r="AS58" s="118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7" s="1" customFormat="1" ht="14.45" customHeight="1" x14ac:dyDescent="0.25">
      <c r="A59" s="131">
        <f>IF(B59="","",COUNTA($B$8:B59))</f>
        <v>51</v>
      </c>
      <c r="B59" s="8" t="s">
        <v>253</v>
      </c>
      <c r="C59" s="114"/>
      <c r="D59" s="114"/>
      <c r="E59" s="114"/>
      <c r="F59" s="114"/>
      <c r="G59" s="114"/>
      <c r="H59" s="134"/>
      <c r="I59" s="118" t="s">
        <v>254</v>
      </c>
      <c r="J59" s="116"/>
      <c r="K59" s="116"/>
      <c r="L59" s="116"/>
      <c r="M59" s="116"/>
      <c r="N59" s="116"/>
      <c r="O59" s="116"/>
      <c r="P59" s="116"/>
      <c r="Q59" s="133"/>
      <c r="R59" s="8" t="s">
        <v>253</v>
      </c>
      <c r="S59" s="116"/>
      <c r="T59" s="116"/>
      <c r="U59" s="116"/>
      <c r="V59" s="116"/>
      <c r="W59" s="116"/>
      <c r="X59" s="134"/>
      <c r="Y59" s="289" t="s">
        <v>150</v>
      </c>
      <c r="Z59" s="290"/>
      <c r="AA59" s="291" t="s">
        <v>151</v>
      </c>
      <c r="AB59" s="292"/>
      <c r="AC59" s="293"/>
      <c r="AD59" s="126">
        <v>10</v>
      </c>
      <c r="AE59" s="111"/>
      <c r="AF59" s="111"/>
      <c r="AG59" s="111"/>
      <c r="AH59" s="120"/>
      <c r="AI59" s="120"/>
      <c r="AJ59" s="120"/>
      <c r="AK59" s="120"/>
      <c r="AL59" s="120"/>
      <c r="AM59" s="120"/>
      <c r="AN59" s="120"/>
      <c r="AO59" s="111"/>
      <c r="AP59" s="111"/>
      <c r="AQ59" s="111"/>
      <c r="AR59" s="111"/>
      <c r="AS59" s="118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7" s="1" customFormat="1" ht="14.45" customHeight="1" x14ac:dyDescent="0.25">
      <c r="A60" s="131">
        <f>IF(B60="","",COUNTA($B$8:B60))</f>
        <v>52</v>
      </c>
      <c r="B60" s="8" t="s">
        <v>255</v>
      </c>
      <c r="C60" s="114"/>
      <c r="D60" s="114"/>
      <c r="E60" s="114"/>
      <c r="F60" s="114"/>
      <c r="G60" s="114"/>
      <c r="H60" s="134"/>
      <c r="I60" s="118" t="s">
        <v>256</v>
      </c>
      <c r="J60" s="116"/>
      <c r="K60" s="116"/>
      <c r="L60" s="116"/>
      <c r="M60" s="116"/>
      <c r="N60" s="116"/>
      <c r="O60" s="116"/>
      <c r="P60" s="116"/>
      <c r="Q60" s="133"/>
      <c r="R60" s="8" t="s">
        <v>255</v>
      </c>
      <c r="S60" s="116"/>
      <c r="T60" s="116"/>
      <c r="U60" s="116"/>
      <c r="V60" s="116"/>
      <c r="W60" s="116"/>
      <c r="X60" s="134"/>
      <c r="Y60" s="289" t="s">
        <v>150</v>
      </c>
      <c r="Z60" s="290"/>
      <c r="AA60" s="291" t="s">
        <v>151</v>
      </c>
      <c r="AB60" s="292"/>
      <c r="AC60" s="293"/>
      <c r="AD60" s="126">
        <v>10</v>
      </c>
      <c r="AE60" s="111"/>
      <c r="AF60" s="111"/>
      <c r="AG60" s="111"/>
      <c r="AH60" s="120"/>
      <c r="AI60" s="120"/>
      <c r="AJ60" s="120"/>
      <c r="AK60" s="120"/>
      <c r="AL60" s="120"/>
      <c r="AM60" s="120"/>
      <c r="AN60" s="120"/>
      <c r="AO60" s="111"/>
      <c r="AP60" s="111"/>
      <c r="AQ60" s="111"/>
      <c r="AR60" s="111"/>
      <c r="AS60" s="118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7" s="1" customFormat="1" ht="14.45" customHeight="1" x14ac:dyDescent="0.25">
      <c r="A61" s="131">
        <f>IF(B61="","",COUNTA($B$8:B61))</f>
        <v>53</v>
      </c>
      <c r="B61" s="8" t="s">
        <v>257</v>
      </c>
      <c r="C61" s="114"/>
      <c r="D61" s="114"/>
      <c r="E61" s="114"/>
      <c r="F61" s="114"/>
      <c r="G61" s="114"/>
      <c r="H61" s="134"/>
      <c r="I61" s="118" t="s">
        <v>258</v>
      </c>
      <c r="J61" s="116"/>
      <c r="K61" s="116"/>
      <c r="L61" s="116"/>
      <c r="M61" s="116"/>
      <c r="N61" s="116"/>
      <c r="O61" s="116"/>
      <c r="P61" s="116"/>
      <c r="Q61" s="133"/>
      <c r="R61" s="8" t="s">
        <v>257</v>
      </c>
      <c r="S61" s="116"/>
      <c r="T61" s="116"/>
      <c r="U61" s="116"/>
      <c r="V61" s="116"/>
      <c r="W61" s="116"/>
      <c r="X61" s="134"/>
      <c r="Y61" s="289" t="s">
        <v>169</v>
      </c>
      <c r="Z61" s="290"/>
      <c r="AA61" s="291" t="s">
        <v>243</v>
      </c>
      <c r="AB61" s="292"/>
      <c r="AC61" s="293"/>
      <c r="AD61" s="159"/>
      <c r="AE61" s="111"/>
      <c r="AF61" s="111"/>
      <c r="AG61" s="111"/>
      <c r="AH61" s="121"/>
      <c r="AI61" s="121"/>
      <c r="AJ61" s="120"/>
      <c r="AK61" s="120"/>
      <c r="AL61" s="120"/>
      <c r="AM61" s="120"/>
      <c r="AN61" s="120"/>
      <c r="AO61" s="111"/>
      <c r="AP61" s="111"/>
      <c r="AQ61" s="111"/>
      <c r="AR61" s="111"/>
      <c r="AS61" s="118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7" s="1" customFormat="1" ht="14.45" customHeight="1" x14ac:dyDescent="0.25">
      <c r="A62" s="131">
        <f>IF(B62="","",COUNTA($B$8:B62))</f>
        <v>54</v>
      </c>
      <c r="B62" s="8" t="s">
        <v>259</v>
      </c>
      <c r="C62" s="114"/>
      <c r="D62" s="114"/>
      <c r="E62" s="114"/>
      <c r="F62" s="114"/>
      <c r="G62" s="114"/>
      <c r="H62" s="134"/>
      <c r="I62" s="118" t="s">
        <v>260</v>
      </c>
      <c r="J62" s="116"/>
      <c r="K62" s="116"/>
      <c r="L62" s="116"/>
      <c r="M62" s="116"/>
      <c r="N62" s="116"/>
      <c r="O62" s="116"/>
      <c r="P62" s="116"/>
      <c r="Q62" s="133"/>
      <c r="R62" s="8" t="s">
        <v>259</v>
      </c>
      <c r="S62" s="116"/>
      <c r="T62" s="116"/>
      <c r="U62" s="116"/>
      <c r="V62" s="116"/>
      <c r="W62" s="116"/>
      <c r="X62" s="134"/>
      <c r="Y62" s="289" t="s">
        <v>150</v>
      </c>
      <c r="Z62" s="290"/>
      <c r="AA62" s="291" t="s">
        <v>151</v>
      </c>
      <c r="AB62" s="292"/>
      <c r="AC62" s="293"/>
      <c r="AD62" s="126">
        <v>10</v>
      </c>
      <c r="AE62" s="111"/>
      <c r="AF62" s="111"/>
      <c r="AG62" s="111"/>
      <c r="AH62" s="121"/>
      <c r="AI62" s="121"/>
      <c r="AJ62" s="120"/>
      <c r="AK62" s="120"/>
      <c r="AL62" s="120"/>
      <c r="AM62" s="120"/>
      <c r="AN62" s="120"/>
      <c r="AO62" s="111"/>
      <c r="AP62" s="111"/>
      <c r="AQ62" s="111"/>
      <c r="AR62" s="111"/>
      <c r="AS62" s="118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7" s="1" customFormat="1" ht="14.45" customHeight="1" x14ac:dyDescent="0.25">
      <c r="A63" s="131">
        <f>IF(B63="","",COUNTA($B$8:B63))</f>
        <v>55</v>
      </c>
      <c r="B63" s="8" t="s">
        <v>261</v>
      </c>
      <c r="C63" s="114"/>
      <c r="D63" s="114"/>
      <c r="E63" s="114"/>
      <c r="F63" s="114"/>
      <c r="G63" s="114"/>
      <c r="H63" s="134"/>
      <c r="I63" s="118" t="s">
        <v>262</v>
      </c>
      <c r="J63" s="116"/>
      <c r="K63" s="116"/>
      <c r="L63" s="116"/>
      <c r="M63" s="116"/>
      <c r="N63" s="116"/>
      <c r="O63" s="116"/>
      <c r="P63" s="116"/>
      <c r="Q63" s="133"/>
      <c r="R63" s="8" t="s">
        <v>261</v>
      </c>
      <c r="S63" s="116"/>
      <c r="T63" s="116"/>
      <c r="U63" s="116"/>
      <c r="V63" s="116"/>
      <c r="W63" s="116"/>
      <c r="X63" s="134"/>
      <c r="Y63" s="289" t="s">
        <v>150</v>
      </c>
      <c r="Z63" s="290"/>
      <c r="AA63" s="291" t="s">
        <v>151</v>
      </c>
      <c r="AB63" s="292"/>
      <c r="AC63" s="293"/>
      <c r="AD63" s="159">
        <v>10</v>
      </c>
      <c r="AE63" s="111"/>
      <c r="AF63" s="111"/>
      <c r="AG63" s="111"/>
      <c r="AH63" s="120"/>
      <c r="AI63" s="120"/>
      <c r="AJ63" s="120"/>
      <c r="AK63" s="120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7" s="1" customFormat="1" ht="14.45" customHeight="1" x14ac:dyDescent="0.25">
      <c r="A64" s="131">
        <f>IF(B64="","",COUNTA($B$8:B64))</f>
        <v>56</v>
      </c>
      <c r="B64" s="8" t="s">
        <v>263</v>
      </c>
      <c r="C64" s="114"/>
      <c r="D64" s="114"/>
      <c r="E64" s="114"/>
      <c r="F64" s="114"/>
      <c r="G64" s="114"/>
      <c r="H64" s="134"/>
      <c r="I64" s="118" t="s">
        <v>264</v>
      </c>
      <c r="J64" s="116"/>
      <c r="K64" s="116"/>
      <c r="L64" s="116"/>
      <c r="M64" s="116"/>
      <c r="N64" s="116"/>
      <c r="O64" s="116"/>
      <c r="P64" s="116"/>
      <c r="Q64" s="133"/>
      <c r="R64" s="132" t="s">
        <v>263</v>
      </c>
      <c r="S64" s="116"/>
      <c r="T64" s="116"/>
      <c r="U64" s="116"/>
      <c r="V64" s="116"/>
      <c r="W64" s="116"/>
      <c r="X64" s="134"/>
      <c r="Y64" s="289" t="s">
        <v>169</v>
      </c>
      <c r="Z64" s="290"/>
      <c r="AA64" s="291" t="s">
        <v>243</v>
      </c>
      <c r="AB64" s="292"/>
      <c r="AC64" s="293"/>
      <c r="AD64" s="159"/>
      <c r="AE64" s="111"/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89"/>
      <c r="Z65" s="290"/>
      <c r="AA65" s="291"/>
      <c r="AB65" s="292"/>
      <c r="AC65" s="293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89"/>
      <c r="Z66" s="290"/>
      <c r="AA66" s="291"/>
      <c r="AB66" s="292"/>
      <c r="AC66" s="293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89"/>
      <c r="Z67" s="290"/>
      <c r="AA67" s="291"/>
      <c r="AB67" s="292"/>
      <c r="AC67" s="293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89"/>
      <c r="Z68" s="290"/>
      <c r="AA68" s="291"/>
      <c r="AB68" s="292"/>
      <c r="AC68" s="293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89"/>
      <c r="Z69" s="290"/>
      <c r="AA69" s="291"/>
      <c r="AB69" s="292"/>
      <c r="AC69" s="293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89"/>
      <c r="Z70" s="290"/>
      <c r="AA70" s="291"/>
      <c r="AB70" s="292"/>
      <c r="AC70" s="293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89"/>
      <c r="Z71" s="290"/>
      <c r="AA71" s="291"/>
      <c r="AB71" s="292"/>
      <c r="AC71" s="293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89"/>
      <c r="Z72" s="290"/>
      <c r="AA72" s="291"/>
      <c r="AB72" s="292"/>
      <c r="AC72" s="293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89"/>
      <c r="Z73" s="290"/>
      <c r="AA73" s="291"/>
      <c r="AB73" s="292"/>
      <c r="AC73" s="293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89"/>
      <c r="Z74" s="290"/>
      <c r="AA74" s="291"/>
      <c r="AB74" s="292"/>
      <c r="AC74" s="293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89"/>
      <c r="Z75" s="290"/>
      <c r="AA75" s="291"/>
      <c r="AB75" s="292"/>
      <c r="AC75" s="293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5" customHeight="1" x14ac:dyDescent="0.25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15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89"/>
      <c r="Z76" s="290"/>
      <c r="AA76" s="291"/>
      <c r="AB76" s="292"/>
      <c r="AC76" s="293"/>
      <c r="AD76" s="159"/>
      <c r="AE76" s="111" t="s">
        <v>244</v>
      </c>
      <c r="AF76" s="111"/>
      <c r="AG76" s="11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ht="14.45" customHeight="1" x14ac:dyDescent="0.25">
      <c r="A77" s="131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84"/>
      <c r="Z77" s="285"/>
      <c r="AA77" s="286"/>
      <c r="AB77" s="287"/>
      <c r="AC77" s="288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131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84"/>
      <c r="Z78" s="285"/>
      <c r="AA78" s="286"/>
      <c r="AB78" s="287"/>
      <c r="AC78" s="288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131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84"/>
      <c r="Z79" s="285"/>
      <c r="AA79" s="286"/>
      <c r="AB79" s="287"/>
      <c r="AC79" s="288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131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84"/>
      <c r="Z80" s="285"/>
      <c r="AA80" s="286"/>
      <c r="AB80" s="287"/>
      <c r="AC80" s="288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131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84"/>
      <c r="Z81" s="285"/>
      <c r="AA81" s="286"/>
      <c r="AB81" s="287"/>
      <c r="AC81" s="288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131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84"/>
      <c r="Z82" s="285"/>
      <c r="AA82" s="286"/>
      <c r="AB82" s="287"/>
      <c r="AC82" s="288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131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84"/>
      <c r="Z83" s="285"/>
      <c r="AA83" s="286"/>
      <c r="AB83" s="287"/>
      <c r="AC83" s="288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131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84"/>
      <c r="Z84" s="285"/>
      <c r="AA84" s="286"/>
      <c r="AB84" s="287"/>
      <c r="AC84" s="288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131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84"/>
      <c r="Z85" s="285"/>
      <c r="AA85" s="286"/>
      <c r="AB85" s="287"/>
      <c r="AC85" s="288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82:Z82"/>
    <mergeCell ref="AA82:AC82"/>
    <mergeCell ref="Y83:Z83"/>
    <mergeCell ref="AA83:AC83"/>
    <mergeCell ref="Y84:Z84"/>
    <mergeCell ref="AA84:AC84"/>
    <mergeCell ref="Y85:Z85"/>
    <mergeCell ref="AA85:AC85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64:Z64"/>
    <mergeCell ref="AA64:AC64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67:Z67"/>
    <mergeCell ref="AA67:AC67"/>
    <mergeCell ref="Y68:Z68"/>
    <mergeCell ref="AA68:AC68"/>
    <mergeCell ref="Y69:Z69"/>
    <mergeCell ref="AA69:AC69"/>
    <mergeCell ref="Y65:Z65"/>
    <mergeCell ref="AA65:AC65"/>
    <mergeCell ref="Y66:Z66"/>
    <mergeCell ref="AA66:AC66"/>
    <mergeCell ref="Y73:Z73"/>
    <mergeCell ref="AA73:AC73"/>
    <mergeCell ref="Y74:Z74"/>
    <mergeCell ref="AA74:AC74"/>
    <mergeCell ref="Y75:Z75"/>
    <mergeCell ref="AA75:AC75"/>
    <mergeCell ref="Y70:Z70"/>
    <mergeCell ref="AA70:AC70"/>
    <mergeCell ref="Y71:Z71"/>
    <mergeCell ref="AA71:AC71"/>
    <mergeCell ref="Y72:Z72"/>
    <mergeCell ref="AA72:AC72"/>
    <mergeCell ref="Y79:Z79"/>
    <mergeCell ref="AA79:AC79"/>
    <mergeCell ref="Y80:Z80"/>
    <mergeCell ref="AA80:AC80"/>
    <mergeCell ref="Y81:Z81"/>
    <mergeCell ref="AA81:AC81"/>
    <mergeCell ref="Y76:Z76"/>
    <mergeCell ref="AA76:AC76"/>
    <mergeCell ref="Y77:Z77"/>
    <mergeCell ref="AA77:AC77"/>
    <mergeCell ref="Y78:Z78"/>
    <mergeCell ref="AA78:AC78"/>
  </mergeCells>
  <phoneticPr fontId="5"/>
  <dataValidations count="3">
    <dataValidation imeMode="hiragana" allowBlank="1" showInputMessage="1" showErrorMessage="1" sqref="JO65532:JZ65534 TK65532:TV65534 ADG65532:ADR65534 ANC65532:ANN65534 AWY65532:AXJ65534 BGU65532:BHF65534 BQQ65532:BRB65534 CAM65532:CAX65534 CKI65532:CKT65534 CUE65532:CUP65534 DEA65532:DEL65534 DNW65532:DOH65534 DXS65532:DYD65534 EHO65532:EHZ65534 ERK65532:ERV65534 FBG65532:FBR65534 FLC65532:FLN65534 FUY65532:FVJ65534 GEU65532:GFF65534 GOQ65532:GPB65534 GYM65532:GYX65534 HII65532:HIT65534 HSE65532:HSP65534 ICA65532:ICL65534 ILW65532:IMH65534 IVS65532:IWD65534 JFO65532:JFZ65534 JPK65532:JPV65534 JZG65532:JZR65534 KJC65532:KJN65534 KSY65532:KTJ65534 LCU65532:LDF65534 LMQ65532:LNB65534 LWM65532:LWX65534 MGI65532:MGT65534 MQE65532:MQP65534 NAA65532:NAL65534 NJW65532:NKH65534 NTS65532:NUD65534 ODO65532:ODZ65534 ONK65532:ONV65534 OXG65532:OXR65534 PHC65532:PHN65534 PQY65532:PRJ65534 QAU65532:QBF65534 QKQ65532:QLB65534 QUM65532:QUX65534 REI65532:RET65534 ROE65532:ROP65534 RYA65532:RYL65534 SHW65532:SIH65534 SRS65532:SSD65534 TBO65532:TBZ65534 TLK65532:TLV65534 TVG65532:TVR65534 UFC65532:UFN65534 UOY65532:UPJ65534 UYU65532:UZF65534 VIQ65532:VJB65534 VSM65532:VSX65534 WCI65532:WCT65534 WME65532:WMP65534 WWA65532:WWL65534 JO131068:JZ131070 TK131068:TV131070 ADG131068:ADR131070 ANC131068:ANN131070 AWY131068:AXJ131070 BGU131068:BHF131070 BQQ131068:BRB131070 CAM131068:CAX131070 CKI131068:CKT131070 CUE131068:CUP131070 DEA131068:DEL131070 DNW131068:DOH131070 DXS131068:DYD131070 EHO131068:EHZ131070 ERK131068:ERV131070 FBG131068:FBR131070 FLC131068:FLN131070 FUY131068:FVJ131070 GEU131068:GFF131070 GOQ131068:GPB131070 GYM131068:GYX131070 HII131068:HIT131070 HSE131068:HSP131070 ICA131068:ICL131070 ILW131068:IMH131070 IVS131068:IWD131070 JFO131068:JFZ131070 JPK131068:JPV131070 JZG131068:JZR131070 KJC131068:KJN131070 KSY131068:KTJ131070 LCU131068:LDF131070 LMQ131068:LNB131070 LWM131068:LWX131070 MGI131068:MGT131070 MQE131068:MQP131070 NAA131068:NAL131070 NJW131068:NKH131070 NTS131068:NUD131070 ODO131068:ODZ131070 ONK131068:ONV131070 OXG131068:OXR131070 PHC131068:PHN131070 PQY131068:PRJ131070 QAU131068:QBF131070 QKQ131068:QLB131070 QUM131068:QUX131070 REI131068:RET131070 ROE131068:ROP131070 RYA131068:RYL131070 SHW131068:SIH131070 SRS131068:SSD131070 TBO131068:TBZ131070 TLK131068:TLV131070 TVG131068:TVR131070 UFC131068:UFN131070 UOY131068:UPJ131070 UYU131068:UZF131070 VIQ131068:VJB131070 VSM131068:VSX131070 WCI131068:WCT131070 WME131068:WMP131070 WWA131068:WWL131070 JO196604:JZ196606 TK196604:TV196606 ADG196604:ADR196606 ANC196604:ANN196606 AWY196604:AXJ196606 BGU196604:BHF196606 BQQ196604:BRB196606 CAM196604:CAX196606 CKI196604:CKT196606 CUE196604:CUP196606 DEA196604:DEL196606 DNW196604:DOH196606 DXS196604:DYD196606 EHO196604:EHZ196606 ERK196604:ERV196606 FBG196604:FBR196606 FLC196604:FLN196606 FUY196604:FVJ196606 GEU196604:GFF196606 GOQ196604:GPB196606 GYM196604:GYX196606 HII196604:HIT196606 HSE196604:HSP196606 ICA196604:ICL196606 ILW196604:IMH196606 IVS196604:IWD196606 JFO196604:JFZ196606 JPK196604:JPV196606 JZG196604:JZR196606 KJC196604:KJN196606 KSY196604:KTJ196606 LCU196604:LDF196606 LMQ196604:LNB196606 LWM196604:LWX196606 MGI196604:MGT196606 MQE196604:MQP196606 NAA196604:NAL196606 NJW196604:NKH196606 NTS196604:NUD196606 ODO196604:ODZ196606 ONK196604:ONV196606 OXG196604:OXR196606 PHC196604:PHN196606 PQY196604:PRJ196606 QAU196604:QBF196606 QKQ196604:QLB196606 QUM196604:QUX196606 REI196604:RET196606 ROE196604:ROP196606 RYA196604:RYL196606 SHW196604:SIH196606 SRS196604:SSD196606 TBO196604:TBZ196606 TLK196604:TLV196606 TVG196604:TVR196606 UFC196604:UFN196606 UOY196604:UPJ196606 UYU196604:UZF196606 VIQ196604:VJB196606 VSM196604:VSX196606 WCI196604:WCT196606 WME196604:WMP196606 WWA196604:WWL196606 JO262140:JZ262142 TK262140:TV262142 ADG262140:ADR262142 ANC262140:ANN262142 AWY262140:AXJ262142 BGU262140:BHF262142 BQQ262140:BRB262142 CAM262140:CAX262142 CKI262140:CKT262142 CUE262140:CUP262142 DEA262140:DEL262142 DNW262140:DOH262142 DXS262140:DYD262142 EHO262140:EHZ262142 ERK262140:ERV262142 FBG262140:FBR262142 FLC262140:FLN262142 FUY262140:FVJ262142 GEU262140:GFF262142 GOQ262140:GPB262142 GYM262140:GYX262142 HII262140:HIT262142 HSE262140:HSP262142 ICA262140:ICL262142 ILW262140:IMH262142 IVS262140:IWD262142 JFO262140:JFZ262142 JPK262140:JPV262142 JZG262140:JZR262142 KJC262140:KJN262142 KSY262140:KTJ262142 LCU262140:LDF262142 LMQ262140:LNB262142 LWM262140:LWX262142 MGI262140:MGT262142 MQE262140:MQP262142 NAA262140:NAL262142 NJW262140:NKH262142 NTS262140:NUD262142 ODO262140:ODZ262142 ONK262140:ONV262142 OXG262140:OXR262142 PHC262140:PHN262142 PQY262140:PRJ262142 QAU262140:QBF262142 QKQ262140:QLB262142 QUM262140:QUX262142 REI262140:RET262142 ROE262140:ROP262142 RYA262140:RYL262142 SHW262140:SIH262142 SRS262140:SSD262142 TBO262140:TBZ262142 TLK262140:TLV262142 TVG262140:TVR262142 UFC262140:UFN262142 UOY262140:UPJ262142 UYU262140:UZF262142 VIQ262140:VJB262142 VSM262140:VSX262142 WCI262140:WCT262142 WME262140:WMP262142 WWA262140:WWL262142 JO327676:JZ327678 TK327676:TV327678 ADG327676:ADR327678 ANC327676:ANN327678 AWY327676:AXJ327678 BGU327676:BHF327678 BQQ327676:BRB327678 CAM327676:CAX327678 CKI327676:CKT327678 CUE327676:CUP327678 DEA327676:DEL327678 DNW327676:DOH327678 DXS327676:DYD327678 EHO327676:EHZ327678 ERK327676:ERV327678 FBG327676:FBR327678 FLC327676:FLN327678 FUY327676:FVJ327678 GEU327676:GFF327678 GOQ327676:GPB327678 GYM327676:GYX327678 HII327676:HIT327678 HSE327676:HSP327678 ICA327676:ICL327678 ILW327676:IMH327678 IVS327676:IWD327678 JFO327676:JFZ327678 JPK327676:JPV327678 JZG327676:JZR327678 KJC327676:KJN327678 KSY327676:KTJ327678 LCU327676:LDF327678 LMQ327676:LNB327678 LWM327676:LWX327678 MGI327676:MGT327678 MQE327676:MQP327678 NAA327676:NAL327678 NJW327676:NKH327678 NTS327676:NUD327678 ODO327676:ODZ327678 ONK327676:ONV327678 OXG327676:OXR327678 PHC327676:PHN327678 PQY327676:PRJ327678 QAU327676:QBF327678 QKQ327676:QLB327678 QUM327676:QUX327678 REI327676:RET327678 ROE327676:ROP327678 RYA327676:RYL327678 SHW327676:SIH327678 SRS327676:SSD327678 TBO327676:TBZ327678 TLK327676:TLV327678 TVG327676:TVR327678 UFC327676:UFN327678 UOY327676:UPJ327678 UYU327676:UZF327678 VIQ327676:VJB327678 VSM327676:VSX327678 WCI327676:WCT327678 WME327676:WMP327678 WWA327676:WWL327678 JO393212:JZ393214 TK393212:TV393214 ADG393212:ADR393214 ANC393212:ANN393214 AWY393212:AXJ393214 BGU393212:BHF393214 BQQ393212:BRB393214 CAM393212:CAX393214 CKI393212:CKT393214 CUE393212:CUP393214 DEA393212:DEL393214 DNW393212:DOH393214 DXS393212:DYD393214 EHO393212:EHZ393214 ERK393212:ERV393214 FBG393212:FBR393214 FLC393212:FLN393214 FUY393212:FVJ393214 GEU393212:GFF393214 GOQ393212:GPB393214 GYM393212:GYX393214 HII393212:HIT393214 HSE393212:HSP393214 ICA393212:ICL393214 ILW393212:IMH393214 IVS393212:IWD393214 JFO393212:JFZ393214 JPK393212:JPV393214 JZG393212:JZR393214 KJC393212:KJN393214 KSY393212:KTJ393214 LCU393212:LDF393214 LMQ393212:LNB393214 LWM393212:LWX393214 MGI393212:MGT393214 MQE393212:MQP393214 NAA393212:NAL393214 NJW393212:NKH393214 NTS393212:NUD393214 ODO393212:ODZ393214 ONK393212:ONV393214 OXG393212:OXR393214 PHC393212:PHN393214 PQY393212:PRJ393214 QAU393212:QBF393214 QKQ393212:QLB393214 QUM393212:QUX393214 REI393212:RET393214 ROE393212:ROP393214 RYA393212:RYL393214 SHW393212:SIH393214 SRS393212:SSD393214 TBO393212:TBZ393214 TLK393212:TLV393214 TVG393212:TVR393214 UFC393212:UFN393214 UOY393212:UPJ393214 UYU393212:UZF393214 VIQ393212:VJB393214 VSM393212:VSX393214 WCI393212:WCT393214 WME393212:WMP393214 WWA393212:WWL393214 JO458748:JZ458750 TK458748:TV458750 ADG458748:ADR458750 ANC458748:ANN458750 AWY458748:AXJ458750 BGU458748:BHF458750 BQQ458748:BRB458750 CAM458748:CAX458750 CKI458748:CKT458750 CUE458748:CUP458750 DEA458748:DEL458750 DNW458748:DOH458750 DXS458748:DYD458750 EHO458748:EHZ458750 ERK458748:ERV458750 FBG458748:FBR458750 FLC458748:FLN458750 FUY458748:FVJ458750 GEU458748:GFF458750 GOQ458748:GPB458750 GYM458748:GYX458750 HII458748:HIT458750 HSE458748:HSP458750 ICA458748:ICL458750 ILW458748:IMH458750 IVS458748:IWD458750 JFO458748:JFZ458750 JPK458748:JPV458750 JZG458748:JZR458750 KJC458748:KJN458750 KSY458748:KTJ458750 LCU458748:LDF458750 LMQ458748:LNB458750 LWM458748:LWX458750 MGI458748:MGT458750 MQE458748:MQP458750 NAA458748:NAL458750 NJW458748:NKH458750 NTS458748:NUD458750 ODO458748:ODZ458750 ONK458748:ONV458750 OXG458748:OXR458750 PHC458748:PHN458750 PQY458748:PRJ458750 QAU458748:QBF458750 QKQ458748:QLB458750 QUM458748:QUX458750 REI458748:RET458750 ROE458748:ROP458750 RYA458748:RYL458750 SHW458748:SIH458750 SRS458748:SSD458750 TBO458748:TBZ458750 TLK458748:TLV458750 TVG458748:TVR458750 UFC458748:UFN458750 UOY458748:UPJ458750 UYU458748:UZF458750 VIQ458748:VJB458750 VSM458748:VSX458750 WCI458748:WCT458750 WME458748:WMP458750 WWA458748:WWL458750 JO524284:JZ524286 TK524284:TV524286 ADG524284:ADR524286 ANC524284:ANN524286 AWY524284:AXJ524286 BGU524284:BHF524286 BQQ524284:BRB524286 CAM524284:CAX524286 CKI524284:CKT524286 CUE524284:CUP524286 DEA524284:DEL524286 DNW524284:DOH524286 DXS524284:DYD524286 EHO524284:EHZ524286 ERK524284:ERV524286 FBG524284:FBR524286 FLC524284:FLN524286 FUY524284:FVJ524286 GEU524284:GFF524286 GOQ524284:GPB524286 GYM524284:GYX524286 HII524284:HIT524286 HSE524284:HSP524286 ICA524284:ICL524286 ILW524284:IMH524286 IVS524284:IWD524286 JFO524284:JFZ524286 JPK524284:JPV524286 JZG524284:JZR524286 KJC524284:KJN524286 KSY524284:KTJ524286 LCU524284:LDF524286 LMQ524284:LNB524286 LWM524284:LWX524286 MGI524284:MGT524286 MQE524284:MQP524286 NAA524284:NAL524286 NJW524284:NKH524286 NTS524284:NUD524286 ODO524284:ODZ524286 ONK524284:ONV524286 OXG524284:OXR524286 PHC524284:PHN524286 PQY524284:PRJ524286 QAU524284:QBF524286 QKQ524284:QLB524286 QUM524284:QUX524286 REI524284:RET524286 ROE524284:ROP524286 RYA524284:RYL524286 SHW524284:SIH524286 SRS524284:SSD524286 TBO524284:TBZ524286 TLK524284:TLV524286 TVG524284:TVR524286 UFC524284:UFN524286 UOY524284:UPJ524286 UYU524284:UZF524286 VIQ524284:VJB524286 VSM524284:VSX524286 WCI524284:WCT524286 WME524284:WMP524286 WWA524284:WWL524286 JO589820:JZ589822 TK589820:TV589822 ADG589820:ADR589822 ANC589820:ANN589822 AWY589820:AXJ589822 BGU589820:BHF589822 BQQ589820:BRB589822 CAM589820:CAX589822 CKI589820:CKT589822 CUE589820:CUP589822 DEA589820:DEL589822 DNW589820:DOH589822 DXS589820:DYD589822 EHO589820:EHZ589822 ERK589820:ERV589822 FBG589820:FBR589822 FLC589820:FLN589822 FUY589820:FVJ589822 GEU589820:GFF589822 GOQ589820:GPB589822 GYM589820:GYX589822 HII589820:HIT589822 HSE589820:HSP589822 ICA589820:ICL589822 ILW589820:IMH589822 IVS589820:IWD589822 JFO589820:JFZ589822 JPK589820:JPV589822 JZG589820:JZR589822 KJC589820:KJN589822 KSY589820:KTJ589822 LCU589820:LDF589822 LMQ589820:LNB589822 LWM589820:LWX589822 MGI589820:MGT589822 MQE589820:MQP589822 NAA589820:NAL589822 NJW589820:NKH589822 NTS589820:NUD589822 ODO589820:ODZ589822 ONK589820:ONV589822 OXG589820:OXR589822 PHC589820:PHN589822 PQY589820:PRJ589822 QAU589820:QBF589822 QKQ589820:QLB589822 QUM589820:QUX589822 REI589820:RET589822 ROE589820:ROP589822 RYA589820:RYL589822 SHW589820:SIH589822 SRS589820:SSD589822 TBO589820:TBZ589822 TLK589820:TLV589822 TVG589820:TVR589822 UFC589820:UFN589822 UOY589820:UPJ589822 UYU589820:UZF589822 VIQ589820:VJB589822 VSM589820:VSX589822 WCI589820:WCT589822 WME589820:WMP589822 WWA589820:WWL589822 JO655356:JZ655358 TK655356:TV655358 ADG655356:ADR655358 ANC655356:ANN655358 AWY655356:AXJ655358 BGU655356:BHF655358 BQQ655356:BRB655358 CAM655356:CAX655358 CKI655356:CKT655358 CUE655356:CUP655358 DEA655356:DEL655358 DNW655356:DOH655358 DXS655356:DYD655358 EHO655356:EHZ655358 ERK655356:ERV655358 FBG655356:FBR655358 FLC655356:FLN655358 FUY655356:FVJ655358 GEU655356:GFF655358 GOQ655356:GPB655358 GYM655356:GYX655358 HII655356:HIT655358 HSE655356:HSP655358 ICA655356:ICL655358 ILW655356:IMH655358 IVS655356:IWD655358 JFO655356:JFZ655358 JPK655356:JPV655358 JZG655356:JZR655358 KJC655356:KJN655358 KSY655356:KTJ655358 LCU655356:LDF655358 LMQ655356:LNB655358 LWM655356:LWX655358 MGI655356:MGT655358 MQE655356:MQP655358 NAA655356:NAL655358 NJW655356:NKH655358 NTS655356:NUD655358 ODO655356:ODZ655358 ONK655356:ONV655358 OXG655356:OXR655358 PHC655356:PHN655358 PQY655356:PRJ655358 QAU655356:QBF655358 QKQ655356:QLB655358 QUM655356:QUX655358 REI655356:RET655358 ROE655356:ROP655358 RYA655356:RYL655358 SHW655356:SIH655358 SRS655356:SSD655358 TBO655356:TBZ655358 TLK655356:TLV655358 TVG655356:TVR655358 UFC655356:UFN655358 UOY655356:UPJ655358 UYU655356:UZF655358 VIQ655356:VJB655358 VSM655356:VSX655358 WCI655356:WCT655358 WME655356:WMP655358 WWA655356:WWL655358 JO720892:JZ720894 TK720892:TV720894 ADG720892:ADR720894 ANC720892:ANN720894 AWY720892:AXJ720894 BGU720892:BHF720894 BQQ720892:BRB720894 CAM720892:CAX720894 CKI720892:CKT720894 CUE720892:CUP720894 DEA720892:DEL720894 DNW720892:DOH720894 DXS720892:DYD720894 EHO720892:EHZ720894 ERK720892:ERV720894 FBG720892:FBR720894 FLC720892:FLN720894 FUY720892:FVJ720894 GEU720892:GFF720894 GOQ720892:GPB720894 GYM720892:GYX720894 HII720892:HIT720894 HSE720892:HSP720894 ICA720892:ICL720894 ILW720892:IMH720894 IVS720892:IWD720894 JFO720892:JFZ720894 JPK720892:JPV720894 JZG720892:JZR720894 KJC720892:KJN720894 KSY720892:KTJ720894 LCU720892:LDF720894 LMQ720892:LNB720894 LWM720892:LWX720894 MGI720892:MGT720894 MQE720892:MQP720894 NAA720892:NAL720894 NJW720892:NKH720894 NTS720892:NUD720894 ODO720892:ODZ720894 ONK720892:ONV720894 OXG720892:OXR720894 PHC720892:PHN720894 PQY720892:PRJ720894 QAU720892:QBF720894 QKQ720892:QLB720894 QUM720892:QUX720894 REI720892:RET720894 ROE720892:ROP720894 RYA720892:RYL720894 SHW720892:SIH720894 SRS720892:SSD720894 TBO720892:TBZ720894 TLK720892:TLV720894 TVG720892:TVR720894 UFC720892:UFN720894 UOY720892:UPJ720894 UYU720892:UZF720894 VIQ720892:VJB720894 VSM720892:VSX720894 WCI720892:WCT720894 WME720892:WMP720894 WWA720892:WWL720894 JO786428:JZ786430 TK786428:TV786430 ADG786428:ADR786430 ANC786428:ANN786430 AWY786428:AXJ786430 BGU786428:BHF786430 BQQ786428:BRB786430 CAM786428:CAX786430 CKI786428:CKT786430 CUE786428:CUP786430 DEA786428:DEL786430 DNW786428:DOH786430 DXS786428:DYD786430 EHO786428:EHZ786430 ERK786428:ERV786430 FBG786428:FBR786430 FLC786428:FLN786430 FUY786428:FVJ786430 GEU786428:GFF786430 GOQ786428:GPB786430 GYM786428:GYX786430 HII786428:HIT786430 HSE786428:HSP786430 ICA786428:ICL786430 ILW786428:IMH786430 IVS786428:IWD786430 JFO786428:JFZ786430 JPK786428:JPV786430 JZG786428:JZR786430 KJC786428:KJN786430 KSY786428:KTJ786430 LCU786428:LDF786430 LMQ786428:LNB786430 LWM786428:LWX786430 MGI786428:MGT786430 MQE786428:MQP786430 NAA786428:NAL786430 NJW786428:NKH786430 NTS786428:NUD786430 ODO786428:ODZ786430 ONK786428:ONV786430 OXG786428:OXR786430 PHC786428:PHN786430 PQY786428:PRJ786430 QAU786428:QBF786430 QKQ786428:QLB786430 QUM786428:QUX786430 REI786428:RET786430 ROE786428:ROP786430 RYA786428:RYL786430 SHW786428:SIH786430 SRS786428:SSD786430 TBO786428:TBZ786430 TLK786428:TLV786430 TVG786428:TVR786430 UFC786428:UFN786430 UOY786428:UPJ786430 UYU786428:UZF786430 VIQ786428:VJB786430 VSM786428:VSX786430 WCI786428:WCT786430 WME786428:WMP786430 WWA786428:WWL786430 JO851964:JZ851966 TK851964:TV851966 ADG851964:ADR851966 ANC851964:ANN851966 AWY851964:AXJ851966 BGU851964:BHF851966 BQQ851964:BRB851966 CAM851964:CAX851966 CKI851964:CKT851966 CUE851964:CUP851966 DEA851964:DEL851966 DNW851964:DOH851966 DXS851964:DYD851966 EHO851964:EHZ851966 ERK851964:ERV851966 FBG851964:FBR851966 FLC851964:FLN851966 FUY851964:FVJ851966 GEU851964:GFF851966 GOQ851964:GPB851966 GYM851964:GYX851966 HII851964:HIT851966 HSE851964:HSP851966 ICA851964:ICL851966 ILW851964:IMH851966 IVS851964:IWD851966 JFO851964:JFZ851966 JPK851964:JPV851966 JZG851964:JZR851966 KJC851964:KJN851966 KSY851964:KTJ851966 LCU851964:LDF851966 LMQ851964:LNB851966 LWM851964:LWX851966 MGI851964:MGT851966 MQE851964:MQP851966 NAA851964:NAL851966 NJW851964:NKH851966 NTS851964:NUD851966 ODO851964:ODZ851966 ONK851964:ONV851966 OXG851964:OXR851966 PHC851964:PHN851966 PQY851964:PRJ851966 QAU851964:QBF851966 QKQ851964:QLB851966 QUM851964:QUX851966 REI851964:RET851966 ROE851964:ROP851966 RYA851964:RYL851966 SHW851964:SIH851966 SRS851964:SSD851966 TBO851964:TBZ851966 TLK851964:TLV851966 TVG851964:TVR851966 UFC851964:UFN851966 UOY851964:UPJ851966 UYU851964:UZF851966 VIQ851964:VJB851966 VSM851964:VSX851966 WCI851964:WCT851966 WME851964:WMP851966 WWA851964:WWL851966 JO917500:JZ917502 TK917500:TV917502 ADG917500:ADR917502 ANC917500:ANN917502 AWY917500:AXJ917502 BGU917500:BHF917502 BQQ917500:BRB917502 CAM917500:CAX917502 CKI917500:CKT917502 CUE917500:CUP917502 DEA917500:DEL917502 DNW917500:DOH917502 DXS917500:DYD917502 EHO917500:EHZ917502 ERK917500:ERV917502 FBG917500:FBR917502 FLC917500:FLN917502 FUY917500:FVJ917502 GEU917500:GFF917502 GOQ917500:GPB917502 GYM917500:GYX917502 HII917500:HIT917502 HSE917500:HSP917502 ICA917500:ICL917502 ILW917500:IMH917502 IVS917500:IWD917502 JFO917500:JFZ917502 JPK917500:JPV917502 JZG917500:JZR917502 KJC917500:KJN917502 KSY917500:KTJ917502 LCU917500:LDF917502 LMQ917500:LNB917502 LWM917500:LWX917502 MGI917500:MGT917502 MQE917500:MQP917502 NAA917500:NAL917502 NJW917500:NKH917502 NTS917500:NUD917502 ODO917500:ODZ917502 ONK917500:ONV917502 OXG917500:OXR917502 PHC917500:PHN917502 PQY917500:PRJ917502 QAU917500:QBF917502 QKQ917500:QLB917502 QUM917500:QUX917502 REI917500:RET917502 ROE917500:ROP917502 RYA917500:RYL917502 SHW917500:SIH917502 SRS917500:SSD917502 TBO917500:TBZ917502 TLK917500:TLV917502 TVG917500:TVR917502 UFC917500:UFN917502 UOY917500:UPJ917502 UYU917500:UZF917502 VIQ917500:VJB917502 VSM917500:VSX917502 WCI917500:WCT917502 WME917500:WMP917502 WWA917500:WWL917502 JO983036:JZ983038 TK983036:TV983038 ADG983036:ADR983038 ANC983036:ANN983038 AWY983036:AXJ983038 BGU983036:BHF983038 BQQ983036:BRB983038 CAM983036:CAX983038 CKI983036:CKT983038 CUE983036:CUP983038 DEA983036:DEL983038 DNW983036:DOH983038 DXS983036:DYD983038 EHO983036:EHZ983038 ERK983036:ERV983038 FBG983036:FBR983038 FLC983036:FLN983038 FUY983036:FVJ983038 GEU983036:GFF983038 GOQ983036:GPB983038 GYM983036:GYX983038 HII983036:HIT983038 HSE983036:HSP983038 ICA983036:ICL983038 ILW983036:IMH983038 IVS983036:IWD983038 JFO983036:JFZ983038 JPK983036:JPV983038 JZG983036:JZR983038 KJC983036:KJN983038 KSY983036:KTJ983038 LCU983036:LDF983038 LMQ983036:LNB983038 LWM983036:LWX983038 MGI983036:MGT983038 MQE983036:MQP983038 NAA983036:NAL983038 NJW983036:NKH983038 NTS983036:NUD983038 ODO983036:ODZ983038 ONK983036:ONV983038 OXG983036:OXR983038 PHC983036:PHN983038 PQY983036:PRJ983038 QAU983036:QBF983038 QKQ983036:QLB983038 QUM983036:QUX983038 REI983036:RET983038 ROE983036:ROP983038 RYA983036:RYL983038 SHW983036:SIH983038 SRS983036:SSD983038 TBO983036:TBZ983038 TLK983036:TLV983038 TVG983036:TVR983038 UFC983036:UFN983038 UOY983036:UPJ983038 UYU983036:UZF983038 VIQ983036:VJB983038 VSM983036:VSX983038 WCI983036:WCT983038 WME983036:WMP983038 WWA983036:WWL983038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2:AM65534 AC983036:AM983038 AC917500:AM917502 AC851964:AM851966 AC786428:AM786430 AC720892:AM720894 AC655356:AM655358 AC589820:AM589822 AC524284:AM524286 AC458748:AM458750 AC393212:AM393214 AC327676:AM327678 AC262140:AM262142 AC196604:AM196606 AC131068:AM131070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生産指示情報（原材料）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84" t="s">
        <v>150</v>
      </c>
      <c r="Z9" s="285"/>
      <c r="AA9" s="286" t="s">
        <v>151</v>
      </c>
      <c r="AB9" s="287"/>
      <c r="AC9" s="28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84" t="s">
        <v>155</v>
      </c>
      <c r="Z16" s="285"/>
      <c r="AA16" s="286" t="s">
        <v>156</v>
      </c>
      <c r="AB16" s="287"/>
      <c r="AC16" s="28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84" t="s">
        <v>155</v>
      </c>
      <c r="Z17" s="285"/>
      <c r="AA17" s="286" t="s">
        <v>156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84" t="s">
        <v>155</v>
      </c>
      <c r="Z18" s="285"/>
      <c r="AA18" s="286" t="s">
        <v>156</v>
      </c>
      <c r="AB18" s="287"/>
      <c r="AC18" s="28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1384</v>
      </c>
      <c r="C21" s="26"/>
      <c r="D21" s="26"/>
      <c r="E21" s="26"/>
      <c r="F21" s="26"/>
      <c r="G21" s="26"/>
      <c r="H21" s="24"/>
      <c r="I21" s="31" t="s">
        <v>1478</v>
      </c>
      <c r="J21" s="23"/>
      <c r="K21" s="23"/>
      <c r="L21" s="23"/>
      <c r="M21" s="23"/>
      <c r="N21" s="23"/>
      <c r="O21" s="23"/>
      <c r="P21" s="23"/>
      <c r="Q21" s="37"/>
      <c r="R21" s="25" t="s">
        <v>1384</v>
      </c>
      <c r="S21" s="23"/>
      <c r="T21" s="23"/>
      <c r="U21" s="23"/>
      <c r="V21" s="23"/>
      <c r="W21" s="23"/>
      <c r="X21" s="24"/>
      <c r="Y21" s="284" t="s">
        <v>155</v>
      </c>
      <c r="Z21" s="285"/>
      <c r="AA21" s="286" t="s">
        <v>156</v>
      </c>
      <c r="AB21" s="287"/>
      <c r="AC21" s="288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396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1392</v>
      </c>
    </row>
    <row r="22" spans="1:57" ht="14.45" customHeight="1" x14ac:dyDescent="0.25">
      <c r="A22" s="50">
        <f>IF(B22="","",COUNTA($B$8:B22))</f>
        <v>15</v>
      </c>
      <c r="B22" s="19" t="s">
        <v>1424</v>
      </c>
      <c r="C22" s="20"/>
      <c r="D22" s="20"/>
      <c r="E22" s="20"/>
      <c r="F22" s="20"/>
      <c r="G22" s="20"/>
      <c r="H22" s="24"/>
      <c r="I22" s="167" t="s">
        <v>1388</v>
      </c>
      <c r="J22" s="23"/>
      <c r="K22" s="23"/>
      <c r="L22" s="23"/>
      <c r="M22" s="23"/>
      <c r="N22" s="23"/>
      <c r="O22" s="23"/>
      <c r="P22" s="23"/>
      <c r="Q22" s="37"/>
      <c r="R22" s="19" t="s">
        <v>1424</v>
      </c>
      <c r="S22" s="23"/>
      <c r="T22" s="23"/>
      <c r="U22" s="23"/>
      <c r="V22" s="23"/>
      <c r="W22" s="23"/>
      <c r="X22" s="24"/>
      <c r="Y22" s="284" t="s">
        <v>155</v>
      </c>
      <c r="Z22" s="285"/>
      <c r="AA22" s="286" t="s">
        <v>156</v>
      </c>
      <c r="AB22" s="287"/>
      <c r="AC22" s="288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1392</v>
      </c>
    </row>
    <row r="23" spans="1:57" ht="14.45" customHeight="1" x14ac:dyDescent="0.25">
      <c r="A23" s="50">
        <f>IF(B23="","",COUNTA($B$8:B23))</f>
        <v>16</v>
      </c>
      <c r="B23" s="19" t="s">
        <v>1385</v>
      </c>
      <c r="C23" s="20"/>
      <c r="D23" s="20"/>
      <c r="E23" s="20"/>
      <c r="F23" s="20"/>
      <c r="G23" s="20"/>
      <c r="H23" s="24"/>
      <c r="I23" s="167" t="s">
        <v>1389</v>
      </c>
      <c r="J23" s="23"/>
      <c r="K23" s="23"/>
      <c r="L23" s="23"/>
      <c r="M23" s="23"/>
      <c r="N23" s="23"/>
      <c r="O23" s="23"/>
      <c r="P23" s="23"/>
      <c r="Q23" s="37"/>
      <c r="R23" s="19" t="s">
        <v>1385</v>
      </c>
      <c r="S23" s="23"/>
      <c r="T23" s="23"/>
      <c r="U23" s="23"/>
      <c r="V23" s="23"/>
      <c r="W23" s="23"/>
      <c r="X23" s="24"/>
      <c r="Y23" s="284" t="s">
        <v>155</v>
      </c>
      <c r="Z23" s="285"/>
      <c r="AA23" s="286" t="s">
        <v>156</v>
      </c>
      <c r="AB23" s="287"/>
      <c r="AC23" s="288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1392</v>
      </c>
    </row>
    <row r="24" spans="1:57" ht="14.45" customHeight="1" x14ac:dyDescent="0.25">
      <c r="A24" s="50">
        <f>IF(B24="","",COUNTA($B$8:B24))</f>
        <v>17</v>
      </c>
      <c r="B24" s="19" t="s">
        <v>1386</v>
      </c>
      <c r="C24" s="20"/>
      <c r="D24" s="20"/>
      <c r="E24" s="20"/>
      <c r="F24" s="20"/>
      <c r="G24" s="20"/>
      <c r="H24" s="24"/>
      <c r="I24" s="167" t="s">
        <v>1390</v>
      </c>
      <c r="J24" s="23"/>
      <c r="K24" s="23"/>
      <c r="L24" s="23"/>
      <c r="M24" s="23"/>
      <c r="N24" s="23"/>
      <c r="O24" s="23"/>
      <c r="P24" s="23"/>
      <c r="Q24" s="37"/>
      <c r="R24" s="19" t="s">
        <v>1386</v>
      </c>
      <c r="S24" s="23"/>
      <c r="T24" s="23"/>
      <c r="U24" s="23"/>
      <c r="V24" s="23"/>
      <c r="W24" s="23"/>
      <c r="X24" s="24"/>
      <c r="Y24" s="284" t="s">
        <v>155</v>
      </c>
      <c r="Z24" s="285"/>
      <c r="AA24" s="286" t="s">
        <v>156</v>
      </c>
      <c r="AB24" s="287"/>
      <c r="AC24" s="288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1392</v>
      </c>
    </row>
    <row r="25" spans="1:57" ht="14.45" customHeight="1" x14ac:dyDescent="0.25">
      <c r="A25" s="50">
        <f>IF(B25="","",COUNTA($B$8:B25))</f>
        <v>18</v>
      </c>
      <c r="B25" s="25" t="s">
        <v>1387</v>
      </c>
      <c r="C25" s="26"/>
      <c r="D25" s="26"/>
      <c r="E25" s="26"/>
      <c r="F25" s="26"/>
      <c r="G25" s="26"/>
      <c r="H25" s="24"/>
      <c r="I25" s="167" t="s">
        <v>1391</v>
      </c>
      <c r="J25" s="23"/>
      <c r="K25" s="23"/>
      <c r="L25" s="23"/>
      <c r="M25" s="23"/>
      <c r="N25" s="23"/>
      <c r="O25" s="23"/>
      <c r="P25" s="23"/>
      <c r="Q25" s="37"/>
      <c r="R25" s="25" t="s">
        <v>1387</v>
      </c>
      <c r="S25" s="23"/>
      <c r="T25" s="23"/>
      <c r="U25" s="23"/>
      <c r="V25" s="23"/>
      <c r="W25" s="23"/>
      <c r="X25" s="24"/>
      <c r="Y25" s="284" t="s">
        <v>155</v>
      </c>
      <c r="Z25" s="285"/>
      <c r="AA25" s="286" t="s">
        <v>156</v>
      </c>
      <c r="AB25" s="287"/>
      <c r="AC25" s="288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396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1392</v>
      </c>
    </row>
    <row r="26" spans="1:57" ht="14.45" customHeight="1" x14ac:dyDescent="0.25">
      <c r="A26" s="70">
        <f>IF(B26="","",COUNTA($B$8:B26))</f>
        <v>19</v>
      </c>
      <c r="B26" s="19" t="s">
        <v>375</v>
      </c>
      <c r="C26" s="20"/>
      <c r="D26" s="20"/>
      <c r="E26" s="20"/>
      <c r="F26" s="20"/>
      <c r="G26" s="20"/>
      <c r="H26" s="24"/>
      <c r="I26" s="31" t="s">
        <v>376</v>
      </c>
      <c r="J26" s="23"/>
      <c r="K26" s="23"/>
      <c r="L26" s="23"/>
      <c r="M26" s="23"/>
      <c r="N26" s="23"/>
      <c r="O26" s="38"/>
      <c r="P26" s="23"/>
      <c r="Q26" s="24"/>
      <c r="R26" s="22" t="s">
        <v>375</v>
      </c>
      <c r="S26" s="23"/>
      <c r="T26" s="23"/>
      <c r="U26" s="23"/>
      <c r="V26" s="23"/>
      <c r="W26" s="23"/>
      <c r="X26" s="24"/>
      <c r="Y26" s="284" t="s">
        <v>169</v>
      </c>
      <c r="Z26" s="285"/>
      <c r="AA26" s="286" t="s">
        <v>170</v>
      </c>
      <c r="AB26" s="287"/>
      <c r="AC26" s="288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377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284" t="s">
        <v>150</v>
      </c>
      <c r="Z29" s="285"/>
      <c r="AA29" s="286" t="s">
        <v>151</v>
      </c>
      <c r="AB29" s="287"/>
      <c r="AC29" s="288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284" t="s">
        <v>150</v>
      </c>
      <c r="Z30" s="285"/>
      <c r="AA30" s="286" t="s">
        <v>151</v>
      </c>
      <c r="AB30" s="287"/>
      <c r="AC30" s="288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284" t="s">
        <v>169</v>
      </c>
      <c r="Z31" s="285"/>
      <c r="AA31" s="286" t="s">
        <v>243</v>
      </c>
      <c r="AB31" s="287"/>
      <c r="AC31" s="288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284" t="s">
        <v>150</v>
      </c>
      <c r="Z32" s="285"/>
      <c r="AA32" s="286" t="s">
        <v>151</v>
      </c>
      <c r="AB32" s="287"/>
      <c r="AC32" s="288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284" t="s">
        <v>150</v>
      </c>
      <c r="Z33" s="285"/>
      <c r="AA33" s="286" t="s">
        <v>151</v>
      </c>
      <c r="AB33" s="287"/>
      <c r="AC33" s="288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284" t="s">
        <v>169</v>
      </c>
      <c r="Z34" s="285"/>
      <c r="AA34" s="286" t="s">
        <v>243</v>
      </c>
      <c r="AB34" s="287"/>
      <c r="AC34" s="28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 t="s">
        <v>378</v>
      </c>
      <c r="D37" s="20"/>
      <c r="E37" s="20" t="s">
        <v>379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84"/>
      <c r="Z41" s="285"/>
      <c r="AA41" s="286"/>
      <c r="AB41" s="287"/>
      <c r="AC41" s="28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84"/>
      <c r="Z42" s="285"/>
      <c r="AA42" s="286"/>
      <c r="AB42" s="287"/>
      <c r="AC42" s="28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84"/>
      <c r="Z43" s="285"/>
      <c r="AA43" s="286"/>
      <c r="AB43" s="287"/>
      <c r="AC43" s="288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84"/>
      <c r="Z44" s="285"/>
      <c r="AA44" s="286"/>
      <c r="AB44" s="287"/>
      <c r="AC44" s="288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84"/>
      <c r="Z46" s="285"/>
      <c r="AA46" s="286"/>
      <c r="AB46" s="287"/>
      <c r="AC46" s="288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P2:AT2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AA21:AC2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1:AC41"/>
    <mergeCell ref="AA42:AC42"/>
    <mergeCell ref="AA43:AC43"/>
    <mergeCell ref="AA44:AC44"/>
    <mergeCell ref="Y33:Z33"/>
    <mergeCell ref="Y34:Z34"/>
    <mergeCell ref="Y35:Z35"/>
    <mergeCell ref="AA40:AC40"/>
    <mergeCell ref="Y46:Z46"/>
    <mergeCell ref="Y42:Z42"/>
    <mergeCell ref="Y43:Z43"/>
    <mergeCell ref="Y45:Z45"/>
    <mergeCell ref="Y44:Z44"/>
    <mergeCell ref="Y39:Z39"/>
    <mergeCell ref="Y40:Z40"/>
    <mergeCell ref="Y41:Z41"/>
  </mergeCells>
  <phoneticPr fontId="5"/>
  <dataValidations count="3">
    <dataValidation imeMode="hiragana" allowBlank="1" showInputMessage="1" showErrorMessage="1" sqref="Z262145:AJ262147 Z196609:AJ196611 Z131073:AJ131075 Z65537:AJ65539 Z983041:AJ983043 Z917505:AJ917507 Z851969:AJ851971 Z786433:AJ786435 Z720897:AJ720899 Z655361:AJ655363 Z589825:AJ589827 Z524289:AJ524291 Z458753:AJ458755 Z393217:AJ393219 Z327681:AJ327683 R2" xr:uid="{00000000-0002-0000-0B00-000000000000}"/>
    <dataValidation type="list" allowBlank="1" showInputMessage="1" showErrorMessage="1" sqref="Y8:Z46" xr:uid="{00000000-0002-0000-0B00-000001000000}">
      <formula1>"文字,数値,日付,時間"</formula1>
    </dataValidation>
    <dataValidation type="list" allowBlank="1" showInputMessage="1" showErrorMessage="1" sqref="AA8:AC46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生産指示明細情報（原材料）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51" t="s">
        <v>150</v>
      </c>
      <c r="Z9" s="352"/>
      <c r="AA9" s="353" t="s">
        <v>151</v>
      </c>
      <c r="AB9" s="354"/>
      <c r="AC9" s="355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80" t="str">
        <f>IF(B10="","",COUNTA($B$8:B10))</f>
        <v/>
      </c>
      <c r="B10" s="138"/>
      <c r="C10" s="139"/>
      <c r="D10" s="139"/>
      <c r="E10" s="139"/>
      <c r="F10" s="139"/>
      <c r="G10" s="139"/>
      <c r="H10" s="140"/>
      <c r="I10" s="141"/>
      <c r="J10" s="142"/>
      <c r="K10" s="142"/>
      <c r="L10" s="142"/>
      <c r="M10" s="142"/>
      <c r="N10" s="142"/>
      <c r="O10" s="142"/>
      <c r="P10" s="142"/>
      <c r="Q10" s="143"/>
      <c r="R10" s="138"/>
      <c r="S10" s="142"/>
      <c r="T10" s="142"/>
      <c r="U10" s="142"/>
      <c r="V10" s="142"/>
      <c r="W10" s="142"/>
      <c r="X10" s="140"/>
      <c r="Y10" s="138"/>
      <c r="Z10" s="144"/>
      <c r="AA10" s="356"/>
      <c r="AB10" s="357"/>
      <c r="AC10" s="358"/>
      <c r="AD10" s="145"/>
      <c r="AE10" s="146" t="s">
        <v>244</v>
      </c>
      <c r="AF10" s="146"/>
      <c r="AG10" s="146"/>
      <c r="AH10" s="147"/>
      <c r="AI10" s="147"/>
      <c r="AJ10" s="147"/>
      <c r="AK10" s="147"/>
      <c r="AL10" s="147"/>
      <c r="AM10" s="147"/>
      <c r="AN10" s="147"/>
      <c r="AO10" s="146"/>
      <c r="AP10" s="146"/>
      <c r="AQ10" s="146"/>
      <c r="AR10" s="146"/>
      <c r="AS10" s="141" t="s">
        <v>384</v>
      </c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9"/>
    </row>
    <row r="11" spans="1:57" ht="14.45" customHeight="1" x14ac:dyDescent="0.25">
      <c r="A11" s="5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339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284" t="s">
        <v>155</v>
      </c>
      <c r="Z11" s="285"/>
      <c r="AA11" s="286" t="s">
        <v>156</v>
      </c>
      <c r="AB11" s="287"/>
      <c r="AC11" s="288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385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386</v>
      </c>
      <c r="C15" s="26"/>
      <c r="D15" s="26"/>
      <c r="E15" s="26"/>
      <c r="F15" s="26"/>
      <c r="G15" s="26"/>
      <c r="H15" s="39"/>
      <c r="I15" s="31" t="s">
        <v>387</v>
      </c>
      <c r="J15" s="23"/>
      <c r="K15" s="23"/>
      <c r="L15" s="23"/>
      <c r="M15" s="23"/>
      <c r="N15" s="23"/>
      <c r="O15" s="23"/>
      <c r="P15" s="23"/>
      <c r="Q15" s="37"/>
      <c r="R15" s="25" t="s">
        <v>386</v>
      </c>
      <c r="S15" s="23"/>
      <c r="T15" s="23"/>
      <c r="U15" s="23"/>
      <c r="V15" s="23"/>
      <c r="W15" s="23"/>
      <c r="X15" s="24"/>
      <c r="Y15" s="284" t="s">
        <v>155</v>
      </c>
      <c r="Z15" s="285"/>
      <c r="AA15" s="286" t="s">
        <v>156</v>
      </c>
      <c r="AB15" s="287"/>
      <c r="AC15" s="288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25" t="s">
        <v>388</v>
      </c>
      <c r="C16" s="26"/>
      <c r="D16" s="26"/>
      <c r="E16" s="26"/>
      <c r="F16" s="26"/>
      <c r="G16" s="26"/>
      <c r="H16" s="39"/>
      <c r="I16" s="31" t="s">
        <v>389</v>
      </c>
      <c r="J16" s="23"/>
      <c r="K16" s="23"/>
      <c r="L16" s="23"/>
      <c r="M16" s="23"/>
      <c r="N16" s="23"/>
      <c r="O16" s="23"/>
      <c r="P16" s="23"/>
      <c r="Q16" s="37"/>
      <c r="R16" s="25" t="s">
        <v>388</v>
      </c>
      <c r="S16" s="23"/>
      <c r="T16" s="23"/>
      <c r="U16" s="23"/>
      <c r="V16" s="23"/>
      <c r="W16" s="23"/>
      <c r="X16" s="24"/>
      <c r="Y16" s="284" t="s">
        <v>155</v>
      </c>
      <c r="Z16" s="285"/>
      <c r="AA16" s="286" t="s">
        <v>156</v>
      </c>
      <c r="AB16" s="287"/>
      <c r="AC16" s="288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50">
        <f>IF(B17="","",COUNTA($B$8:B17))</f>
        <v>9</v>
      </c>
      <c r="B17" s="25" t="s">
        <v>390</v>
      </c>
      <c r="C17" s="26"/>
      <c r="D17" s="26"/>
      <c r="E17" s="26"/>
      <c r="F17" s="26"/>
      <c r="G17" s="26"/>
      <c r="H17" s="39"/>
      <c r="I17" s="31" t="s">
        <v>391</v>
      </c>
      <c r="J17" s="23"/>
      <c r="K17" s="23"/>
      <c r="L17" s="23"/>
      <c r="M17" s="23"/>
      <c r="N17" s="23"/>
      <c r="O17" s="23"/>
      <c r="P17" s="23"/>
      <c r="Q17" s="37"/>
      <c r="R17" s="25" t="s">
        <v>390</v>
      </c>
      <c r="S17" s="23"/>
      <c r="T17" s="23"/>
      <c r="U17" s="23"/>
      <c r="V17" s="23"/>
      <c r="W17" s="23"/>
      <c r="X17" s="24"/>
      <c r="Y17" s="284" t="s">
        <v>155</v>
      </c>
      <c r="Z17" s="285"/>
      <c r="AA17" s="286" t="s">
        <v>156</v>
      </c>
      <c r="AB17" s="287"/>
      <c r="AC17" s="288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10</v>
      </c>
      <c r="B18" s="64" t="s">
        <v>673</v>
      </c>
      <c r="C18" s="2"/>
      <c r="D18" s="2"/>
      <c r="E18" s="2"/>
      <c r="F18" s="2"/>
      <c r="G18" s="2"/>
      <c r="H18" s="2"/>
      <c r="I18" s="115" t="s">
        <v>1491</v>
      </c>
      <c r="J18" s="116"/>
      <c r="K18" s="116"/>
      <c r="L18" s="116"/>
      <c r="M18" s="116"/>
      <c r="N18" s="116"/>
      <c r="O18" s="116"/>
      <c r="P18" s="116"/>
      <c r="Q18" s="116"/>
      <c r="R18" s="64" t="s">
        <v>1492</v>
      </c>
      <c r="S18" s="114"/>
      <c r="T18" s="5"/>
      <c r="U18" s="5"/>
      <c r="V18" s="5"/>
      <c r="W18" s="5"/>
      <c r="X18" s="5"/>
      <c r="Y18" s="8" t="s">
        <v>1493</v>
      </c>
      <c r="Z18" s="119"/>
      <c r="AA18" s="64" t="s">
        <v>1494</v>
      </c>
      <c r="AB18" s="2"/>
      <c r="AC18" s="3"/>
      <c r="AD18" s="126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1420</v>
      </c>
    </row>
    <row r="19" spans="1:57" ht="14.45" customHeight="1" x14ac:dyDescent="0.25">
      <c r="A19" s="50">
        <f>IF(B19="","",COUNTA($B$8:B19))</f>
        <v>11</v>
      </c>
      <c r="B19" s="25" t="s">
        <v>392</v>
      </c>
      <c r="C19" s="26"/>
      <c r="D19" s="26"/>
      <c r="E19" s="26"/>
      <c r="F19" s="26"/>
      <c r="G19" s="26"/>
      <c r="H19" s="39"/>
      <c r="I19" s="31" t="s">
        <v>393</v>
      </c>
      <c r="J19" s="23"/>
      <c r="K19" s="23"/>
      <c r="L19" s="23"/>
      <c r="M19" s="23"/>
      <c r="N19" s="23"/>
      <c r="O19" s="23"/>
      <c r="P19" s="23"/>
      <c r="Q19" s="37"/>
      <c r="R19" s="25" t="s">
        <v>392</v>
      </c>
      <c r="S19" s="23"/>
      <c r="T19" s="23"/>
      <c r="U19" s="23"/>
      <c r="V19" s="23"/>
      <c r="W19" s="23"/>
      <c r="X19" s="24"/>
      <c r="Y19" s="284" t="s">
        <v>155</v>
      </c>
      <c r="Z19" s="285"/>
      <c r="AA19" s="286" t="s">
        <v>156</v>
      </c>
      <c r="AB19" s="287"/>
      <c r="AC19" s="288"/>
      <c r="AD19" s="27">
        <v>6</v>
      </c>
      <c r="AE19" s="28" t="s">
        <v>340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284" t="s">
        <v>150</v>
      </c>
      <c r="Z21" s="285"/>
      <c r="AA21" s="286" t="s">
        <v>151</v>
      </c>
      <c r="AB21" s="287"/>
      <c r="AC21" s="288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284" t="s">
        <v>169</v>
      </c>
      <c r="Z25" s="285"/>
      <c r="AA25" s="286" t="s">
        <v>243</v>
      </c>
      <c r="AB25" s="287"/>
      <c r="AC25" s="288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284" t="s">
        <v>150</v>
      </c>
      <c r="Z26" s="285"/>
      <c r="AA26" s="286" t="s">
        <v>151</v>
      </c>
      <c r="AB26" s="287"/>
      <c r="AC26" s="288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284" t="s">
        <v>169</v>
      </c>
      <c r="Z28" s="285"/>
      <c r="AA28" s="286" t="s">
        <v>243</v>
      </c>
      <c r="AB28" s="287"/>
      <c r="AC28" s="288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84"/>
      <c r="Z33" s="285"/>
      <c r="AA33" s="286"/>
      <c r="AB33" s="287"/>
      <c r="AC33" s="288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84"/>
      <c r="Z34" s="285"/>
      <c r="AA34" s="286"/>
      <c r="AB34" s="287"/>
      <c r="AC34" s="288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生産指示情報（薬品）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84" t="s">
        <v>150</v>
      </c>
      <c r="Z9" s="285"/>
      <c r="AA9" s="286" t="s">
        <v>151</v>
      </c>
      <c r="AB9" s="287"/>
      <c r="AC9" s="28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84" t="s">
        <v>155</v>
      </c>
      <c r="Z16" s="285"/>
      <c r="AA16" s="286" t="s">
        <v>156</v>
      </c>
      <c r="AB16" s="287"/>
      <c r="AC16" s="28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84" t="s">
        <v>155</v>
      </c>
      <c r="Z17" s="285"/>
      <c r="AA17" s="286" t="s">
        <v>156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84" t="s">
        <v>155</v>
      </c>
      <c r="Z18" s="285"/>
      <c r="AA18" s="286" t="s">
        <v>156</v>
      </c>
      <c r="AB18" s="287"/>
      <c r="AC18" s="28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397</v>
      </c>
      <c r="C21" s="26"/>
      <c r="D21" s="26"/>
      <c r="E21" s="26"/>
      <c r="F21" s="26"/>
      <c r="G21" s="26"/>
      <c r="H21" s="39"/>
      <c r="I21" s="31" t="s">
        <v>398</v>
      </c>
      <c r="J21" s="23"/>
      <c r="K21" s="23"/>
      <c r="L21" s="23"/>
      <c r="M21" s="23"/>
      <c r="N21" s="23"/>
      <c r="O21" s="23"/>
      <c r="P21" s="23"/>
      <c r="Q21" s="37"/>
      <c r="R21" s="25" t="s">
        <v>397</v>
      </c>
      <c r="S21" s="23"/>
      <c r="T21" s="23"/>
      <c r="U21" s="23"/>
      <c r="V21" s="23"/>
      <c r="W21" s="23"/>
      <c r="X21" s="24"/>
      <c r="Y21" s="284" t="s">
        <v>150</v>
      </c>
      <c r="Z21" s="285"/>
      <c r="AA21" s="286" t="s">
        <v>151</v>
      </c>
      <c r="AB21" s="287"/>
      <c r="AC21" s="288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1393</v>
      </c>
    </row>
    <row r="22" spans="1:57" ht="14.45" customHeight="1" x14ac:dyDescent="0.25">
      <c r="A22" s="70">
        <f>IF(B22="","",COUNTA($B$8:B22))</f>
        <v>15</v>
      </c>
      <c r="B22" s="19" t="s">
        <v>375</v>
      </c>
      <c r="C22" s="20"/>
      <c r="D22" s="20"/>
      <c r="E22" s="20"/>
      <c r="F22" s="20"/>
      <c r="G22" s="20"/>
      <c r="H22" s="24"/>
      <c r="I22" s="31" t="s">
        <v>376</v>
      </c>
      <c r="J22" s="23"/>
      <c r="K22" s="23"/>
      <c r="L22" s="23"/>
      <c r="M22" s="23"/>
      <c r="N22" s="23"/>
      <c r="O22" s="38"/>
      <c r="P22" s="23"/>
      <c r="Q22" s="24"/>
      <c r="R22" s="22" t="s">
        <v>375</v>
      </c>
      <c r="S22" s="23"/>
      <c r="T22" s="23"/>
      <c r="U22" s="23"/>
      <c r="V22" s="23"/>
      <c r="W22" s="23"/>
      <c r="X22" s="24"/>
      <c r="Y22" s="284" t="s">
        <v>169</v>
      </c>
      <c r="Z22" s="285"/>
      <c r="AA22" s="286" t="s">
        <v>170</v>
      </c>
      <c r="AB22" s="287"/>
      <c r="AC22" s="288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284" t="s">
        <v>150</v>
      </c>
      <c r="Z25" s="285"/>
      <c r="AA25" s="286" t="s">
        <v>151</v>
      </c>
      <c r="AB25" s="287"/>
      <c r="AC25" s="288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284" t="s">
        <v>150</v>
      </c>
      <c r="Z26" s="285"/>
      <c r="AA26" s="286" t="s">
        <v>151</v>
      </c>
      <c r="AB26" s="287"/>
      <c r="AC26" s="288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284" t="s">
        <v>169</v>
      </c>
      <c r="Z27" s="285"/>
      <c r="AA27" s="286" t="s">
        <v>243</v>
      </c>
      <c r="AB27" s="287"/>
      <c r="AC27" s="288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5" customHeight="1" x14ac:dyDescent="0.25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5" customHeight="1" x14ac:dyDescent="0.25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284" t="s">
        <v>150</v>
      </c>
      <c r="Z29" s="285"/>
      <c r="AA29" s="286" t="s">
        <v>151</v>
      </c>
      <c r="AB29" s="287"/>
      <c r="AC29" s="288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284" t="s">
        <v>169</v>
      </c>
      <c r="Z30" s="285"/>
      <c r="AA30" s="286" t="s">
        <v>243</v>
      </c>
      <c r="AB30" s="287"/>
      <c r="AC30" s="288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 t="str">
        <f>IF(B32="","",COUNTA($B$8:B32))</f>
        <v/>
      </c>
      <c r="B32" s="19"/>
      <c r="C32" s="20" t="s">
        <v>378</v>
      </c>
      <c r="D32" s="20"/>
      <c r="E32" s="20" t="s">
        <v>379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84"/>
      <c r="Z33" s="285"/>
      <c r="AA33" s="286"/>
      <c r="AB33" s="287"/>
      <c r="AC33" s="288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84"/>
      <c r="Z34" s="285"/>
      <c r="AA34" s="286"/>
      <c r="AB34" s="287"/>
      <c r="AC34" s="288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84"/>
      <c r="Z41" s="285"/>
      <c r="AA41" s="286"/>
      <c r="AB41" s="287"/>
      <c r="AC41" s="28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84"/>
      <c r="Z42" s="285"/>
      <c r="AA42" s="286"/>
      <c r="AB42" s="287"/>
      <c r="AC42" s="28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284"/>
      <c r="Z44" s="285"/>
      <c r="AA44" s="286"/>
      <c r="AB44" s="287"/>
      <c r="AC44" s="288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84"/>
      <c r="Z45" s="285"/>
      <c r="AA45" s="286"/>
      <c r="AB45" s="287"/>
      <c r="AC45" s="288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84"/>
      <c r="Z46" s="285"/>
      <c r="AA46" s="286"/>
      <c r="AB46" s="287"/>
      <c r="AC46" s="288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46:Z46"/>
    <mergeCell ref="AA46:AC46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IR65540:JC65542 SN65540:SY65542 ACJ65540:ACU65542 AMF65540:AMQ65542 AWB65540:AWM65542 BFX65540:BGI65542 BPT65540:BQE65542 BZP65540:CAA65542 CJL65540:CJW65542 CTH65540:CTS65542 DDD65540:DDO65542 DMZ65540:DNK65542 DWV65540:DXG65542 EGR65540:EHC65542 EQN65540:EQY65542 FAJ65540:FAU65542 FKF65540:FKQ65542 FUB65540:FUM65542 GDX65540:GEI65542 GNT65540:GOE65542 GXP65540:GYA65542 HHL65540:HHW65542 HRH65540:HRS65542 IBD65540:IBO65542 IKZ65540:ILK65542 IUV65540:IVG65542 JER65540:JFC65542 JON65540:JOY65542 JYJ65540:JYU65542 KIF65540:KIQ65542 KSB65540:KSM65542 LBX65540:LCI65542 LLT65540:LME65542 LVP65540:LWA65542 MFL65540:MFW65542 MPH65540:MPS65542 MZD65540:MZO65542 NIZ65540:NJK65542 NSV65540:NTG65542 OCR65540:ODC65542 OMN65540:OMY65542 OWJ65540:OWU65542 PGF65540:PGQ65542 PQB65540:PQM65542 PZX65540:QAI65542 QJT65540:QKE65542 QTP65540:QUA65542 RDL65540:RDW65542 RNH65540:RNS65542 RXD65540:RXO65542 SGZ65540:SHK65542 SQV65540:SRG65542 TAR65540:TBC65542 TKN65540:TKY65542 TUJ65540:TUU65542 UEF65540:UEQ65542 UOB65540:UOM65542 UXX65540:UYI65542 VHT65540:VIE65542 VRP65540:VSA65542 WBL65540:WBW65542 WLH65540:WLS65542 WVD65540:WVO65542 IR131076:JC131078 SN131076:SY131078 ACJ131076:ACU131078 AMF131076:AMQ131078 AWB131076:AWM131078 BFX131076:BGI131078 BPT131076:BQE131078 BZP131076:CAA131078 CJL131076:CJW131078 CTH131076:CTS131078 DDD131076:DDO131078 DMZ131076:DNK131078 DWV131076:DXG131078 EGR131076:EHC131078 EQN131076:EQY131078 FAJ131076:FAU131078 FKF131076:FKQ131078 FUB131076:FUM131078 GDX131076:GEI131078 GNT131076:GOE131078 GXP131076:GYA131078 HHL131076:HHW131078 HRH131076:HRS131078 IBD131076:IBO131078 IKZ131076:ILK131078 IUV131076:IVG131078 JER131076:JFC131078 JON131076:JOY131078 JYJ131076:JYU131078 KIF131076:KIQ131078 KSB131076:KSM131078 LBX131076:LCI131078 LLT131076:LME131078 LVP131076:LWA131078 MFL131076:MFW131078 MPH131076:MPS131078 MZD131076:MZO131078 NIZ131076:NJK131078 NSV131076:NTG131078 OCR131076:ODC131078 OMN131076:OMY131078 OWJ131076:OWU131078 PGF131076:PGQ131078 PQB131076:PQM131078 PZX131076:QAI131078 QJT131076:QKE131078 QTP131076:QUA131078 RDL131076:RDW131078 RNH131076:RNS131078 RXD131076:RXO131078 SGZ131076:SHK131078 SQV131076:SRG131078 TAR131076:TBC131078 TKN131076:TKY131078 TUJ131076:TUU131078 UEF131076:UEQ131078 UOB131076:UOM131078 UXX131076:UYI131078 VHT131076:VIE131078 VRP131076:VSA131078 WBL131076:WBW131078 WLH131076:WLS131078 WVD131076:WVO131078 IR196612:JC196614 SN196612:SY196614 ACJ196612:ACU196614 AMF196612:AMQ196614 AWB196612:AWM196614 BFX196612:BGI196614 BPT196612:BQE196614 BZP196612:CAA196614 CJL196612:CJW196614 CTH196612:CTS196614 DDD196612:DDO196614 DMZ196612:DNK196614 DWV196612:DXG196614 EGR196612:EHC196614 EQN196612:EQY196614 FAJ196612:FAU196614 FKF196612:FKQ196614 FUB196612:FUM196614 GDX196612:GEI196614 GNT196612:GOE196614 GXP196612:GYA196614 HHL196612:HHW196614 HRH196612:HRS196614 IBD196612:IBO196614 IKZ196612:ILK196614 IUV196612:IVG196614 JER196612:JFC196614 JON196612:JOY196614 JYJ196612:JYU196614 KIF196612:KIQ196614 KSB196612:KSM196614 LBX196612:LCI196614 LLT196612:LME196614 LVP196612:LWA196614 MFL196612:MFW196614 MPH196612:MPS196614 MZD196612:MZO196614 NIZ196612:NJK196614 NSV196612:NTG196614 OCR196612:ODC196614 OMN196612:OMY196614 OWJ196612:OWU196614 PGF196612:PGQ196614 PQB196612:PQM196614 PZX196612:QAI196614 QJT196612:QKE196614 QTP196612:QUA196614 RDL196612:RDW196614 RNH196612:RNS196614 RXD196612:RXO196614 SGZ196612:SHK196614 SQV196612:SRG196614 TAR196612:TBC196614 TKN196612:TKY196614 TUJ196612:TUU196614 UEF196612:UEQ196614 UOB196612:UOM196614 UXX196612:UYI196614 VHT196612:VIE196614 VRP196612:VSA196614 WBL196612:WBW196614 WLH196612:WLS196614 WVD196612:WVO196614 IR262148:JC262150 SN262148:SY262150 ACJ262148:ACU262150 AMF262148:AMQ262150 AWB262148:AWM262150 BFX262148:BGI262150 BPT262148:BQE262150 BZP262148:CAA262150 CJL262148:CJW262150 CTH262148:CTS262150 DDD262148:DDO262150 DMZ262148:DNK262150 DWV262148:DXG262150 EGR262148:EHC262150 EQN262148:EQY262150 FAJ262148:FAU262150 FKF262148:FKQ262150 FUB262148:FUM262150 GDX262148:GEI262150 GNT262148:GOE262150 GXP262148:GYA262150 HHL262148:HHW262150 HRH262148:HRS262150 IBD262148:IBO262150 IKZ262148:ILK262150 IUV262148:IVG262150 JER262148:JFC262150 JON262148:JOY262150 JYJ262148:JYU262150 KIF262148:KIQ262150 KSB262148:KSM262150 LBX262148:LCI262150 LLT262148:LME262150 LVP262148:LWA262150 MFL262148:MFW262150 MPH262148:MPS262150 MZD262148:MZO262150 NIZ262148:NJK262150 NSV262148:NTG262150 OCR262148:ODC262150 OMN262148:OMY262150 OWJ262148:OWU262150 PGF262148:PGQ262150 PQB262148:PQM262150 PZX262148:QAI262150 QJT262148:QKE262150 QTP262148:QUA262150 RDL262148:RDW262150 RNH262148:RNS262150 RXD262148:RXO262150 SGZ262148:SHK262150 SQV262148:SRG262150 TAR262148:TBC262150 TKN262148:TKY262150 TUJ262148:TUU262150 UEF262148:UEQ262150 UOB262148:UOM262150 UXX262148:UYI262150 VHT262148:VIE262150 VRP262148:VSA262150 WBL262148:WBW262150 WLH262148:WLS262150 WVD262148:WVO262150 IR327684:JC327686 SN327684:SY327686 ACJ327684:ACU327686 AMF327684:AMQ327686 AWB327684:AWM327686 BFX327684:BGI327686 BPT327684:BQE327686 BZP327684:CAA327686 CJL327684:CJW327686 CTH327684:CTS327686 DDD327684:DDO327686 DMZ327684:DNK327686 DWV327684:DXG327686 EGR327684:EHC327686 EQN327684:EQY327686 FAJ327684:FAU327686 FKF327684:FKQ327686 FUB327684:FUM327686 GDX327684:GEI327686 GNT327684:GOE327686 GXP327684:GYA327686 HHL327684:HHW327686 HRH327684:HRS327686 IBD327684:IBO327686 IKZ327684:ILK327686 IUV327684:IVG327686 JER327684:JFC327686 JON327684:JOY327686 JYJ327684:JYU327686 KIF327684:KIQ327686 KSB327684:KSM327686 LBX327684:LCI327686 LLT327684:LME327686 LVP327684:LWA327686 MFL327684:MFW327686 MPH327684:MPS327686 MZD327684:MZO327686 NIZ327684:NJK327686 NSV327684:NTG327686 OCR327684:ODC327686 OMN327684:OMY327686 OWJ327684:OWU327686 PGF327684:PGQ327686 PQB327684:PQM327686 PZX327684:QAI327686 QJT327684:QKE327686 QTP327684:QUA327686 RDL327684:RDW327686 RNH327684:RNS327686 RXD327684:RXO327686 SGZ327684:SHK327686 SQV327684:SRG327686 TAR327684:TBC327686 TKN327684:TKY327686 TUJ327684:TUU327686 UEF327684:UEQ327686 UOB327684:UOM327686 UXX327684:UYI327686 VHT327684:VIE327686 VRP327684:VSA327686 WBL327684:WBW327686 WLH327684:WLS327686 WVD327684:WVO327686 IR393220:JC393222 SN393220:SY393222 ACJ393220:ACU393222 AMF393220:AMQ393222 AWB393220:AWM393222 BFX393220:BGI393222 BPT393220:BQE393222 BZP393220:CAA393222 CJL393220:CJW393222 CTH393220:CTS393222 DDD393220:DDO393222 DMZ393220:DNK393222 DWV393220:DXG393222 EGR393220:EHC393222 EQN393220:EQY393222 FAJ393220:FAU393222 FKF393220:FKQ393222 FUB393220:FUM393222 GDX393220:GEI393222 GNT393220:GOE393222 GXP393220:GYA393222 HHL393220:HHW393222 HRH393220:HRS393222 IBD393220:IBO393222 IKZ393220:ILK393222 IUV393220:IVG393222 JER393220:JFC393222 JON393220:JOY393222 JYJ393220:JYU393222 KIF393220:KIQ393222 KSB393220:KSM393222 LBX393220:LCI393222 LLT393220:LME393222 LVP393220:LWA393222 MFL393220:MFW393222 MPH393220:MPS393222 MZD393220:MZO393222 NIZ393220:NJK393222 NSV393220:NTG393222 OCR393220:ODC393222 OMN393220:OMY393222 OWJ393220:OWU393222 PGF393220:PGQ393222 PQB393220:PQM393222 PZX393220:QAI393222 QJT393220:QKE393222 QTP393220:QUA393222 RDL393220:RDW393222 RNH393220:RNS393222 RXD393220:RXO393222 SGZ393220:SHK393222 SQV393220:SRG393222 TAR393220:TBC393222 TKN393220:TKY393222 TUJ393220:TUU393222 UEF393220:UEQ393222 UOB393220:UOM393222 UXX393220:UYI393222 VHT393220:VIE393222 VRP393220:VSA393222 WBL393220:WBW393222 WLH393220:WLS393222 WVD393220:WVO393222 IR458756:JC458758 SN458756:SY458758 ACJ458756:ACU458758 AMF458756:AMQ458758 AWB458756:AWM458758 BFX458756:BGI458758 BPT458756:BQE458758 BZP458756:CAA458758 CJL458756:CJW458758 CTH458756:CTS458758 DDD458756:DDO458758 DMZ458756:DNK458758 DWV458756:DXG458758 EGR458756:EHC458758 EQN458756:EQY458758 FAJ458756:FAU458758 FKF458756:FKQ458758 FUB458756:FUM458758 GDX458756:GEI458758 GNT458756:GOE458758 GXP458756:GYA458758 HHL458756:HHW458758 HRH458756:HRS458758 IBD458756:IBO458758 IKZ458756:ILK458758 IUV458756:IVG458758 JER458756:JFC458758 JON458756:JOY458758 JYJ458756:JYU458758 KIF458756:KIQ458758 KSB458756:KSM458758 LBX458756:LCI458758 LLT458756:LME458758 LVP458756:LWA458758 MFL458756:MFW458758 MPH458756:MPS458758 MZD458756:MZO458758 NIZ458756:NJK458758 NSV458756:NTG458758 OCR458756:ODC458758 OMN458756:OMY458758 OWJ458756:OWU458758 PGF458756:PGQ458758 PQB458756:PQM458758 PZX458756:QAI458758 QJT458756:QKE458758 QTP458756:QUA458758 RDL458756:RDW458758 RNH458756:RNS458758 RXD458756:RXO458758 SGZ458756:SHK458758 SQV458756:SRG458758 TAR458756:TBC458758 TKN458756:TKY458758 TUJ458756:TUU458758 UEF458756:UEQ458758 UOB458756:UOM458758 UXX458756:UYI458758 VHT458756:VIE458758 VRP458756:VSA458758 WBL458756:WBW458758 WLH458756:WLS458758 WVD458756:WVO458758 IR524292:JC524294 SN524292:SY524294 ACJ524292:ACU524294 AMF524292:AMQ524294 AWB524292:AWM524294 BFX524292:BGI524294 BPT524292:BQE524294 BZP524292:CAA524294 CJL524292:CJW524294 CTH524292:CTS524294 DDD524292:DDO524294 DMZ524292:DNK524294 DWV524292:DXG524294 EGR524292:EHC524294 EQN524292:EQY524294 FAJ524292:FAU524294 FKF524292:FKQ524294 FUB524292:FUM524294 GDX524292:GEI524294 GNT524292:GOE524294 GXP524292:GYA524294 HHL524292:HHW524294 HRH524292:HRS524294 IBD524292:IBO524294 IKZ524292:ILK524294 IUV524292:IVG524294 JER524292:JFC524294 JON524292:JOY524294 JYJ524292:JYU524294 KIF524292:KIQ524294 KSB524292:KSM524294 LBX524292:LCI524294 LLT524292:LME524294 LVP524292:LWA524294 MFL524292:MFW524294 MPH524292:MPS524294 MZD524292:MZO524294 NIZ524292:NJK524294 NSV524292:NTG524294 OCR524292:ODC524294 OMN524292:OMY524294 OWJ524292:OWU524294 PGF524292:PGQ524294 PQB524292:PQM524294 PZX524292:QAI524294 QJT524292:QKE524294 QTP524292:QUA524294 RDL524292:RDW524294 RNH524292:RNS524294 RXD524292:RXO524294 SGZ524292:SHK524294 SQV524292:SRG524294 TAR524292:TBC524294 TKN524292:TKY524294 TUJ524292:TUU524294 UEF524292:UEQ524294 UOB524292:UOM524294 UXX524292:UYI524294 VHT524292:VIE524294 VRP524292:VSA524294 WBL524292:WBW524294 WLH524292:WLS524294 WVD524292:WVO524294 IR589828:JC589830 SN589828:SY589830 ACJ589828:ACU589830 AMF589828:AMQ589830 AWB589828:AWM589830 BFX589828:BGI589830 BPT589828:BQE589830 BZP589828:CAA589830 CJL589828:CJW589830 CTH589828:CTS589830 DDD589828:DDO589830 DMZ589828:DNK589830 DWV589828:DXG589830 EGR589828:EHC589830 EQN589828:EQY589830 FAJ589828:FAU589830 FKF589828:FKQ589830 FUB589828:FUM589830 GDX589828:GEI589830 GNT589828:GOE589830 GXP589828:GYA589830 HHL589828:HHW589830 HRH589828:HRS589830 IBD589828:IBO589830 IKZ589828:ILK589830 IUV589828:IVG589830 JER589828:JFC589830 JON589828:JOY589830 JYJ589828:JYU589830 KIF589828:KIQ589830 KSB589828:KSM589830 LBX589828:LCI589830 LLT589828:LME589830 LVP589828:LWA589830 MFL589828:MFW589830 MPH589828:MPS589830 MZD589828:MZO589830 NIZ589828:NJK589830 NSV589828:NTG589830 OCR589828:ODC589830 OMN589828:OMY589830 OWJ589828:OWU589830 PGF589828:PGQ589830 PQB589828:PQM589830 PZX589828:QAI589830 QJT589828:QKE589830 QTP589828:QUA589830 RDL589828:RDW589830 RNH589828:RNS589830 RXD589828:RXO589830 SGZ589828:SHK589830 SQV589828:SRG589830 TAR589828:TBC589830 TKN589828:TKY589830 TUJ589828:TUU589830 UEF589828:UEQ589830 UOB589828:UOM589830 UXX589828:UYI589830 VHT589828:VIE589830 VRP589828:VSA589830 WBL589828:WBW589830 WLH589828:WLS589830 WVD589828:WVO589830 IR655364:JC655366 SN655364:SY655366 ACJ655364:ACU655366 AMF655364:AMQ655366 AWB655364:AWM655366 BFX655364:BGI655366 BPT655364:BQE655366 BZP655364:CAA655366 CJL655364:CJW655366 CTH655364:CTS655366 DDD655364:DDO655366 DMZ655364:DNK655366 DWV655364:DXG655366 EGR655364:EHC655366 EQN655364:EQY655366 FAJ655364:FAU655366 FKF655364:FKQ655366 FUB655364:FUM655366 GDX655364:GEI655366 GNT655364:GOE655366 GXP655364:GYA655366 HHL655364:HHW655366 HRH655364:HRS655366 IBD655364:IBO655366 IKZ655364:ILK655366 IUV655364:IVG655366 JER655364:JFC655366 JON655364:JOY655366 JYJ655364:JYU655366 KIF655364:KIQ655366 KSB655364:KSM655366 LBX655364:LCI655366 LLT655364:LME655366 LVP655364:LWA655366 MFL655364:MFW655366 MPH655364:MPS655366 MZD655364:MZO655366 NIZ655364:NJK655366 NSV655364:NTG655366 OCR655364:ODC655366 OMN655364:OMY655366 OWJ655364:OWU655366 PGF655364:PGQ655366 PQB655364:PQM655366 PZX655364:QAI655366 QJT655364:QKE655366 QTP655364:QUA655366 RDL655364:RDW655366 RNH655364:RNS655366 RXD655364:RXO655366 SGZ655364:SHK655366 SQV655364:SRG655366 TAR655364:TBC655366 TKN655364:TKY655366 TUJ655364:TUU655366 UEF655364:UEQ655366 UOB655364:UOM655366 UXX655364:UYI655366 VHT655364:VIE655366 VRP655364:VSA655366 WBL655364:WBW655366 WLH655364:WLS655366 WVD655364:WVO655366 IR720900:JC720902 SN720900:SY720902 ACJ720900:ACU720902 AMF720900:AMQ720902 AWB720900:AWM720902 BFX720900:BGI720902 BPT720900:BQE720902 BZP720900:CAA720902 CJL720900:CJW720902 CTH720900:CTS720902 DDD720900:DDO720902 DMZ720900:DNK720902 DWV720900:DXG720902 EGR720900:EHC720902 EQN720900:EQY720902 FAJ720900:FAU720902 FKF720900:FKQ720902 FUB720900:FUM720902 GDX720900:GEI720902 GNT720900:GOE720902 GXP720900:GYA720902 HHL720900:HHW720902 HRH720900:HRS720902 IBD720900:IBO720902 IKZ720900:ILK720902 IUV720900:IVG720902 JER720900:JFC720902 JON720900:JOY720902 JYJ720900:JYU720902 KIF720900:KIQ720902 KSB720900:KSM720902 LBX720900:LCI720902 LLT720900:LME720902 LVP720900:LWA720902 MFL720900:MFW720902 MPH720900:MPS720902 MZD720900:MZO720902 NIZ720900:NJK720902 NSV720900:NTG720902 OCR720900:ODC720902 OMN720900:OMY720902 OWJ720900:OWU720902 PGF720900:PGQ720902 PQB720900:PQM720902 PZX720900:QAI720902 QJT720900:QKE720902 QTP720900:QUA720902 RDL720900:RDW720902 RNH720900:RNS720902 RXD720900:RXO720902 SGZ720900:SHK720902 SQV720900:SRG720902 TAR720900:TBC720902 TKN720900:TKY720902 TUJ720900:TUU720902 UEF720900:UEQ720902 UOB720900:UOM720902 UXX720900:UYI720902 VHT720900:VIE720902 VRP720900:VSA720902 WBL720900:WBW720902 WLH720900:WLS720902 WVD720900:WVO720902 IR786436:JC786438 SN786436:SY786438 ACJ786436:ACU786438 AMF786436:AMQ786438 AWB786436:AWM786438 BFX786436:BGI786438 BPT786436:BQE786438 BZP786436:CAA786438 CJL786436:CJW786438 CTH786436:CTS786438 DDD786436:DDO786438 DMZ786436:DNK786438 DWV786436:DXG786438 EGR786436:EHC786438 EQN786436:EQY786438 FAJ786436:FAU786438 FKF786436:FKQ786438 FUB786436:FUM786438 GDX786436:GEI786438 GNT786436:GOE786438 GXP786436:GYA786438 HHL786436:HHW786438 HRH786436:HRS786438 IBD786436:IBO786438 IKZ786436:ILK786438 IUV786436:IVG786438 JER786436:JFC786438 JON786436:JOY786438 JYJ786436:JYU786438 KIF786436:KIQ786438 KSB786436:KSM786438 LBX786436:LCI786438 LLT786436:LME786438 LVP786436:LWA786438 MFL786436:MFW786438 MPH786436:MPS786438 MZD786436:MZO786438 NIZ786436:NJK786438 NSV786436:NTG786438 OCR786436:ODC786438 OMN786436:OMY786438 OWJ786436:OWU786438 PGF786436:PGQ786438 PQB786436:PQM786438 PZX786436:QAI786438 QJT786436:QKE786438 QTP786436:QUA786438 RDL786436:RDW786438 RNH786436:RNS786438 RXD786436:RXO786438 SGZ786436:SHK786438 SQV786436:SRG786438 TAR786436:TBC786438 TKN786436:TKY786438 TUJ786436:TUU786438 UEF786436:UEQ786438 UOB786436:UOM786438 UXX786436:UYI786438 VHT786436:VIE786438 VRP786436:VSA786438 WBL786436:WBW786438 WLH786436:WLS786438 WVD786436:WVO786438 IR851972:JC851974 SN851972:SY851974 ACJ851972:ACU851974 AMF851972:AMQ851974 AWB851972:AWM851974 BFX851972:BGI851974 BPT851972:BQE851974 BZP851972:CAA851974 CJL851972:CJW851974 CTH851972:CTS851974 DDD851972:DDO851974 DMZ851972:DNK851974 DWV851972:DXG851974 EGR851972:EHC851974 EQN851972:EQY851974 FAJ851972:FAU851974 FKF851972:FKQ851974 FUB851972:FUM851974 GDX851972:GEI851974 GNT851972:GOE851974 GXP851972:GYA851974 HHL851972:HHW851974 HRH851972:HRS851974 IBD851972:IBO851974 IKZ851972:ILK851974 IUV851972:IVG851974 JER851972:JFC851974 JON851972:JOY851974 JYJ851972:JYU851974 KIF851972:KIQ851974 KSB851972:KSM851974 LBX851972:LCI851974 LLT851972:LME851974 LVP851972:LWA851974 MFL851972:MFW851974 MPH851972:MPS851974 MZD851972:MZO851974 NIZ851972:NJK851974 NSV851972:NTG851974 OCR851972:ODC851974 OMN851972:OMY851974 OWJ851972:OWU851974 PGF851972:PGQ851974 PQB851972:PQM851974 PZX851972:QAI851974 QJT851972:QKE851974 QTP851972:QUA851974 RDL851972:RDW851974 RNH851972:RNS851974 RXD851972:RXO851974 SGZ851972:SHK851974 SQV851972:SRG851974 TAR851972:TBC851974 TKN851972:TKY851974 TUJ851972:TUU851974 UEF851972:UEQ851974 UOB851972:UOM851974 UXX851972:UYI851974 VHT851972:VIE851974 VRP851972:VSA851974 WBL851972:WBW851974 WLH851972:WLS851974 WVD851972:WVO851974 IR917508:JC917510 SN917508:SY917510 ACJ917508:ACU917510 AMF917508:AMQ917510 AWB917508:AWM917510 BFX917508:BGI917510 BPT917508:BQE917510 BZP917508:CAA917510 CJL917508:CJW917510 CTH917508:CTS917510 DDD917508:DDO917510 DMZ917508:DNK917510 DWV917508:DXG917510 EGR917508:EHC917510 EQN917508:EQY917510 FAJ917508:FAU917510 FKF917508:FKQ917510 FUB917508:FUM917510 GDX917508:GEI917510 GNT917508:GOE917510 GXP917508:GYA917510 HHL917508:HHW917510 HRH917508:HRS917510 IBD917508:IBO917510 IKZ917508:ILK917510 IUV917508:IVG917510 JER917508:JFC917510 JON917508:JOY917510 JYJ917508:JYU917510 KIF917508:KIQ917510 KSB917508:KSM917510 LBX917508:LCI917510 LLT917508:LME917510 LVP917508:LWA917510 MFL917508:MFW917510 MPH917508:MPS917510 MZD917508:MZO917510 NIZ917508:NJK917510 NSV917508:NTG917510 OCR917508:ODC917510 OMN917508:OMY917510 OWJ917508:OWU917510 PGF917508:PGQ917510 PQB917508:PQM917510 PZX917508:QAI917510 QJT917508:QKE917510 QTP917508:QUA917510 RDL917508:RDW917510 RNH917508:RNS917510 RXD917508:RXO917510 SGZ917508:SHK917510 SQV917508:SRG917510 TAR917508:TBC917510 TKN917508:TKY917510 TUJ917508:TUU917510 UEF917508:UEQ917510 UOB917508:UOM917510 UXX917508:UYI917510 VHT917508:VIE917510 VRP917508:VSA917510 WBL917508:WBW917510 WLH917508:WLS917510 WVD917508:WVO917510 IR983044:JC983046 SN983044:SY983046 ACJ983044:ACU983046 AMF983044:AMQ983046 AWB983044:AWM983046 BFX983044:BGI983046 BPT983044:BQE983046 BZP983044:CAA983046 CJL983044:CJW983046 CTH983044:CTS983046 DDD983044:DDO983046 DMZ983044:DNK983046 DWV983044:DXG983046 EGR983044:EHC983046 EQN983044:EQY983046 FAJ983044:FAU983046 FKF983044:FKQ983046 FUB983044:FUM983046 GDX983044:GEI983046 GNT983044:GOE983046 GXP983044:GYA983046 HHL983044:HHW983046 HRH983044:HRS983046 IBD983044:IBO983046 IKZ983044:ILK983046 IUV983044:IVG983046 JER983044:JFC983046 JON983044:JOY983046 JYJ983044:JYU983046 KIF983044:KIQ983046 KSB983044:KSM983046 LBX983044:LCI983046 LLT983044:LME983046 LVP983044:LWA983046 MFL983044:MFW983046 MPH983044:MPS983046 MZD983044:MZO983046 NIZ983044:NJK983046 NSV983044:NTG983046 OCR983044:ODC983046 OMN983044:OMY983046 OWJ983044:OWU983046 PGF983044:PGQ983046 PQB983044:PQM983046 PZX983044:QAI983046 QJT983044:QKE983046 QTP983044:QUA983046 RDL983044:RDW983046 RNH983044:RNS983046 RXD983044:RXO983046 SGZ983044:SHK983046 SQV983044:SRG983046 TAR983044:TBC983046 TKN983044:TKY983046 TUJ983044:TUU983046 UEF983044:UEQ983046 UOB983044:UOM983046 UXX983044:UYI983046 VHT983044:VIE983046 VRP983044:VSA983046 WBL983044:WBW983046 WLH983044:WLS983046 WVD983044:WVO983046 Z262148:AJ262150 Z196612:AJ196614 Z131076:AJ131078 Z65540:AJ65542 Z983044:AJ983046 Z917508:AJ917510 Z851972:AJ851974 Z786436:AJ786438 Z720900:AJ720902 Z655364:AJ655366 Z589828:AJ589830 Z524292:AJ524294 Z458756:AJ458758 Z393220:AJ393222 Z327684:AJ327686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6" xr:uid="{00000000-0002-0000-0D00-000001000000}">
      <formula1>"文字,数値,日付,時間"</formula1>
    </dataValidation>
    <dataValidation type="list" allowBlank="1" showInputMessage="1" showErrorMessage="1" sqref="AA8:AC46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生産指示明細情報（薬品）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5" spans="1:57" ht="14.45" customHeight="1" x14ac:dyDescent="0.25">
      <c r="A5" s="110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1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51" t="s">
        <v>150</v>
      </c>
      <c r="Z9" s="352"/>
      <c r="AA9" s="353" t="s">
        <v>151</v>
      </c>
      <c r="AB9" s="354"/>
      <c r="AC9" s="355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59"/>
      <c r="AB10" s="360"/>
      <c r="AC10" s="361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1379</v>
      </c>
      <c r="BD10" s="151"/>
    </row>
    <row r="11" spans="1:57" ht="14.45" customHeight="1" x14ac:dyDescent="0.25">
      <c r="A11" s="152">
        <f>IF(B11="","",COUNTA($B$8:B11))</f>
        <v>3</v>
      </c>
      <c r="B11" s="169" t="s">
        <v>338</v>
      </c>
      <c r="C11" s="185"/>
      <c r="D11" s="185"/>
      <c r="E11" s="185"/>
      <c r="F11" s="185"/>
      <c r="G11" s="185"/>
      <c r="H11" s="186"/>
      <c r="I11" s="75" t="s">
        <v>339</v>
      </c>
      <c r="J11" s="71"/>
      <c r="K11" s="71"/>
      <c r="L11" s="71"/>
      <c r="M11" s="71"/>
      <c r="N11" s="71"/>
      <c r="O11" s="71"/>
      <c r="P11" s="71"/>
      <c r="Q11" s="81"/>
      <c r="R11" s="169" t="s">
        <v>338</v>
      </c>
      <c r="S11" s="71"/>
      <c r="T11" s="71"/>
      <c r="U11" s="71"/>
      <c r="V11" s="71"/>
      <c r="W11" s="71"/>
      <c r="X11" s="21"/>
      <c r="Y11" s="351" t="s">
        <v>155</v>
      </c>
      <c r="Z11" s="352"/>
      <c r="AA11" s="353" t="s">
        <v>156</v>
      </c>
      <c r="AB11" s="354"/>
      <c r="AC11" s="355"/>
      <c r="AD11" s="72">
        <v>3</v>
      </c>
      <c r="AE11" s="74"/>
      <c r="AF11" s="74">
        <v>3</v>
      </c>
      <c r="AG11" s="73" t="s">
        <v>152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385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399</v>
      </c>
      <c r="C15" s="26"/>
      <c r="D15" s="26"/>
      <c r="E15" s="26"/>
      <c r="F15" s="26"/>
      <c r="G15" s="26"/>
      <c r="H15" s="39"/>
      <c r="I15" s="31" t="s">
        <v>400</v>
      </c>
      <c r="J15" s="23"/>
      <c r="K15" s="23"/>
      <c r="L15" s="23"/>
      <c r="M15" s="23"/>
      <c r="N15" s="23"/>
      <c r="O15" s="23"/>
      <c r="P15" s="23"/>
      <c r="Q15" s="37"/>
      <c r="R15" s="25" t="s">
        <v>399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19" t="s">
        <v>228</v>
      </c>
      <c r="C16" s="20"/>
      <c r="D16" s="20"/>
      <c r="E16" s="20"/>
      <c r="F16" s="20"/>
      <c r="G16" s="20"/>
      <c r="H16" s="39"/>
      <c r="I16" s="31" t="s">
        <v>229</v>
      </c>
      <c r="J16" s="23"/>
      <c r="K16" s="23"/>
      <c r="L16" s="23"/>
      <c r="M16" s="23"/>
      <c r="N16" s="23"/>
      <c r="O16" s="23"/>
      <c r="P16" s="23"/>
      <c r="Q16" s="37"/>
      <c r="R16" s="19" t="s">
        <v>228</v>
      </c>
      <c r="S16" s="23"/>
      <c r="T16" s="23"/>
      <c r="U16" s="23"/>
      <c r="V16" s="23"/>
      <c r="W16" s="23"/>
      <c r="X16" s="24"/>
      <c r="Y16" s="284" t="s">
        <v>150</v>
      </c>
      <c r="Z16" s="285"/>
      <c r="AA16" s="286" t="s">
        <v>151</v>
      </c>
      <c r="AB16" s="287"/>
      <c r="AC16" s="288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1446</v>
      </c>
    </row>
    <row r="17" spans="1:56" ht="14.45" customHeight="1" x14ac:dyDescent="0.25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284" t="s">
        <v>150</v>
      </c>
      <c r="Z17" s="285"/>
      <c r="AA17" s="286" t="s">
        <v>151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284" t="s">
        <v>150</v>
      </c>
      <c r="Z18" s="285"/>
      <c r="AA18" s="286" t="s">
        <v>151</v>
      </c>
      <c r="AB18" s="287"/>
      <c r="AC18" s="28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284" t="s">
        <v>169</v>
      </c>
      <c r="Z21" s="285"/>
      <c r="AA21" s="286" t="s">
        <v>243</v>
      </c>
      <c r="AB21" s="287"/>
      <c r="AC21" s="288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284" t="s">
        <v>169</v>
      </c>
      <c r="Z24" s="285"/>
      <c r="AA24" s="286" t="s">
        <v>243</v>
      </c>
      <c r="AB24" s="287"/>
      <c r="AC24" s="288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84"/>
      <c r="Z25" s="285"/>
      <c r="AA25" s="286"/>
      <c r="AB25" s="287"/>
      <c r="AC25" s="288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84"/>
      <c r="Z27" s="285"/>
      <c r="AA27" s="286"/>
      <c r="AB27" s="287"/>
      <c r="AC27" s="288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84"/>
      <c r="Z28" s="285"/>
      <c r="AA28" s="286"/>
      <c r="AB28" s="287"/>
      <c r="AC28" s="288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284"/>
      <c r="Z30" s="285"/>
      <c r="AA30" s="286"/>
      <c r="AB30" s="287"/>
      <c r="AC30" s="288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84"/>
      <c r="Z31" s="285"/>
      <c r="AA31" s="286"/>
      <c r="AB31" s="287"/>
      <c r="AC31" s="288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284"/>
      <c r="Z32" s="285"/>
      <c r="AA32" s="286"/>
      <c r="AB32" s="287"/>
      <c r="AC32" s="288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84"/>
      <c r="Z33" s="285"/>
      <c r="AA33" s="286"/>
      <c r="AB33" s="287"/>
      <c r="AC33" s="288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84"/>
      <c r="Z34" s="285"/>
      <c r="AA34" s="286"/>
      <c r="AB34" s="287"/>
      <c r="AC34" s="288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5" customHeight="1" x14ac:dyDescent="0.25">
      <c r="AP47" s="18"/>
      <c r="AQ47" s="18"/>
      <c r="AR47" s="18"/>
      <c r="AS47" s="18"/>
    </row>
    <row r="48" spans="1:56" ht="14.45" customHeight="1" x14ac:dyDescent="0.25">
      <c r="AP48" s="18"/>
      <c r="AQ48" s="18"/>
      <c r="AR48" s="18"/>
      <c r="AS48" s="18"/>
    </row>
  </sheetData>
  <mergeCells count="109"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生産指示情報（調薬）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84" t="s">
        <v>150</v>
      </c>
      <c r="Z9" s="285"/>
      <c r="AA9" s="286" t="s">
        <v>151</v>
      </c>
      <c r="AB9" s="287"/>
      <c r="AC9" s="28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401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s="1" customFormat="1" ht="14.45" customHeight="1" x14ac:dyDescent="0.25">
      <c r="A11" s="131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401</v>
      </c>
      <c r="I11" s="118" t="s">
        <v>194</v>
      </c>
      <c r="J11" s="116"/>
      <c r="K11" s="116"/>
      <c r="L11" s="116"/>
      <c r="M11" s="116"/>
      <c r="N11" s="116"/>
      <c r="O11" s="2"/>
      <c r="P11" s="116"/>
      <c r="Q11" s="134"/>
      <c r="R11" s="64" t="s">
        <v>193</v>
      </c>
      <c r="S11" s="116"/>
      <c r="T11" s="116"/>
      <c r="U11" s="116"/>
      <c r="V11" s="116"/>
      <c r="W11" s="116"/>
      <c r="X11" s="134"/>
      <c r="Y11" s="289" t="s">
        <v>150</v>
      </c>
      <c r="Z11" s="290"/>
      <c r="AA11" s="291" t="s">
        <v>151</v>
      </c>
      <c r="AB11" s="292"/>
      <c r="AC11" s="293"/>
      <c r="AD11" s="126">
        <v>5</v>
      </c>
      <c r="AE11" s="29"/>
      <c r="AF11" s="29"/>
      <c r="AG11" s="29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5" customHeight="1" x14ac:dyDescent="0.25">
      <c r="A12" s="131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401</v>
      </c>
      <c r="I12" s="118" t="s">
        <v>196</v>
      </c>
      <c r="J12" s="116"/>
      <c r="K12" s="116"/>
      <c r="L12" s="116"/>
      <c r="M12" s="116"/>
      <c r="N12" s="116"/>
      <c r="O12" s="116"/>
      <c r="P12" s="116"/>
      <c r="Q12" s="134"/>
      <c r="R12" s="64" t="s">
        <v>195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s="1" customFormat="1" ht="14.45" customHeight="1" x14ac:dyDescent="0.25">
      <c r="A13" s="131">
        <f>IF(B13="","",COUNTA($B$8:B13))</f>
        <v>6</v>
      </c>
      <c r="B13" s="8" t="s">
        <v>197</v>
      </c>
      <c r="C13" s="114"/>
      <c r="D13" s="114"/>
      <c r="E13" s="114"/>
      <c r="F13" s="114"/>
      <c r="G13" s="114"/>
      <c r="H13" s="3" t="s">
        <v>401</v>
      </c>
      <c r="I13" s="118" t="s">
        <v>198</v>
      </c>
      <c r="J13" s="116"/>
      <c r="K13" s="116"/>
      <c r="L13" s="116"/>
      <c r="M13" s="116"/>
      <c r="N13" s="116"/>
      <c r="O13" s="116"/>
      <c r="P13" s="116"/>
      <c r="Q13" s="134"/>
      <c r="R13" s="8" t="s">
        <v>197</v>
      </c>
      <c r="S13" s="116"/>
      <c r="T13" s="116"/>
      <c r="U13" s="116"/>
      <c r="V13" s="116"/>
      <c r="W13" s="116"/>
      <c r="X13" s="134"/>
      <c r="Y13" s="289" t="s">
        <v>150</v>
      </c>
      <c r="Z13" s="290"/>
      <c r="AA13" s="291" t="s">
        <v>151</v>
      </c>
      <c r="AB13" s="292"/>
      <c r="AC13" s="293"/>
      <c r="AD13" s="126">
        <v>5</v>
      </c>
      <c r="AE13" s="29"/>
      <c r="AF13" s="29"/>
      <c r="AG13" s="29"/>
      <c r="AH13" s="120"/>
      <c r="AI13" s="120"/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5" customHeight="1" x14ac:dyDescent="0.25">
      <c r="A14" s="131">
        <f>IF(B14="","",COUNTA($B$8:B14))</f>
        <v>7</v>
      </c>
      <c r="B14" s="132" t="s">
        <v>199</v>
      </c>
      <c r="C14" s="114"/>
      <c r="D14" s="114"/>
      <c r="E14" s="114"/>
      <c r="F14" s="114"/>
      <c r="G14" s="114"/>
      <c r="H14" s="3" t="s">
        <v>401</v>
      </c>
      <c r="I14" s="118" t="s">
        <v>200</v>
      </c>
      <c r="J14" s="116"/>
      <c r="K14" s="116"/>
      <c r="L14" s="116"/>
      <c r="M14" s="116"/>
      <c r="N14" s="116"/>
      <c r="O14" s="116"/>
      <c r="P14" s="116"/>
      <c r="Q14" s="134"/>
      <c r="R14" s="8" t="s">
        <v>199</v>
      </c>
      <c r="S14" s="116"/>
      <c r="T14" s="116"/>
      <c r="U14" s="116"/>
      <c r="V14" s="116"/>
      <c r="W14" s="116"/>
      <c r="X14" s="134"/>
      <c r="Y14" s="289" t="s">
        <v>150</v>
      </c>
      <c r="Z14" s="290"/>
      <c r="AA14" s="291" t="s">
        <v>151</v>
      </c>
      <c r="AB14" s="292"/>
      <c r="AC14" s="293"/>
      <c r="AD14" s="126">
        <v>20</v>
      </c>
      <c r="AE14" s="29"/>
      <c r="AF14" s="29"/>
      <c r="AG14" s="29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5" customHeight="1" x14ac:dyDescent="0.25">
      <c r="A15" s="131">
        <f>IF(B15="","",COUNTA($B$8:B15))</f>
        <v>8</v>
      </c>
      <c r="B15" s="8" t="s">
        <v>201</v>
      </c>
      <c r="C15" s="114"/>
      <c r="D15" s="114"/>
      <c r="E15" s="114"/>
      <c r="F15" s="114"/>
      <c r="G15" s="114"/>
      <c r="H15" s="3" t="s">
        <v>401</v>
      </c>
      <c r="I15" s="118" t="s">
        <v>202</v>
      </c>
      <c r="J15" s="116"/>
      <c r="K15" s="116"/>
      <c r="L15" s="116"/>
      <c r="M15" s="116"/>
      <c r="N15" s="116"/>
      <c r="O15" s="116"/>
      <c r="P15" s="116"/>
      <c r="Q15" s="134"/>
      <c r="R15" s="8" t="s">
        <v>201</v>
      </c>
      <c r="S15" s="116"/>
      <c r="T15" s="116"/>
      <c r="U15" s="116"/>
      <c r="V15" s="116"/>
      <c r="W15" s="116"/>
      <c r="X15" s="134"/>
      <c r="Y15" s="289" t="s">
        <v>150</v>
      </c>
      <c r="Z15" s="290"/>
      <c r="AA15" s="291" t="s">
        <v>151</v>
      </c>
      <c r="AB15" s="292"/>
      <c r="AC15" s="293"/>
      <c r="AD15" s="126">
        <v>30</v>
      </c>
      <c r="AE15" s="29"/>
      <c r="AF15" s="29"/>
      <c r="AG15" s="29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5" customHeight="1" x14ac:dyDescent="0.25">
      <c r="A16" s="131">
        <f>IF(B16="","",COUNTA($B$8:B16))</f>
        <v>9</v>
      </c>
      <c r="B16" s="8" t="s">
        <v>203</v>
      </c>
      <c r="C16" s="114"/>
      <c r="D16" s="114"/>
      <c r="E16" s="114"/>
      <c r="F16" s="114"/>
      <c r="G16" s="114"/>
      <c r="H16" s="3" t="s">
        <v>401</v>
      </c>
      <c r="I16" s="118" t="s">
        <v>204</v>
      </c>
      <c r="J16" s="116"/>
      <c r="K16" s="116"/>
      <c r="L16" s="116"/>
      <c r="M16" s="116"/>
      <c r="N16" s="116"/>
      <c r="O16" s="153"/>
      <c r="P16" s="116"/>
      <c r="Q16" s="134"/>
      <c r="R16" s="8" t="s">
        <v>203</v>
      </c>
      <c r="S16" s="116"/>
      <c r="T16" s="116"/>
      <c r="U16" s="116"/>
      <c r="V16" s="116"/>
      <c r="W16" s="116"/>
      <c r="X16" s="134"/>
      <c r="Y16" s="289" t="s">
        <v>155</v>
      </c>
      <c r="Z16" s="290"/>
      <c r="AA16" s="291" t="s">
        <v>156</v>
      </c>
      <c r="AB16" s="292"/>
      <c r="AC16" s="293"/>
      <c r="AD16" s="126">
        <v>5</v>
      </c>
      <c r="AE16" s="29">
        <v>2</v>
      </c>
      <c r="AF16" s="29"/>
      <c r="AG16" s="29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6" s="1" customFormat="1" ht="14.45" customHeight="1" x14ac:dyDescent="0.25">
      <c r="A17" s="131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401</v>
      </c>
      <c r="I17" s="118" t="s">
        <v>206</v>
      </c>
      <c r="J17" s="116"/>
      <c r="K17" s="116"/>
      <c r="L17" s="116"/>
      <c r="M17" s="116"/>
      <c r="N17" s="116"/>
      <c r="O17" s="2"/>
      <c r="P17" s="116"/>
      <c r="Q17" s="134"/>
      <c r="R17" s="64" t="s">
        <v>205</v>
      </c>
      <c r="S17" s="116"/>
      <c r="T17" s="116"/>
      <c r="U17" s="116"/>
      <c r="V17" s="116"/>
      <c r="W17" s="116"/>
      <c r="X17" s="134"/>
      <c r="Y17" s="289" t="s">
        <v>155</v>
      </c>
      <c r="Z17" s="290"/>
      <c r="AA17" s="291" t="s">
        <v>156</v>
      </c>
      <c r="AB17" s="292"/>
      <c r="AC17" s="293"/>
      <c r="AD17" s="126">
        <v>4</v>
      </c>
      <c r="AE17" s="29"/>
      <c r="AF17" s="29"/>
      <c r="AG17" s="29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6" s="1" customFormat="1" ht="14.45" customHeight="1" x14ac:dyDescent="0.25">
      <c r="A18" s="131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401</v>
      </c>
      <c r="I18" s="118" t="s">
        <v>209</v>
      </c>
      <c r="J18" s="116"/>
      <c r="K18" s="116"/>
      <c r="L18" s="116"/>
      <c r="M18" s="116"/>
      <c r="N18" s="116"/>
      <c r="O18" s="2"/>
      <c r="P18" s="116"/>
      <c r="Q18" s="134"/>
      <c r="R18" s="64" t="s">
        <v>208</v>
      </c>
      <c r="S18" s="116"/>
      <c r="T18" s="116"/>
      <c r="U18" s="116"/>
      <c r="V18" s="116"/>
      <c r="W18" s="116"/>
      <c r="X18" s="134"/>
      <c r="Y18" s="289" t="s">
        <v>155</v>
      </c>
      <c r="Z18" s="290"/>
      <c r="AA18" s="291" t="s">
        <v>156</v>
      </c>
      <c r="AB18" s="292"/>
      <c r="AC18" s="293"/>
      <c r="AD18" s="126">
        <v>5</v>
      </c>
      <c r="AE18" s="29"/>
      <c r="AF18" s="29"/>
      <c r="AG18" s="29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284" t="s">
        <v>169</v>
      </c>
      <c r="Z21" s="285"/>
      <c r="AA21" s="286" t="s">
        <v>170</v>
      </c>
      <c r="AB21" s="287"/>
      <c r="AC21" s="28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377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284" t="s">
        <v>150</v>
      </c>
      <c r="Z25" s="285"/>
      <c r="AA25" s="286" t="s">
        <v>151</v>
      </c>
      <c r="AB25" s="287"/>
      <c r="AC25" s="288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284" t="s">
        <v>169</v>
      </c>
      <c r="Z26" s="285"/>
      <c r="AA26" s="286" t="s">
        <v>243</v>
      </c>
      <c r="AB26" s="287"/>
      <c r="AC26" s="28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284" t="s">
        <v>169</v>
      </c>
      <c r="Z29" s="285"/>
      <c r="AA29" s="286" t="s">
        <v>243</v>
      </c>
      <c r="AB29" s="287"/>
      <c r="AC29" s="28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84"/>
      <c r="Z33" s="285"/>
      <c r="AA33" s="286"/>
      <c r="AB33" s="287"/>
      <c r="AC33" s="288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84"/>
      <c r="Z34" s="285"/>
      <c r="AA34" s="286"/>
      <c r="AB34" s="287"/>
      <c r="AC34" s="288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84"/>
      <c r="Z41" s="285"/>
      <c r="AA41" s="286"/>
      <c r="AB41" s="287"/>
      <c r="AC41" s="288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84"/>
      <c r="Z42" s="285"/>
      <c r="AA42" s="286"/>
      <c r="AB42" s="287"/>
      <c r="AC42" s="288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84"/>
      <c r="Z43" s="285"/>
      <c r="AA43" s="286"/>
      <c r="AB43" s="287"/>
      <c r="AC43" s="288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84"/>
      <c r="Z44" s="285"/>
      <c r="AA44" s="286"/>
      <c r="AB44" s="287"/>
      <c r="AC44" s="288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284"/>
      <c r="Z45" s="285"/>
      <c r="AA45" s="286"/>
      <c r="AB45" s="287"/>
      <c r="AC45" s="288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284"/>
      <c r="Z46" s="285"/>
      <c r="AA46" s="286"/>
      <c r="AB46" s="287"/>
      <c r="AC46" s="288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生産指示明細情報（調薬）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51" t="s">
        <v>150</v>
      </c>
      <c r="Z9" s="352"/>
      <c r="AA9" s="353" t="s">
        <v>151</v>
      </c>
      <c r="AB9" s="354"/>
      <c r="AC9" s="355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59"/>
      <c r="AB10" s="360"/>
      <c r="AC10" s="361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402</v>
      </c>
      <c r="BD10" s="151"/>
    </row>
    <row r="11" spans="1:57" ht="14.45" customHeight="1" x14ac:dyDescent="0.25">
      <c r="A11" s="7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1510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284" t="s">
        <v>1487</v>
      </c>
      <c r="Z11" s="285"/>
      <c r="AA11" s="286" t="s">
        <v>1488</v>
      </c>
      <c r="AB11" s="287"/>
      <c r="AC11" s="288"/>
      <c r="AD11" s="27">
        <v>3</v>
      </c>
      <c r="AE11" s="29"/>
      <c r="AF11" s="29">
        <v>4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89" t="s">
        <v>150</v>
      </c>
      <c r="Z12" s="290"/>
      <c r="AA12" s="291" t="s">
        <v>151</v>
      </c>
      <c r="AB12" s="292"/>
      <c r="AC12" s="293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7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1507</v>
      </c>
      <c r="J13" s="23"/>
      <c r="K13" s="23"/>
      <c r="L13" s="23"/>
      <c r="M13" s="23"/>
      <c r="N13" s="23"/>
      <c r="O13" s="23"/>
      <c r="P13" s="23"/>
      <c r="Q13" s="37"/>
      <c r="R13" s="25" t="s">
        <v>1425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1481</v>
      </c>
      <c r="AB13" s="287"/>
      <c r="AC13" s="288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7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1508</v>
      </c>
      <c r="J14" s="23"/>
      <c r="K14" s="23"/>
      <c r="L14" s="23"/>
      <c r="M14" s="23"/>
      <c r="N14" s="23"/>
      <c r="O14" s="23"/>
      <c r="P14" s="23"/>
      <c r="Q14" s="37"/>
      <c r="R14" s="25" t="s">
        <v>1426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1498</v>
      </c>
      <c r="AB14" s="287"/>
      <c r="AC14" s="288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7</v>
      </c>
      <c r="B15" s="19" t="s">
        <v>1427</v>
      </c>
      <c r="C15" s="20"/>
      <c r="D15" s="20"/>
      <c r="E15" s="20"/>
      <c r="F15" s="20"/>
      <c r="G15" s="20"/>
      <c r="H15" s="39" t="s">
        <v>374</v>
      </c>
      <c r="I15" s="31" t="s">
        <v>1380</v>
      </c>
      <c r="J15" s="23"/>
      <c r="K15" s="23"/>
      <c r="L15" s="23"/>
      <c r="M15" s="23"/>
      <c r="N15" s="23"/>
      <c r="O15" s="23"/>
      <c r="P15" s="23"/>
      <c r="Q15" s="37"/>
      <c r="R15" s="19" t="s">
        <v>1427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1481</v>
      </c>
      <c r="AB15" s="287"/>
      <c r="AC15" s="288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8</v>
      </c>
      <c r="B16" s="19" t="s">
        <v>1428</v>
      </c>
      <c r="C16" s="20"/>
      <c r="D16" s="20"/>
      <c r="E16" s="20"/>
      <c r="F16" s="20"/>
      <c r="G16" s="20"/>
      <c r="H16" s="24"/>
      <c r="I16" s="31" t="s">
        <v>1505</v>
      </c>
      <c r="J16" s="23"/>
      <c r="K16" s="23"/>
      <c r="L16" s="23"/>
      <c r="M16" s="23"/>
      <c r="N16" s="23"/>
      <c r="O16" s="23"/>
      <c r="P16" s="23"/>
      <c r="Q16" s="37"/>
      <c r="R16" s="19" t="s">
        <v>1428</v>
      </c>
      <c r="S16" s="23"/>
      <c r="T16" s="23"/>
      <c r="U16" s="23"/>
      <c r="V16" s="23"/>
      <c r="W16" s="23"/>
      <c r="X16" s="24"/>
      <c r="Y16" s="284" t="s">
        <v>1487</v>
      </c>
      <c r="Z16" s="285"/>
      <c r="AA16" s="286" t="s">
        <v>1488</v>
      </c>
      <c r="AB16" s="287"/>
      <c r="AC16" s="288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9</v>
      </c>
      <c r="B17" s="19" t="s">
        <v>228</v>
      </c>
      <c r="C17" s="20"/>
      <c r="D17" s="20"/>
      <c r="E17" s="20"/>
      <c r="F17" s="20"/>
      <c r="G17" s="20"/>
      <c r="H17" s="24"/>
      <c r="I17" s="31" t="s">
        <v>1506</v>
      </c>
      <c r="J17" s="23"/>
      <c r="K17" s="23"/>
      <c r="L17" s="23"/>
      <c r="M17" s="23"/>
      <c r="N17" s="23"/>
      <c r="O17" s="23"/>
      <c r="P17" s="23"/>
      <c r="Q17" s="37"/>
      <c r="R17" s="19" t="s">
        <v>228</v>
      </c>
      <c r="S17" s="23"/>
      <c r="T17" s="23"/>
      <c r="U17" s="23"/>
      <c r="V17" s="23"/>
      <c r="W17" s="23"/>
      <c r="X17" s="24"/>
      <c r="Y17" s="284" t="s">
        <v>150</v>
      </c>
      <c r="Z17" s="285"/>
      <c r="AA17" s="286" t="s">
        <v>1481</v>
      </c>
      <c r="AB17" s="287"/>
      <c r="AC17" s="288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249</v>
      </c>
      <c r="C18" s="20"/>
      <c r="D18" s="20"/>
      <c r="E18" s="20"/>
      <c r="F18" s="20"/>
      <c r="G18" s="20"/>
      <c r="H18" s="24"/>
      <c r="I18" s="31" t="s">
        <v>1502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284" t="s">
        <v>150</v>
      </c>
      <c r="Z18" s="285"/>
      <c r="AA18" s="286" t="s">
        <v>1481</v>
      </c>
      <c r="AB18" s="287"/>
      <c r="AC18" s="28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11</v>
      </c>
      <c r="B19" s="19" t="s">
        <v>251</v>
      </c>
      <c r="C19" s="20"/>
      <c r="D19" s="20"/>
      <c r="E19" s="20"/>
      <c r="F19" s="20"/>
      <c r="G19" s="20"/>
      <c r="H19" s="24"/>
      <c r="I19" s="31" t="s">
        <v>1501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1481</v>
      </c>
      <c r="AB19" s="287"/>
      <c r="AC19" s="288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12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13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284" t="s">
        <v>150</v>
      </c>
      <c r="Z21" s="285"/>
      <c r="AA21" s="286" t="s">
        <v>151</v>
      </c>
      <c r="AB21" s="287"/>
      <c r="AC21" s="288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14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284" t="s">
        <v>169</v>
      </c>
      <c r="Z22" s="285"/>
      <c r="AA22" s="286" t="s">
        <v>243</v>
      </c>
      <c r="AB22" s="287"/>
      <c r="AC22" s="288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15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5" customHeight="1" x14ac:dyDescent="0.25">
      <c r="A24" s="70">
        <f>IF(B24="","",COUNTA($B$8:B24))</f>
        <v>16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 x14ac:dyDescent="0.25">
      <c r="A25" s="70">
        <f>IF(B25="","",COUNTA($B$8:B25))</f>
        <v>17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284" t="s">
        <v>169</v>
      </c>
      <c r="Z25" s="285"/>
      <c r="AA25" s="286" t="s">
        <v>243</v>
      </c>
      <c r="AB25" s="287"/>
      <c r="AC25" s="288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 t="s">
        <v>378</v>
      </c>
      <c r="D27" s="20"/>
      <c r="E27" s="20" t="s">
        <v>409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284"/>
      <c r="Z27" s="285"/>
      <c r="AA27" s="286"/>
      <c r="AB27" s="287"/>
      <c r="AC27" s="288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284"/>
      <c r="Z28" s="285"/>
      <c r="AA28" s="286"/>
      <c r="AB28" s="287"/>
      <c r="AC28" s="28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284"/>
      <c r="Z29" s="285"/>
      <c r="AA29" s="286"/>
      <c r="AB29" s="287"/>
      <c r="AC29" s="288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284"/>
      <c r="Z30" s="285"/>
      <c r="AA30" s="286"/>
      <c r="AB30" s="287"/>
      <c r="AC30" s="288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284"/>
      <c r="Z31" s="285"/>
      <c r="AA31" s="286"/>
      <c r="AB31" s="287"/>
      <c r="AC31" s="288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84"/>
      <c r="Z33" s="285"/>
      <c r="AA33" s="286"/>
      <c r="AB33" s="287"/>
      <c r="AC33" s="288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84"/>
      <c r="Z34" s="285"/>
      <c r="AA34" s="286"/>
      <c r="AB34" s="287"/>
      <c r="AC34" s="288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生産指示情報（原反）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84" t="s">
        <v>150</v>
      </c>
      <c r="Z9" s="285"/>
      <c r="AA9" s="286" t="s">
        <v>151</v>
      </c>
      <c r="AB9" s="287"/>
      <c r="AC9" s="288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401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401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401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401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401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401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84" t="s">
        <v>155</v>
      </c>
      <c r="Z16" s="285"/>
      <c r="AA16" s="286" t="s">
        <v>156</v>
      </c>
      <c r="AB16" s="287"/>
      <c r="AC16" s="288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401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84" t="s">
        <v>155</v>
      </c>
      <c r="Z17" s="285"/>
      <c r="AA17" s="286" t="s">
        <v>156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401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84" t="s">
        <v>155</v>
      </c>
      <c r="Z18" s="285"/>
      <c r="AA18" s="286" t="s">
        <v>156</v>
      </c>
      <c r="AB18" s="287"/>
      <c r="AC18" s="28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284" t="s">
        <v>169</v>
      </c>
      <c r="Z21" s="285"/>
      <c r="AA21" s="286" t="s">
        <v>170</v>
      </c>
      <c r="AB21" s="287"/>
      <c r="AC21" s="28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284" t="s">
        <v>150</v>
      </c>
      <c r="Z25" s="285"/>
      <c r="AA25" s="286" t="s">
        <v>151</v>
      </c>
      <c r="AB25" s="287"/>
      <c r="AC25" s="288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284" t="s">
        <v>169</v>
      </c>
      <c r="Z26" s="285"/>
      <c r="AA26" s="286" t="s">
        <v>243</v>
      </c>
      <c r="AB26" s="287"/>
      <c r="AC26" s="28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284" t="s">
        <v>169</v>
      </c>
      <c r="Z29" s="285"/>
      <c r="AA29" s="286" t="s">
        <v>243</v>
      </c>
      <c r="AB29" s="287"/>
      <c r="AC29" s="28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84"/>
      <c r="Z33" s="285"/>
      <c r="AA33" s="286"/>
      <c r="AB33" s="287"/>
      <c r="AC33" s="28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84"/>
      <c r="Z34" s="285"/>
      <c r="AA34" s="286"/>
      <c r="AB34" s="287"/>
      <c r="AC34" s="28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生産指示明細情報（原反）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50">
        <f>IF(B9="","",COUNTA($B$8:B9))</f>
        <v>2</v>
      </c>
      <c r="B9" s="25" t="s">
        <v>338</v>
      </c>
      <c r="C9" s="26"/>
      <c r="D9" s="26"/>
      <c r="E9" s="26"/>
      <c r="F9" s="26"/>
      <c r="G9" s="26"/>
      <c r="H9" s="39"/>
      <c r="I9" s="31" t="s">
        <v>339</v>
      </c>
      <c r="J9" s="23"/>
      <c r="K9" s="23"/>
      <c r="L9" s="23"/>
      <c r="M9" s="23"/>
      <c r="N9" s="23"/>
      <c r="O9" s="23"/>
      <c r="P9" s="23"/>
      <c r="Q9" s="37"/>
      <c r="R9" s="25" t="s">
        <v>338</v>
      </c>
      <c r="S9" s="23"/>
      <c r="T9" s="23"/>
      <c r="U9" s="23"/>
      <c r="V9" s="23"/>
      <c r="W9" s="23"/>
      <c r="X9" s="24"/>
      <c r="Y9" s="284" t="s">
        <v>155</v>
      </c>
      <c r="Z9" s="285"/>
      <c r="AA9" s="286" t="s">
        <v>156</v>
      </c>
      <c r="AB9" s="287"/>
      <c r="AC9" s="288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385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50">
        <f>IF(B13="","",COUNTA($B$8:B13))</f>
        <v>6</v>
      </c>
      <c r="B13" s="25" t="s">
        <v>203</v>
      </c>
      <c r="C13" s="26"/>
      <c r="D13" s="26"/>
      <c r="E13" s="26"/>
      <c r="F13" s="26"/>
      <c r="G13" s="26"/>
      <c r="H13" s="39"/>
      <c r="I13" s="31" t="s">
        <v>1504</v>
      </c>
      <c r="J13" s="23"/>
      <c r="K13" s="23"/>
      <c r="L13" s="23"/>
      <c r="M13" s="23"/>
      <c r="N13" s="23"/>
      <c r="O13" s="23"/>
      <c r="P13" s="23"/>
      <c r="Q13" s="37"/>
      <c r="R13" s="25" t="s">
        <v>203</v>
      </c>
      <c r="S13" s="23"/>
      <c r="T13" s="23"/>
      <c r="U13" s="23"/>
      <c r="V13" s="23"/>
      <c r="W13" s="23"/>
      <c r="X13" s="24"/>
      <c r="Y13" s="284" t="s">
        <v>1487</v>
      </c>
      <c r="Z13" s="285"/>
      <c r="AA13" s="286" t="s">
        <v>1488</v>
      </c>
      <c r="AB13" s="287"/>
      <c r="AC13" s="288"/>
      <c r="AD13" s="27">
        <v>5</v>
      </c>
      <c r="AE13" s="29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10" t="s">
        <v>1420</v>
      </c>
    </row>
    <row r="14" spans="1:57" ht="14.45" customHeight="1" x14ac:dyDescent="0.25">
      <c r="A14" s="50">
        <f>IF(B14="","",COUNTA($B$8:B14))</f>
        <v>7</v>
      </c>
      <c r="B14" s="25" t="s">
        <v>205</v>
      </c>
      <c r="C14" s="26"/>
      <c r="D14" s="26"/>
      <c r="E14" s="26"/>
      <c r="F14" s="26"/>
      <c r="G14" s="26"/>
      <c r="H14" s="39"/>
      <c r="I14" s="31" t="s">
        <v>1509</v>
      </c>
      <c r="J14" s="23"/>
      <c r="K14" s="23"/>
      <c r="L14" s="23"/>
      <c r="M14" s="23"/>
      <c r="N14" s="23"/>
      <c r="O14" s="23"/>
      <c r="P14" s="23"/>
      <c r="Q14" s="37"/>
      <c r="R14" s="25" t="s">
        <v>205</v>
      </c>
      <c r="S14" s="23"/>
      <c r="T14" s="23"/>
      <c r="U14" s="23"/>
      <c r="V14" s="23"/>
      <c r="W14" s="23"/>
      <c r="X14" s="24"/>
      <c r="Y14" s="284" t="s">
        <v>1487</v>
      </c>
      <c r="Z14" s="285"/>
      <c r="AA14" s="286" t="s">
        <v>1488</v>
      </c>
      <c r="AB14" s="287"/>
      <c r="AC14" s="288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10" t="s">
        <v>1420</v>
      </c>
    </row>
    <row r="15" spans="1:57" ht="14.45" customHeight="1" x14ac:dyDescent="0.25">
      <c r="A15" s="50">
        <f>IF(B15="","",COUNTA($B$8:B15))</f>
        <v>8</v>
      </c>
      <c r="B15" s="25" t="s">
        <v>208</v>
      </c>
      <c r="C15" s="26"/>
      <c r="D15" s="26"/>
      <c r="E15" s="26"/>
      <c r="F15" s="26"/>
      <c r="G15" s="26"/>
      <c r="H15" s="39"/>
      <c r="I15" s="31" t="s">
        <v>1503</v>
      </c>
      <c r="J15" s="23"/>
      <c r="K15" s="23"/>
      <c r="L15" s="23"/>
      <c r="M15" s="23"/>
      <c r="N15" s="23"/>
      <c r="O15" s="23"/>
      <c r="P15" s="23"/>
      <c r="Q15" s="37"/>
      <c r="R15" s="25" t="s">
        <v>208</v>
      </c>
      <c r="S15" s="23"/>
      <c r="T15" s="23"/>
      <c r="U15" s="23"/>
      <c r="V15" s="23"/>
      <c r="W15" s="23"/>
      <c r="X15" s="24"/>
      <c r="Y15" s="284" t="s">
        <v>1487</v>
      </c>
      <c r="Z15" s="285"/>
      <c r="AA15" s="286" t="s">
        <v>1488</v>
      </c>
      <c r="AB15" s="287"/>
      <c r="AC15" s="288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9</v>
      </c>
      <c r="B16" s="22" t="s">
        <v>1429</v>
      </c>
      <c r="C16" s="20"/>
      <c r="D16" s="20"/>
      <c r="E16" s="20"/>
      <c r="F16" s="20"/>
      <c r="G16" s="20"/>
      <c r="H16" s="24"/>
      <c r="I16" s="31" t="s">
        <v>1500</v>
      </c>
      <c r="J16" s="23"/>
      <c r="K16" s="23"/>
      <c r="L16" s="23"/>
      <c r="M16" s="23"/>
      <c r="N16" s="23"/>
      <c r="O16" s="23"/>
      <c r="P16" s="23"/>
      <c r="Q16" s="37"/>
      <c r="R16" s="22" t="s">
        <v>1486</v>
      </c>
      <c r="S16" s="23"/>
      <c r="T16" s="23"/>
      <c r="U16" s="23"/>
      <c r="V16" s="23"/>
      <c r="W16" s="23"/>
      <c r="X16" s="24"/>
      <c r="Y16" s="284" t="s">
        <v>1487</v>
      </c>
      <c r="Z16" s="285"/>
      <c r="AA16" s="286" t="s">
        <v>1488</v>
      </c>
      <c r="AB16" s="287"/>
      <c r="AC16" s="288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284" t="s">
        <v>150</v>
      </c>
      <c r="Z17" s="285"/>
      <c r="AA17" s="286" t="s">
        <v>151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410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284" t="s">
        <v>150</v>
      </c>
      <c r="Z18" s="285"/>
      <c r="AA18" s="286" t="s">
        <v>151</v>
      </c>
      <c r="AB18" s="287"/>
      <c r="AC18" s="28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284" t="s">
        <v>150</v>
      </c>
      <c r="Z21" s="285"/>
      <c r="AA21" s="286" t="s">
        <v>151</v>
      </c>
      <c r="AB21" s="287"/>
      <c r="AC21" s="288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284" t="s">
        <v>169</v>
      </c>
      <c r="Z22" s="285"/>
      <c r="AA22" s="286" t="s">
        <v>243</v>
      </c>
      <c r="AB22" s="287"/>
      <c r="AC22" s="288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284" t="s">
        <v>169</v>
      </c>
      <c r="Z25" s="285"/>
      <c r="AA25" s="286" t="s">
        <v>243</v>
      </c>
      <c r="AB25" s="287"/>
      <c r="AC25" s="288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84"/>
      <c r="Z27" s="285"/>
      <c r="AA27" s="286"/>
      <c r="AB27" s="287"/>
      <c r="AC27" s="288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84"/>
      <c r="Z28" s="285"/>
      <c r="AA28" s="286"/>
      <c r="AB28" s="287"/>
      <c r="AC28" s="28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84"/>
      <c r="Z31" s="285"/>
      <c r="AA31" s="286"/>
      <c r="AB31" s="287"/>
      <c r="AC31" s="288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84"/>
      <c r="Z32" s="285"/>
      <c r="AA32" s="286"/>
      <c r="AB32" s="287"/>
      <c r="AC32" s="28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84"/>
      <c r="Z33" s="285"/>
      <c r="AA33" s="286"/>
      <c r="AB33" s="287"/>
      <c r="AC33" s="28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84"/>
      <c r="Z34" s="285"/>
      <c r="AA34" s="286"/>
      <c r="AB34" s="287"/>
      <c r="AC34" s="28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加工依頼情報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284" t="s">
        <v>1487</v>
      </c>
      <c r="Z9" s="285"/>
      <c r="AA9" s="286" t="s">
        <v>1488</v>
      </c>
      <c r="AB9" s="287"/>
      <c r="AC9" s="288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ht="14.45" customHeight="1" x14ac:dyDescent="0.25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374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374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374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190">
        <v>80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1513</v>
      </c>
    </row>
    <row r="14" spans="1:57" ht="14.45" customHeight="1" x14ac:dyDescent="0.25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374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374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374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284" t="s">
        <v>150</v>
      </c>
      <c r="Z16" s="285"/>
      <c r="AA16" s="286" t="s">
        <v>151</v>
      </c>
      <c r="AB16" s="287"/>
      <c r="AC16" s="288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374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284" t="s">
        <v>155</v>
      </c>
      <c r="Z17" s="285"/>
      <c r="AA17" s="286" t="s">
        <v>156</v>
      </c>
      <c r="AB17" s="287"/>
      <c r="AC17" s="288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374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284" t="s">
        <v>155</v>
      </c>
      <c r="Z18" s="285"/>
      <c r="AA18" s="286" t="s">
        <v>156</v>
      </c>
      <c r="AB18" s="287"/>
      <c r="AC18" s="288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374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284" t="s">
        <v>155</v>
      </c>
      <c r="Z19" s="285"/>
      <c r="AA19" s="286" t="s">
        <v>156</v>
      </c>
      <c r="AB19" s="287"/>
      <c r="AC19" s="288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375</v>
      </c>
      <c r="C20" s="20"/>
      <c r="D20" s="20"/>
      <c r="E20" s="20"/>
      <c r="F20" s="20"/>
      <c r="G20" s="20"/>
      <c r="H20" s="24"/>
      <c r="I20" s="31" t="s">
        <v>376</v>
      </c>
      <c r="J20" s="23"/>
      <c r="K20" s="23"/>
      <c r="L20" s="23"/>
      <c r="M20" s="23"/>
      <c r="N20" s="23"/>
      <c r="O20" s="38"/>
      <c r="P20" s="23"/>
      <c r="Q20" s="24"/>
      <c r="R20" s="22" t="s">
        <v>375</v>
      </c>
      <c r="S20" s="23"/>
      <c r="T20" s="23"/>
      <c r="U20" s="23"/>
      <c r="V20" s="23"/>
      <c r="W20" s="23"/>
      <c r="X20" s="24"/>
      <c r="Y20" s="284" t="s">
        <v>169</v>
      </c>
      <c r="Z20" s="285"/>
      <c r="AA20" s="286" t="s">
        <v>170</v>
      </c>
      <c r="AB20" s="287"/>
      <c r="AC20" s="288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411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284" t="s">
        <v>150</v>
      </c>
      <c r="Z21" s="285"/>
      <c r="AA21" s="286" t="s">
        <v>151</v>
      </c>
      <c r="AB21" s="287"/>
      <c r="AC21" s="288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284" t="s">
        <v>150</v>
      </c>
      <c r="Z22" s="285"/>
      <c r="AA22" s="286" t="s">
        <v>151</v>
      </c>
      <c r="AB22" s="287"/>
      <c r="AC22" s="288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284" t="s">
        <v>150</v>
      </c>
      <c r="Z23" s="285"/>
      <c r="AA23" s="286" t="s">
        <v>151</v>
      </c>
      <c r="AB23" s="287"/>
      <c r="AC23" s="288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284" t="s">
        <v>150</v>
      </c>
      <c r="Z24" s="285"/>
      <c r="AA24" s="286" t="s">
        <v>151</v>
      </c>
      <c r="AB24" s="287"/>
      <c r="AC24" s="288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284" t="s">
        <v>169</v>
      </c>
      <c r="Z25" s="285"/>
      <c r="AA25" s="286" t="s">
        <v>243</v>
      </c>
      <c r="AB25" s="287"/>
      <c r="AC25" s="288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5" customHeight="1" x14ac:dyDescent="0.25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284" t="s">
        <v>150</v>
      </c>
      <c r="Z26" s="285"/>
      <c r="AA26" s="286" t="s">
        <v>151</v>
      </c>
      <c r="AB26" s="287"/>
      <c r="AC26" s="288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284" t="s">
        <v>169</v>
      </c>
      <c r="Z28" s="285"/>
      <c r="AA28" s="286" t="s">
        <v>243</v>
      </c>
      <c r="AB28" s="287"/>
      <c r="AC28" s="288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 t="s">
        <v>378</v>
      </c>
      <c r="D30" s="20"/>
      <c r="E30" s="20" t="s">
        <v>412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84"/>
      <c r="Z33" s="285"/>
      <c r="AA33" s="286"/>
      <c r="AB33" s="287"/>
      <c r="AC33" s="28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84"/>
      <c r="Z34" s="285"/>
      <c r="AA34" s="286"/>
      <c r="AB34" s="287"/>
      <c r="AC34" s="28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7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加工依頼明細情報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7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7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7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7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284" t="s">
        <v>1487</v>
      </c>
      <c r="Z9" s="285"/>
      <c r="AA9" s="286" t="s">
        <v>1488</v>
      </c>
      <c r="AB9" s="287"/>
      <c r="AC9" s="288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ht="14.25" x14ac:dyDescent="0.25">
      <c r="A10" s="70">
        <f>IF(B10="","",COUNTA($B$8:B10))</f>
        <v>3</v>
      </c>
      <c r="B10" s="19" t="s">
        <v>338</v>
      </c>
      <c r="C10" s="20"/>
      <c r="D10" s="20"/>
      <c r="E10" s="20"/>
      <c r="F10" s="20"/>
      <c r="G10" s="20"/>
      <c r="H10" s="24"/>
      <c r="I10" s="31" t="s">
        <v>339</v>
      </c>
      <c r="J10" s="23"/>
      <c r="K10" s="23"/>
      <c r="L10" s="23"/>
      <c r="M10" s="23"/>
      <c r="N10" s="23"/>
      <c r="O10" s="38"/>
      <c r="P10" s="23"/>
      <c r="Q10" s="24"/>
      <c r="R10" s="19" t="s">
        <v>338</v>
      </c>
      <c r="S10" s="23"/>
      <c r="T10" s="23"/>
      <c r="U10" s="23"/>
      <c r="V10" s="23"/>
      <c r="W10" s="23"/>
      <c r="X10" s="24"/>
      <c r="Y10" s="284" t="s">
        <v>1487</v>
      </c>
      <c r="Z10" s="285"/>
      <c r="AA10" s="286" t="s">
        <v>1488</v>
      </c>
      <c r="AB10" s="287"/>
      <c r="AC10" s="288"/>
      <c r="AD10" s="27">
        <v>3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  <c r="BE10" s="110" t="s">
        <v>1462</v>
      </c>
    </row>
    <row r="11" spans="1:57" ht="14.45" customHeight="1" x14ac:dyDescent="0.25">
      <c r="A11" s="70">
        <f>IF(B11="","",COUNTA($B$8:B11))</f>
        <v>4</v>
      </c>
      <c r="B11" s="19" t="s">
        <v>1430</v>
      </c>
      <c r="C11" s="20"/>
      <c r="D11" s="20"/>
      <c r="E11" s="20"/>
      <c r="F11" s="20"/>
      <c r="G11" s="20"/>
      <c r="H11" s="24"/>
      <c r="I11" s="31" t="s">
        <v>413</v>
      </c>
      <c r="J11" s="23"/>
      <c r="K11" s="23"/>
      <c r="L11" s="23"/>
      <c r="M11" s="23"/>
      <c r="N11" s="23"/>
      <c r="O11" s="38"/>
      <c r="P11" s="23"/>
      <c r="Q11" s="24"/>
      <c r="R11" s="19" t="s">
        <v>1430</v>
      </c>
      <c r="S11" s="23"/>
      <c r="T11" s="23"/>
      <c r="U11" s="23"/>
      <c r="V11" s="23"/>
      <c r="W11" s="23"/>
      <c r="X11" s="24"/>
      <c r="Y11" s="284" t="s">
        <v>1487</v>
      </c>
      <c r="Z11" s="285"/>
      <c r="AA11" s="286" t="s">
        <v>1488</v>
      </c>
      <c r="AB11" s="287"/>
      <c r="AC11" s="288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414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25" x14ac:dyDescent="0.25">
      <c r="A12" s="70">
        <f>IF(B12="","",COUNTA($B$8:B12))</f>
        <v>5</v>
      </c>
      <c r="B12" s="19" t="s">
        <v>1432</v>
      </c>
      <c r="C12" s="20"/>
      <c r="D12" s="20"/>
      <c r="E12" s="20"/>
      <c r="F12" s="20"/>
      <c r="G12" s="20"/>
      <c r="H12" s="24"/>
      <c r="I12" s="222" t="s">
        <v>1559</v>
      </c>
      <c r="J12" s="188"/>
      <c r="K12" s="188"/>
      <c r="L12" s="188"/>
      <c r="M12" s="188"/>
      <c r="N12" s="188"/>
      <c r="O12" s="223"/>
      <c r="P12" s="188"/>
      <c r="Q12" s="189"/>
      <c r="R12" s="19" t="s">
        <v>1432</v>
      </c>
      <c r="S12" s="23"/>
      <c r="T12" s="23"/>
      <c r="U12" s="23"/>
      <c r="V12" s="23"/>
      <c r="W12" s="23"/>
      <c r="X12" s="24"/>
      <c r="Y12" s="362" t="s">
        <v>150</v>
      </c>
      <c r="Z12" s="363"/>
      <c r="AA12" s="364" t="s">
        <v>151</v>
      </c>
      <c r="AB12" s="365"/>
      <c r="AC12" s="366"/>
      <c r="AD12" s="224">
        <v>2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1465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1560</v>
      </c>
    </row>
    <row r="13" spans="1:57" ht="14.25" x14ac:dyDescent="0.25">
      <c r="A13" s="70">
        <f>IF(B13="","",COUNTA($B$8:B13))</f>
        <v>6</v>
      </c>
      <c r="B13" s="19" t="s">
        <v>1279</v>
      </c>
      <c r="C13" s="20"/>
      <c r="D13" s="20"/>
      <c r="E13" s="20"/>
      <c r="F13" s="20"/>
      <c r="G13" s="20"/>
      <c r="H13" s="24"/>
      <c r="I13" s="31" t="s">
        <v>1280</v>
      </c>
      <c r="J13" s="23"/>
      <c r="K13" s="23"/>
      <c r="L13" s="23"/>
      <c r="M13" s="23"/>
      <c r="N13" s="23"/>
      <c r="O13" s="38"/>
      <c r="P13" s="23"/>
      <c r="Q13" s="24"/>
      <c r="R13" s="19" t="s">
        <v>1279</v>
      </c>
      <c r="S13" s="23"/>
      <c r="T13" s="23"/>
      <c r="U13" s="23"/>
      <c r="V13" s="23"/>
      <c r="W13" s="23"/>
      <c r="X13" s="24"/>
      <c r="Y13" s="284" t="s">
        <v>155</v>
      </c>
      <c r="Z13" s="285"/>
      <c r="AA13" s="286" t="s">
        <v>156</v>
      </c>
      <c r="AB13" s="287"/>
      <c r="AC13" s="288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1464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25" x14ac:dyDescent="0.25">
      <c r="A14" s="70">
        <f>IF(B14="","",COUNTA($B$8:B14))</f>
        <v>7</v>
      </c>
      <c r="B14" s="25" t="s">
        <v>1469</v>
      </c>
      <c r="C14" s="26"/>
      <c r="D14" s="26"/>
      <c r="E14" s="26"/>
      <c r="F14" s="26"/>
      <c r="G14" s="26"/>
      <c r="H14" s="39"/>
      <c r="I14" s="31" t="s">
        <v>1466</v>
      </c>
      <c r="J14" s="23"/>
      <c r="K14" s="23"/>
      <c r="L14" s="23"/>
      <c r="M14" s="23"/>
      <c r="N14" s="23"/>
      <c r="O14" s="26"/>
      <c r="P14" s="23"/>
      <c r="Q14" s="24"/>
      <c r="R14" s="25" t="s">
        <v>1469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15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8" t="s">
        <v>1467</v>
      </c>
    </row>
    <row r="15" spans="1:57" ht="14.45" customHeight="1" x14ac:dyDescent="0.25">
      <c r="A15" s="70">
        <f>IF(B15="","",COUNTA($B$8:B15))</f>
        <v>8</v>
      </c>
      <c r="B15" s="19" t="s">
        <v>1431</v>
      </c>
      <c r="C15" s="20"/>
      <c r="D15" s="20"/>
      <c r="E15" s="20"/>
      <c r="F15" s="20"/>
      <c r="G15" s="20"/>
      <c r="H15" s="24"/>
      <c r="I15" s="31" t="s">
        <v>337</v>
      </c>
      <c r="J15" s="23"/>
      <c r="K15" s="23"/>
      <c r="L15" s="23"/>
      <c r="M15" s="23"/>
      <c r="N15" s="23"/>
      <c r="O15" s="23"/>
      <c r="P15" s="23"/>
      <c r="Q15" s="37"/>
      <c r="R15" s="19" t="s">
        <v>1431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15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5" customHeight="1" x14ac:dyDescent="0.25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284" t="s">
        <v>150</v>
      </c>
      <c r="Z16" s="285"/>
      <c r="AA16" s="286" t="s">
        <v>151</v>
      </c>
      <c r="AB16" s="287"/>
      <c r="AC16" s="288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284" t="s">
        <v>150</v>
      </c>
      <c r="Z17" s="285"/>
      <c r="AA17" s="286" t="s">
        <v>151</v>
      </c>
      <c r="AB17" s="287"/>
      <c r="AC17" s="288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25" x14ac:dyDescent="0.25">
      <c r="A18" s="70">
        <f>IF(B18="","",COUNTA($B$8:B18))</f>
        <v>11</v>
      </c>
      <c r="B18" s="19" t="s">
        <v>197</v>
      </c>
      <c r="C18" s="20"/>
      <c r="D18" s="20"/>
      <c r="E18" s="20"/>
      <c r="F18" s="20"/>
      <c r="G18" s="20"/>
      <c r="H18" s="24"/>
      <c r="I18" s="19" t="s">
        <v>198</v>
      </c>
      <c r="J18" s="23"/>
      <c r="K18" s="23"/>
      <c r="L18" s="23"/>
      <c r="M18" s="23"/>
      <c r="N18" s="23"/>
      <c r="O18" s="38"/>
      <c r="P18" s="23"/>
      <c r="Q18" s="24"/>
      <c r="R18" s="19" t="s">
        <v>197</v>
      </c>
      <c r="S18" s="23"/>
      <c r="T18" s="23"/>
      <c r="U18" s="23"/>
      <c r="V18" s="23"/>
      <c r="W18" s="23"/>
      <c r="X18" s="24"/>
      <c r="Y18" s="284" t="s">
        <v>150</v>
      </c>
      <c r="Z18" s="285"/>
      <c r="AA18" s="286" t="s">
        <v>151</v>
      </c>
      <c r="AB18" s="287"/>
      <c r="AC18" s="288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1467</v>
      </c>
    </row>
    <row r="19" spans="1:57" ht="14.25" x14ac:dyDescent="0.25">
      <c r="A19" s="70">
        <f>IF(B19="","",COUNTA($B$8:B19))</f>
        <v>12</v>
      </c>
      <c r="B19" s="19" t="s">
        <v>199</v>
      </c>
      <c r="C19" s="20"/>
      <c r="D19" s="20"/>
      <c r="E19" s="20"/>
      <c r="F19" s="20"/>
      <c r="G19" s="20"/>
      <c r="H19" s="24"/>
      <c r="I19" s="19" t="s">
        <v>200</v>
      </c>
      <c r="J19" s="23"/>
      <c r="K19" s="23"/>
      <c r="L19" s="23"/>
      <c r="M19" s="23"/>
      <c r="N19" s="23"/>
      <c r="O19" s="38"/>
      <c r="P19" s="23"/>
      <c r="Q19" s="24"/>
      <c r="R19" s="19" t="s">
        <v>199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18">
        <v>20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  <c r="BE19" s="18" t="s">
        <v>1467</v>
      </c>
    </row>
    <row r="20" spans="1:57" ht="14.25" x14ac:dyDescent="0.25">
      <c r="A20" s="70">
        <f>IF(B20="","",COUNTA($B$8:B20))</f>
        <v>13</v>
      </c>
      <c r="B20" s="19" t="s">
        <v>201</v>
      </c>
      <c r="C20" s="20"/>
      <c r="D20" s="20"/>
      <c r="E20" s="20"/>
      <c r="F20" s="20"/>
      <c r="G20" s="20"/>
      <c r="H20" s="24"/>
      <c r="I20" s="19" t="s">
        <v>202</v>
      </c>
      <c r="J20" s="23"/>
      <c r="K20" s="23"/>
      <c r="L20" s="23"/>
      <c r="M20" s="23"/>
      <c r="N20" s="23"/>
      <c r="O20" s="38"/>
      <c r="P20" s="23"/>
      <c r="Q20" s="24"/>
      <c r="R20" s="19" t="s">
        <v>201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218">
        <v>30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  <c r="BE20" s="18" t="s">
        <v>1467</v>
      </c>
    </row>
    <row r="21" spans="1:57" ht="14.25" x14ac:dyDescent="0.25">
      <c r="A21" s="70">
        <f>IF(B21="","",COUNTA($B$8:B21))</f>
        <v>14</v>
      </c>
      <c r="B21" s="19" t="s">
        <v>1468</v>
      </c>
      <c r="C21" s="20"/>
      <c r="D21" s="20"/>
      <c r="E21" s="20"/>
      <c r="F21" s="20"/>
      <c r="G21" s="20"/>
      <c r="H21" s="24"/>
      <c r="I21" s="19" t="s">
        <v>204</v>
      </c>
      <c r="J21" s="23"/>
      <c r="K21" s="23"/>
      <c r="L21" s="23"/>
      <c r="M21" s="23"/>
      <c r="N21" s="23"/>
      <c r="O21" s="38"/>
      <c r="P21" s="23"/>
      <c r="Q21" s="24"/>
      <c r="R21" s="19" t="s">
        <v>1468</v>
      </c>
      <c r="S21" s="23"/>
      <c r="T21" s="23"/>
      <c r="U21" s="23"/>
      <c r="V21" s="23"/>
      <c r="W21" s="23"/>
      <c r="X21" s="24"/>
      <c r="Y21" s="284" t="s">
        <v>155</v>
      </c>
      <c r="Z21" s="285"/>
      <c r="AA21" s="286" t="s">
        <v>156</v>
      </c>
      <c r="AB21" s="287"/>
      <c r="AC21" s="288"/>
      <c r="AD21" s="218">
        <v>5</v>
      </c>
      <c r="AE21" s="29">
        <v>2</v>
      </c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  <c r="BE21" s="18" t="s">
        <v>1467</v>
      </c>
    </row>
    <row r="22" spans="1:57" ht="14.25" x14ac:dyDescent="0.25">
      <c r="A22" s="70">
        <f>IF(B22="","",COUNTA($B$8:B22))</f>
        <v>15</v>
      </c>
      <c r="B22" s="19" t="s">
        <v>205</v>
      </c>
      <c r="C22" s="20"/>
      <c r="D22" s="20"/>
      <c r="E22" s="20"/>
      <c r="F22" s="20"/>
      <c r="G22" s="20"/>
      <c r="H22" s="24"/>
      <c r="I22" s="19" t="s">
        <v>206</v>
      </c>
      <c r="J22" s="23"/>
      <c r="K22" s="23"/>
      <c r="L22" s="23"/>
      <c r="M22" s="23"/>
      <c r="N22" s="23"/>
      <c r="O22" s="38"/>
      <c r="P22" s="23"/>
      <c r="Q22" s="24"/>
      <c r="R22" s="19" t="s">
        <v>205</v>
      </c>
      <c r="S22" s="23"/>
      <c r="T22" s="23"/>
      <c r="U22" s="23"/>
      <c r="V22" s="23"/>
      <c r="W22" s="23"/>
      <c r="X22" s="24"/>
      <c r="Y22" s="284" t="s">
        <v>155</v>
      </c>
      <c r="Z22" s="285"/>
      <c r="AA22" s="286" t="s">
        <v>156</v>
      </c>
      <c r="AB22" s="287"/>
      <c r="AC22" s="288"/>
      <c r="AD22" s="218">
        <v>4</v>
      </c>
      <c r="AE22" s="29"/>
      <c r="AF22" s="29"/>
      <c r="AG22" s="29"/>
      <c r="AH22" s="40"/>
      <c r="AI22" s="40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32"/>
      <c r="AV22" s="32"/>
      <c r="AW22" s="32"/>
      <c r="AX22" s="32"/>
      <c r="AY22" s="67"/>
      <c r="AZ22" s="67"/>
      <c r="BA22" s="67"/>
      <c r="BB22" s="67"/>
      <c r="BC22" s="67"/>
      <c r="BD22" s="68"/>
      <c r="BE22" s="18" t="s">
        <v>1467</v>
      </c>
    </row>
    <row r="23" spans="1:57" ht="14.25" x14ac:dyDescent="0.25">
      <c r="A23" s="70">
        <f>IF(B23="","",COUNTA($B$8:B23))</f>
        <v>16</v>
      </c>
      <c r="B23" s="19" t="s">
        <v>208</v>
      </c>
      <c r="C23" s="20"/>
      <c r="D23" s="20"/>
      <c r="E23" s="20"/>
      <c r="F23" s="20"/>
      <c r="G23" s="20"/>
      <c r="H23" s="24"/>
      <c r="I23" s="19" t="s">
        <v>209</v>
      </c>
      <c r="J23" s="23"/>
      <c r="K23" s="23"/>
      <c r="L23" s="23"/>
      <c r="M23" s="23"/>
      <c r="N23" s="23"/>
      <c r="O23" s="38"/>
      <c r="P23" s="23"/>
      <c r="Q23" s="24"/>
      <c r="R23" s="19" t="s">
        <v>208</v>
      </c>
      <c r="S23" s="23"/>
      <c r="T23" s="23"/>
      <c r="U23" s="23"/>
      <c r="V23" s="23"/>
      <c r="W23" s="23"/>
      <c r="X23" s="24"/>
      <c r="Y23" s="284" t="s">
        <v>155</v>
      </c>
      <c r="Z23" s="285"/>
      <c r="AA23" s="286" t="s">
        <v>156</v>
      </c>
      <c r="AB23" s="287"/>
      <c r="AC23" s="288"/>
      <c r="AD23" s="218">
        <v>5</v>
      </c>
      <c r="AE23" s="29"/>
      <c r="AF23" s="29"/>
      <c r="AG23" s="29"/>
      <c r="AH23" s="28"/>
      <c r="AI23" s="28"/>
      <c r="AJ23" s="28"/>
      <c r="AK23" s="28"/>
      <c r="AL23" s="40"/>
      <c r="AM23" s="40"/>
      <c r="AN23" s="40"/>
      <c r="AO23" s="41"/>
      <c r="AP23" s="41"/>
      <c r="AQ23" s="41"/>
      <c r="AR23" s="41"/>
      <c r="AS23" s="42"/>
      <c r="AT23" s="43"/>
      <c r="AU23" s="32"/>
      <c r="AV23" s="32"/>
      <c r="AW23" s="32"/>
      <c r="AX23" s="32"/>
      <c r="AY23" s="32"/>
      <c r="AZ23" s="32"/>
      <c r="BA23" s="32"/>
      <c r="BB23" s="32"/>
      <c r="BC23" s="32"/>
      <c r="BD23" s="33"/>
      <c r="BE23" s="18" t="s">
        <v>1467</v>
      </c>
    </row>
    <row r="24" spans="1:57" ht="14.45" customHeight="1" x14ac:dyDescent="0.25">
      <c r="A24" s="70">
        <f>IF(B24="","",COUNTA($B$8:B24))</f>
        <v>17</v>
      </c>
      <c r="B24" s="22" t="s">
        <v>311</v>
      </c>
      <c r="C24" s="20"/>
      <c r="D24" s="20"/>
      <c r="E24" s="20"/>
      <c r="F24" s="20"/>
      <c r="G24" s="20"/>
      <c r="H24" s="24"/>
      <c r="I24" s="31" t="s">
        <v>1499</v>
      </c>
      <c r="J24" s="23"/>
      <c r="K24" s="23"/>
      <c r="L24" s="23"/>
      <c r="M24" s="23"/>
      <c r="N24" s="23"/>
      <c r="O24" s="23"/>
      <c r="P24" s="23"/>
      <c r="Q24" s="37"/>
      <c r="R24" s="22" t="s">
        <v>313</v>
      </c>
      <c r="S24" s="23"/>
      <c r="T24" s="23"/>
      <c r="U24" s="23"/>
      <c r="V24" s="23"/>
      <c r="W24" s="23"/>
      <c r="X24" s="24"/>
      <c r="Y24" s="284" t="s">
        <v>1487</v>
      </c>
      <c r="Z24" s="285"/>
      <c r="AA24" s="286" t="s">
        <v>1488</v>
      </c>
      <c r="AB24" s="287"/>
      <c r="AC24" s="288"/>
      <c r="AD24" s="27">
        <v>5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249</v>
      </c>
      <c r="C25" s="20"/>
      <c r="D25" s="20"/>
      <c r="E25" s="20"/>
      <c r="F25" s="20"/>
      <c r="G25" s="20"/>
      <c r="H25" s="24"/>
      <c r="I25" s="31" t="s">
        <v>250</v>
      </c>
      <c r="J25" s="23"/>
      <c r="K25" s="23"/>
      <c r="L25" s="23"/>
      <c r="M25" s="23"/>
      <c r="N25" s="23"/>
      <c r="O25" s="23"/>
      <c r="P25" s="23"/>
      <c r="Q25" s="37"/>
      <c r="R25" s="19" t="s">
        <v>249</v>
      </c>
      <c r="S25" s="23"/>
      <c r="T25" s="23"/>
      <c r="U25" s="23"/>
      <c r="V25" s="23"/>
      <c r="W25" s="23"/>
      <c r="X25" s="24"/>
      <c r="Y25" s="284" t="s">
        <v>150</v>
      </c>
      <c r="Z25" s="285"/>
      <c r="AA25" s="286" t="s">
        <v>151</v>
      </c>
      <c r="AB25" s="287"/>
      <c r="AC25" s="288"/>
      <c r="AD25" s="27">
        <v>4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251</v>
      </c>
      <c r="C26" s="20"/>
      <c r="D26" s="20"/>
      <c r="E26" s="20"/>
      <c r="F26" s="20"/>
      <c r="G26" s="20"/>
      <c r="H26" s="24"/>
      <c r="I26" s="31" t="s">
        <v>252</v>
      </c>
      <c r="J26" s="23"/>
      <c r="K26" s="23"/>
      <c r="L26" s="23"/>
      <c r="M26" s="23"/>
      <c r="N26" s="23"/>
      <c r="O26" s="23"/>
      <c r="P26" s="23"/>
      <c r="Q26" s="37"/>
      <c r="R26" s="19" t="s">
        <v>251</v>
      </c>
      <c r="S26" s="23"/>
      <c r="T26" s="23"/>
      <c r="U26" s="23"/>
      <c r="V26" s="23"/>
      <c r="W26" s="23"/>
      <c r="X26" s="24"/>
      <c r="Y26" s="284" t="s">
        <v>150</v>
      </c>
      <c r="Z26" s="285"/>
      <c r="AA26" s="286" t="s">
        <v>151</v>
      </c>
      <c r="AB26" s="287"/>
      <c r="AC26" s="288"/>
      <c r="AD26" s="27">
        <v>4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253</v>
      </c>
      <c r="C27" s="20"/>
      <c r="D27" s="20"/>
      <c r="E27" s="20"/>
      <c r="F27" s="20"/>
      <c r="G27" s="20"/>
      <c r="H27" s="24"/>
      <c r="I27" s="31" t="s">
        <v>254</v>
      </c>
      <c r="J27" s="23"/>
      <c r="K27" s="23"/>
      <c r="L27" s="23"/>
      <c r="M27" s="23"/>
      <c r="N27" s="23"/>
      <c r="O27" s="23"/>
      <c r="P27" s="23"/>
      <c r="Q27" s="37"/>
      <c r="R27" s="19" t="s">
        <v>253</v>
      </c>
      <c r="S27" s="23"/>
      <c r="T27" s="23"/>
      <c r="U27" s="23"/>
      <c r="V27" s="23"/>
      <c r="W27" s="23"/>
      <c r="X27" s="24"/>
      <c r="Y27" s="284" t="s">
        <v>150</v>
      </c>
      <c r="Z27" s="285"/>
      <c r="AA27" s="286" t="s">
        <v>151</v>
      </c>
      <c r="AB27" s="287"/>
      <c r="AC27" s="288"/>
      <c r="AD27" s="27">
        <v>10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255</v>
      </c>
      <c r="C28" s="20"/>
      <c r="D28" s="20"/>
      <c r="E28" s="20"/>
      <c r="F28" s="20"/>
      <c r="G28" s="20"/>
      <c r="H28" s="24"/>
      <c r="I28" s="31" t="s">
        <v>256</v>
      </c>
      <c r="J28" s="23"/>
      <c r="K28" s="23"/>
      <c r="L28" s="23"/>
      <c r="M28" s="23"/>
      <c r="N28" s="23"/>
      <c r="O28" s="23"/>
      <c r="P28" s="23"/>
      <c r="Q28" s="37"/>
      <c r="R28" s="19" t="s">
        <v>255</v>
      </c>
      <c r="S28" s="23"/>
      <c r="T28" s="23"/>
      <c r="U28" s="23"/>
      <c r="V28" s="23"/>
      <c r="W28" s="23"/>
      <c r="X28" s="24"/>
      <c r="Y28" s="284" t="s">
        <v>150</v>
      </c>
      <c r="Z28" s="285"/>
      <c r="AA28" s="286" t="s">
        <v>151</v>
      </c>
      <c r="AB28" s="287"/>
      <c r="AC28" s="288"/>
      <c r="AD28" s="27">
        <v>10</v>
      </c>
      <c r="AE28" s="29"/>
      <c r="AF28" s="29"/>
      <c r="AG28" s="29"/>
      <c r="AH28" s="40"/>
      <c r="AI28" s="40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257</v>
      </c>
      <c r="C29" s="20"/>
      <c r="D29" s="20"/>
      <c r="E29" s="20"/>
      <c r="F29" s="20"/>
      <c r="G29" s="20"/>
      <c r="H29" s="24"/>
      <c r="I29" s="31" t="s">
        <v>258</v>
      </c>
      <c r="J29" s="23"/>
      <c r="K29" s="23"/>
      <c r="L29" s="23"/>
      <c r="M29" s="23"/>
      <c r="N29" s="23"/>
      <c r="O29" s="23"/>
      <c r="P29" s="23"/>
      <c r="Q29" s="37"/>
      <c r="R29" s="19" t="s">
        <v>257</v>
      </c>
      <c r="S29" s="23"/>
      <c r="T29" s="23"/>
      <c r="U29" s="23"/>
      <c r="V29" s="23"/>
      <c r="W29" s="23"/>
      <c r="X29" s="24"/>
      <c r="Y29" s="284" t="s">
        <v>169</v>
      </c>
      <c r="Z29" s="285"/>
      <c r="AA29" s="286" t="s">
        <v>243</v>
      </c>
      <c r="AB29" s="287"/>
      <c r="AC29" s="288"/>
      <c r="AD29" s="51"/>
      <c r="AE29" s="29"/>
      <c r="AF29" s="29"/>
      <c r="AG29" s="29"/>
      <c r="AH29" s="28"/>
      <c r="AI29" s="28"/>
      <c r="AJ29" s="28"/>
      <c r="AK29" s="28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259</v>
      </c>
      <c r="C30" s="20"/>
      <c r="D30" s="20"/>
      <c r="E30" s="20"/>
      <c r="F30" s="20"/>
      <c r="G30" s="20"/>
      <c r="H30" s="24"/>
      <c r="I30" s="31" t="s">
        <v>260</v>
      </c>
      <c r="J30" s="23"/>
      <c r="K30" s="23"/>
      <c r="L30" s="23"/>
      <c r="M30" s="23"/>
      <c r="N30" s="23"/>
      <c r="O30" s="23"/>
      <c r="P30" s="23"/>
      <c r="Q30" s="37"/>
      <c r="R30" s="19" t="s">
        <v>259</v>
      </c>
      <c r="S30" s="23"/>
      <c r="T30" s="23"/>
      <c r="U30" s="23"/>
      <c r="V30" s="23"/>
      <c r="W30" s="23"/>
      <c r="X30" s="24"/>
      <c r="Y30" s="284" t="s">
        <v>150</v>
      </c>
      <c r="Z30" s="285"/>
      <c r="AA30" s="286" t="s">
        <v>151</v>
      </c>
      <c r="AB30" s="287"/>
      <c r="AC30" s="288"/>
      <c r="AD30" s="27">
        <v>10</v>
      </c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261</v>
      </c>
      <c r="C31" s="20"/>
      <c r="D31" s="20"/>
      <c r="E31" s="20"/>
      <c r="F31" s="20"/>
      <c r="G31" s="20"/>
      <c r="H31" s="24"/>
      <c r="I31" s="31" t="s">
        <v>262</v>
      </c>
      <c r="J31" s="23"/>
      <c r="K31" s="23"/>
      <c r="L31" s="23"/>
      <c r="M31" s="23"/>
      <c r="N31" s="23"/>
      <c r="O31" s="23"/>
      <c r="P31" s="23"/>
      <c r="Q31" s="37"/>
      <c r="R31" s="19" t="s">
        <v>261</v>
      </c>
      <c r="S31" s="23"/>
      <c r="T31" s="23"/>
      <c r="U31" s="23"/>
      <c r="V31" s="23"/>
      <c r="W31" s="23"/>
      <c r="X31" s="24"/>
      <c r="Y31" s="284" t="s">
        <v>150</v>
      </c>
      <c r="Z31" s="285"/>
      <c r="AA31" s="286" t="s">
        <v>151</v>
      </c>
      <c r="AB31" s="287"/>
      <c r="AC31" s="288"/>
      <c r="AD31" s="51">
        <v>10</v>
      </c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48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25</v>
      </c>
      <c r="B32" s="19" t="s">
        <v>263</v>
      </c>
      <c r="C32" s="20"/>
      <c r="D32" s="20"/>
      <c r="E32" s="20"/>
      <c r="F32" s="20"/>
      <c r="G32" s="20"/>
      <c r="H32" s="24"/>
      <c r="I32" s="31" t="s">
        <v>264</v>
      </c>
      <c r="J32" s="23"/>
      <c r="K32" s="23"/>
      <c r="L32" s="23"/>
      <c r="M32" s="23"/>
      <c r="N32" s="23"/>
      <c r="O32" s="23"/>
      <c r="P32" s="23"/>
      <c r="Q32" s="37"/>
      <c r="R32" s="22" t="s">
        <v>263</v>
      </c>
      <c r="S32" s="23"/>
      <c r="T32" s="23"/>
      <c r="U32" s="23"/>
      <c r="V32" s="23"/>
      <c r="W32" s="23"/>
      <c r="X32" s="24"/>
      <c r="Y32" s="284" t="s">
        <v>169</v>
      </c>
      <c r="Z32" s="285"/>
      <c r="AA32" s="286" t="s">
        <v>243</v>
      </c>
      <c r="AB32" s="287"/>
      <c r="AC32" s="288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84"/>
      <c r="Z33" s="285"/>
      <c r="AA33" s="286"/>
      <c r="AB33" s="287"/>
      <c r="AC33" s="288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48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24"/>
      <c r="Y34" s="284"/>
      <c r="Z34" s="285"/>
      <c r="AA34" s="286"/>
      <c r="AB34" s="287"/>
      <c r="AC34" s="28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51"/>
      <c r="AE35" s="29"/>
      <c r="AF35" s="29"/>
      <c r="AG35" s="29"/>
      <c r="AH35" s="40"/>
      <c r="AI35" s="40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IF(B36="","",COUNTA($B$15:B36))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51"/>
      <c r="AE36" s="29"/>
      <c r="AF36" s="29"/>
      <c r="AG36" s="29"/>
      <c r="AH36" s="28"/>
      <c r="AI36" s="28"/>
      <c r="AJ36" s="28"/>
      <c r="AK36" s="28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IF(B37="","",COUNTA($B$15:B37))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48"/>
      <c r="AV37" s="48"/>
      <c r="AW37" s="48"/>
      <c r="AX37" s="48"/>
      <c r="AY37" s="48"/>
      <c r="AZ37" s="48"/>
      <c r="BA37" s="48"/>
      <c r="BB37" s="48"/>
      <c r="BC37" s="48"/>
      <c r="BD37" s="66"/>
    </row>
    <row r="38" spans="1:56" ht="14.45" customHeight="1" x14ac:dyDescent="0.25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IF(B41="","",COUNTA($B$15:B41))</f>
        <v/>
      </c>
      <c r="B41" s="31"/>
      <c r="C41" s="44"/>
      <c r="D41" s="44"/>
      <c r="E41" s="44"/>
      <c r="F41" s="44"/>
      <c r="G41" s="44"/>
      <c r="H41" s="45"/>
      <c r="I41" s="31"/>
      <c r="J41" s="35"/>
      <c r="K41" s="35"/>
      <c r="L41" s="35"/>
      <c r="M41" s="35"/>
      <c r="N41" s="35"/>
      <c r="O41" s="35"/>
      <c r="P41" s="35"/>
      <c r="Q41" s="36"/>
      <c r="R41" s="34"/>
      <c r="S41" s="35"/>
      <c r="T41" s="35"/>
      <c r="U41" s="35"/>
      <c r="V41" s="35"/>
      <c r="W41" s="35"/>
      <c r="X41" s="36"/>
      <c r="Y41" s="284"/>
      <c r="Z41" s="285"/>
      <c r="AA41" s="286"/>
      <c r="AB41" s="287"/>
      <c r="AC41" s="288"/>
      <c r="AD41" s="51"/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2"/>
      <c r="AT41" s="49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50" t="str">
        <f>IF(B42="","",COUNTA($B$15:B42))</f>
        <v/>
      </c>
      <c r="B42" s="31"/>
      <c r="C42" s="44"/>
      <c r="D42" s="44"/>
      <c r="E42" s="44"/>
      <c r="F42" s="44"/>
      <c r="G42" s="44"/>
      <c r="H42" s="45"/>
      <c r="I42" s="31"/>
      <c r="J42" s="35"/>
      <c r="K42" s="35"/>
      <c r="L42" s="35"/>
      <c r="M42" s="35"/>
      <c r="N42" s="35"/>
      <c r="O42" s="35"/>
      <c r="P42" s="35"/>
      <c r="Q42" s="36"/>
      <c r="R42" s="34"/>
      <c r="S42" s="35"/>
      <c r="T42" s="35"/>
      <c r="U42" s="35"/>
      <c r="V42" s="35"/>
      <c r="W42" s="35"/>
      <c r="X42" s="36"/>
      <c r="Y42" s="284"/>
      <c r="Z42" s="285"/>
      <c r="AA42" s="286"/>
      <c r="AB42" s="287"/>
      <c r="AC42" s="288"/>
      <c r="AD42" s="51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2"/>
      <c r="AT42" s="49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50" t="str">
        <f>IF(B43="","",COUNTA($B$15:B43))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IF(B44="","",COUNTA($B$15:B44))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G6:AG7"/>
    <mergeCell ref="AH6:AH7"/>
    <mergeCell ref="AI6:AR6"/>
    <mergeCell ref="AS6:BD7"/>
    <mergeCell ref="AD6:AD7"/>
    <mergeCell ref="AE6:AE7"/>
    <mergeCell ref="AF6:AF7"/>
    <mergeCell ref="Y15:Z15"/>
    <mergeCell ref="AA15:AC15"/>
    <mergeCell ref="Y16:Z16"/>
    <mergeCell ref="AA16:AC16"/>
    <mergeCell ref="Y8:Z8"/>
    <mergeCell ref="AA8:AC8"/>
    <mergeCell ref="Y11:Z11"/>
    <mergeCell ref="AA11:AC11"/>
    <mergeCell ref="Y14:Z14"/>
    <mergeCell ref="AA14:AC14"/>
    <mergeCell ref="Y30:Z30"/>
    <mergeCell ref="AA30:AC30"/>
    <mergeCell ref="Y31:Z31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9:Z9"/>
    <mergeCell ref="AA9:AC9"/>
    <mergeCell ref="Y10:Z10"/>
    <mergeCell ref="AA10:AC10"/>
    <mergeCell ref="Y17:Z17"/>
    <mergeCell ref="AA17:AC17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4:Z24"/>
    <mergeCell ref="AA24:AC24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8:Z38"/>
    <mergeCell ref="AA38:AC38"/>
    <mergeCell ref="Y33:Z33"/>
    <mergeCell ref="AA33:AC33"/>
    <mergeCell ref="Y42:Z42"/>
    <mergeCell ref="AA42:AC42"/>
    <mergeCell ref="Y34:Z34"/>
    <mergeCell ref="AA34:AC34"/>
    <mergeCell ref="Y35:Z35"/>
    <mergeCell ref="AA35:AC35"/>
    <mergeCell ref="Y22:Z22"/>
    <mergeCell ref="AA22:AC22"/>
    <mergeCell ref="Y36:Z36"/>
    <mergeCell ref="AA36:AC36"/>
    <mergeCell ref="Y37:Z37"/>
    <mergeCell ref="AA37:AC37"/>
    <mergeCell ref="AA31:AC31"/>
    <mergeCell ref="Y32:Z32"/>
    <mergeCell ref="AA32:AC32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加工依頼明細情報（ロット指定）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1430</v>
      </c>
      <c r="C9" s="20"/>
      <c r="D9" s="20"/>
      <c r="E9" s="20"/>
      <c r="F9" s="20"/>
      <c r="G9" s="20"/>
      <c r="H9" s="24"/>
      <c r="I9" s="31" t="s">
        <v>413</v>
      </c>
      <c r="J9" s="23"/>
      <c r="K9" s="23"/>
      <c r="L9" s="23"/>
      <c r="M9" s="23"/>
      <c r="N9" s="23"/>
      <c r="O9" s="38"/>
      <c r="P9" s="23"/>
      <c r="Q9" s="24"/>
      <c r="R9" s="19" t="s">
        <v>1430</v>
      </c>
      <c r="S9" s="23"/>
      <c r="T9" s="23"/>
      <c r="U9" s="23"/>
      <c r="V9" s="23"/>
      <c r="W9" s="23"/>
      <c r="X9" s="24"/>
      <c r="Y9" s="284" t="s">
        <v>1487</v>
      </c>
      <c r="Z9" s="285"/>
      <c r="AA9" s="286" t="s">
        <v>1488</v>
      </c>
      <c r="AB9" s="287"/>
      <c r="AC9" s="288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414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1431</v>
      </c>
      <c r="C10" s="20"/>
      <c r="D10" s="20"/>
      <c r="E10" s="20"/>
      <c r="F10" s="20"/>
      <c r="G10" s="20"/>
      <c r="H10" s="24"/>
      <c r="I10" s="31" t="s">
        <v>337</v>
      </c>
      <c r="J10" s="23"/>
      <c r="K10" s="23"/>
      <c r="L10" s="23"/>
      <c r="M10" s="23"/>
      <c r="N10" s="23"/>
      <c r="O10" s="23"/>
      <c r="P10" s="23"/>
      <c r="Q10" s="37"/>
      <c r="R10" s="19" t="s">
        <v>1431</v>
      </c>
      <c r="S10" s="23"/>
      <c r="T10" s="23"/>
      <c r="U10" s="23"/>
      <c r="V10" s="23"/>
      <c r="W10" s="23"/>
      <c r="X10" s="24"/>
      <c r="Y10" s="284" t="s">
        <v>150</v>
      </c>
      <c r="Z10" s="285"/>
      <c r="AA10" s="286" t="s">
        <v>151</v>
      </c>
      <c r="AB10" s="287"/>
      <c r="AC10" s="288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416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 x14ac:dyDescent="0.25">
      <c r="A11" s="70">
        <f>IF(B11="","",COUNTA($B$8:B11))</f>
        <v>4</v>
      </c>
      <c r="B11" s="19" t="s">
        <v>1433</v>
      </c>
      <c r="C11" s="20"/>
      <c r="D11" s="20"/>
      <c r="E11" s="20"/>
      <c r="F11" s="20"/>
      <c r="G11" s="20"/>
      <c r="H11" s="24"/>
      <c r="I11" s="31" t="s">
        <v>417</v>
      </c>
      <c r="J11" s="23"/>
      <c r="K11" s="23"/>
      <c r="L11" s="23"/>
      <c r="M11" s="23"/>
      <c r="N11" s="23"/>
      <c r="O11" s="23"/>
      <c r="P11" s="23"/>
      <c r="Q11" s="37"/>
      <c r="R11" s="19" t="s">
        <v>1434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415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284" t="s">
        <v>150</v>
      </c>
      <c r="Z12" s="285"/>
      <c r="AA12" s="286" t="s">
        <v>151</v>
      </c>
      <c r="AB12" s="287"/>
      <c r="AC12" s="288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284" t="s">
        <v>150</v>
      </c>
      <c r="Z14" s="285"/>
      <c r="AA14" s="286" t="s">
        <v>151</v>
      </c>
      <c r="AB14" s="287"/>
      <c r="AC14" s="288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284" t="s">
        <v>150</v>
      </c>
      <c r="Z15" s="285"/>
      <c r="AA15" s="286" t="s">
        <v>151</v>
      </c>
      <c r="AB15" s="287"/>
      <c r="AC15" s="288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284" t="s">
        <v>150</v>
      </c>
      <c r="Z16" s="285"/>
      <c r="AA16" s="286" t="s">
        <v>151</v>
      </c>
      <c r="AB16" s="287"/>
      <c r="AC16" s="288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284" t="s">
        <v>150</v>
      </c>
      <c r="Z17" s="285"/>
      <c r="AA17" s="286" t="s">
        <v>151</v>
      </c>
      <c r="AB17" s="287"/>
      <c r="AC17" s="288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284" t="s">
        <v>169</v>
      </c>
      <c r="Z18" s="285"/>
      <c r="AA18" s="286" t="s">
        <v>243</v>
      </c>
      <c r="AB18" s="287"/>
      <c r="AC18" s="288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284" t="s">
        <v>150</v>
      </c>
      <c r="Z19" s="285"/>
      <c r="AA19" s="286" t="s">
        <v>151</v>
      </c>
      <c r="AB19" s="287"/>
      <c r="AC19" s="288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284" t="s">
        <v>150</v>
      </c>
      <c r="Z20" s="285"/>
      <c r="AA20" s="286" t="s">
        <v>151</v>
      </c>
      <c r="AB20" s="287"/>
      <c r="AC20" s="288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284" t="s">
        <v>169</v>
      </c>
      <c r="Z21" s="285"/>
      <c r="AA21" s="286" t="s">
        <v>243</v>
      </c>
      <c r="AB21" s="287"/>
      <c r="AC21" s="28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284"/>
      <c r="Z22" s="285"/>
      <c r="AA22" s="286"/>
      <c r="AB22" s="287"/>
      <c r="AC22" s="288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284"/>
      <c r="Z23" s="285"/>
      <c r="AA23" s="286"/>
      <c r="AB23" s="287"/>
      <c r="AC23" s="288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284"/>
      <c r="Z24" s="285"/>
      <c r="AA24" s="286"/>
      <c r="AB24" s="287"/>
      <c r="AC24" s="288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84"/>
      <c r="Z25" s="285"/>
      <c r="AA25" s="286"/>
      <c r="AB25" s="287"/>
      <c r="AC25" s="288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5" customHeight="1" x14ac:dyDescent="0.25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84"/>
      <c r="Z27" s="285"/>
      <c r="AA27" s="286"/>
      <c r="AB27" s="287"/>
      <c r="AC27" s="288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284"/>
      <c r="Z28" s="285"/>
      <c r="AA28" s="286"/>
      <c r="AB28" s="287"/>
      <c r="AC28" s="288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284"/>
      <c r="Z29" s="285"/>
      <c r="AA29" s="286"/>
      <c r="AB29" s="287"/>
      <c r="AC29" s="28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284"/>
      <c r="Z30" s="285"/>
      <c r="AA30" s="286"/>
      <c r="AB30" s="287"/>
      <c r="AC30" s="288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5" customHeight="1" x14ac:dyDescent="0.25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284"/>
      <c r="Z31" s="285"/>
      <c r="AA31" s="286"/>
      <c r="AB31" s="287"/>
      <c r="AC31" s="288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5" customHeight="1" x14ac:dyDescent="0.25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84"/>
      <c r="Z32" s="285"/>
      <c r="AA32" s="286"/>
      <c r="AB32" s="287"/>
      <c r="AC32" s="28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84"/>
      <c r="Z33" s="285"/>
      <c r="AA33" s="286"/>
      <c r="AB33" s="287"/>
      <c r="AC33" s="288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84"/>
      <c r="Z34" s="285"/>
      <c r="AA34" s="286"/>
      <c r="AB34" s="287"/>
      <c r="AC34" s="288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生産計画項目制御情報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ht="14.45" customHeight="1" x14ac:dyDescent="0.25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418</v>
      </c>
      <c r="C9" s="114"/>
      <c r="D9" s="114"/>
      <c r="E9" s="114"/>
      <c r="F9" s="114"/>
      <c r="G9" s="114"/>
      <c r="H9" s="114"/>
      <c r="I9" s="115" t="s">
        <v>419</v>
      </c>
      <c r="J9" s="116"/>
      <c r="K9" s="116"/>
      <c r="L9" s="116"/>
      <c r="M9" s="116"/>
      <c r="N9" s="116"/>
      <c r="O9" s="116"/>
      <c r="P9" s="116"/>
      <c r="Q9" s="116"/>
      <c r="R9" s="115" t="s">
        <v>418</v>
      </c>
      <c r="S9" s="114"/>
      <c r="T9" s="5"/>
      <c r="U9" s="5"/>
      <c r="V9" s="5"/>
      <c r="W9" s="5"/>
      <c r="X9" s="5"/>
      <c r="Y9" s="289" t="s">
        <v>150</v>
      </c>
      <c r="Z9" s="290"/>
      <c r="AA9" s="291" t="s">
        <v>151</v>
      </c>
      <c r="AB9" s="292"/>
      <c r="AC9" s="293"/>
      <c r="AD9" s="117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4" t="s">
        <v>420</v>
      </c>
      <c r="C10" s="114"/>
      <c r="D10" s="114"/>
      <c r="E10" s="114"/>
      <c r="F10" s="114"/>
      <c r="G10" s="114"/>
      <c r="H10" s="114"/>
      <c r="I10" s="115" t="s">
        <v>421</v>
      </c>
      <c r="J10" s="116"/>
      <c r="K10" s="116"/>
      <c r="L10" s="116"/>
      <c r="M10" s="116"/>
      <c r="N10" s="116"/>
      <c r="O10" s="116"/>
      <c r="P10" s="116"/>
      <c r="Q10" s="116"/>
      <c r="R10" s="115" t="s">
        <v>420</v>
      </c>
      <c r="S10" s="114"/>
      <c r="T10" s="5"/>
      <c r="U10" s="5"/>
      <c r="V10" s="5"/>
      <c r="W10" s="5"/>
      <c r="X10" s="5"/>
      <c r="Y10" s="289" t="s">
        <v>150</v>
      </c>
      <c r="Z10" s="290"/>
      <c r="AA10" s="291" t="s">
        <v>151</v>
      </c>
      <c r="AB10" s="292"/>
      <c r="AC10" s="293"/>
      <c r="AD10" s="117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9">
        <f>IF(B11="","",COUNTA($B$8:B11))</f>
        <v>4</v>
      </c>
      <c r="B11" s="169" t="s">
        <v>422</v>
      </c>
      <c r="C11" s="185"/>
      <c r="D11" s="185"/>
      <c r="E11" s="185"/>
      <c r="F11" s="185"/>
      <c r="G11" s="185"/>
      <c r="H11" s="186"/>
      <c r="I11" s="75" t="s">
        <v>423</v>
      </c>
      <c r="J11" s="71"/>
      <c r="K11" s="71"/>
      <c r="L11" s="71"/>
      <c r="M11" s="71"/>
      <c r="N11" s="71"/>
      <c r="O11" s="71"/>
      <c r="P11" s="71"/>
      <c r="Q11" s="81"/>
      <c r="R11" s="169" t="s">
        <v>422</v>
      </c>
      <c r="S11" s="71"/>
      <c r="T11" s="71"/>
      <c r="U11" s="71"/>
      <c r="V11" s="71"/>
      <c r="W11" s="71"/>
      <c r="X11" s="21"/>
      <c r="Y11" s="336" t="s">
        <v>150</v>
      </c>
      <c r="Z11" s="337"/>
      <c r="AA11" s="353" t="s">
        <v>151</v>
      </c>
      <c r="AB11" s="354"/>
      <c r="AC11" s="355"/>
      <c r="AD11" s="72">
        <v>1</v>
      </c>
      <c r="AE11" s="74"/>
      <c r="AF11" s="74"/>
      <c r="AG11" s="74"/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424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6" ht="14.45" customHeight="1" x14ac:dyDescent="0.25">
      <c r="A12" s="80" t="str">
        <f>IF(B12="","",COUNTA($B$8:B12))</f>
        <v/>
      </c>
      <c r="B12" s="219"/>
      <c r="C12" s="220"/>
      <c r="D12" s="220"/>
      <c r="E12" s="220"/>
      <c r="F12" s="220"/>
      <c r="G12" s="220"/>
      <c r="H12" s="221"/>
      <c r="I12" s="141"/>
      <c r="J12" s="142"/>
      <c r="K12" s="142"/>
      <c r="L12" s="142"/>
      <c r="M12" s="142"/>
      <c r="N12" s="142"/>
      <c r="O12" s="142"/>
      <c r="P12" s="142"/>
      <c r="Q12" s="143"/>
      <c r="R12" s="219"/>
      <c r="S12" s="142"/>
      <c r="T12" s="142"/>
      <c r="U12" s="142"/>
      <c r="V12" s="142"/>
      <c r="W12" s="142"/>
      <c r="X12" s="140"/>
      <c r="Y12" s="338"/>
      <c r="Z12" s="339"/>
      <c r="AA12" s="356"/>
      <c r="AB12" s="357"/>
      <c r="AC12" s="358"/>
      <c r="AD12" s="145"/>
      <c r="AE12" s="146"/>
      <c r="AF12" s="146"/>
      <c r="AG12" s="146"/>
      <c r="AH12" s="147"/>
      <c r="AI12" s="147"/>
      <c r="AJ12" s="147"/>
      <c r="AK12" s="147"/>
      <c r="AL12" s="147"/>
      <c r="AM12" s="147"/>
      <c r="AN12" s="147"/>
      <c r="AO12" s="146"/>
      <c r="AP12" s="146"/>
      <c r="AQ12" s="146"/>
      <c r="AR12" s="146"/>
      <c r="AS12" s="141" t="s">
        <v>425</v>
      </c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9"/>
    </row>
    <row r="13" spans="1:56" ht="14.45" customHeight="1" x14ac:dyDescent="0.25">
      <c r="A13" s="79">
        <f>IF(B13="","",COUNTA($B$8:B13))</f>
        <v>5</v>
      </c>
      <c r="B13" s="169" t="s">
        <v>426</v>
      </c>
      <c r="C13" s="185"/>
      <c r="D13" s="185"/>
      <c r="E13" s="185"/>
      <c r="F13" s="185"/>
      <c r="G13" s="185"/>
      <c r="H13" s="186"/>
      <c r="I13" s="75" t="s">
        <v>427</v>
      </c>
      <c r="J13" s="71"/>
      <c r="K13" s="71"/>
      <c r="L13" s="71"/>
      <c r="M13" s="71"/>
      <c r="N13" s="71"/>
      <c r="O13" s="71"/>
      <c r="P13" s="71"/>
      <c r="Q13" s="81"/>
      <c r="R13" s="169" t="s">
        <v>426</v>
      </c>
      <c r="S13" s="71"/>
      <c r="T13" s="71"/>
      <c r="U13" s="71"/>
      <c r="V13" s="71"/>
      <c r="W13" s="71"/>
      <c r="X13" s="21"/>
      <c r="Y13" s="336" t="s">
        <v>150</v>
      </c>
      <c r="Z13" s="337"/>
      <c r="AA13" s="353" t="s">
        <v>151</v>
      </c>
      <c r="AB13" s="354"/>
      <c r="AC13" s="355"/>
      <c r="AD13" s="72">
        <v>1</v>
      </c>
      <c r="AE13" s="74"/>
      <c r="AF13" s="74"/>
      <c r="AG13" s="74"/>
      <c r="AH13" s="73"/>
      <c r="AI13" s="73"/>
      <c r="AJ13" s="73"/>
      <c r="AK13" s="73"/>
      <c r="AL13" s="73"/>
      <c r="AM13" s="73"/>
      <c r="AN13" s="73"/>
      <c r="AO13" s="74"/>
      <c r="AP13" s="74"/>
      <c r="AQ13" s="74"/>
      <c r="AR13" s="74"/>
      <c r="AS13" s="75" t="s">
        <v>428</v>
      </c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7"/>
    </row>
    <row r="14" spans="1:56" ht="14.45" customHeight="1" x14ac:dyDescent="0.25">
      <c r="A14" s="80" t="str">
        <f>IF(B14="","",COUNTA($B$8:B14))</f>
        <v/>
      </c>
      <c r="B14" s="219"/>
      <c r="C14" s="220"/>
      <c r="D14" s="220"/>
      <c r="E14" s="220"/>
      <c r="F14" s="220"/>
      <c r="G14" s="220"/>
      <c r="H14" s="221"/>
      <c r="I14" s="141"/>
      <c r="J14" s="142"/>
      <c r="K14" s="142"/>
      <c r="L14" s="142"/>
      <c r="M14" s="142"/>
      <c r="N14" s="142"/>
      <c r="O14" s="142"/>
      <c r="P14" s="142"/>
      <c r="Q14" s="143"/>
      <c r="R14" s="219"/>
      <c r="S14" s="142"/>
      <c r="T14" s="142"/>
      <c r="U14" s="142"/>
      <c r="V14" s="142"/>
      <c r="W14" s="142"/>
      <c r="X14" s="140"/>
      <c r="Y14" s="338"/>
      <c r="Z14" s="339"/>
      <c r="AA14" s="356"/>
      <c r="AB14" s="357"/>
      <c r="AC14" s="358"/>
      <c r="AD14" s="145"/>
      <c r="AE14" s="146"/>
      <c r="AF14" s="146"/>
      <c r="AG14" s="146"/>
      <c r="AH14" s="147"/>
      <c r="AI14" s="147"/>
      <c r="AJ14" s="147"/>
      <c r="AK14" s="147"/>
      <c r="AL14" s="147"/>
      <c r="AM14" s="147"/>
      <c r="AN14" s="147"/>
      <c r="AO14" s="146"/>
      <c r="AP14" s="146"/>
      <c r="AQ14" s="146"/>
      <c r="AR14" s="146"/>
      <c r="AS14" s="141" t="s">
        <v>429</v>
      </c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9"/>
    </row>
    <row r="15" spans="1:56" ht="14.45" customHeight="1" x14ac:dyDescent="0.25">
      <c r="A15" s="79">
        <f>IF(B15="","",COUNTA($B$8:B15))</f>
        <v>6</v>
      </c>
      <c r="B15" s="169" t="s">
        <v>430</v>
      </c>
      <c r="C15" s="185"/>
      <c r="D15" s="185"/>
      <c r="E15" s="185"/>
      <c r="F15" s="185"/>
      <c r="G15" s="185"/>
      <c r="H15" s="186"/>
      <c r="I15" s="75" t="s">
        <v>431</v>
      </c>
      <c r="J15" s="71"/>
      <c r="K15" s="71"/>
      <c r="L15" s="71"/>
      <c r="M15" s="71"/>
      <c r="N15" s="71"/>
      <c r="O15" s="71"/>
      <c r="P15" s="71"/>
      <c r="Q15" s="81"/>
      <c r="R15" s="169" t="s">
        <v>430</v>
      </c>
      <c r="S15" s="71"/>
      <c r="T15" s="71"/>
      <c r="U15" s="71"/>
      <c r="V15" s="71"/>
      <c r="W15" s="71"/>
      <c r="X15" s="21"/>
      <c r="Y15" s="336" t="s">
        <v>150</v>
      </c>
      <c r="Z15" s="337"/>
      <c r="AA15" s="353" t="s">
        <v>151</v>
      </c>
      <c r="AB15" s="354"/>
      <c r="AC15" s="355"/>
      <c r="AD15" s="72">
        <v>1</v>
      </c>
      <c r="AE15" s="74"/>
      <c r="AF15" s="74"/>
      <c r="AG15" s="74"/>
      <c r="AH15" s="73"/>
      <c r="AI15" s="73"/>
      <c r="AJ15" s="73"/>
      <c r="AK15" s="73"/>
      <c r="AL15" s="73"/>
      <c r="AM15" s="73"/>
      <c r="AN15" s="73"/>
      <c r="AO15" s="74"/>
      <c r="AP15" s="74"/>
      <c r="AQ15" s="74"/>
      <c r="AR15" s="74"/>
      <c r="AS15" s="75" t="s">
        <v>432</v>
      </c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7"/>
    </row>
    <row r="16" spans="1:56" ht="14.45" customHeight="1" x14ac:dyDescent="0.25">
      <c r="A16" s="80" t="str">
        <f>IF(B16="","",COUNTA($B$8:B16))</f>
        <v/>
      </c>
      <c r="B16" s="219"/>
      <c r="C16" s="220"/>
      <c r="D16" s="220"/>
      <c r="E16" s="220"/>
      <c r="F16" s="220"/>
      <c r="G16" s="220"/>
      <c r="H16" s="221"/>
      <c r="I16" s="141"/>
      <c r="J16" s="142"/>
      <c r="K16" s="142"/>
      <c r="L16" s="142"/>
      <c r="M16" s="142"/>
      <c r="N16" s="142"/>
      <c r="O16" s="142"/>
      <c r="P16" s="142"/>
      <c r="Q16" s="143"/>
      <c r="R16" s="219"/>
      <c r="S16" s="142"/>
      <c r="T16" s="142"/>
      <c r="U16" s="142"/>
      <c r="V16" s="142"/>
      <c r="W16" s="142"/>
      <c r="X16" s="140"/>
      <c r="Y16" s="338"/>
      <c r="Z16" s="339"/>
      <c r="AA16" s="356"/>
      <c r="AB16" s="357"/>
      <c r="AC16" s="358"/>
      <c r="AD16" s="145"/>
      <c r="AE16" s="146"/>
      <c r="AF16" s="146"/>
      <c r="AG16" s="146"/>
      <c r="AH16" s="147"/>
      <c r="AI16" s="147"/>
      <c r="AJ16" s="147"/>
      <c r="AK16" s="147"/>
      <c r="AL16" s="147"/>
      <c r="AM16" s="147"/>
      <c r="AN16" s="147"/>
      <c r="AO16" s="146"/>
      <c r="AP16" s="146"/>
      <c r="AQ16" s="146"/>
      <c r="AR16" s="146"/>
      <c r="AS16" s="141" t="s">
        <v>429</v>
      </c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9"/>
    </row>
    <row r="17" spans="1:57" ht="14.45" customHeight="1" x14ac:dyDescent="0.25">
      <c r="A17" s="79">
        <f>IF(B17="","",COUNTA($B$8:B17))</f>
        <v>7</v>
      </c>
      <c r="B17" s="169" t="s">
        <v>1495</v>
      </c>
      <c r="C17" s="185"/>
      <c r="D17" s="185"/>
      <c r="E17" s="185"/>
      <c r="F17" s="185"/>
      <c r="G17" s="185"/>
      <c r="H17" s="186"/>
      <c r="I17" s="75" t="s">
        <v>1496</v>
      </c>
      <c r="J17" s="71"/>
      <c r="K17" s="71"/>
      <c r="L17" s="71"/>
      <c r="M17" s="71"/>
      <c r="N17" s="71"/>
      <c r="O17" s="71"/>
      <c r="P17" s="71"/>
      <c r="Q17" s="81"/>
      <c r="R17" s="169" t="s">
        <v>1495</v>
      </c>
      <c r="S17" s="71"/>
      <c r="T17" s="71"/>
      <c r="U17" s="71"/>
      <c r="V17" s="71"/>
      <c r="W17" s="71"/>
      <c r="X17" s="21"/>
      <c r="Y17" s="336" t="s">
        <v>150</v>
      </c>
      <c r="Z17" s="337"/>
      <c r="AA17" s="353" t="s">
        <v>151</v>
      </c>
      <c r="AB17" s="354"/>
      <c r="AC17" s="355"/>
      <c r="AD17" s="72">
        <v>1</v>
      </c>
      <c r="AE17" s="74"/>
      <c r="AF17" s="74"/>
      <c r="AG17" s="74"/>
      <c r="AH17" s="73"/>
      <c r="AI17" s="73"/>
      <c r="AJ17" s="73"/>
      <c r="AK17" s="73"/>
      <c r="AL17" s="73"/>
      <c r="AM17" s="73"/>
      <c r="AN17" s="73"/>
      <c r="AO17" s="74"/>
      <c r="AP17" s="74"/>
      <c r="AQ17" s="74"/>
      <c r="AR17" s="74"/>
      <c r="AS17" s="75" t="s">
        <v>1418</v>
      </c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7"/>
    </row>
    <row r="18" spans="1:57" ht="14.45" customHeight="1" x14ac:dyDescent="0.25">
      <c r="A18" s="80" t="str">
        <f>IF(B18="","",COUNTA($B$8:B18))</f>
        <v/>
      </c>
      <c r="B18" s="219"/>
      <c r="C18" s="220"/>
      <c r="D18" s="220"/>
      <c r="E18" s="220"/>
      <c r="F18" s="220"/>
      <c r="G18" s="220"/>
      <c r="H18" s="221"/>
      <c r="I18" s="141"/>
      <c r="J18" s="142"/>
      <c r="K18" s="142"/>
      <c r="L18" s="142"/>
      <c r="M18" s="142"/>
      <c r="N18" s="142"/>
      <c r="O18" s="142"/>
      <c r="P18" s="142"/>
      <c r="Q18" s="143"/>
      <c r="R18" s="219"/>
      <c r="S18" s="142"/>
      <c r="T18" s="142"/>
      <c r="U18" s="142"/>
      <c r="V18" s="142"/>
      <c r="W18" s="142"/>
      <c r="X18" s="140"/>
      <c r="Y18" s="338"/>
      <c r="Z18" s="339"/>
      <c r="AA18" s="356"/>
      <c r="AB18" s="357"/>
      <c r="AC18" s="358"/>
      <c r="AD18" s="145"/>
      <c r="AE18" s="146"/>
      <c r="AF18" s="146"/>
      <c r="AG18" s="146"/>
      <c r="AH18" s="147"/>
      <c r="AI18" s="147"/>
      <c r="AJ18" s="147"/>
      <c r="AK18" s="147"/>
      <c r="AL18" s="147"/>
      <c r="AM18" s="147"/>
      <c r="AN18" s="147"/>
      <c r="AO18" s="146"/>
      <c r="AP18" s="146"/>
      <c r="AQ18" s="146"/>
      <c r="AR18" s="146"/>
      <c r="AS18" s="141" t="s">
        <v>435</v>
      </c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9"/>
    </row>
    <row r="19" spans="1:57" ht="14.45" customHeight="1" x14ac:dyDescent="0.25">
      <c r="A19" s="79">
        <f>IF(B19="","",COUNTA($B$8:B19))</f>
        <v>8</v>
      </c>
      <c r="B19" s="169" t="s">
        <v>434</v>
      </c>
      <c r="C19" s="185"/>
      <c r="D19" s="185"/>
      <c r="E19" s="185"/>
      <c r="F19" s="185"/>
      <c r="G19" s="185"/>
      <c r="H19" s="186"/>
      <c r="I19" s="75" t="s">
        <v>433</v>
      </c>
      <c r="J19" s="71"/>
      <c r="K19" s="71"/>
      <c r="L19" s="71"/>
      <c r="M19" s="71"/>
      <c r="N19" s="71"/>
      <c r="O19" s="71"/>
      <c r="P19" s="71"/>
      <c r="Q19" s="81"/>
      <c r="R19" s="169" t="s">
        <v>434</v>
      </c>
      <c r="S19" s="71"/>
      <c r="T19" s="71"/>
      <c r="U19" s="71"/>
      <c r="V19" s="71"/>
      <c r="W19" s="71"/>
      <c r="X19" s="21"/>
      <c r="Y19" s="336" t="s">
        <v>150</v>
      </c>
      <c r="Z19" s="337"/>
      <c r="AA19" s="353" t="s">
        <v>151</v>
      </c>
      <c r="AB19" s="354"/>
      <c r="AC19" s="355"/>
      <c r="AD19" s="72">
        <v>1</v>
      </c>
      <c r="AE19" s="74"/>
      <c r="AF19" s="74"/>
      <c r="AG19" s="74"/>
      <c r="AH19" s="73"/>
      <c r="AI19" s="73"/>
      <c r="AJ19" s="73"/>
      <c r="AK19" s="73"/>
      <c r="AL19" s="73"/>
      <c r="AM19" s="73"/>
      <c r="AN19" s="73"/>
      <c r="AO19" s="74"/>
      <c r="AP19" s="74"/>
      <c r="AQ19" s="74"/>
      <c r="AR19" s="74"/>
      <c r="AS19" s="75" t="s">
        <v>436</v>
      </c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7"/>
    </row>
    <row r="20" spans="1:57" ht="14.45" customHeight="1" x14ac:dyDescent="0.25">
      <c r="A20" s="80" t="str">
        <f>IF(B20="","",COUNTA($B$8:B20))</f>
        <v/>
      </c>
      <c r="B20" s="219"/>
      <c r="C20" s="220"/>
      <c r="D20" s="220"/>
      <c r="E20" s="220"/>
      <c r="F20" s="220"/>
      <c r="G20" s="220"/>
      <c r="H20" s="221"/>
      <c r="I20" s="141"/>
      <c r="J20" s="142"/>
      <c r="K20" s="142"/>
      <c r="L20" s="142"/>
      <c r="M20" s="142"/>
      <c r="N20" s="142"/>
      <c r="O20" s="142"/>
      <c r="P20" s="142"/>
      <c r="Q20" s="143"/>
      <c r="R20" s="219"/>
      <c r="S20" s="142"/>
      <c r="T20" s="142"/>
      <c r="U20" s="142"/>
      <c r="V20" s="142"/>
      <c r="W20" s="142"/>
      <c r="X20" s="140"/>
      <c r="Y20" s="338"/>
      <c r="Z20" s="339"/>
      <c r="AA20" s="356"/>
      <c r="AB20" s="357"/>
      <c r="AC20" s="358"/>
      <c r="AD20" s="145"/>
      <c r="AE20" s="146"/>
      <c r="AF20" s="146"/>
      <c r="AG20" s="146"/>
      <c r="AH20" s="147"/>
      <c r="AI20" s="147"/>
      <c r="AJ20" s="147"/>
      <c r="AK20" s="147"/>
      <c r="AL20" s="147"/>
      <c r="AM20" s="147"/>
      <c r="AN20" s="147"/>
      <c r="AO20" s="146"/>
      <c r="AP20" s="146"/>
      <c r="AQ20" s="146"/>
      <c r="AR20" s="146"/>
      <c r="AS20" s="141" t="s">
        <v>437</v>
      </c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9"/>
    </row>
    <row r="21" spans="1:57" ht="14.45" customHeight="1" x14ac:dyDescent="0.25">
      <c r="A21" s="79">
        <f>IF(B21="","",COUNTA($B$8:B21))</f>
        <v>9</v>
      </c>
      <c r="B21" s="169" t="s">
        <v>1484</v>
      </c>
      <c r="C21" s="185"/>
      <c r="D21" s="185"/>
      <c r="E21" s="185"/>
      <c r="F21" s="185"/>
      <c r="G21" s="185"/>
      <c r="H21" s="186"/>
      <c r="I21" s="75" t="s">
        <v>1485</v>
      </c>
      <c r="J21" s="71"/>
      <c r="K21" s="71"/>
      <c r="L21" s="71"/>
      <c r="M21" s="71"/>
      <c r="N21" s="71"/>
      <c r="O21" s="71"/>
      <c r="P21" s="71"/>
      <c r="Q21" s="81"/>
      <c r="R21" s="169" t="s">
        <v>1450</v>
      </c>
      <c r="S21" s="71"/>
      <c r="T21" s="71"/>
      <c r="U21" s="71"/>
      <c r="V21" s="71"/>
      <c r="W21" s="71"/>
      <c r="X21" s="21"/>
      <c r="Y21" s="336" t="s">
        <v>150</v>
      </c>
      <c r="Z21" s="337"/>
      <c r="AA21" s="353" t="s">
        <v>151</v>
      </c>
      <c r="AB21" s="354"/>
      <c r="AC21" s="355"/>
      <c r="AD21" s="72">
        <v>1</v>
      </c>
      <c r="AE21" s="74"/>
      <c r="AF21" s="74"/>
      <c r="AG21" s="74"/>
      <c r="AH21" s="73"/>
      <c r="AI21" s="73"/>
      <c r="AJ21" s="73"/>
      <c r="AK21" s="73"/>
      <c r="AL21" s="73"/>
      <c r="AM21" s="73"/>
      <c r="AN21" s="73"/>
      <c r="AO21" s="74"/>
      <c r="AP21" s="74"/>
      <c r="AQ21" s="74"/>
      <c r="AR21" s="74"/>
      <c r="AS21" s="75" t="s">
        <v>1451</v>
      </c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7"/>
      <c r="BE21" s="18" t="s">
        <v>1456</v>
      </c>
    </row>
    <row r="22" spans="1:57" ht="14.45" customHeight="1" x14ac:dyDescent="0.25">
      <c r="A22" s="80" t="str">
        <f>IF(B22="","",COUNTA($B$8:B22))</f>
        <v/>
      </c>
      <c r="B22" s="219"/>
      <c r="C22" s="220"/>
      <c r="D22" s="220"/>
      <c r="E22" s="220"/>
      <c r="F22" s="220"/>
      <c r="G22" s="220"/>
      <c r="H22" s="221"/>
      <c r="I22" s="141"/>
      <c r="J22" s="142"/>
      <c r="K22" s="142"/>
      <c r="L22" s="142"/>
      <c r="M22" s="142"/>
      <c r="N22" s="142"/>
      <c r="O22" s="142"/>
      <c r="P22" s="142"/>
      <c r="Q22" s="143"/>
      <c r="R22" s="219"/>
      <c r="S22" s="142"/>
      <c r="T22" s="142"/>
      <c r="U22" s="142"/>
      <c r="V22" s="142"/>
      <c r="W22" s="142"/>
      <c r="X22" s="140"/>
      <c r="Y22" s="338"/>
      <c r="Z22" s="339"/>
      <c r="AA22" s="356"/>
      <c r="AB22" s="357"/>
      <c r="AC22" s="358"/>
      <c r="AD22" s="145"/>
      <c r="AE22" s="146"/>
      <c r="AF22" s="146"/>
      <c r="AG22" s="146"/>
      <c r="AH22" s="147"/>
      <c r="AI22" s="147"/>
      <c r="AJ22" s="147"/>
      <c r="AK22" s="147"/>
      <c r="AL22" s="147"/>
      <c r="AM22" s="147"/>
      <c r="AN22" s="147"/>
      <c r="AO22" s="146"/>
      <c r="AP22" s="146"/>
      <c r="AQ22" s="146"/>
      <c r="AR22" s="146"/>
      <c r="AS22" s="141" t="s">
        <v>1452</v>
      </c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8" t="s">
        <v>1457</v>
      </c>
    </row>
    <row r="23" spans="1:57" ht="14.45" customHeight="1" x14ac:dyDescent="0.25">
      <c r="A23" s="79">
        <f>IF(B23="","",COUNTA($B$8:B23))</f>
        <v>10</v>
      </c>
      <c r="B23" s="169" t="s">
        <v>1482</v>
      </c>
      <c r="C23" s="185"/>
      <c r="D23" s="185"/>
      <c r="E23" s="185"/>
      <c r="F23" s="185"/>
      <c r="G23" s="185"/>
      <c r="H23" s="186"/>
      <c r="I23" s="75" t="s">
        <v>1483</v>
      </c>
      <c r="J23" s="71"/>
      <c r="K23" s="71"/>
      <c r="L23" s="71"/>
      <c r="M23" s="71"/>
      <c r="N23" s="71"/>
      <c r="O23" s="71"/>
      <c r="P23" s="71"/>
      <c r="Q23" s="81"/>
      <c r="R23" s="169" t="s">
        <v>1453</v>
      </c>
      <c r="S23" s="71"/>
      <c r="T23" s="71"/>
      <c r="U23" s="71"/>
      <c r="V23" s="71"/>
      <c r="W23" s="71"/>
      <c r="X23" s="21"/>
      <c r="Y23" s="336" t="s">
        <v>150</v>
      </c>
      <c r="Z23" s="337"/>
      <c r="AA23" s="353" t="s">
        <v>151</v>
      </c>
      <c r="AB23" s="354"/>
      <c r="AC23" s="355"/>
      <c r="AD23" s="72">
        <v>1</v>
      </c>
      <c r="AE23" s="74"/>
      <c r="AF23" s="74"/>
      <c r="AG23" s="74"/>
      <c r="AH23" s="73"/>
      <c r="AI23" s="73"/>
      <c r="AJ23" s="73"/>
      <c r="AK23" s="73"/>
      <c r="AL23" s="73"/>
      <c r="AM23" s="73"/>
      <c r="AN23" s="73"/>
      <c r="AO23" s="74"/>
      <c r="AP23" s="74"/>
      <c r="AQ23" s="74"/>
      <c r="AR23" s="74"/>
      <c r="AS23" s="75" t="s">
        <v>1454</v>
      </c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7"/>
      <c r="BE23" s="18" t="s">
        <v>1457</v>
      </c>
    </row>
    <row r="24" spans="1:57" ht="14.45" customHeight="1" x14ac:dyDescent="0.25">
      <c r="A24" s="80" t="str">
        <f>IF(B24="","",COUNTA($B$8:B24))</f>
        <v/>
      </c>
      <c r="B24" s="219"/>
      <c r="C24" s="220"/>
      <c r="D24" s="220"/>
      <c r="E24" s="220"/>
      <c r="F24" s="220"/>
      <c r="G24" s="220"/>
      <c r="H24" s="221"/>
      <c r="I24" s="141"/>
      <c r="J24" s="142"/>
      <c r="K24" s="142"/>
      <c r="L24" s="142"/>
      <c r="M24" s="142"/>
      <c r="N24" s="142"/>
      <c r="O24" s="142"/>
      <c r="P24" s="142"/>
      <c r="Q24" s="143"/>
      <c r="R24" s="219"/>
      <c r="S24" s="142"/>
      <c r="T24" s="142"/>
      <c r="U24" s="142"/>
      <c r="V24" s="142"/>
      <c r="W24" s="142"/>
      <c r="X24" s="140"/>
      <c r="Y24" s="338"/>
      <c r="Z24" s="339"/>
      <c r="AA24" s="356"/>
      <c r="AB24" s="357"/>
      <c r="AC24" s="358"/>
      <c r="AD24" s="145"/>
      <c r="AE24" s="146"/>
      <c r="AF24" s="146"/>
      <c r="AG24" s="146"/>
      <c r="AH24" s="147"/>
      <c r="AI24" s="147"/>
      <c r="AJ24" s="147"/>
      <c r="AK24" s="147"/>
      <c r="AL24" s="147"/>
      <c r="AM24" s="147"/>
      <c r="AN24" s="147"/>
      <c r="AO24" s="146"/>
      <c r="AP24" s="146"/>
      <c r="AQ24" s="146"/>
      <c r="AR24" s="146"/>
      <c r="AS24" s="141" t="s">
        <v>1455</v>
      </c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  <c r="BE24" s="18" t="s">
        <v>1457</v>
      </c>
    </row>
    <row r="25" spans="1:57" ht="14.45" customHeight="1" x14ac:dyDescent="0.25">
      <c r="A25" s="70">
        <f>IF(B25="","",COUNTA($B$8:B25))</f>
        <v>11</v>
      </c>
      <c r="B25" s="25" t="s">
        <v>438</v>
      </c>
      <c r="C25" s="26"/>
      <c r="D25" s="26"/>
      <c r="E25" s="26"/>
      <c r="F25" s="26"/>
      <c r="G25" s="26"/>
      <c r="H25" s="39"/>
      <c r="I25" s="31" t="s">
        <v>439</v>
      </c>
      <c r="J25" s="23"/>
      <c r="K25" s="23"/>
      <c r="L25" s="23"/>
      <c r="M25" s="23"/>
      <c r="N25" s="23"/>
      <c r="O25" s="23"/>
      <c r="P25" s="23"/>
      <c r="Q25" s="37"/>
      <c r="R25" s="25" t="s">
        <v>438</v>
      </c>
      <c r="S25" s="23"/>
      <c r="T25" s="23"/>
      <c r="U25" s="23"/>
      <c r="V25" s="23"/>
      <c r="W25" s="23"/>
      <c r="X25" s="24"/>
      <c r="Y25" s="289" t="s">
        <v>150</v>
      </c>
      <c r="Z25" s="290"/>
      <c r="AA25" s="286" t="s">
        <v>151</v>
      </c>
      <c r="AB25" s="287"/>
      <c r="AC25" s="288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440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9">
        <f>IF(B26="","",COUNTA($B$8:B26))</f>
        <v>12</v>
      </c>
      <c r="B26" s="169" t="s">
        <v>1447</v>
      </c>
      <c r="C26" s="185"/>
      <c r="D26" s="185"/>
      <c r="E26" s="185"/>
      <c r="F26" s="185"/>
      <c r="G26" s="185"/>
      <c r="H26" s="186"/>
      <c r="I26" s="75" t="s">
        <v>1439</v>
      </c>
      <c r="J26" s="71"/>
      <c r="K26" s="71"/>
      <c r="L26" s="71"/>
      <c r="M26" s="71"/>
      <c r="N26" s="71"/>
      <c r="O26" s="71"/>
      <c r="P26" s="71"/>
      <c r="Q26" s="81"/>
      <c r="R26" s="169" t="s">
        <v>1447</v>
      </c>
      <c r="S26" s="71"/>
      <c r="T26" s="71"/>
      <c r="U26" s="71"/>
      <c r="V26" s="71"/>
      <c r="W26" s="71"/>
      <c r="X26" s="21"/>
      <c r="Y26" s="336" t="s">
        <v>150</v>
      </c>
      <c r="Z26" s="337"/>
      <c r="AA26" s="353" t="s">
        <v>151</v>
      </c>
      <c r="AB26" s="354"/>
      <c r="AC26" s="355"/>
      <c r="AD26" s="72">
        <v>4</v>
      </c>
      <c r="AE26" s="74"/>
      <c r="AF26" s="74"/>
      <c r="AG26" s="74"/>
      <c r="AH26" s="73"/>
      <c r="AI26" s="73"/>
      <c r="AJ26" s="73"/>
      <c r="AK26" s="73"/>
      <c r="AL26" s="73"/>
      <c r="AM26" s="73"/>
      <c r="AN26" s="73"/>
      <c r="AO26" s="74"/>
      <c r="AP26" s="74"/>
      <c r="AQ26" s="74"/>
      <c r="AR26" s="74"/>
      <c r="AS26" s="75" t="s">
        <v>1440</v>
      </c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7"/>
      <c r="BE26" s="18" t="s">
        <v>1441</v>
      </c>
    </row>
    <row r="27" spans="1:57" ht="14.45" customHeight="1" x14ac:dyDescent="0.25">
      <c r="A27" s="80" t="str">
        <f>IF(B27="","",COUNTA($B$8:B27))</f>
        <v/>
      </c>
      <c r="B27" s="219"/>
      <c r="C27" s="220"/>
      <c r="D27" s="220"/>
      <c r="E27" s="220"/>
      <c r="F27" s="220"/>
      <c r="G27" s="220"/>
      <c r="H27" s="221"/>
      <c r="I27" s="141"/>
      <c r="J27" s="142"/>
      <c r="K27" s="142"/>
      <c r="L27" s="142"/>
      <c r="M27" s="142"/>
      <c r="N27" s="142"/>
      <c r="O27" s="142"/>
      <c r="P27" s="142"/>
      <c r="Q27" s="143"/>
      <c r="R27" s="219"/>
      <c r="S27" s="142"/>
      <c r="T27" s="142"/>
      <c r="U27" s="142"/>
      <c r="V27" s="142"/>
      <c r="W27" s="142"/>
      <c r="X27" s="140"/>
      <c r="Y27" s="338"/>
      <c r="Z27" s="339"/>
      <c r="AA27" s="356"/>
      <c r="AB27" s="357"/>
      <c r="AC27" s="358"/>
      <c r="AD27" s="145"/>
      <c r="AE27" s="146"/>
      <c r="AF27" s="146"/>
      <c r="AG27" s="146"/>
      <c r="AH27" s="147"/>
      <c r="AI27" s="147"/>
      <c r="AJ27" s="147"/>
      <c r="AK27" s="147"/>
      <c r="AL27" s="147"/>
      <c r="AM27" s="147"/>
      <c r="AN27" s="147"/>
      <c r="AO27" s="146"/>
      <c r="AP27" s="146"/>
      <c r="AQ27" s="146"/>
      <c r="AR27" s="146"/>
      <c r="AS27" s="141" t="s">
        <v>1442</v>
      </c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9"/>
      <c r="BE27" s="18" t="s">
        <v>1441</v>
      </c>
    </row>
    <row r="28" spans="1:57" ht="14.45" customHeight="1" x14ac:dyDescent="0.25">
      <c r="A28" s="79">
        <f>IF(B28="","",COUNTA($B$8:B28))</f>
        <v>13</v>
      </c>
      <c r="B28" s="169" t="s">
        <v>1448</v>
      </c>
      <c r="C28" s="185"/>
      <c r="D28" s="185"/>
      <c r="E28" s="185"/>
      <c r="F28" s="185"/>
      <c r="G28" s="185"/>
      <c r="H28" s="186"/>
      <c r="I28" s="75" t="s">
        <v>1444</v>
      </c>
      <c r="J28" s="71"/>
      <c r="K28" s="71"/>
      <c r="L28" s="71"/>
      <c r="M28" s="71"/>
      <c r="N28" s="71"/>
      <c r="O28" s="71"/>
      <c r="P28" s="71"/>
      <c r="Q28" s="81"/>
      <c r="R28" s="169" t="s">
        <v>1448</v>
      </c>
      <c r="S28" s="71"/>
      <c r="T28" s="71"/>
      <c r="U28" s="71"/>
      <c r="V28" s="71"/>
      <c r="W28" s="71"/>
      <c r="X28" s="21"/>
      <c r="Y28" s="336" t="s">
        <v>150</v>
      </c>
      <c r="Z28" s="337"/>
      <c r="AA28" s="353" t="s">
        <v>151</v>
      </c>
      <c r="AB28" s="354"/>
      <c r="AC28" s="355"/>
      <c r="AD28" s="72">
        <v>4</v>
      </c>
      <c r="AE28" s="74"/>
      <c r="AF28" s="74"/>
      <c r="AG28" s="74"/>
      <c r="AH28" s="73"/>
      <c r="AI28" s="73"/>
      <c r="AJ28" s="73"/>
      <c r="AK28" s="73"/>
      <c r="AL28" s="73"/>
      <c r="AM28" s="73"/>
      <c r="AN28" s="73"/>
      <c r="AO28" s="74"/>
      <c r="AP28" s="74"/>
      <c r="AQ28" s="74"/>
      <c r="AR28" s="74"/>
      <c r="AS28" s="75" t="s">
        <v>1443</v>
      </c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7"/>
      <c r="BE28" s="18" t="s">
        <v>1441</v>
      </c>
    </row>
    <row r="29" spans="1:57" ht="14.45" customHeight="1" x14ac:dyDescent="0.25">
      <c r="A29" s="80" t="str">
        <f>IF(B29="","",COUNTA($B$8:B29))</f>
        <v/>
      </c>
      <c r="B29" s="219"/>
      <c r="C29" s="220"/>
      <c r="D29" s="220"/>
      <c r="E29" s="220"/>
      <c r="F29" s="220"/>
      <c r="G29" s="220"/>
      <c r="H29" s="221"/>
      <c r="I29" s="141"/>
      <c r="J29" s="142"/>
      <c r="K29" s="142"/>
      <c r="L29" s="142"/>
      <c r="M29" s="142"/>
      <c r="N29" s="142"/>
      <c r="O29" s="142"/>
      <c r="P29" s="142"/>
      <c r="Q29" s="143"/>
      <c r="R29" s="219"/>
      <c r="S29" s="142"/>
      <c r="T29" s="142"/>
      <c r="U29" s="142"/>
      <c r="V29" s="142"/>
      <c r="W29" s="142"/>
      <c r="X29" s="140"/>
      <c r="Y29" s="338"/>
      <c r="Z29" s="339"/>
      <c r="AA29" s="356"/>
      <c r="AB29" s="357"/>
      <c r="AC29" s="358"/>
      <c r="AD29" s="145"/>
      <c r="AE29" s="146"/>
      <c r="AF29" s="146"/>
      <c r="AG29" s="146"/>
      <c r="AH29" s="147"/>
      <c r="AI29" s="147"/>
      <c r="AJ29" s="147"/>
      <c r="AK29" s="147"/>
      <c r="AL29" s="147"/>
      <c r="AM29" s="147"/>
      <c r="AN29" s="147"/>
      <c r="AO29" s="146"/>
      <c r="AP29" s="146"/>
      <c r="AQ29" s="146"/>
      <c r="AR29" s="146"/>
      <c r="AS29" s="141" t="s">
        <v>1436</v>
      </c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9"/>
      <c r="BE29" s="18" t="s">
        <v>1441</v>
      </c>
    </row>
    <row r="30" spans="1:57" ht="14.45" customHeight="1" x14ac:dyDescent="0.25">
      <c r="A30" s="79">
        <f>IF(B30="","",COUNTA($B$8:B30))</f>
        <v>14</v>
      </c>
      <c r="B30" s="169" t="s">
        <v>1449</v>
      </c>
      <c r="C30" s="185"/>
      <c r="D30" s="185"/>
      <c r="E30" s="185"/>
      <c r="F30" s="185"/>
      <c r="G30" s="185"/>
      <c r="H30" s="186"/>
      <c r="I30" s="75" t="s">
        <v>1435</v>
      </c>
      <c r="J30" s="71"/>
      <c r="K30" s="71"/>
      <c r="L30" s="71"/>
      <c r="M30" s="71"/>
      <c r="N30" s="71"/>
      <c r="O30" s="71"/>
      <c r="P30" s="71"/>
      <c r="Q30" s="81"/>
      <c r="R30" s="169" t="s">
        <v>1449</v>
      </c>
      <c r="S30" s="71"/>
      <c r="T30" s="71"/>
      <c r="U30" s="71"/>
      <c r="V30" s="71"/>
      <c r="W30" s="71"/>
      <c r="X30" s="21"/>
      <c r="Y30" s="336" t="s">
        <v>150</v>
      </c>
      <c r="Z30" s="337"/>
      <c r="AA30" s="353" t="s">
        <v>151</v>
      </c>
      <c r="AB30" s="354"/>
      <c r="AC30" s="355"/>
      <c r="AD30" s="72">
        <v>1</v>
      </c>
      <c r="AE30" s="74"/>
      <c r="AF30" s="74"/>
      <c r="AG30" s="74"/>
      <c r="AH30" s="73"/>
      <c r="AI30" s="73"/>
      <c r="AJ30" s="73"/>
      <c r="AK30" s="73"/>
      <c r="AL30" s="73"/>
      <c r="AM30" s="73"/>
      <c r="AN30" s="73"/>
      <c r="AO30" s="74"/>
      <c r="AP30" s="74"/>
      <c r="AQ30" s="74"/>
      <c r="AR30" s="74"/>
      <c r="AS30" s="75" t="s">
        <v>1437</v>
      </c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7"/>
      <c r="BE30" s="18" t="s">
        <v>1441</v>
      </c>
    </row>
    <row r="31" spans="1:57" ht="14.45" customHeight="1" x14ac:dyDescent="0.25">
      <c r="A31" s="80" t="str">
        <f>IF(B31="","",COUNTA($B$8:B31))</f>
        <v/>
      </c>
      <c r="B31" s="219"/>
      <c r="C31" s="220"/>
      <c r="D31" s="220"/>
      <c r="E31" s="220"/>
      <c r="F31" s="220"/>
      <c r="G31" s="220"/>
      <c r="H31" s="221"/>
      <c r="I31" s="141"/>
      <c r="J31" s="142"/>
      <c r="K31" s="142"/>
      <c r="L31" s="142"/>
      <c r="M31" s="142"/>
      <c r="N31" s="142"/>
      <c r="O31" s="142"/>
      <c r="P31" s="142"/>
      <c r="Q31" s="143"/>
      <c r="R31" s="219"/>
      <c r="S31" s="142"/>
      <c r="T31" s="142"/>
      <c r="U31" s="142"/>
      <c r="V31" s="142"/>
      <c r="W31" s="142"/>
      <c r="X31" s="140"/>
      <c r="Y31" s="338"/>
      <c r="Z31" s="339"/>
      <c r="AA31" s="356"/>
      <c r="AB31" s="357"/>
      <c r="AC31" s="358"/>
      <c r="AD31" s="145"/>
      <c r="AE31" s="146"/>
      <c r="AF31" s="146"/>
      <c r="AG31" s="146"/>
      <c r="AH31" s="147"/>
      <c r="AI31" s="147"/>
      <c r="AJ31" s="147"/>
      <c r="AK31" s="147"/>
      <c r="AL31" s="147"/>
      <c r="AM31" s="147"/>
      <c r="AN31" s="147"/>
      <c r="AO31" s="146"/>
      <c r="AP31" s="146"/>
      <c r="AQ31" s="146"/>
      <c r="AR31" s="146"/>
      <c r="AS31" s="141" t="s">
        <v>1438</v>
      </c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9"/>
      <c r="BE31" s="18" t="s">
        <v>1441</v>
      </c>
    </row>
    <row r="32" spans="1:57" s="1" customFormat="1" ht="14.45" customHeight="1" x14ac:dyDescent="0.25">
      <c r="A32" s="70">
        <f>IF(B32="","",COUNTA($B$8:B32))</f>
        <v>15</v>
      </c>
      <c r="B32" s="118" t="s">
        <v>441</v>
      </c>
      <c r="C32" s="114"/>
      <c r="D32" s="114"/>
      <c r="E32" s="114"/>
      <c r="F32" s="114"/>
      <c r="G32" s="114"/>
      <c r="H32" s="114"/>
      <c r="I32" s="118" t="s">
        <v>442</v>
      </c>
      <c r="J32" s="116"/>
      <c r="K32" s="116"/>
      <c r="L32" s="116"/>
      <c r="M32" s="116"/>
      <c r="N32" s="116"/>
      <c r="O32" s="116"/>
      <c r="P32" s="116"/>
      <c r="Q32" s="116"/>
      <c r="R32" s="118" t="s">
        <v>441</v>
      </c>
      <c r="S32" s="114"/>
      <c r="T32" s="5"/>
      <c r="U32" s="5"/>
      <c r="V32" s="5"/>
      <c r="W32" s="5"/>
      <c r="X32" s="5"/>
      <c r="Y32" s="8" t="s">
        <v>150</v>
      </c>
      <c r="Z32" s="119"/>
      <c r="AA32" s="291" t="s">
        <v>151</v>
      </c>
      <c r="AB32" s="292"/>
      <c r="AC32" s="293"/>
      <c r="AD32" s="117">
        <v>1</v>
      </c>
      <c r="AE32" s="120" t="s">
        <v>244</v>
      </c>
      <c r="AF32" s="121"/>
      <c r="AG32" s="121"/>
      <c r="AH32" s="121"/>
      <c r="AI32" s="121"/>
      <c r="AJ32" s="121"/>
      <c r="AK32" s="121"/>
      <c r="AL32" s="121"/>
      <c r="AM32" s="121"/>
      <c r="AN32" s="121"/>
      <c r="AO32" s="122"/>
      <c r="AP32" s="122"/>
      <c r="AQ32" s="122"/>
      <c r="AR32" s="122"/>
      <c r="AS32" s="123" t="s">
        <v>443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ht="14.45" customHeight="1" x14ac:dyDescent="0.25">
      <c r="A33" s="70">
        <f>IF(B33="","",COUNTA($B$8:B33))</f>
        <v>16</v>
      </c>
      <c r="B33" s="8" t="s">
        <v>255</v>
      </c>
      <c r="C33" s="114"/>
      <c r="D33" s="114"/>
      <c r="E33" s="114"/>
      <c r="F33" s="114"/>
      <c r="G33" s="114"/>
      <c r="H33" s="114"/>
      <c r="I33" s="118" t="s">
        <v>256</v>
      </c>
      <c r="J33" s="116"/>
      <c r="K33" s="116"/>
      <c r="L33" s="116"/>
      <c r="M33" s="116"/>
      <c r="N33" s="116"/>
      <c r="O33" s="116"/>
      <c r="P33" s="116"/>
      <c r="Q33" s="116"/>
      <c r="R33" s="8" t="s">
        <v>255</v>
      </c>
      <c r="S33" s="114"/>
      <c r="T33" s="5"/>
      <c r="U33" s="5"/>
      <c r="V33" s="5"/>
      <c r="W33" s="5"/>
      <c r="X33" s="5"/>
      <c r="Y33" s="8" t="s">
        <v>150</v>
      </c>
      <c r="Z33" s="119"/>
      <c r="AA33" s="291" t="s">
        <v>151</v>
      </c>
      <c r="AB33" s="292"/>
      <c r="AC33" s="293"/>
      <c r="AD33" s="126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17</v>
      </c>
      <c r="B34" s="8" t="s">
        <v>257</v>
      </c>
      <c r="C34" s="114"/>
      <c r="D34" s="114"/>
      <c r="E34" s="114"/>
      <c r="F34" s="114"/>
      <c r="G34" s="114"/>
      <c r="H34" s="114"/>
      <c r="I34" s="118" t="s">
        <v>258</v>
      </c>
      <c r="J34" s="116"/>
      <c r="K34" s="116"/>
      <c r="L34" s="116"/>
      <c r="M34" s="116"/>
      <c r="N34" s="116"/>
      <c r="O34" s="116"/>
      <c r="P34" s="116"/>
      <c r="Q34" s="116"/>
      <c r="R34" s="8" t="s">
        <v>257</v>
      </c>
      <c r="S34" s="114"/>
      <c r="T34" s="5"/>
      <c r="U34" s="5"/>
      <c r="V34" s="5"/>
      <c r="W34" s="5"/>
      <c r="X34" s="5"/>
      <c r="Y34" s="8" t="s">
        <v>169</v>
      </c>
      <c r="Z34" s="119"/>
      <c r="AA34" s="291" t="s">
        <v>243</v>
      </c>
      <c r="AB34" s="292"/>
      <c r="AC34" s="293"/>
      <c r="AD34" s="117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>
        <f>IF(B35="","",COUNTA($B$8:B35))</f>
        <v>18</v>
      </c>
      <c r="B35" s="8" t="s">
        <v>261</v>
      </c>
      <c r="C35" s="114"/>
      <c r="D35" s="114"/>
      <c r="E35" s="114"/>
      <c r="F35" s="114"/>
      <c r="G35" s="114"/>
      <c r="H35" s="114"/>
      <c r="I35" s="118" t="s">
        <v>262</v>
      </c>
      <c r="J35" s="116"/>
      <c r="K35" s="116"/>
      <c r="L35" s="116"/>
      <c r="M35" s="116"/>
      <c r="N35" s="116"/>
      <c r="O35" s="116"/>
      <c r="P35" s="116"/>
      <c r="Q35" s="116"/>
      <c r="R35" s="8" t="s">
        <v>261</v>
      </c>
      <c r="S35" s="114"/>
      <c r="T35" s="5"/>
      <c r="U35" s="5"/>
      <c r="V35" s="5"/>
      <c r="W35" s="5"/>
      <c r="X35" s="5"/>
      <c r="Y35" s="8" t="s">
        <v>150</v>
      </c>
      <c r="Z35" s="119"/>
      <c r="AA35" s="291" t="s">
        <v>151</v>
      </c>
      <c r="AB35" s="292"/>
      <c r="AC35" s="293"/>
      <c r="AD35" s="126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>
        <f>IF(B36="","",COUNTA($B$8:B36))</f>
        <v>19</v>
      </c>
      <c r="B36" s="8" t="s">
        <v>263</v>
      </c>
      <c r="C36" s="114"/>
      <c r="D36" s="114"/>
      <c r="E36" s="114"/>
      <c r="F36" s="114"/>
      <c r="G36" s="114"/>
      <c r="H36" s="114"/>
      <c r="I36" s="118" t="s">
        <v>264</v>
      </c>
      <c r="J36" s="116"/>
      <c r="K36" s="116"/>
      <c r="L36" s="116"/>
      <c r="M36" s="116"/>
      <c r="N36" s="116"/>
      <c r="O36" s="116"/>
      <c r="P36" s="116"/>
      <c r="Q36" s="116"/>
      <c r="R36" s="8" t="s">
        <v>263</v>
      </c>
      <c r="S36" s="116"/>
      <c r="T36" s="5"/>
      <c r="U36" s="5"/>
      <c r="V36" s="5"/>
      <c r="W36" s="5"/>
      <c r="X36" s="5"/>
      <c r="Y36" s="8" t="s">
        <v>169</v>
      </c>
      <c r="Z36" s="119"/>
      <c r="AA36" s="291" t="s">
        <v>243</v>
      </c>
      <c r="AB36" s="292"/>
      <c r="AC36" s="293"/>
      <c r="AD36" s="126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284"/>
      <c r="Z42" s="285"/>
      <c r="AA42" s="286"/>
      <c r="AB42" s="287"/>
      <c r="AC42" s="288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84"/>
      <c r="Z45" s="285"/>
      <c r="AA45" s="286"/>
      <c r="AB45" s="287"/>
      <c r="AC45" s="288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84"/>
      <c r="Z46" s="285"/>
      <c r="AA46" s="286"/>
      <c r="AB46" s="287"/>
      <c r="AC46" s="288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tr">
        <f ca="1">VLOOKUP(RIGHT(CELL("filename",A2),LEN(CELL("filename",A2))-FIND("]",CELL("filename",A2))),テーブル一覧!B:AD,22,FALSE)</f>
        <v>B.生産計画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生産計画排他情報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ht="14.45" customHeight="1" x14ac:dyDescent="0.25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284" t="s">
        <v>150</v>
      </c>
      <c r="Z8" s="285"/>
      <c r="AA8" s="286" t="s">
        <v>151</v>
      </c>
      <c r="AB8" s="287"/>
      <c r="AC8" s="288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1473</v>
      </c>
      <c r="C9" s="114"/>
      <c r="D9" s="114"/>
      <c r="E9" s="114"/>
      <c r="F9" s="114"/>
      <c r="G9" s="114"/>
      <c r="H9" s="114"/>
      <c r="I9" s="115" t="s">
        <v>1383</v>
      </c>
      <c r="J9" s="116"/>
      <c r="K9" s="116"/>
      <c r="L9" s="116"/>
      <c r="M9" s="116"/>
      <c r="N9" s="116"/>
      <c r="O9" s="116"/>
      <c r="P9" s="116"/>
      <c r="Q9" s="116"/>
      <c r="R9" s="8" t="s">
        <v>1473</v>
      </c>
      <c r="S9" s="114"/>
      <c r="T9" s="5"/>
      <c r="U9" s="5"/>
      <c r="V9" s="5"/>
      <c r="W9" s="5"/>
      <c r="X9" s="5"/>
      <c r="Y9" s="284" t="s">
        <v>150</v>
      </c>
      <c r="Z9" s="285"/>
      <c r="AA9" s="286" t="s">
        <v>151</v>
      </c>
      <c r="AB9" s="287"/>
      <c r="AC9" s="288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8" t="s">
        <v>1479</v>
      </c>
      <c r="C10" s="114"/>
      <c r="D10" s="114"/>
      <c r="E10" s="114"/>
      <c r="F10" s="114"/>
      <c r="G10" s="114"/>
      <c r="H10" s="114"/>
      <c r="I10" s="118" t="s">
        <v>1480</v>
      </c>
      <c r="J10" s="5"/>
      <c r="K10" s="114"/>
      <c r="L10" s="114"/>
      <c r="M10" s="116"/>
      <c r="N10" s="116"/>
      <c r="O10" s="116"/>
      <c r="P10" s="116"/>
      <c r="Q10" s="116"/>
      <c r="R10" s="115" t="s">
        <v>1474</v>
      </c>
      <c r="S10" s="116"/>
      <c r="T10" s="114"/>
      <c r="U10" s="5"/>
      <c r="V10" s="5"/>
      <c r="W10" s="5"/>
      <c r="X10" s="5"/>
      <c r="Y10" s="8" t="s">
        <v>150</v>
      </c>
      <c r="Z10" s="153"/>
      <c r="AA10" s="64" t="s">
        <v>1481</v>
      </c>
      <c r="AB10" s="2"/>
      <c r="AC10" s="3"/>
      <c r="AD10" s="117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8" t="s">
        <v>257</v>
      </c>
      <c r="C11" s="114"/>
      <c r="D11" s="114"/>
      <c r="E11" s="114"/>
      <c r="F11" s="114"/>
      <c r="G11" s="114"/>
      <c r="H11" s="114"/>
      <c r="I11" s="118" t="s">
        <v>258</v>
      </c>
      <c r="J11" s="116"/>
      <c r="K11" s="116"/>
      <c r="L11" s="116"/>
      <c r="M11" s="116"/>
      <c r="N11" s="116"/>
      <c r="O11" s="116"/>
      <c r="P11" s="116"/>
      <c r="Q11" s="116"/>
      <c r="R11" s="8" t="s">
        <v>257</v>
      </c>
      <c r="S11" s="114"/>
      <c r="T11" s="5"/>
      <c r="U11" s="5"/>
      <c r="V11" s="5"/>
      <c r="W11" s="5"/>
      <c r="X11" s="5"/>
      <c r="Y11" s="8" t="s">
        <v>169</v>
      </c>
      <c r="Z11" s="119"/>
      <c r="AA11" s="291" t="s">
        <v>243</v>
      </c>
      <c r="AB11" s="292"/>
      <c r="AC11" s="293"/>
      <c r="AD11" s="117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289"/>
      <c r="Z12" s="290"/>
      <c r="AA12" s="286"/>
      <c r="AB12" s="287"/>
      <c r="AC12" s="288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289"/>
      <c r="Z13" s="290"/>
      <c r="AA13" s="286"/>
      <c r="AB13" s="287"/>
      <c r="AC13" s="288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289"/>
      <c r="Z14" s="290"/>
      <c r="AA14" s="286"/>
      <c r="AB14" s="287"/>
      <c r="AC14" s="288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289"/>
      <c r="Z15" s="290"/>
      <c r="AA15" s="286"/>
      <c r="AB15" s="287"/>
      <c r="AC15" s="288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289"/>
      <c r="Z16" s="290"/>
      <c r="AA16" s="286"/>
      <c r="AB16" s="287"/>
      <c r="AC16" s="288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289"/>
      <c r="Z17" s="290"/>
      <c r="AA17" s="286"/>
      <c r="AB17" s="287"/>
      <c r="AC17" s="288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289"/>
      <c r="Z18" s="290"/>
      <c r="AA18" s="286"/>
      <c r="AB18" s="287"/>
      <c r="AC18" s="288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289"/>
      <c r="Z19" s="290"/>
      <c r="AA19" s="286"/>
      <c r="AB19" s="287"/>
      <c r="AC19" s="288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5" customHeight="1" x14ac:dyDescent="0.25">
      <c r="A20" s="70" t="str">
        <f>IF(B20="","",COUNTA($B$8:B20))</f>
        <v/>
      </c>
      <c r="B20" s="118"/>
      <c r="C20" s="114"/>
      <c r="D20" s="114"/>
      <c r="E20" s="114"/>
      <c r="F20" s="114"/>
      <c r="G20" s="114"/>
      <c r="H20" s="114"/>
      <c r="I20" s="118"/>
      <c r="J20" s="116"/>
      <c r="K20" s="116"/>
      <c r="L20" s="116"/>
      <c r="M20" s="116"/>
      <c r="N20" s="116"/>
      <c r="O20" s="116"/>
      <c r="P20" s="116"/>
      <c r="Q20" s="116"/>
      <c r="R20" s="118"/>
      <c r="S20" s="114"/>
      <c r="T20" s="5"/>
      <c r="U20" s="5"/>
      <c r="V20" s="5"/>
      <c r="W20" s="5"/>
      <c r="X20" s="5"/>
      <c r="Y20" s="8"/>
      <c r="Z20" s="119"/>
      <c r="AA20" s="291"/>
      <c r="AB20" s="292"/>
      <c r="AC20" s="293"/>
      <c r="AD20" s="117"/>
      <c r="AE20" s="120"/>
      <c r="AF20" s="12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6" ht="14.45" customHeight="1" x14ac:dyDescent="0.25">
      <c r="A21" s="70" t="str">
        <f>IF(B21="","",COUNTA($B$8:B21))</f>
        <v/>
      </c>
      <c r="B21" s="8"/>
      <c r="C21" s="114"/>
      <c r="D21" s="114"/>
      <c r="E21" s="114"/>
      <c r="F21" s="114"/>
      <c r="G21" s="114"/>
      <c r="H21" s="114"/>
      <c r="I21" s="118"/>
      <c r="J21" s="116"/>
      <c r="K21" s="116"/>
      <c r="L21" s="116"/>
      <c r="M21" s="116"/>
      <c r="N21" s="116"/>
      <c r="O21" s="116"/>
      <c r="P21" s="116"/>
      <c r="Q21" s="116"/>
      <c r="R21" s="8"/>
      <c r="S21" s="114"/>
      <c r="T21" s="5"/>
      <c r="U21" s="5"/>
      <c r="V21" s="5"/>
      <c r="W21" s="5"/>
      <c r="X21" s="5"/>
      <c r="Y21" s="8"/>
      <c r="Z21" s="119"/>
      <c r="AA21" s="291"/>
      <c r="AB21" s="292"/>
      <c r="AC21" s="293"/>
      <c r="AD21" s="117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8"/>
      <c r="C22" s="114"/>
      <c r="D22" s="114"/>
      <c r="E22" s="114"/>
      <c r="F22" s="114"/>
      <c r="G22" s="114"/>
      <c r="H22" s="114"/>
      <c r="I22" s="118"/>
      <c r="J22" s="116"/>
      <c r="K22" s="116"/>
      <c r="L22" s="116"/>
      <c r="M22" s="116"/>
      <c r="N22" s="116"/>
      <c r="O22" s="116"/>
      <c r="P22" s="116"/>
      <c r="Q22" s="116"/>
      <c r="R22" s="8"/>
      <c r="S22" s="114"/>
      <c r="T22" s="5"/>
      <c r="U22" s="5"/>
      <c r="V22" s="5"/>
      <c r="W22" s="5"/>
      <c r="X22" s="5"/>
      <c r="Y22" s="8"/>
      <c r="Z22" s="119"/>
      <c r="AA22" s="291"/>
      <c r="AB22" s="292"/>
      <c r="AC22" s="293"/>
      <c r="AD22" s="117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8"/>
      <c r="C23" s="114"/>
      <c r="D23" s="114"/>
      <c r="E23" s="114"/>
      <c r="F23" s="114"/>
      <c r="G23" s="114"/>
      <c r="H23" s="114"/>
      <c r="I23" s="118"/>
      <c r="J23" s="116"/>
      <c r="K23" s="116"/>
      <c r="L23" s="116"/>
      <c r="M23" s="116"/>
      <c r="N23" s="116"/>
      <c r="O23" s="116"/>
      <c r="P23" s="116"/>
      <c r="Q23" s="116"/>
      <c r="R23" s="8"/>
      <c r="S23" s="114"/>
      <c r="T23" s="5"/>
      <c r="U23" s="5"/>
      <c r="V23" s="5"/>
      <c r="W23" s="5"/>
      <c r="X23" s="5"/>
      <c r="Y23" s="8"/>
      <c r="Z23" s="119"/>
      <c r="AA23" s="291"/>
      <c r="AB23" s="292"/>
      <c r="AC23" s="293"/>
      <c r="AD23" s="126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8"/>
      <c r="C24" s="114"/>
      <c r="D24" s="114"/>
      <c r="E24" s="114"/>
      <c r="F24" s="114"/>
      <c r="G24" s="114"/>
      <c r="H24" s="114"/>
      <c r="I24" s="118"/>
      <c r="J24" s="116"/>
      <c r="K24" s="116"/>
      <c r="L24" s="116"/>
      <c r="M24" s="116"/>
      <c r="N24" s="116"/>
      <c r="O24" s="116"/>
      <c r="P24" s="116"/>
      <c r="Q24" s="116"/>
      <c r="R24" s="8"/>
      <c r="S24" s="116"/>
      <c r="T24" s="5"/>
      <c r="U24" s="5"/>
      <c r="V24" s="5"/>
      <c r="W24" s="5"/>
      <c r="X24" s="5"/>
      <c r="Y24" s="8"/>
      <c r="Z24" s="119"/>
      <c r="AA24" s="291"/>
      <c r="AB24" s="292"/>
      <c r="AC24" s="293"/>
      <c r="AD24" s="126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84"/>
      <c r="Z25" s="285"/>
      <c r="AA25" s="286"/>
      <c r="AB25" s="287"/>
      <c r="AC25" s="288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84"/>
      <c r="Z27" s="285"/>
      <c r="AA27" s="286"/>
      <c r="AB27" s="287"/>
      <c r="AC27" s="288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84"/>
      <c r="Z28" s="285"/>
      <c r="AA28" s="286"/>
      <c r="AB28" s="287"/>
      <c r="AC28" s="288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84"/>
      <c r="Z31" s="285"/>
      <c r="AA31" s="286"/>
      <c r="AB31" s="287"/>
      <c r="AC31" s="288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84"/>
      <c r="Z32" s="285"/>
      <c r="AA32" s="286"/>
      <c r="AB32" s="287"/>
      <c r="AC32" s="288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84"/>
      <c r="Z33" s="285"/>
      <c r="AA33" s="286"/>
      <c r="AB33" s="287"/>
      <c r="AC33" s="28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84"/>
      <c r="Z34" s="285"/>
      <c r="AA34" s="286"/>
      <c r="AB34" s="287"/>
      <c r="AC34" s="288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84"/>
      <c r="Z35" s="285"/>
      <c r="AA35" s="286"/>
      <c r="AB35" s="287"/>
      <c r="AC35" s="288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84"/>
      <c r="Z36" s="285"/>
      <c r="AA36" s="286"/>
      <c r="AB36" s="287"/>
      <c r="AC36" s="288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84"/>
      <c r="Z37" s="285"/>
      <c r="AA37" s="286"/>
      <c r="AB37" s="287"/>
      <c r="AC37" s="288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84"/>
      <c r="Z38" s="285"/>
      <c r="AA38" s="286"/>
      <c r="AB38" s="287"/>
      <c r="AC38" s="288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84"/>
      <c r="Z39" s="285"/>
      <c r="AA39" s="286"/>
      <c r="AB39" s="287"/>
      <c r="AC39" s="288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84"/>
      <c r="Z40" s="285"/>
      <c r="AA40" s="286"/>
      <c r="AB40" s="287"/>
      <c r="AC40" s="288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6"/>
      <c r="I1" s="257" t="s">
        <v>79</v>
      </c>
      <c r="J1" s="258"/>
      <c r="K1" s="258"/>
      <c r="L1" s="258"/>
      <c r="M1" s="258"/>
      <c r="N1" s="258"/>
      <c r="O1" s="258"/>
      <c r="P1" s="258"/>
      <c r="Q1" s="259"/>
      <c r="R1" s="257" t="s">
        <v>80</v>
      </c>
      <c r="S1" s="258"/>
      <c r="T1" s="258"/>
      <c r="U1" s="258"/>
      <c r="V1" s="258"/>
      <c r="W1" s="258"/>
      <c r="X1" s="259"/>
      <c r="Y1" s="257" t="s">
        <v>135</v>
      </c>
      <c r="Z1" s="258"/>
      <c r="AA1" s="258"/>
      <c r="AB1" s="258"/>
      <c r="AC1" s="258"/>
      <c r="AD1" s="258"/>
      <c r="AE1" s="258"/>
      <c r="AF1" s="258"/>
      <c r="AG1" s="258"/>
      <c r="AH1" s="258"/>
      <c r="AI1" s="258"/>
      <c r="AJ1" s="258"/>
      <c r="AK1" s="258"/>
      <c r="AL1" s="258"/>
      <c r="AM1" s="258"/>
      <c r="AN1" s="258"/>
      <c r="AO1" s="259"/>
      <c r="AP1" s="313" t="s">
        <v>82</v>
      </c>
      <c r="AQ1" s="314"/>
      <c r="AR1" s="314"/>
      <c r="AS1" s="314"/>
      <c r="AT1" s="315"/>
      <c r="AU1" s="313" t="s">
        <v>83</v>
      </c>
      <c r="AV1" s="314"/>
      <c r="AW1" s="314"/>
      <c r="AX1" s="314"/>
      <c r="AY1" s="315"/>
      <c r="AZ1" s="313" t="s">
        <v>84</v>
      </c>
      <c r="BA1" s="314"/>
      <c r="BB1" s="314"/>
      <c r="BC1" s="314"/>
      <c r="BD1" s="315"/>
    </row>
    <row r="2" spans="1:56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9"/>
      <c r="I2" s="260" t="s">
        <v>85</v>
      </c>
      <c r="J2" s="261"/>
      <c r="K2" s="261"/>
      <c r="L2" s="261"/>
      <c r="M2" s="261"/>
      <c r="N2" s="261"/>
      <c r="O2" s="261"/>
      <c r="P2" s="261"/>
      <c r="Q2" s="262"/>
      <c r="R2" s="260" t="s">
        <v>97</v>
      </c>
      <c r="S2" s="261"/>
      <c r="T2" s="261"/>
      <c r="U2" s="261"/>
      <c r="V2" s="261"/>
      <c r="W2" s="261"/>
      <c r="X2" s="262"/>
      <c r="Y2" s="260" t="str">
        <f ca="1">VLOOKUP(RIGHT(CELL("filename",A2),LEN(CELL("filename",A2))-FIND("]",CELL("filename",A2))),テーブル一覧!B:AD,1,FALSE)</f>
        <v>製造工程抄紙設備</v>
      </c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2"/>
      <c r="AP2" s="269"/>
      <c r="AQ2" s="270"/>
      <c r="AR2" s="270"/>
      <c r="AS2" s="270"/>
      <c r="AT2" s="271"/>
      <c r="AU2" s="58" t="s">
        <v>88</v>
      </c>
      <c r="AV2" s="59"/>
      <c r="AW2" s="59"/>
      <c r="AX2" s="59"/>
      <c r="AY2" s="60"/>
      <c r="AZ2" s="319" t="s">
        <v>89</v>
      </c>
      <c r="BA2" s="320"/>
      <c r="BB2" s="320"/>
      <c r="BC2" s="320"/>
      <c r="BD2" s="321"/>
    </row>
    <row r="3" spans="1:56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9"/>
      <c r="I3" s="263"/>
      <c r="J3" s="264"/>
      <c r="K3" s="264"/>
      <c r="L3" s="264"/>
      <c r="M3" s="264"/>
      <c r="N3" s="264"/>
      <c r="O3" s="264"/>
      <c r="P3" s="264"/>
      <c r="Q3" s="265"/>
      <c r="R3" s="263"/>
      <c r="S3" s="264"/>
      <c r="T3" s="264"/>
      <c r="U3" s="264"/>
      <c r="V3" s="264"/>
      <c r="W3" s="264"/>
      <c r="X3" s="265"/>
      <c r="Y3" s="266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8"/>
      <c r="AP3" s="272"/>
      <c r="AQ3" s="273"/>
      <c r="AR3" s="273"/>
      <c r="AS3" s="273"/>
      <c r="AT3" s="274"/>
      <c r="AU3" s="316"/>
      <c r="AV3" s="317"/>
      <c r="AW3" s="317"/>
      <c r="AX3" s="317"/>
      <c r="AY3" s="318"/>
      <c r="AZ3" s="319"/>
      <c r="BA3" s="320"/>
      <c r="BB3" s="320"/>
      <c r="BC3" s="320"/>
      <c r="BD3" s="321"/>
    </row>
    <row r="4" spans="1:56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2"/>
      <c r="I4" s="266"/>
      <c r="J4" s="267"/>
      <c r="K4" s="267"/>
      <c r="L4" s="267"/>
      <c r="M4" s="267"/>
      <c r="N4" s="267"/>
      <c r="O4" s="267"/>
      <c r="P4" s="267"/>
      <c r="Q4" s="268"/>
      <c r="R4" s="266"/>
      <c r="S4" s="267"/>
      <c r="T4" s="267"/>
      <c r="U4" s="267"/>
      <c r="V4" s="267"/>
      <c r="W4" s="267"/>
      <c r="X4" s="268"/>
      <c r="Y4" s="32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t_seizou_syousi_setubi</v>
      </c>
      <c r="Z4" s="323"/>
      <c r="AA4" s="323"/>
      <c r="AB4" s="323"/>
      <c r="AC4" s="323"/>
      <c r="AD4" s="323"/>
      <c r="AE4" s="323"/>
      <c r="AF4" s="323"/>
      <c r="AG4" s="323"/>
      <c r="AH4" s="323"/>
      <c r="AI4" s="323"/>
      <c r="AJ4" s="323"/>
      <c r="AK4" s="323"/>
      <c r="AL4" s="323"/>
      <c r="AM4" s="323"/>
      <c r="AN4" s="323"/>
      <c r="AO4" s="324"/>
      <c r="AP4" s="272"/>
      <c r="AQ4" s="273"/>
      <c r="AR4" s="273"/>
      <c r="AS4" s="273"/>
      <c r="AT4" s="274"/>
      <c r="AU4" s="316"/>
      <c r="AV4" s="317"/>
      <c r="AW4" s="317"/>
      <c r="AX4" s="317"/>
      <c r="AY4" s="318"/>
      <c r="AZ4" s="319"/>
      <c r="BA4" s="320"/>
      <c r="BB4" s="320"/>
      <c r="BC4" s="320"/>
      <c r="BD4" s="321"/>
    </row>
    <row r="6" spans="1:56" ht="14.45" customHeight="1" x14ac:dyDescent="0.25">
      <c r="A6" s="309" t="s">
        <v>90</v>
      </c>
      <c r="B6" s="303" t="s">
        <v>136</v>
      </c>
      <c r="C6" s="304"/>
      <c r="D6" s="304"/>
      <c r="E6" s="304"/>
      <c r="F6" s="304"/>
      <c r="G6" s="304"/>
      <c r="H6" s="305"/>
      <c r="I6" s="303" t="s">
        <v>137</v>
      </c>
      <c r="J6" s="304"/>
      <c r="K6" s="304"/>
      <c r="L6" s="304"/>
      <c r="M6" s="304"/>
      <c r="N6" s="304"/>
      <c r="O6" s="304"/>
      <c r="P6" s="304"/>
      <c r="Q6" s="305"/>
      <c r="R6" s="303" t="s">
        <v>138</v>
      </c>
      <c r="S6" s="304"/>
      <c r="T6" s="304"/>
      <c r="U6" s="304"/>
      <c r="V6" s="304"/>
      <c r="W6" s="304"/>
      <c r="X6" s="305"/>
      <c r="Y6" s="303" t="s">
        <v>139</v>
      </c>
      <c r="Z6" s="305"/>
      <c r="AA6" s="303" t="s">
        <v>140</v>
      </c>
      <c r="AB6" s="304"/>
      <c r="AC6" s="305"/>
      <c r="AD6" s="311" t="s">
        <v>141</v>
      </c>
      <c r="AE6" s="328" t="s">
        <v>142</v>
      </c>
      <c r="AF6" s="311" t="s">
        <v>143</v>
      </c>
      <c r="AG6" s="311" t="s">
        <v>144</v>
      </c>
      <c r="AH6" s="311" t="s">
        <v>145</v>
      </c>
      <c r="AI6" s="325" t="s">
        <v>146</v>
      </c>
      <c r="AJ6" s="326"/>
      <c r="AK6" s="326"/>
      <c r="AL6" s="326"/>
      <c r="AM6" s="326"/>
      <c r="AN6" s="326"/>
      <c r="AO6" s="326"/>
      <c r="AP6" s="326"/>
      <c r="AQ6" s="326"/>
      <c r="AR6" s="327"/>
      <c r="AS6" s="303" t="s">
        <v>147</v>
      </c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5"/>
    </row>
    <row r="7" spans="1:56" ht="14.45" customHeight="1" x14ac:dyDescent="0.25">
      <c r="A7" s="310"/>
      <c r="B7" s="306"/>
      <c r="C7" s="307"/>
      <c r="D7" s="307"/>
      <c r="E7" s="307"/>
      <c r="F7" s="307"/>
      <c r="G7" s="307"/>
      <c r="H7" s="308"/>
      <c r="I7" s="306"/>
      <c r="J7" s="307"/>
      <c r="K7" s="307"/>
      <c r="L7" s="307"/>
      <c r="M7" s="307"/>
      <c r="N7" s="307"/>
      <c r="O7" s="307"/>
      <c r="P7" s="307"/>
      <c r="Q7" s="308"/>
      <c r="R7" s="306"/>
      <c r="S7" s="307"/>
      <c r="T7" s="307"/>
      <c r="U7" s="307"/>
      <c r="V7" s="307"/>
      <c r="W7" s="307"/>
      <c r="X7" s="308"/>
      <c r="Y7" s="306"/>
      <c r="Z7" s="308"/>
      <c r="AA7" s="306"/>
      <c r="AB7" s="307"/>
      <c r="AC7" s="308"/>
      <c r="AD7" s="312"/>
      <c r="AE7" s="329"/>
      <c r="AF7" s="312"/>
      <c r="AG7" s="312"/>
      <c r="AH7" s="3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06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8"/>
    </row>
    <row r="8" spans="1:56" ht="14.45" customHeight="1" x14ac:dyDescent="0.25">
      <c r="A8" s="70">
        <f>IF(B8="","",COUNTA($B$8:B8))</f>
        <v>1</v>
      </c>
      <c r="B8" s="19" t="s">
        <v>1475</v>
      </c>
      <c r="C8" s="20"/>
      <c r="D8" s="20"/>
      <c r="E8" s="20"/>
      <c r="F8" s="20"/>
      <c r="G8" s="20"/>
      <c r="H8" s="24"/>
      <c r="I8" s="31" t="s">
        <v>1490</v>
      </c>
      <c r="J8" s="23"/>
      <c r="K8" s="23"/>
      <c r="L8" s="23"/>
      <c r="M8" s="23"/>
      <c r="N8" s="23"/>
      <c r="O8" s="38"/>
      <c r="P8" s="23"/>
      <c r="Q8" s="24"/>
      <c r="R8" s="19" t="s">
        <v>1475</v>
      </c>
      <c r="S8" s="23"/>
      <c r="T8" s="23"/>
      <c r="U8" s="23"/>
      <c r="V8" s="23"/>
      <c r="W8" s="23"/>
      <c r="X8" s="24"/>
      <c r="Y8" s="289" t="s">
        <v>150</v>
      </c>
      <c r="Z8" s="290"/>
      <c r="AA8" s="291" t="s">
        <v>1481</v>
      </c>
      <c r="AB8" s="292"/>
      <c r="AC8" s="293"/>
      <c r="AD8" s="126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84" t="s">
        <v>150</v>
      </c>
      <c r="Z9" s="285"/>
      <c r="AA9" s="286" t="s">
        <v>151</v>
      </c>
      <c r="AB9" s="287"/>
      <c r="AC9" s="288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730</v>
      </c>
      <c r="C10" s="20"/>
      <c r="D10" s="20"/>
      <c r="E10" s="20"/>
      <c r="F10" s="20"/>
      <c r="G10" s="20"/>
      <c r="H10" s="24"/>
      <c r="I10" s="31" t="s">
        <v>1497</v>
      </c>
      <c r="J10" s="23"/>
      <c r="K10" s="23"/>
      <c r="L10" s="23"/>
      <c r="M10" s="23"/>
      <c r="N10" s="23"/>
      <c r="O10" s="38"/>
      <c r="P10" s="23"/>
      <c r="Q10" s="24"/>
      <c r="R10" s="19" t="s">
        <v>730</v>
      </c>
      <c r="S10" s="23"/>
      <c r="T10" s="23"/>
      <c r="U10" s="23"/>
      <c r="V10" s="23"/>
      <c r="W10" s="23"/>
      <c r="X10" s="24"/>
      <c r="Y10" s="289" t="s">
        <v>1487</v>
      </c>
      <c r="Z10" s="290"/>
      <c r="AA10" s="291" t="s">
        <v>1488</v>
      </c>
      <c r="AB10" s="292"/>
      <c r="AC10" s="293"/>
      <c r="AD10" s="117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23" t="s">
        <v>385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284" t="s">
        <v>150</v>
      </c>
      <c r="Z11" s="285"/>
      <c r="AA11" s="286" t="s">
        <v>151</v>
      </c>
      <c r="AB11" s="287"/>
      <c r="AC11" s="288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284" t="s">
        <v>169</v>
      </c>
      <c r="Z12" s="285"/>
      <c r="AA12" s="286" t="s">
        <v>243</v>
      </c>
      <c r="AB12" s="287"/>
      <c r="AC12" s="288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284" t="s">
        <v>150</v>
      </c>
      <c r="Z13" s="285"/>
      <c r="AA13" s="286" t="s">
        <v>151</v>
      </c>
      <c r="AB13" s="287"/>
      <c r="AC13" s="288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284" t="s">
        <v>169</v>
      </c>
      <c r="Z14" s="285"/>
      <c r="AA14" s="286" t="s">
        <v>243</v>
      </c>
      <c r="AB14" s="287"/>
      <c r="AC14" s="288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284"/>
      <c r="Z15" s="285"/>
      <c r="AA15" s="286"/>
      <c r="AB15" s="287"/>
      <c r="AC15" s="288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284"/>
      <c r="Z16" s="285"/>
      <c r="AA16" s="286"/>
      <c r="AB16" s="287"/>
      <c r="AC16" s="288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284"/>
      <c r="Z17" s="285"/>
      <c r="AA17" s="286"/>
      <c r="AB17" s="287"/>
      <c r="AC17" s="288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284"/>
      <c r="Z18" s="285"/>
      <c r="AA18" s="286"/>
      <c r="AB18" s="287"/>
      <c r="AC18" s="288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284"/>
      <c r="Z19" s="285"/>
      <c r="AA19" s="286"/>
      <c r="AB19" s="287"/>
      <c r="AC19" s="288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284"/>
      <c r="Z20" s="285"/>
      <c r="AA20" s="286"/>
      <c r="AB20" s="287"/>
      <c r="AC20" s="288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284"/>
      <c r="Z21" s="285"/>
      <c r="AA21" s="286"/>
      <c r="AB21" s="287"/>
      <c r="AC21" s="288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284"/>
      <c r="Z22" s="285"/>
      <c r="AA22" s="286"/>
      <c r="AB22" s="287"/>
      <c r="AC22" s="288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284"/>
      <c r="Z23" s="285"/>
      <c r="AA23" s="286"/>
      <c r="AB23" s="287"/>
      <c r="AC23" s="288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284"/>
      <c r="Z24" s="285"/>
      <c r="AA24" s="286"/>
      <c r="AB24" s="287"/>
      <c r="AC24" s="288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284"/>
      <c r="Z25" s="285"/>
      <c r="AA25" s="286"/>
      <c r="AB25" s="287"/>
      <c r="AC25" s="288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84"/>
      <c r="Z26" s="285"/>
      <c r="AA26" s="286"/>
      <c r="AB26" s="287"/>
      <c r="AC26" s="288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284"/>
      <c r="Z27" s="285"/>
      <c r="AA27" s="286"/>
      <c r="AB27" s="287"/>
      <c r="AC27" s="288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284"/>
      <c r="Z28" s="285"/>
      <c r="AA28" s="286"/>
      <c r="AB28" s="287"/>
      <c r="AC28" s="288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84"/>
      <c r="Z29" s="285"/>
      <c r="AA29" s="286"/>
      <c r="AB29" s="287"/>
      <c r="AC29" s="288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84"/>
      <c r="Z30" s="285"/>
      <c r="AA30" s="286"/>
      <c r="AB30" s="287"/>
      <c r="AC30" s="288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84"/>
      <c r="Z31" s="285"/>
      <c r="AA31" s="286"/>
      <c r="AB31" s="287"/>
      <c r="AC31" s="288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84"/>
      <c r="Z32" s="285"/>
      <c r="AA32" s="286"/>
      <c r="AB32" s="287"/>
      <c r="AC32" s="288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84"/>
      <c r="Z33" s="285"/>
      <c r="AA33" s="286"/>
      <c r="AB33" s="287"/>
      <c r="AC33" s="288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84"/>
      <c r="Z34" s="285"/>
      <c r="AA34" s="286"/>
      <c r="AB34" s="287"/>
      <c r="AC34" s="288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84"/>
      <c r="Z35" s="285"/>
      <c r="AA35" s="286"/>
      <c r="AB35" s="287"/>
      <c r="AC35" s="288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84"/>
      <c r="Z36" s="285"/>
      <c r="AA36" s="286"/>
      <c r="AB36" s="287"/>
      <c r="AC36" s="288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84"/>
      <c r="Z37" s="285"/>
      <c r="AA37" s="286"/>
      <c r="AB37" s="287"/>
      <c r="AC37" s="288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84"/>
      <c r="Z38" s="285"/>
      <c r="AA38" s="286"/>
      <c r="AB38" s="287"/>
      <c r="AC38" s="288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84"/>
      <c r="Z39" s="285"/>
      <c r="AA39" s="286"/>
      <c r="AB39" s="287"/>
      <c r="AC39" s="288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84"/>
      <c r="Z40" s="285"/>
      <c r="AA40" s="286"/>
      <c r="AB40" s="287"/>
      <c r="AC40" s="288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84"/>
      <c r="Z41" s="285"/>
      <c r="AA41" s="286"/>
      <c r="AB41" s="287"/>
      <c r="AC41" s="288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84"/>
      <c r="Z42" s="285"/>
      <c r="AA42" s="286"/>
      <c r="AB42" s="287"/>
      <c r="AC42" s="288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84"/>
      <c r="Z43" s="285"/>
      <c r="AA43" s="286"/>
      <c r="AB43" s="287"/>
      <c r="AC43" s="288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84"/>
      <c r="Z44" s="285"/>
      <c r="AA44" s="286"/>
      <c r="AB44" s="287"/>
      <c r="AC44" s="288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84"/>
      <c r="Z45" s="285"/>
      <c r="AA45" s="286"/>
      <c r="AB45" s="287"/>
      <c r="AC45" s="288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84"/>
      <c r="Z46" s="285"/>
      <c r="AA46" s="286"/>
      <c r="AB46" s="287"/>
      <c r="AC46" s="288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</cols>
  <sheetData>
    <row r="1" spans="1:10" ht="19.5" x14ac:dyDescent="0.25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 x14ac:dyDescent="0.25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</row>
    <row r="4" spans="1:10" x14ac:dyDescent="0.25">
      <c r="A4" s="14">
        <f>IF(B4="","",COUNTA($B$4:B4))</f>
        <v>1</v>
      </c>
      <c r="B4" s="14" t="s">
        <v>1515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 x14ac:dyDescent="0.25">
      <c r="A5" s="14">
        <f>IF(B5="","",COUNTA($B$4:B5))</f>
        <v>2</v>
      </c>
      <c r="B5" s="14" t="s">
        <v>1515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 x14ac:dyDescent="0.25">
      <c r="A6" s="14">
        <f>IF(B6="","",COUNTA($B$4:B6))</f>
        <v>3</v>
      </c>
      <c r="B6" s="14" t="s">
        <v>1515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 x14ac:dyDescent="0.25">
      <c r="A7" s="14">
        <f>IF(B7="","",COUNTA($B$4:B7))</f>
        <v>4</v>
      </c>
      <c r="B7" s="14" t="s">
        <v>1515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 x14ac:dyDescent="0.25">
      <c r="A8" s="14">
        <f>IF(B8="","",COUNTA($B$4:B8))</f>
        <v>5</v>
      </c>
      <c r="B8" s="14" t="s">
        <v>1515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 x14ac:dyDescent="0.25">
      <c r="A9" s="14">
        <f>IF(B9="","",COUNTA($B$4:B9))</f>
        <v>6</v>
      </c>
      <c r="B9" s="14" t="s">
        <v>1515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 x14ac:dyDescent="0.25">
      <c r="A10" s="14">
        <f>IF(B10="","",COUNTA($B$4:B10))</f>
        <v>7</v>
      </c>
      <c r="B10" s="14" t="s">
        <v>1515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 x14ac:dyDescent="0.25">
      <c r="A11" s="14">
        <f>IF(B11="","",COUNTA($B$4:B11))</f>
        <v>8</v>
      </c>
      <c r="B11" s="14" t="s">
        <v>1515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 x14ac:dyDescent="0.25">
      <c r="A12" s="14">
        <f>IF(B12="","",COUNTA($B$4:B12))</f>
        <v>9</v>
      </c>
      <c r="B12" s="14" t="s">
        <v>1515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 x14ac:dyDescent="0.25">
      <c r="A13" s="14">
        <f>IF(B13="","",COUNTA($B$4:B13))</f>
        <v>10</v>
      </c>
      <c r="B13" s="14" t="s">
        <v>1515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 x14ac:dyDescent="0.25">
      <c r="A14" s="14">
        <f>IF(B14="","",COUNTA($B$4:B14))</f>
        <v>11</v>
      </c>
      <c r="B14" s="14" t="s">
        <v>1515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 x14ac:dyDescent="0.25">
      <c r="A15" s="14">
        <f>IF(B15="","",COUNTA($B$4:B15))</f>
        <v>12</v>
      </c>
      <c r="B15" s="14" t="s">
        <v>1515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 x14ac:dyDescent="0.25">
      <c r="A16" s="14">
        <f>IF(B16="","",COUNTA($B$4:B16))</f>
        <v>13</v>
      </c>
      <c r="B16" s="14" t="s">
        <v>1515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 x14ac:dyDescent="0.25">
      <c r="A17" s="14">
        <f>IF(B17="","",COUNTA($B$4:B17))</f>
        <v>14</v>
      </c>
      <c r="B17" s="14" t="s">
        <v>1515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 x14ac:dyDescent="0.25">
      <c r="A18" s="14">
        <f>IF(B18="","",COUNTA($B$4:B18))</f>
        <v>15</v>
      </c>
      <c r="B18" s="14" t="s">
        <v>1515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 x14ac:dyDescent="0.25">
      <c r="A19" s="14">
        <f>IF(B19="","",COUNTA($B$4:B19))</f>
        <v>16</v>
      </c>
      <c r="B19" s="14" t="s">
        <v>1515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400</v>
      </c>
      <c r="I19" s="14"/>
      <c r="J19" s="14"/>
    </row>
    <row r="20" spans="1:10" x14ac:dyDescent="0.25">
      <c r="A20" s="14">
        <f>IF(B20="","",COUNTA($B$4:B20))</f>
        <v>17</v>
      </c>
      <c r="B20" s="14" t="s">
        <v>1515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 x14ac:dyDescent="0.25">
      <c r="A21" s="14">
        <f>IF(B21="","",COUNTA($B$4:B21))</f>
        <v>18</v>
      </c>
      <c r="B21" s="14" t="s">
        <v>1515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 x14ac:dyDescent="0.25">
      <c r="A22" s="14">
        <f>IF(B22="","",COUNTA($B$4:B22))</f>
        <v>19</v>
      </c>
      <c r="B22" s="14" t="s">
        <v>1515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 x14ac:dyDescent="0.25">
      <c r="A23" s="14">
        <f>IF(B23="","",COUNTA($B$4:B23))</f>
        <v>20</v>
      </c>
      <c r="B23" s="14" t="s">
        <v>1515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 x14ac:dyDescent="0.25">
      <c r="A24" s="14">
        <f>IF(B24="","",COUNTA($B$4:B24))</f>
        <v>21</v>
      </c>
      <c r="B24" s="14" t="s">
        <v>1515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 x14ac:dyDescent="0.25">
      <c r="A25" s="14">
        <f>IF(B25="","",COUNTA($B$4:B25))</f>
        <v>22</v>
      </c>
      <c r="B25" s="14" t="s">
        <v>1515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 x14ac:dyDescent="0.25">
      <c r="A26" s="14">
        <f>IF(B26="","",COUNTA($B$4:B26))</f>
        <v>23</v>
      </c>
      <c r="B26" s="14" t="s">
        <v>1515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 x14ac:dyDescent="0.25">
      <c r="A27" s="14">
        <f>IF(B27="","",COUNTA($B$4:B27))</f>
        <v>24</v>
      </c>
      <c r="B27" s="14" t="s">
        <v>1515</v>
      </c>
      <c r="C27" s="14" t="s">
        <v>214</v>
      </c>
      <c r="D27" s="14" t="s">
        <v>215</v>
      </c>
      <c r="E27" s="14" t="s">
        <v>1518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 x14ac:dyDescent="0.25">
      <c r="A28" s="14">
        <f>IF(B28="","",COUNTA($B$4:B28))</f>
        <v>25</v>
      </c>
      <c r="B28" s="14" t="s">
        <v>1515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 x14ac:dyDescent="0.25">
      <c r="A29" s="14">
        <f>IF(B29="","",COUNTA($B$4:B29))</f>
        <v>26</v>
      </c>
      <c r="B29" s="14" t="s">
        <v>1515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 x14ac:dyDescent="0.25">
      <c r="A30" s="14">
        <f>IF(B30="","",COUNTA($B$4:B30))</f>
        <v>27</v>
      </c>
      <c r="B30" s="14" t="s">
        <v>1515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 x14ac:dyDescent="0.25">
      <c r="A31" s="14">
        <f>IF(B31="","",COUNTA($B$4:B31))</f>
        <v>28</v>
      </c>
      <c r="B31" s="14" t="s">
        <v>1515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 x14ac:dyDescent="0.25">
      <c r="A32" s="14">
        <f>IF(B32="","",COUNTA($B$4:B32))</f>
        <v>29</v>
      </c>
      <c r="B32" s="14" t="s">
        <v>1515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 x14ac:dyDescent="0.25">
      <c r="A33" s="14">
        <f>IF(B33="","",COUNTA($B$4:B33))</f>
        <v>30</v>
      </c>
      <c r="B33" s="14" t="s">
        <v>1515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 x14ac:dyDescent="0.25">
      <c r="A34" s="14">
        <f>IF(B34="","",COUNTA($B$4:B34))</f>
        <v>31</v>
      </c>
      <c r="B34" s="14" t="s">
        <v>1515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 x14ac:dyDescent="0.25">
      <c r="A35" s="14">
        <f>IF(B35="","",COUNTA($B$4:B35))</f>
        <v>32</v>
      </c>
      <c r="B35" s="14" t="s">
        <v>1515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 x14ac:dyDescent="0.25">
      <c r="A36" s="14">
        <f>IF(B36="","",COUNTA($B$4:B36))</f>
        <v>33</v>
      </c>
      <c r="B36" s="14" t="s">
        <v>1515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 x14ac:dyDescent="0.25">
      <c r="A37" s="14">
        <f>IF(B37="","",COUNTA($B$4:B37))</f>
        <v>34</v>
      </c>
      <c r="B37" s="14" t="s">
        <v>1515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 x14ac:dyDescent="0.25">
      <c r="A38" s="14">
        <f>IF(B38="","",COUNTA($B$4:B38))</f>
        <v>35</v>
      </c>
      <c r="B38" s="14" t="s">
        <v>1515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 x14ac:dyDescent="0.25">
      <c r="A39" s="14">
        <f>IF(B39="","",COUNTA($B$4:B39))</f>
        <v>36</v>
      </c>
      <c r="B39" s="14" t="s">
        <v>1515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 x14ac:dyDescent="0.25">
      <c r="A40" s="14">
        <f>IF(B40="","",COUNTA($B$4:B40))</f>
        <v>37</v>
      </c>
      <c r="B40" s="14" t="s">
        <v>1515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 x14ac:dyDescent="0.25">
      <c r="A41" s="14">
        <f>IF(B41="","",COUNTA($B$4:B41))</f>
        <v>38</v>
      </c>
      <c r="B41" s="14" t="s">
        <v>1515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 x14ac:dyDescent="0.25">
      <c r="A42" s="14">
        <f>IF(B42="","",COUNTA($B$4:B42))</f>
        <v>39</v>
      </c>
      <c r="B42" s="14" t="s">
        <v>1515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 x14ac:dyDescent="0.25">
      <c r="A43" s="14">
        <f>IF(B43="","",COUNTA($B$4:B43))</f>
        <v>40</v>
      </c>
      <c r="B43" s="14" t="s">
        <v>1515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 x14ac:dyDescent="0.25">
      <c r="A44" s="14">
        <f>IF(B44="","",COUNTA($B$4:B44))</f>
        <v>41</v>
      </c>
      <c r="B44" s="14" t="s">
        <v>1515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 x14ac:dyDescent="0.25">
      <c r="A45" s="14">
        <f>IF(B45="","",COUNTA($B$4:B45))</f>
        <v>42</v>
      </c>
      <c r="B45" s="14" t="s">
        <v>1515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 x14ac:dyDescent="0.25">
      <c r="A46" s="14">
        <f>IF(B46="","",COUNTA($B$4:B46))</f>
        <v>43</v>
      </c>
      <c r="B46" s="14" t="s">
        <v>1515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 x14ac:dyDescent="0.25">
      <c r="A47" s="14">
        <f>IF(B47="","",COUNTA($B$4:B47))</f>
        <v>44</v>
      </c>
      <c r="B47" s="14" t="s">
        <v>1515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 x14ac:dyDescent="0.25">
      <c r="A48" s="14">
        <f>IF(B48="","",COUNTA($B$4:B48))</f>
        <v>45</v>
      </c>
      <c r="B48" s="14" t="s">
        <v>1528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 x14ac:dyDescent="0.25">
      <c r="A49" s="14">
        <f>IF(B49="","",COUNTA($B$4:B49))</f>
        <v>46</v>
      </c>
      <c r="B49" s="14" t="s">
        <v>1528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 x14ac:dyDescent="0.25">
      <c r="A50" s="14">
        <f>IF(B50="","",COUNTA($B$4:B50))</f>
        <v>47</v>
      </c>
      <c r="B50" s="14" t="s">
        <v>1528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 x14ac:dyDescent="0.25">
      <c r="A51" s="14">
        <f>IF(B51="","",COUNTA($B$4:B51))</f>
        <v>48</v>
      </c>
      <c r="B51" s="14" t="s">
        <v>1528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 x14ac:dyDescent="0.25">
      <c r="A52" s="14">
        <f>IF(B52="","",COUNTA($B$4:B52))</f>
        <v>49</v>
      </c>
      <c r="B52" s="14" t="s">
        <v>1528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 x14ac:dyDescent="0.25">
      <c r="A53" s="14">
        <f>IF(B53="","",COUNTA($B$4:B53))</f>
        <v>50</v>
      </c>
      <c r="B53" s="14" t="s">
        <v>1528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 x14ac:dyDescent="0.25">
      <c r="A54" s="14">
        <f>IF(B54="","",COUNTA($B$4:B54))</f>
        <v>51</v>
      </c>
      <c r="B54" s="14" t="s">
        <v>1528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 x14ac:dyDescent="0.25">
      <c r="A55" s="14">
        <f>IF(B55="","",COUNTA($B$4:B55))</f>
        <v>52</v>
      </c>
      <c r="B55" s="14" t="s">
        <v>1528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 x14ac:dyDescent="0.25">
      <c r="A56" s="14">
        <f>IF(B56="","",COUNTA($B$4:B56))</f>
        <v>53</v>
      </c>
      <c r="B56" s="14" t="s">
        <v>1528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 x14ac:dyDescent="0.25">
      <c r="A57" s="14">
        <f>IF(B57="","",COUNTA($B$4:B57))</f>
        <v>54</v>
      </c>
      <c r="B57" s="14" t="s">
        <v>1528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 x14ac:dyDescent="0.25">
      <c r="A58" s="14">
        <f>IF(B58="","",COUNTA($B$4:B58))</f>
        <v>55</v>
      </c>
      <c r="B58" s="14" t="s">
        <v>1528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 x14ac:dyDescent="0.25">
      <c r="A59" s="14">
        <f>IF(B59="","",COUNTA($B$4:B59))</f>
        <v>56</v>
      </c>
      <c r="B59" s="14" t="s">
        <v>1528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 x14ac:dyDescent="0.25">
      <c r="A60" s="14">
        <f>IF(B60="","",COUNTA($B$4:B60))</f>
        <v>57</v>
      </c>
      <c r="B60" s="14" t="s">
        <v>1528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 x14ac:dyDescent="0.25">
      <c r="A61" s="14">
        <f>IF(B61="","",COUNTA($B$4:B61))</f>
        <v>58</v>
      </c>
      <c r="B61" s="14" t="s">
        <v>1528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 x14ac:dyDescent="0.25">
      <c r="A62" s="14">
        <f>IF(B62="","",COUNTA($B$4:B62))</f>
        <v>59</v>
      </c>
      <c r="B62" s="14" t="s">
        <v>1528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 x14ac:dyDescent="0.25">
      <c r="A63" s="14">
        <f>IF(B63="","",COUNTA($B$4:B63))</f>
        <v>60</v>
      </c>
      <c r="B63" s="14" t="s">
        <v>1528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400</v>
      </c>
      <c r="I63" s="14"/>
      <c r="J63" s="14"/>
    </row>
    <row r="64" spans="1:10" x14ac:dyDescent="0.25">
      <c r="A64" s="14">
        <f>IF(B64="","",COUNTA($B$4:B64))</f>
        <v>61</v>
      </c>
      <c r="B64" s="14" t="s">
        <v>1528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 x14ac:dyDescent="0.25">
      <c r="A65" s="14">
        <f>IF(B65="","",COUNTA($B$4:B65))</f>
        <v>62</v>
      </c>
      <c r="B65" s="14" t="s">
        <v>1528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 x14ac:dyDescent="0.25">
      <c r="A66" s="14">
        <f>IF(B66="","",COUNTA($B$4:B66))</f>
        <v>63</v>
      </c>
      <c r="B66" s="14" t="s">
        <v>1528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 x14ac:dyDescent="0.25">
      <c r="A67" s="14">
        <f>IF(B67="","",COUNTA($B$4:B67))</f>
        <v>64</v>
      </c>
      <c r="B67" s="14" t="s">
        <v>1528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 x14ac:dyDescent="0.25">
      <c r="A68" s="14">
        <f>IF(B68="","",COUNTA($B$4:B68))</f>
        <v>65</v>
      </c>
      <c r="B68" s="14" t="s">
        <v>1528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 x14ac:dyDescent="0.25">
      <c r="A69" s="14">
        <f>IF(B69="","",COUNTA($B$4:B69))</f>
        <v>66</v>
      </c>
      <c r="B69" s="14" t="s">
        <v>1528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 x14ac:dyDescent="0.25">
      <c r="A70" s="14">
        <f>IF(B70="","",COUNTA($B$4:B70))</f>
        <v>67</v>
      </c>
      <c r="B70" s="14" t="s">
        <v>1528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 x14ac:dyDescent="0.25">
      <c r="A71" s="14">
        <f>IF(B71="","",COUNTA($B$4:B71))</f>
        <v>68</v>
      </c>
      <c r="B71" s="14" t="s">
        <v>1528</v>
      </c>
      <c r="C71" s="14" t="s">
        <v>214</v>
      </c>
      <c r="D71" s="14" t="s">
        <v>215</v>
      </c>
      <c r="E71" s="14" t="s">
        <v>1518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 x14ac:dyDescent="0.25">
      <c r="A72" s="14">
        <f>IF(B72="","",COUNTA($B$4:B72))</f>
        <v>69</v>
      </c>
      <c r="B72" s="14" t="s">
        <v>1528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 x14ac:dyDescent="0.25">
      <c r="A73" s="14">
        <f>IF(B73="","",COUNTA($B$4:B73))</f>
        <v>70</v>
      </c>
      <c r="B73" s="14" t="s">
        <v>1528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 x14ac:dyDescent="0.25">
      <c r="A74" s="14">
        <f>IF(B74="","",COUNTA($B$4:B74))</f>
        <v>71</v>
      </c>
      <c r="B74" s="14" t="s">
        <v>1528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 x14ac:dyDescent="0.25">
      <c r="A75" s="14">
        <f>IF(B75="","",COUNTA($B$4:B75))</f>
        <v>72</v>
      </c>
      <c r="B75" s="14" t="s">
        <v>1528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 x14ac:dyDescent="0.25">
      <c r="A76" s="14">
        <f>IF(B76="","",COUNTA($B$4:B76))</f>
        <v>73</v>
      </c>
      <c r="B76" s="14" t="s">
        <v>1528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 x14ac:dyDescent="0.25">
      <c r="A77" s="14">
        <f>IF(B77="","",COUNTA($B$4:B77))</f>
        <v>74</v>
      </c>
      <c r="B77" s="14" t="s">
        <v>1528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 x14ac:dyDescent="0.25">
      <c r="A78" s="14">
        <f>IF(B78="","",COUNTA($B$4:B78))</f>
        <v>75</v>
      </c>
      <c r="B78" s="14" t="s">
        <v>1528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 x14ac:dyDescent="0.25">
      <c r="A79" s="14">
        <f>IF(B79="","",COUNTA($B$4:B79))</f>
        <v>76</v>
      </c>
      <c r="B79" s="14" t="s">
        <v>1528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 x14ac:dyDescent="0.25">
      <c r="A80" s="14">
        <f>IF(B80="","",COUNTA($B$4:B80))</f>
        <v>77</v>
      </c>
      <c r="B80" s="14" t="s">
        <v>1528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 x14ac:dyDescent="0.25">
      <c r="A81" s="14">
        <f>IF(B81="","",COUNTA($B$4:B81))</f>
        <v>78</v>
      </c>
      <c r="B81" s="14" t="s">
        <v>1528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 x14ac:dyDescent="0.25">
      <c r="A82" s="14">
        <f>IF(B82="","",COUNTA($B$4:B82))</f>
        <v>79</v>
      </c>
      <c r="B82" s="14" t="s">
        <v>1528</v>
      </c>
      <c r="C82" s="14" t="s">
        <v>236</v>
      </c>
      <c r="D82" s="14" t="s">
        <v>237</v>
      </c>
      <c r="E82" s="14" t="s">
        <v>236</v>
      </c>
      <c r="F82" s="14" t="s">
        <v>155</v>
      </c>
      <c r="G82" s="14" t="s">
        <v>156</v>
      </c>
      <c r="H82" s="14">
        <v>1</v>
      </c>
      <c r="I82" s="14"/>
      <c r="J82" s="14"/>
    </row>
    <row r="83" spans="1:10" x14ac:dyDescent="0.25">
      <c r="A83" s="14">
        <f>IF(B83="","",COUNTA($B$4:B83))</f>
        <v>80</v>
      </c>
      <c r="B83" s="14" t="s">
        <v>1528</v>
      </c>
      <c r="C83" s="14" t="s">
        <v>239</v>
      </c>
      <c r="D83" s="14" t="s">
        <v>240</v>
      </c>
      <c r="E83" s="14" t="s">
        <v>239</v>
      </c>
      <c r="F83" s="14" t="s">
        <v>169</v>
      </c>
      <c r="G83" s="14" t="s">
        <v>170</v>
      </c>
      <c r="H83" s="14"/>
      <c r="I83" s="14"/>
      <c r="J83" s="14"/>
    </row>
    <row r="84" spans="1:10" x14ac:dyDescent="0.25">
      <c r="A84" s="14">
        <f>IF(B84="","",COUNTA($B$4:B84))</f>
        <v>81</v>
      </c>
      <c r="B84" s="14" t="s">
        <v>1528</v>
      </c>
      <c r="C84" s="14" t="s">
        <v>241</v>
      </c>
      <c r="D84" s="14" t="s">
        <v>242</v>
      </c>
      <c r="E84" s="14" t="s">
        <v>241</v>
      </c>
      <c r="F84" s="14" t="s">
        <v>150</v>
      </c>
      <c r="G84" s="14" t="s">
        <v>243</v>
      </c>
      <c r="H84" s="14"/>
      <c r="I84" s="14" t="s">
        <v>244</v>
      </c>
      <c r="J84" s="14"/>
    </row>
    <row r="85" spans="1:10" x14ac:dyDescent="0.25">
      <c r="A85" s="14">
        <f>IF(B85="","",COUNTA($B$4:B85))</f>
        <v>82</v>
      </c>
      <c r="B85" s="14" t="s">
        <v>1528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 x14ac:dyDescent="0.25">
      <c r="A86" s="14">
        <f>IF(B86="","",COUNTA($B$4:B86))</f>
        <v>83</v>
      </c>
      <c r="B86" s="14" t="s">
        <v>1528</v>
      </c>
      <c r="C86" s="14" t="s">
        <v>249</v>
      </c>
      <c r="D86" s="14" t="s">
        <v>250</v>
      </c>
      <c r="E86" s="14" t="s">
        <v>249</v>
      </c>
      <c r="F86" s="14" t="s">
        <v>150</v>
      </c>
      <c r="G86" s="14" t="s">
        <v>151</v>
      </c>
      <c r="H86" s="14">
        <v>4</v>
      </c>
      <c r="I86" s="14"/>
      <c r="J86" s="14"/>
    </row>
    <row r="87" spans="1:10" x14ac:dyDescent="0.25">
      <c r="A87" s="14">
        <f>IF(B87="","",COUNTA($B$4:B87))</f>
        <v>84</v>
      </c>
      <c r="B87" s="14" t="s">
        <v>1528</v>
      </c>
      <c r="C87" s="14" t="s">
        <v>251</v>
      </c>
      <c r="D87" s="14" t="s">
        <v>252</v>
      </c>
      <c r="E87" s="14" t="s">
        <v>251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 x14ac:dyDescent="0.25">
      <c r="A88" s="14">
        <f>IF(B88="","",COUNTA($B$4:B88))</f>
        <v>85</v>
      </c>
      <c r="B88" s="14" t="s">
        <v>1528</v>
      </c>
      <c r="C88" s="14" t="s">
        <v>253</v>
      </c>
      <c r="D88" s="14" t="s">
        <v>254</v>
      </c>
      <c r="E88" s="14" t="s">
        <v>253</v>
      </c>
      <c r="F88" s="14" t="s">
        <v>150</v>
      </c>
      <c r="G88" s="14" t="s">
        <v>151</v>
      </c>
      <c r="H88" s="14">
        <v>10</v>
      </c>
      <c r="I88" s="14"/>
      <c r="J88" s="14"/>
    </row>
    <row r="89" spans="1:10" x14ac:dyDescent="0.25">
      <c r="A89" s="14">
        <f>IF(B89="","",COUNTA($B$4:B89))</f>
        <v>86</v>
      </c>
      <c r="B89" s="14" t="s">
        <v>1528</v>
      </c>
      <c r="C89" s="14" t="s">
        <v>255</v>
      </c>
      <c r="D89" s="14" t="s">
        <v>256</v>
      </c>
      <c r="E89" s="14" t="s">
        <v>255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 x14ac:dyDescent="0.25">
      <c r="A90" s="14">
        <f>IF(B90="","",COUNTA($B$4:B90))</f>
        <v>87</v>
      </c>
      <c r="B90" s="14" t="s">
        <v>1528</v>
      </c>
      <c r="C90" s="14" t="s">
        <v>257</v>
      </c>
      <c r="D90" s="14" t="s">
        <v>258</v>
      </c>
      <c r="E90" s="14" t="s">
        <v>257</v>
      </c>
      <c r="F90" s="14" t="s">
        <v>169</v>
      </c>
      <c r="G90" s="14" t="s">
        <v>243</v>
      </c>
      <c r="H90" s="14"/>
      <c r="I90" s="14"/>
      <c r="J90" s="14"/>
    </row>
    <row r="91" spans="1:10" x14ac:dyDescent="0.25">
      <c r="A91" s="14">
        <f>IF(B91="","",COUNTA($B$4:B91))</f>
        <v>88</v>
      </c>
      <c r="B91" s="14" t="s">
        <v>1528</v>
      </c>
      <c r="C91" s="14" t="s">
        <v>259</v>
      </c>
      <c r="D91" s="14" t="s">
        <v>260</v>
      </c>
      <c r="E91" s="14" t="s">
        <v>259</v>
      </c>
      <c r="F91" s="14" t="s">
        <v>150</v>
      </c>
      <c r="G91" s="14" t="s">
        <v>151</v>
      </c>
      <c r="H91" s="14">
        <v>10</v>
      </c>
      <c r="I91" s="14"/>
      <c r="J91" s="14"/>
    </row>
    <row r="92" spans="1:10" x14ac:dyDescent="0.25">
      <c r="A92" s="14">
        <f>IF(B92="","",COUNTA($B$4:B92))</f>
        <v>89</v>
      </c>
      <c r="B92" s="14" t="s">
        <v>1528</v>
      </c>
      <c r="C92" s="14" t="s">
        <v>261</v>
      </c>
      <c r="D92" s="14" t="s">
        <v>262</v>
      </c>
      <c r="E92" s="14" t="s">
        <v>261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 x14ac:dyDescent="0.25">
      <c r="A93" s="14">
        <f>IF(B93="","",COUNTA($B$4:B93))</f>
        <v>90</v>
      </c>
      <c r="B93" s="14" t="s">
        <v>1528</v>
      </c>
      <c r="C93" s="14" t="s">
        <v>263</v>
      </c>
      <c r="D93" s="14" t="s">
        <v>264</v>
      </c>
      <c r="E93" s="14" t="s">
        <v>263</v>
      </c>
      <c r="F93" s="14" t="s">
        <v>169</v>
      </c>
      <c r="G93" s="14" t="s">
        <v>243</v>
      </c>
      <c r="H93" s="14"/>
      <c r="I93" s="14"/>
      <c r="J93" s="14"/>
    </row>
    <row r="94" spans="1:10" x14ac:dyDescent="0.25">
      <c r="A94" s="14">
        <f>IF(B94="","",COUNTA($B$4:B94))</f>
        <v>91</v>
      </c>
      <c r="B94" s="14" t="s">
        <v>1529</v>
      </c>
      <c r="C94" s="14" t="s">
        <v>148</v>
      </c>
      <c r="D94" s="14" t="s">
        <v>149</v>
      </c>
      <c r="E94" s="14" t="s">
        <v>148</v>
      </c>
      <c r="F94" s="14" t="s">
        <v>150</v>
      </c>
      <c r="G94" s="14" t="s">
        <v>151</v>
      </c>
      <c r="H94" s="14">
        <v>15</v>
      </c>
      <c r="I94" s="14"/>
      <c r="J94" s="14"/>
    </row>
    <row r="95" spans="1:10" x14ac:dyDescent="0.25">
      <c r="A95" s="14">
        <f>IF(B95="","",COUNTA($B$4:B95))</f>
        <v>92</v>
      </c>
      <c r="B95" s="14" t="s">
        <v>1529</v>
      </c>
      <c r="C95" s="14" t="s">
        <v>153</v>
      </c>
      <c r="D95" s="14" t="s">
        <v>154</v>
      </c>
      <c r="E95" s="14" t="s">
        <v>153</v>
      </c>
      <c r="F95" s="14" t="s">
        <v>155</v>
      </c>
      <c r="G95" s="14" t="s">
        <v>156</v>
      </c>
      <c r="H95" s="14">
        <v>3</v>
      </c>
      <c r="I95" s="14"/>
      <c r="J95" s="14"/>
    </row>
    <row r="96" spans="1:10" x14ac:dyDescent="0.25">
      <c r="A96" s="14">
        <f>IF(B96="","",COUNTA($B$4:B96))</f>
        <v>93</v>
      </c>
      <c r="B96" s="14" t="s">
        <v>1529</v>
      </c>
      <c r="C96" s="14" t="s">
        <v>157</v>
      </c>
      <c r="D96" s="14" t="s">
        <v>158</v>
      </c>
      <c r="E96" s="14" t="s">
        <v>157</v>
      </c>
      <c r="F96" s="14" t="s">
        <v>150</v>
      </c>
      <c r="G96" s="14" t="s">
        <v>151</v>
      </c>
      <c r="H96" s="14">
        <v>10</v>
      </c>
      <c r="I96" s="14"/>
      <c r="J96" s="14"/>
    </row>
    <row r="97" spans="1:10" x14ac:dyDescent="0.25">
      <c r="A97" s="14">
        <f>IF(B97="","",COUNTA($B$4:B97))</f>
        <v>94</v>
      </c>
      <c r="B97" s="14" t="s">
        <v>1529</v>
      </c>
      <c r="C97" s="14" t="s">
        <v>159</v>
      </c>
      <c r="D97" s="14" t="s">
        <v>160</v>
      </c>
      <c r="E97" s="14" t="s">
        <v>159</v>
      </c>
      <c r="F97" s="14" t="s">
        <v>150</v>
      </c>
      <c r="G97" s="14" t="s">
        <v>151</v>
      </c>
      <c r="H97" s="14">
        <v>4</v>
      </c>
      <c r="I97" s="14"/>
      <c r="J97" s="14"/>
    </row>
    <row r="98" spans="1:10" x14ac:dyDescent="0.25">
      <c r="A98" s="14">
        <f>IF(B98="","",COUNTA($B$4:B98))</f>
        <v>95</v>
      </c>
      <c r="B98" s="14" t="s">
        <v>1529</v>
      </c>
      <c r="C98" s="14" t="s">
        <v>162</v>
      </c>
      <c r="D98" s="14" t="s">
        <v>163</v>
      </c>
      <c r="E98" s="14" t="s">
        <v>164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 x14ac:dyDescent="0.25">
      <c r="A99" s="14">
        <f>IF(B99="","",COUNTA($B$4:B99))</f>
        <v>96</v>
      </c>
      <c r="B99" s="14" t="s">
        <v>1529</v>
      </c>
      <c r="C99" s="14" t="s">
        <v>166</v>
      </c>
      <c r="D99" s="14" t="s">
        <v>167</v>
      </c>
      <c r="E99" s="14" t="s">
        <v>168</v>
      </c>
      <c r="F99" s="14" t="s">
        <v>169</v>
      </c>
      <c r="G99" s="14" t="s">
        <v>170</v>
      </c>
      <c r="H99" s="14"/>
      <c r="I99" s="14"/>
      <c r="J99" s="14"/>
    </row>
    <row r="100" spans="1:10" x14ac:dyDescent="0.25">
      <c r="A100" s="14">
        <f>IF(B100="","",COUNTA($B$4:B100))</f>
        <v>97</v>
      </c>
      <c r="B100" s="14" t="s">
        <v>1529</v>
      </c>
      <c r="C100" s="14" t="s">
        <v>174</v>
      </c>
      <c r="D100" s="14" t="s">
        <v>175</v>
      </c>
      <c r="E100" s="14" t="s">
        <v>176</v>
      </c>
      <c r="F100" s="14" t="s">
        <v>169</v>
      </c>
      <c r="G100" s="14" t="s">
        <v>170</v>
      </c>
      <c r="H100" s="14"/>
      <c r="I100" s="14"/>
      <c r="J100" s="14"/>
    </row>
    <row r="101" spans="1:10" x14ac:dyDescent="0.25">
      <c r="A101" s="14">
        <f>IF(B101="","",COUNTA($B$4:B101))</f>
        <v>98</v>
      </c>
      <c r="B101" s="14" t="s">
        <v>1529</v>
      </c>
      <c r="C101" s="14" t="s">
        <v>172</v>
      </c>
      <c r="D101" s="14" t="s">
        <v>177</v>
      </c>
      <c r="E101" s="14" t="s">
        <v>172</v>
      </c>
      <c r="F101" s="14" t="s">
        <v>155</v>
      </c>
      <c r="G101" s="14" t="s">
        <v>156</v>
      </c>
      <c r="H101" s="14">
        <v>5</v>
      </c>
      <c r="I101" s="14">
        <v>1</v>
      </c>
      <c r="J101" s="14"/>
    </row>
    <row r="102" spans="1:10" x14ac:dyDescent="0.25">
      <c r="A102" s="14">
        <f>IF(B102="","",COUNTA($B$4:B102))</f>
        <v>99</v>
      </c>
      <c r="B102" s="14" t="s">
        <v>1529</v>
      </c>
      <c r="C102" s="14" t="s">
        <v>178</v>
      </c>
      <c r="D102" s="14" t="s">
        <v>179</v>
      </c>
      <c r="E102" s="14" t="s">
        <v>178</v>
      </c>
      <c r="F102" s="14" t="s">
        <v>150</v>
      </c>
      <c r="G102" s="14" t="s">
        <v>151</v>
      </c>
      <c r="H102" s="14">
        <v>20</v>
      </c>
      <c r="I102" s="14"/>
      <c r="J102" s="14"/>
    </row>
    <row r="103" spans="1:10" x14ac:dyDescent="0.25">
      <c r="A103" s="14">
        <f>IF(B103="","",COUNTA($B$4:B103))</f>
        <v>100</v>
      </c>
      <c r="B103" s="14" t="s">
        <v>1529</v>
      </c>
      <c r="C103" s="14" t="s">
        <v>181</v>
      </c>
      <c r="D103" s="14" t="s">
        <v>182</v>
      </c>
      <c r="E103" s="14" t="s">
        <v>181</v>
      </c>
      <c r="F103" s="14" t="s">
        <v>150</v>
      </c>
      <c r="G103" s="14" t="s">
        <v>151</v>
      </c>
      <c r="H103" s="14">
        <v>30</v>
      </c>
      <c r="I103" s="14"/>
      <c r="J103" s="14"/>
    </row>
    <row r="104" spans="1:10" x14ac:dyDescent="0.25">
      <c r="A104" s="14">
        <f>IF(B104="","",COUNTA($B$4:B104))</f>
        <v>101</v>
      </c>
      <c r="B104" s="14" t="s">
        <v>1529</v>
      </c>
      <c r="C104" s="14" t="s">
        <v>183</v>
      </c>
      <c r="D104" s="14" t="s">
        <v>184</v>
      </c>
      <c r="E104" s="14" t="s">
        <v>183</v>
      </c>
      <c r="F104" s="14" t="s">
        <v>150</v>
      </c>
      <c r="G104" s="14" t="s">
        <v>151</v>
      </c>
      <c r="H104" s="14">
        <v>1000</v>
      </c>
      <c r="I104" s="14"/>
      <c r="J104" s="14"/>
    </row>
    <row r="105" spans="1:10" x14ac:dyDescent="0.25">
      <c r="A105" s="14">
        <f>IF(B105="","",COUNTA($B$4:B105))</f>
        <v>102</v>
      </c>
      <c r="B105" s="14" t="s">
        <v>1529</v>
      </c>
      <c r="C105" s="14" t="s">
        <v>185</v>
      </c>
      <c r="D105" s="14" t="s">
        <v>186</v>
      </c>
      <c r="E105" s="14" t="s">
        <v>185</v>
      </c>
      <c r="F105" s="14" t="s">
        <v>150</v>
      </c>
      <c r="G105" s="14" t="s">
        <v>151</v>
      </c>
      <c r="H105" s="14">
        <v>75</v>
      </c>
      <c r="I105" s="14"/>
      <c r="J105" s="14"/>
    </row>
    <row r="106" spans="1:10" x14ac:dyDescent="0.25">
      <c r="A106" s="14">
        <f>IF(B106="","",COUNTA($B$4:B106))</f>
        <v>103</v>
      </c>
      <c r="B106" s="14" t="s">
        <v>1529</v>
      </c>
      <c r="C106" s="14" t="s">
        <v>187</v>
      </c>
      <c r="D106" s="14" t="s">
        <v>188</v>
      </c>
      <c r="E106" s="14" t="s">
        <v>187</v>
      </c>
      <c r="F106" s="14" t="s">
        <v>155</v>
      </c>
      <c r="G106" s="14" t="s">
        <v>156</v>
      </c>
      <c r="H106" s="14">
        <v>3</v>
      </c>
      <c r="I106" s="14"/>
      <c r="J106" s="14"/>
    </row>
    <row r="107" spans="1:10" x14ac:dyDescent="0.25">
      <c r="A107" s="14">
        <f>IF(B107="","",COUNTA($B$4:B107))</f>
        <v>104</v>
      </c>
      <c r="B107" s="14" t="s">
        <v>1529</v>
      </c>
      <c r="C107" s="14" t="s">
        <v>189</v>
      </c>
      <c r="D107" s="14" t="s">
        <v>190</v>
      </c>
      <c r="E107" s="14" t="s">
        <v>189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 x14ac:dyDescent="0.25">
      <c r="A108" s="14">
        <f>IF(B108="","",COUNTA($B$4:B108))</f>
        <v>105</v>
      </c>
      <c r="B108" s="14" t="s">
        <v>1529</v>
      </c>
      <c r="C108" s="14" t="s">
        <v>193</v>
      </c>
      <c r="D108" s="14" t="s">
        <v>194</v>
      </c>
      <c r="E108" s="14" t="s">
        <v>193</v>
      </c>
      <c r="F108" s="14" t="s">
        <v>150</v>
      </c>
      <c r="G108" s="14" t="s">
        <v>151</v>
      </c>
      <c r="H108" s="14">
        <v>25</v>
      </c>
      <c r="I108" s="14"/>
      <c r="J108" s="14"/>
    </row>
    <row r="109" spans="1:10" x14ac:dyDescent="0.25">
      <c r="A109" s="14">
        <f>IF(B109="","",COUNTA($B$4:B109))</f>
        <v>106</v>
      </c>
      <c r="B109" s="14" t="s">
        <v>1529</v>
      </c>
      <c r="C109" s="14" t="s">
        <v>195</v>
      </c>
      <c r="D109" s="14" t="s">
        <v>196</v>
      </c>
      <c r="E109" s="14" t="s">
        <v>195</v>
      </c>
      <c r="F109" s="14" t="s">
        <v>150</v>
      </c>
      <c r="G109" s="14" t="s">
        <v>151</v>
      </c>
      <c r="H109" s="14">
        <v>400</v>
      </c>
      <c r="I109" s="14"/>
      <c r="J109" s="14"/>
    </row>
    <row r="110" spans="1:10" x14ac:dyDescent="0.25">
      <c r="A110" s="14">
        <f>IF(B110="","",COUNTA($B$4:B110))</f>
        <v>107</v>
      </c>
      <c r="B110" s="14" t="s">
        <v>1529</v>
      </c>
      <c r="C110" s="14" t="s">
        <v>197</v>
      </c>
      <c r="D110" s="14" t="s">
        <v>198</v>
      </c>
      <c r="E110" s="14" t="s">
        <v>197</v>
      </c>
      <c r="F110" s="14" t="s">
        <v>150</v>
      </c>
      <c r="G110" s="14" t="s">
        <v>151</v>
      </c>
      <c r="H110" s="14">
        <v>25</v>
      </c>
      <c r="I110" s="14"/>
      <c r="J110" s="14"/>
    </row>
    <row r="111" spans="1:10" x14ac:dyDescent="0.25">
      <c r="A111" s="14">
        <f>IF(B111="","",COUNTA($B$4:B111))</f>
        <v>108</v>
      </c>
      <c r="B111" s="14" t="s">
        <v>1529</v>
      </c>
      <c r="C111" s="14" t="s">
        <v>199</v>
      </c>
      <c r="D111" s="14" t="s">
        <v>200</v>
      </c>
      <c r="E111" s="14" t="s">
        <v>199</v>
      </c>
      <c r="F111" s="14" t="s">
        <v>150</v>
      </c>
      <c r="G111" s="14" t="s">
        <v>151</v>
      </c>
      <c r="H111" s="14">
        <v>100</v>
      </c>
      <c r="I111" s="14"/>
      <c r="J111" s="14"/>
    </row>
    <row r="112" spans="1:10" x14ac:dyDescent="0.25">
      <c r="A112" s="14">
        <f>IF(B112="","",COUNTA($B$4:B112))</f>
        <v>109</v>
      </c>
      <c r="B112" s="14" t="s">
        <v>1529</v>
      </c>
      <c r="C112" s="14" t="s">
        <v>201</v>
      </c>
      <c r="D112" s="14" t="s">
        <v>202</v>
      </c>
      <c r="E112" s="14" t="s">
        <v>201</v>
      </c>
      <c r="F112" s="14" t="s">
        <v>150</v>
      </c>
      <c r="G112" s="14" t="s">
        <v>151</v>
      </c>
      <c r="H112" s="14">
        <v>30</v>
      </c>
      <c r="I112" s="14"/>
      <c r="J112" s="14"/>
    </row>
    <row r="113" spans="1:10" x14ac:dyDescent="0.25">
      <c r="A113" s="14">
        <f>IF(B113="","",COUNTA($B$4:B113))</f>
        <v>110</v>
      </c>
      <c r="B113" s="14" t="s">
        <v>1529</v>
      </c>
      <c r="C113" s="14" t="s">
        <v>203</v>
      </c>
      <c r="D113" s="14" t="s">
        <v>204</v>
      </c>
      <c r="E113" s="14" t="s">
        <v>203</v>
      </c>
      <c r="F113" s="14" t="s">
        <v>155</v>
      </c>
      <c r="G113" s="14" t="s">
        <v>156</v>
      </c>
      <c r="H113" s="14">
        <v>5</v>
      </c>
      <c r="I113" s="14">
        <v>2</v>
      </c>
      <c r="J113" s="14"/>
    </row>
    <row r="114" spans="1:10" x14ac:dyDescent="0.25">
      <c r="A114" s="14">
        <f>IF(B114="","",COUNTA($B$4:B114))</f>
        <v>111</v>
      </c>
      <c r="B114" s="14" t="s">
        <v>1529</v>
      </c>
      <c r="C114" s="14" t="s">
        <v>205</v>
      </c>
      <c r="D114" s="14" t="s">
        <v>206</v>
      </c>
      <c r="E114" s="14" t="s">
        <v>205</v>
      </c>
      <c r="F114" s="14" t="s">
        <v>155</v>
      </c>
      <c r="G114" s="14" t="s">
        <v>156</v>
      </c>
      <c r="H114" s="14">
        <v>4</v>
      </c>
      <c r="I114" s="14"/>
      <c r="J114" s="14"/>
    </row>
    <row r="115" spans="1:10" x14ac:dyDescent="0.25">
      <c r="A115" s="14">
        <f>IF(B115="","",COUNTA($B$4:B115))</f>
        <v>112</v>
      </c>
      <c r="B115" s="14" t="s">
        <v>1529</v>
      </c>
      <c r="C115" s="14" t="s">
        <v>208</v>
      </c>
      <c r="D115" s="14" t="s">
        <v>209</v>
      </c>
      <c r="E115" s="14" t="s">
        <v>208</v>
      </c>
      <c r="F115" s="14" t="s">
        <v>155</v>
      </c>
      <c r="G115" s="14" t="s">
        <v>156</v>
      </c>
      <c r="H115" s="14">
        <v>5</v>
      </c>
      <c r="I115" s="14"/>
      <c r="J115" s="14"/>
    </row>
    <row r="116" spans="1:10" x14ac:dyDescent="0.25">
      <c r="A116" s="14">
        <f>IF(B116="","",COUNTA($B$4:B116))</f>
        <v>113</v>
      </c>
      <c r="B116" s="14" t="s">
        <v>1529</v>
      </c>
      <c r="C116" s="14" t="s">
        <v>211</v>
      </c>
      <c r="D116" s="14" t="s">
        <v>212</v>
      </c>
      <c r="E116" s="14" t="s">
        <v>211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 x14ac:dyDescent="0.25">
      <c r="A117" s="14">
        <f>IF(B117="","",COUNTA($B$4:B117))</f>
        <v>114</v>
      </c>
      <c r="B117" s="14" t="s">
        <v>1529</v>
      </c>
      <c r="C117" s="14" t="s">
        <v>214</v>
      </c>
      <c r="D117" s="14" t="s">
        <v>215</v>
      </c>
      <c r="E117" s="14" t="s">
        <v>1518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 x14ac:dyDescent="0.25">
      <c r="A118" s="14">
        <f>IF(B118="","",COUNTA($B$4:B118))</f>
        <v>115</v>
      </c>
      <c r="B118" s="14" t="s">
        <v>1529</v>
      </c>
      <c r="C118" s="14" t="s">
        <v>217</v>
      </c>
      <c r="D118" s="14" t="s">
        <v>218</v>
      </c>
      <c r="E118" s="14" t="s">
        <v>219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 x14ac:dyDescent="0.25">
      <c r="A119" s="14">
        <f>IF(B119="","",COUNTA($B$4:B119))</f>
        <v>116</v>
      </c>
      <c r="B119" s="14" t="s">
        <v>1529</v>
      </c>
      <c r="C119" s="14" t="s">
        <v>266</v>
      </c>
      <c r="D119" s="14" t="s">
        <v>267</v>
      </c>
      <c r="E119" s="14" t="s">
        <v>266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 x14ac:dyDescent="0.25">
      <c r="A120" s="14">
        <f>IF(B120="","",COUNTA($B$4:B120))</f>
        <v>117</v>
      </c>
      <c r="B120" s="14" t="s">
        <v>1529</v>
      </c>
      <c r="C120" s="14" t="s">
        <v>276</v>
      </c>
      <c r="D120" s="14" t="s">
        <v>277</v>
      </c>
      <c r="E120" s="14" t="s">
        <v>276</v>
      </c>
      <c r="F120" s="14" t="s">
        <v>150</v>
      </c>
      <c r="G120" s="14" t="s">
        <v>151</v>
      </c>
      <c r="H120" s="14">
        <v>4</v>
      </c>
      <c r="I120" s="14"/>
      <c r="J120" s="14"/>
    </row>
    <row r="121" spans="1:10" x14ac:dyDescent="0.25">
      <c r="A121" s="14">
        <f>IF(B121="","",COUNTA($B$4:B121))</f>
        <v>118</v>
      </c>
      <c r="B121" s="14" t="s">
        <v>1529</v>
      </c>
      <c r="C121" s="14" t="s">
        <v>226</v>
      </c>
      <c r="D121" s="14" t="s">
        <v>227</v>
      </c>
      <c r="E121" s="14" t="s">
        <v>226</v>
      </c>
      <c r="F121" s="14" t="s">
        <v>150</v>
      </c>
      <c r="G121" s="14" t="s">
        <v>151</v>
      </c>
      <c r="H121" s="14">
        <v>3</v>
      </c>
      <c r="I121" s="14"/>
      <c r="J121" s="14"/>
    </row>
    <row r="122" spans="1:10" x14ac:dyDescent="0.25">
      <c r="A122" s="14">
        <f>IF(B122="","",COUNTA($B$4:B122))</f>
        <v>119</v>
      </c>
      <c r="B122" s="14" t="s">
        <v>1529</v>
      </c>
      <c r="C122" s="14" t="s">
        <v>228</v>
      </c>
      <c r="D122" s="14" t="s">
        <v>229</v>
      </c>
      <c r="E122" s="14" t="s">
        <v>228</v>
      </c>
      <c r="F122" s="14" t="s">
        <v>150</v>
      </c>
      <c r="G122" s="14" t="s">
        <v>151</v>
      </c>
      <c r="H122" s="14">
        <v>1000</v>
      </c>
      <c r="I122" s="14"/>
      <c r="J122" s="14"/>
    </row>
    <row r="123" spans="1:10" x14ac:dyDescent="0.25">
      <c r="A123" s="14">
        <f>IF(B123="","",COUNTA($B$4:B123))</f>
        <v>120</v>
      </c>
      <c r="B123" s="14" t="s">
        <v>1529</v>
      </c>
      <c r="C123" s="14" t="s">
        <v>230</v>
      </c>
      <c r="D123" s="14" t="s">
        <v>231</v>
      </c>
      <c r="E123" s="14" t="s">
        <v>230</v>
      </c>
      <c r="F123" s="14" t="s">
        <v>169</v>
      </c>
      <c r="G123" s="14" t="s">
        <v>170</v>
      </c>
      <c r="H123" s="14"/>
      <c r="I123" s="14"/>
      <c r="J123" s="14"/>
    </row>
    <row r="124" spans="1:10" x14ac:dyDescent="0.25">
      <c r="A124" s="14">
        <f>IF(B124="","",COUNTA($B$4:B124))</f>
        <v>121</v>
      </c>
      <c r="B124" s="14" t="s">
        <v>1529</v>
      </c>
      <c r="C124" s="14" t="s">
        <v>233</v>
      </c>
      <c r="D124" s="14" t="s">
        <v>234</v>
      </c>
      <c r="E124" s="14" t="s">
        <v>233</v>
      </c>
      <c r="F124" s="14" t="s">
        <v>155</v>
      </c>
      <c r="G124" s="14" t="s">
        <v>156</v>
      </c>
      <c r="H124" s="14">
        <v>1</v>
      </c>
      <c r="I124" s="14"/>
      <c r="J124" s="14"/>
    </row>
    <row r="125" spans="1:10" x14ac:dyDescent="0.25">
      <c r="A125" s="14">
        <f>IF(B125="","",COUNTA($B$4:B125))</f>
        <v>122</v>
      </c>
      <c r="B125" s="14" t="s">
        <v>1529</v>
      </c>
      <c r="C125" s="14" t="s">
        <v>236</v>
      </c>
      <c r="D125" s="14" t="s">
        <v>237</v>
      </c>
      <c r="E125" s="14" t="s">
        <v>236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 x14ac:dyDescent="0.25">
      <c r="A126" s="14">
        <f>IF(B126="","",COUNTA($B$4:B126))</f>
        <v>123</v>
      </c>
      <c r="B126" s="14" t="s">
        <v>1529</v>
      </c>
      <c r="C126" s="14" t="s">
        <v>239</v>
      </c>
      <c r="D126" s="14" t="s">
        <v>240</v>
      </c>
      <c r="E126" s="14" t="s">
        <v>239</v>
      </c>
      <c r="F126" s="14" t="s">
        <v>169</v>
      </c>
      <c r="G126" s="14" t="s">
        <v>170</v>
      </c>
      <c r="H126" s="14"/>
      <c r="I126" s="14"/>
      <c r="J126" s="14"/>
    </row>
    <row r="127" spans="1:10" x14ac:dyDescent="0.25">
      <c r="A127" s="14">
        <f>IF(B127="","",COUNTA($B$4:B127))</f>
        <v>124</v>
      </c>
      <c r="B127" s="14" t="s">
        <v>1529</v>
      </c>
      <c r="C127" s="14" t="s">
        <v>241</v>
      </c>
      <c r="D127" s="14" t="s">
        <v>242</v>
      </c>
      <c r="E127" s="14" t="s">
        <v>241</v>
      </c>
      <c r="F127" s="14" t="s">
        <v>150</v>
      </c>
      <c r="G127" s="14" t="s">
        <v>243</v>
      </c>
      <c r="H127" s="14"/>
      <c r="I127" s="14" t="s">
        <v>244</v>
      </c>
      <c r="J127" s="14"/>
    </row>
    <row r="128" spans="1:10" x14ac:dyDescent="0.25">
      <c r="A128" s="14">
        <f>IF(B128="","",COUNTA($B$4:B128))</f>
        <v>125</v>
      </c>
      <c r="B128" s="14" t="s">
        <v>1529</v>
      </c>
      <c r="C128" s="14" t="s">
        <v>246</v>
      </c>
      <c r="D128" s="14" t="s">
        <v>247</v>
      </c>
      <c r="E128" s="14" t="s">
        <v>246</v>
      </c>
      <c r="F128" s="14" t="s">
        <v>150</v>
      </c>
      <c r="G128" s="14" t="s">
        <v>243</v>
      </c>
      <c r="H128" s="14"/>
      <c r="I128" s="14" t="s">
        <v>244</v>
      </c>
      <c r="J128" s="14"/>
    </row>
    <row r="129" spans="1:10" x14ac:dyDescent="0.25">
      <c r="A129" s="14">
        <f>IF(B129="","",COUNTA($B$4:B129))</f>
        <v>126</v>
      </c>
      <c r="B129" s="14" t="s">
        <v>1529</v>
      </c>
      <c r="C129" s="14" t="s">
        <v>249</v>
      </c>
      <c r="D129" s="14" t="s">
        <v>250</v>
      </c>
      <c r="E129" s="14" t="s">
        <v>249</v>
      </c>
      <c r="F129" s="14" t="s">
        <v>150</v>
      </c>
      <c r="G129" s="14" t="s">
        <v>151</v>
      </c>
      <c r="H129" s="14">
        <v>4</v>
      </c>
      <c r="I129" s="14"/>
      <c r="J129" s="14"/>
    </row>
    <row r="130" spans="1:10" x14ac:dyDescent="0.25">
      <c r="A130" s="14">
        <f>IF(B130="","",COUNTA($B$4:B130))</f>
        <v>127</v>
      </c>
      <c r="B130" s="14" t="s">
        <v>1529</v>
      </c>
      <c r="C130" s="14" t="s">
        <v>251</v>
      </c>
      <c r="D130" s="14" t="s">
        <v>252</v>
      </c>
      <c r="E130" s="14" t="s">
        <v>251</v>
      </c>
      <c r="F130" s="14" t="s">
        <v>150</v>
      </c>
      <c r="G130" s="14" t="s">
        <v>151</v>
      </c>
      <c r="H130" s="14">
        <v>4</v>
      </c>
      <c r="I130" s="14"/>
      <c r="J130" s="14"/>
    </row>
    <row r="131" spans="1:10" x14ac:dyDescent="0.25">
      <c r="A131" s="14">
        <f>IF(B131="","",COUNTA($B$4:B131))</f>
        <v>128</v>
      </c>
      <c r="B131" s="14" t="s">
        <v>1529</v>
      </c>
      <c r="C131" s="14" t="s">
        <v>253</v>
      </c>
      <c r="D131" s="14" t="s">
        <v>254</v>
      </c>
      <c r="E131" s="14" t="s">
        <v>253</v>
      </c>
      <c r="F131" s="14" t="s">
        <v>150</v>
      </c>
      <c r="G131" s="14" t="s">
        <v>151</v>
      </c>
      <c r="H131" s="14">
        <v>10</v>
      </c>
      <c r="I131" s="14"/>
      <c r="J131" s="14"/>
    </row>
    <row r="132" spans="1:10" x14ac:dyDescent="0.25">
      <c r="A132" s="14">
        <f>IF(B132="","",COUNTA($B$4:B132))</f>
        <v>129</v>
      </c>
      <c r="B132" s="14" t="s">
        <v>1529</v>
      </c>
      <c r="C132" s="14" t="s">
        <v>255</v>
      </c>
      <c r="D132" s="14" t="s">
        <v>256</v>
      </c>
      <c r="E132" s="14" t="s">
        <v>255</v>
      </c>
      <c r="F132" s="14" t="s">
        <v>150</v>
      </c>
      <c r="G132" s="14" t="s">
        <v>151</v>
      </c>
      <c r="H132" s="14">
        <v>10</v>
      </c>
      <c r="I132" s="14"/>
      <c r="J132" s="14"/>
    </row>
    <row r="133" spans="1:10" x14ac:dyDescent="0.25">
      <c r="A133" s="14">
        <f>IF(B133="","",COUNTA($B$4:B133))</f>
        <v>130</v>
      </c>
      <c r="B133" s="14" t="s">
        <v>1529</v>
      </c>
      <c r="C133" s="14" t="s">
        <v>257</v>
      </c>
      <c r="D133" s="14" t="s">
        <v>258</v>
      </c>
      <c r="E133" s="14" t="s">
        <v>257</v>
      </c>
      <c r="F133" s="14" t="s">
        <v>169</v>
      </c>
      <c r="G133" s="14" t="s">
        <v>243</v>
      </c>
      <c r="H133" s="14"/>
      <c r="I133" s="14"/>
      <c r="J133" s="14"/>
    </row>
    <row r="134" spans="1:10" x14ac:dyDescent="0.25">
      <c r="A134" s="14">
        <f>IF(B134="","",COUNTA($B$4:B134))</f>
        <v>131</v>
      </c>
      <c r="B134" s="14" t="s">
        <v>1529</v>
      </c>
      <c r="C134" s="14" t="s">
        <v>259</v>
      </c>
      <c r="D134" s="14" t="s">
        <v>260</v>
      </c>
      <c r="E134" s="14" t="s">
        <v>259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 x14ac:dyDescent="0.25">
      <c r="A135" s="14">
        <f>IF(B135="","",COUNTA($B$4:B135))</f>
        <v>132</v>
      </c>
      <c r="B135" s="14" t="s">
        <v>1529</v>
      </c>
      <c r="C135" s="14" t="s">
        <v>261</v>
      </c>
      <c r="D135" s="14" t="s">
        <v>262</v>
      </c>
      <c r="E135" s="14" t="s">
        <v>261</v>
      </c>
      <c r="F135" s="14" t="s">
        <v>150</v>
      </c>
      <c r="G135" s="14" t="s">
        <v>151</v>
      </c>
      <c r="H135" s="14">
        <v>10</v>
      </c>
      <c r="I135" s="14"/>
      <c r="J135" s="14"/>
    </row>
    <row r="136" spans="1:10" x14ac:dyDescent="0.25">
      <c r="A136" s="14">
        <f>IF(B136="","",COUNTA($B$4:B136))</f>
        <v>133</v>
      </c>
      <c r="B136" s="14" t="s">
        <v>1529</v>
      </c>
      <c r="C136" s="14" t="s">
        <v>263</v>
      </c>
      <c r="D136" s="14" t="s">
        <v>264</v>
      </c>
      <c r="E136" s="14" t="s">
        <v>263</v>
      </c>
      <c r="F136" s="14" t="s">
        <v>169</v>
      </c>
      <c r="G136" s="14" t="s">
        <v>243</v>
      </c>
      <c r="H136" s="14"/>
      <c r="I136" s="14"/>
      <c r="J136" s="14"/>
    </row>
    <row r="137" spans="1:10" x14ac:dyDescent="0.25">
      <c r="A137" s="14">
        <f>IF(B137="","",COUNTA($B$4:B137))</f>
        <v>134</v>
      </c>
      <c r="B137" s="14" t="s">
        <v>1530</v>
      </c>
      <c r="C137" s="14" t="s">
        <v>148</v>
      </c>
      <c r="D137" s="14" t="s">
        <v>149</v>
      </c>
      <c r="E137" s="14" t="s">
        <v>148</v>
      </c>
      <c r="F137" s="14" t="s">
        <v>150</v>
      </c>
      <c r="G137" s="14" t="s">
        <v>151</v>
      </c>
      <c r="H137" s="14">
        <v>15</v>
      </c>
      <c r="I137" s="14"/>
      <c r="J137" s="14"/>
    </row>
    <row r="138" spans="1:10" x14ac:dyDescent="0.25">
      <c r="A138" s="14">
        <f>IF(B138="","",COUNTA($B$4:B138))</f>
        <v>135</v>
      </c>
      <c r="B138" s="14" t="s">
        <v>1530</v>
      </c>
      <c r="C138" s="14" t="s">
        <v>153</v>
      </c>
      <c r="D138" s="14" t="s">
        <v>154</v>
      </c>
      <c r="E138" s="14" t="s">
        <v>153</v>
      </c>
      <c r="F138" s="14" t="s">
        <v>155</v>
      </c>
      <c r="G138" s="14" t="s">
        <v>156</v>
      </c>
      <c r="H138" s="14">
        <v>3</v>
      </c>
      <c r="I138" s="14"/>
      <c r="J138" s="14"/>
    </row>
    <row r="139" spans="1:10" x14ac:dyDescent="0.25">
      <c r="A139" s="14">
        <f>IF(B139="","",COUNTA($B$4:B139))</f>
        <v>136</v>
      </c>
      <c r="B139" s="14" t="s">
        <v>1530</v>
      </c>
      <c r="C139" s="14" t="s">
        <v>157</v>
      </c>
      <c r="D139" s="14" t="s">
        <v>158</v>
      </c>
      <c r="E139" s="14" t="s">
        <v>157</v>
      </c>
      <c r="F139" s="14" t="s">
        <v>150</v>
      </c>
      <c r="G139" s="14" t="s">
        <v>151</v>
      </c>
      <c r="H139" s="14">
        <v>10</v>
      </c>
      <c r="I139" s="14"/>
      <c r="J139" s="14"/>
    </row>
    <row r="140" spans="1:10" x14ac:dyDescent="0.25">
      <c r="A140" s="14">
        <f>IF(B140="","",COUNTA($B$4:B140))</f>
        <v>137</v>
      </c>
      <c r="B140" s="14" t="s">
        <v>1530</v>
      </c>
      <c r="C140" s="14" t="s">
        <v>159</v>
      </c>
      <c r="D140" s="14" t="s">
        <v>160</v>
      </c>
      <c r="E140" s="14" t="s">
        <v>159</v>
      </c>
      <c r="F140" s="14" t="s">
        <v>150</v>
      </c>
      <c r="G140" s="14" t="s">
        <v>151</v>
      </c>
      <c r="H140" s="14">
        <v>4</v>
      </c>
      <c r="I140" s="14"/>
      <c r="J140" s="14"/>
    </row>
    <row r="141" spans="1:10" x14ac:dyDescent="0.25">
      <c r="A141" s="14">
        <f>IF(B141="","",COUNTA($B$4:B141))</f>
        <v>138</v>
      </c>
      <c r="B141" s="14" t="s">
        <v>1530</v>
      </c>
      <c r="C141" s="14" t="s">
        <v>162</v>
      </c>
      <c r="D141" s="14" t="s">
        <v>163</v>
      </c>
      <c r="E141" s="14" t="s">
        <v>164</v>
      </c>
      <c r="F141" s="14" t="s">
        <v>150</v>
      </c>
      <c r="G141" s="14" t="s">
        <v>151</v>
      </c>
      <c r="H141" s="14">
        <v>4</v>
      </c>
      <c r="I141" s="14"/>
      <c r="J141" s="14"/>
    </row>
    <row r="142" spans="1:10" x14ac:dyDescent="0.25">
      <c r="A142" s="14">
        <f>IF(B142="","",COUNTA($B$4:B142))</f>
        <v>139</v>
      </c>
      <c r="B142" s="14" t="s">
        <v>1530</v>
      </c>
      <c r="C142" s="14" t="s">
        <v>166</v>
      </c>
      <c r="D142" s="14" t="s">
        <v>167</v>
      </c>
      <c r="E142" s="14" t="s">
        <v>168</v>
      </c>
      <c r="F142" s="14" t="s">
        <v>169</v>
      </c>
      <c r="G142" s="14" t="s">
        <v>170</v>
      </c>
      <c r="H142" s="14"/>
      <c r="I142" s="14"/>
      <c r="J142" s="14"/>
    </row>
    <row r="143" spans="1:10" x14ac:dyDescent="0.25">
      <c r="A143" s="14">
        <f>IF(B143="","",COUNTA($B$4:B143))</f>
        <v>140</v>
      </c>
      <c r="B143" s="14" t="s">
        <v>1530</v>
      </c>
      <c r="C143" s="14" t="s">
        <v>174</v>
      </c>
      <c r="D143" s="14" t="s">
        <v>175</v>
      </c>
      <c r="E143" s="14" t="s">
        <v>176</v>
      </c>
      <c r="F143" s="14" t="s">
        <v>169</v>
      </c>
      <c r="G143" s="14" t="s">
        <v>170</v>
      </c>
      <c r="H143" s="14"/>
      <c r="I143" s="14"/>
      <c r="J143" s="14"/>
    </row>
    <row r="144" spans="1:10" x14ac:dyDescent="0.25">
      <c r="A144" s="14">
        <f>IF(B144="","",COUNTA($B$4:B144))</f>
        <v>141</v>
      </c>
      <c r="B144" s="14" t="s">
        <v>1530</v>
      </c>
      <c r="C144" s="14" t="s">
        <v>172</v>
      </c>
      <c r="D144" s="14" t="s">
        <v>177</v>
      </c>
      <c r="E144" s="14" t="s">
        <v>172</v>
      </c>
      <c r="F144" s="14" t="s">
        <v>155</v>
      </c>
      <c r="G144" s="14" t="s">
        <v>156</v>
      </c>
      <c r="H144" s="14">
        <v>5</v>
      </c>
      <c r="I144" s="14">
        <v>1</v>
      </c>
      <c r="J144" s="14"/>
    </row>
    <row r="145" spans="1:10" x14ac:dyDescent="0.25">
      <c r="A145" s="14">
        <f>IF(B145="","",COUNTA($B$4:B145))</f>
        <v>142</v>
      </c>
      <c r="B145" s="14" t="s">
        <v>1530</v>
      </c>
      <c r="C145" s="14" t="s">
        <v>178</v>
      </c>
      <c r="D145" s="14" t="s">
        <v>179</v>
      </c>
      <c r="E145" s="14" t="s">
        <v>178</v>
      </c>
      <c r="F145" s="14" t="s">
        <v>150</v>
      </c>
      <c r="G145" s="14" t="s">
        <v>151</v>
      </c>
      <c r="H145" s="14">
        <v>20</v>
      </c>
      <c r="I145" s="14"/>
      <c r="J145" s="14"/>
    </row>
    <row r="146" spans="1:10" x14ac:dyDescent="0.25">
      <c r="A146" s="14">
        <f>IF(B146="","",COUNTA($B$4:B146))</f>
        <v>143</v>
      </c>
      <c r="B146" s="14" t="s">
        <v>1530</v>
      </c>
      <c r="C146" s="14" t="s">
        <v>181</v>
      </c>
      <c r="D146" s="14" t="s">
        <v>182</v>
      </c>
      <c r="E146" s="14" t="s">
        <v>181</v>
      </c>
      <c r="F146" s="14" t="s">
        <v>150</v>
      </c>
      <c r="G146" s="14" t="s">
        <v>151</v>
      </c>
      <c r="H146" s="14">
        <v>30</v>
      </c>
      <c r="I146" s="14"/>
      <c r="J146" s="14"/>
    </row>
    <row r="147" spans="1:10" x14ac:dyDescent="0.25">
      <c r="A147" s="14">
        <f>IF(B147="","",COUNTA($B$4:B147))</f>
        <v>144</v>
      </c>
      <c r="B147" s="14" t="s">
        <v>1530</v>
      </c>
      <c r="C147" s="14" t="s">
        <v>183</v>
      </c>
      <c r="D147" s="14" t="s">
        <v>184</v>
      </c>
      <c r="E147" s="14" t="s">
        <v>183</v>
      </c>
      <c r="F147" s="14" t="s">
        <v>150</v>
      </c>
      <c r="G147" s="14" t="s">
        <v>151</v>
      </c>
      <c r="H147" s="14">
        <v>1000</v>
      </c>
      <c r="I147" s="14"/>
      <c r="J147" s="14"/>
    </row>
    <row r="148" spans="1:10" x14ac:dyDescent="0.25">
      <c r="A148" s="14">
        <f>IF(B148="","",COUNTA($B$4:B148))</f>
        <v>145</v>
      </c>
      <c r="B148" s="14" t="s">
        <v>1530</v>
      </c>
      <c r="C148" s="14" t="s">
        <v>185</v>
      </c>
      <c r="D148" s="14" t="s">
        <v>186</v>
      </c>
      <c r="E148" s="14" t="s">
        <v>185</v>
      </c>
      <c r="F148" s="14" t="s">
        <v>150</v>
      </c>
      <c r="G148" s="14" t="s">
        <v>151</v>
      </c>
      <c r="H148" s="14">
        <v>75</v>
      </c>
      <c r="I148" s="14"/>
      <c r="J148" s="14"/>
    </row>
    <row r="149" spans="1:10" x14ac:dyDescent="0.25">
      <c r="A149" s="14">
        <f>IF(B149="","",COUNTA($B$4:B149))</f>
        <v>146</v>
      </c>
      <c r="B149" s="14" t="s">
        <v>1530</v>
      </c>
      <c r="C149" s="14" t="s">
        <v>187</v>
      </c>
      <c r="D149" s="14" t="s">
        <v>188</v>
      </c>
      <c r="E149" s="14" t="s">
        <v>187</v>
      </c>
      <c r="F149" s="14" t="s">
        <v>155</v>
      </c>
      <c r="G149" s="14" t="s">
        <v>156</v>
      </c>
      <c r="H149" s="14">
        <v>3</v>
      </c>
      <c r="I149" s="14"/>
      <c r="J149" s="14"/>
    </row>
    <row r="150" spans="1:10" x14ac:dyDescent="0.25">
      <c r="A150" s="14">
        <f>IF(B150="","",COUNTA($B$4:B150))</f>
        <v>147</v>
      </c>
      <c r="B150" s="14" t="s">
        <v>1530</v>
      </c>
      <c r="C150" s="14" t="s">
        <v>189</v>
      </c>
      <c r="D150" s="14" t="s">
        <v>190</v>
      </c>
      <c r="E150" s="14" t="s">
        <v>189</v>
      </c>
      <c r="F150" s="14" t="s">
        <v>155</v>
      </c>
      <c r="G150" s="14" t="s">
        <v>156</v>
      </c>
      <c r="H150" s="14">
        <v>3</v>
      </c>
      <c r="I150" s="14"/>
      <c r="J150" s="14"/>
    </row>
    <row r="151" spans="1:10" x14ac:dyDescent="0.25">
      <c r="A151" s="14">
        <f>IF(B151="","",COUNTA($B$4:B151))</f>
        <v>148</v>
      </c>
      <c r="B151" s="14" t="s">
        <v>1530</v>
      </c>
      <c r="C151" s="14" t="s">
        <v>193</v>
      </c>
      <c r="D151" s="14" t="s">
        <v>194</v>
      </c>
      <c r="E151" s="14" t="s">
        <v>193</v>
      </c>
      <c r="F151" s="14" t="s">
        <v>150</v>
      </c>
      <c r="G151" s="14" t="s">
        <v>151</v>
      </c>
      <c r="H151" s="14">
        <v>25</v>
      </c>
      <c r="I151" s="14"/>
      <c r="J151" s="14"/>
    </row>
    <row r="152" spans="1:10" x14ac:dyDescent="0.25">
      <c r="A152" s="14">
        <f>IF(B152="","",COUNTA($B$4:B152))</f>
        <v>149</v>
      </c>
      <c r="B152" s="14" t="s">
        <v>1530</v>
      </c>
      <c r="C152" s="14" t="s">
        <v>195</v>
      </c>
      <c r="D152" s="14" t="s">
        <v>196</v>
      </c>
      <c r="E152" s="14" t="s">
        <v>195</v>
      </c>
      <c r="F152" s="14" t="s">
        <v>150</v>
      </c>
      <c r="G152" s="14" t="s">
        <v>151</v>
      </c>
      <c r="H152" s="14">
        <v>400</v>
      </c>
      <c r="I152" s="14"/>
      <c r="J152" s="14"/>
    </row>
    <row r="153" spans="1:10" x14ac:dyDescent="0.25">
      <c r="A153" s="14">
        <f>IF(B153="","",COUNTA($B$4:B153))</f>
        <v>150</v>
      </c>
      <c r="B153" s="14" t="s">
        <v>1530</v>
      </c>
      <c r="C153" s="14" t="s">
        <v>197</v>
      </c>
      <c r="D153" s="14" t="s">
        <v>198</v>
      </c>
      <c r="E153" s="14" t="s">
        <v>197</v>
      </c>
      <c r="F153" s="14" t="s">
        <v>150</v>
      </c>
      <c r="G153" s="14" t="s">
        <v>151</v>
      </c>
      <c r="H153" s="14">
        <v>5</v>
      </c>
      <c r="I153" s="14"/>
      <c r="J153" s="14"/>
    </row>
    <row r="154" spans="1:10" x14ac:dyDescent="0.25">
      <c r="A154" s="14">
        <f>IF(B154="","",COUNTA($B$4:B154))</f>
        <v>151</v>
      </c>
      <c r="B154" s="14" t="s">
        <v>1530</v>
      </c>
      <c r="C154" s="14" t="s">
        <v>199</v>
      </c>
      <c r="D154" s="14" t="s">
        <v>200</v>
      </c>
      <c r="E154" s="14" t="s">
        <v>199</v>
      </c>
      <c r="F154" s="14" t="s">
        <v>150</v>
      </c>
      <c r="G154" s="14" t="s">
        <v>151</v>
      </c>
      <c r="H154" s="14">
        <v>20</v>
      </c>
      <c r="I154" s="14"/>
      <c r="J154" s="14"/>
    </row>
    <row r="155" spans="1:10" x14ac:dyDescent="0.25">
      <c r="A155" s="14">
        <f>IF(B155="","",COUNTA($B$4:B155))</f>
        <v>152</v>
      </c>
      <c r="B155" s="14" t="s">
        <v>1530</v>
      </c>
      <c r="C155" s="14" t="s">
        <v>201</v>
      </c>
      <c r="D155" s="14" t="s">
        <v>202</v>
      </c>
      <c r="E155" s="14" t="s">
        <v>201</v>
      </c>
      <c r="F155" s="14" t="s">
        <v>150</v>
      </c>
      <c r="G155" s="14" t="s">
        <v>151</v>
      </c>
      <c r="H155" s="14">
        <v>30</v>
      </c>
      <c r="I155" s="14"/>
      <c r="J155" s="14"/>
    </row>
    <row r="156" spans="1:10" x14ac:dyDescent="0.25">
      <c r="A156" s="14">
        <f>IF(B156="","",COUNTA($B$4:B156))</f>
        <v>153</v>
      </c>
      <c r="B156" s="14" t="s">
        <v>1530</v>
      </c>
      <c r="C156" s="14" t="s">
        <v>203</v>
      </c>
      <c r="D156" s="14" t="s">
        <v>204</v>
      </c>
      <c r="E156" s="14" t="s">
        <v>203</v>
      </c>
      <c r="F156" s="14" t="s">
        <v>155</v>
      </c>
      <c r="G156" s="14" t="s">
        <v>156</v>
      </c>
      <c r="H156" s="14">
        <v>5</v>
      </c>
      <c r="I156" s="14">
        <v>2</v>
      </c>
      <c r="J156" s="14"/>
    </row>
    <row r="157" spans="1:10" x14ac:dyDescent="0.25">
      <c r="A157" s="14">
        <f>IF(B157="","",COUNTA($B$4:B157))</f>
        <v>154</v>
      </c>
      <c r="B157" s="14" t="s">
        <v>1530</v>
      </c>
      <c r="C157" s="14" t="s">
        <v>205</v>
      </c>
      <c r="D157" s="14" t="s">
        <v>206</v>
      </c>
      <c r="E157" s="14" t="s">
        <v>205</v>
      </c>
      <c r="F157" s="14" t="s">
        <v>155</v>
      </c>
      <c r="G157" s="14" t="s">
        <v>156</v>
      </c>
      <c r="H157" s="14">
        <v>4</v>
      </c>
      <c r="I157" s="14"/>
      <c r="J157" s="14"/>
    </row>
    <row r="158" spans="1:10" x14ac:dyDescent="0.25">
      <c r="A158" s="14">
        <f>IF(B158="","",COUNTA($B$4:B158))</f>
        <v>155</v>
      </c>
      <c r="B158" s="14" t="s">
        <v>1530</v>
      </c>
      <c r="C158" s="14" t="s">
        <v>208</v>
      </c>
      <c r="D158" s="14" t="s">
        <v>209</v>
      </c>
      <c r="E158" s="14" t="s">
        <v>208</v>
      </c>
      <c r="F158" s="14" t="s">
        <v>155</v>
      </c>
      <c r="G158" s="14" t="s">
        <v>156</v>
      </c>
      <c r="H158" s="14">
        <v>5</v>
      </c>
      <c r="I158" s="14"/>
      <c r="J158" s="14"/>
    </row>
    <row r="159" spans="1:10" x14ac:dyDescent="0.25">
      <c r="A159" s="14">
        <f>IF(B159="","",COUNTA($B$4:B159))</f>
        <v>156</v>
      </c>
      <c r="B159" s="14" t="s">
        <v>1530</v>
      </c>
      <c r="C159" s="14" t="s">
        <v>211</v>
      </c>
      <c r="D159" s="14" t="s">
        <v>212</v>
      </c>
      <c r="E159" s="14" t="s">
        <v>211</v>
      </c>
      <c r="F159" s="14" t="s">
        <v>155</v>
      </c>
      <c r="G159" s="14" t="s">
        <v>156</v>
      </c>
      <c r="H159" s="14">
        <v>5</v>
      </c>
      <c r="I159" s="14"/>
      <c r="J159" s="14"/>
    </row>
    <row r="160" spans="1:10" x14ac:dyDescent="0.25">
      <c r="A160" s="14">
        <f>IF(B160="","",COUNTA($B$4:B160))</f>
        <v>157</v>
      </c>
      <c r="B160" s="14" t="s">
        <v>1530</v>
      </c>
      <c r="C160" s="14" t="s">
        <v>214</v>
      </c>
      <c r="D160" s="14" t="s">
        <v>215</v>
      </c>
      <c r="E160" s="14" t="s">
        <v>1518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 x14ac:dyDescent="0.25">
      <c r="A161" s="14">
        <f>IF(B161="","",COUNTA($B$4:B161))</f>
        <v>158</v>
      </c>
      <c r="B161" s="14" t="s">
        <v>1530</v>
      </c>
      <c r="C161" s="14" t="s">
        <v>217</v>
      </c>
      <c r="D161" s="14" t="s">
        <v>218</v>
      </c>
      <c r="E161" s="14" t="s">
        <v>219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 x14ac:dyDescent="0.25">
      <c r="A162" s="14">
        <f>IF(B162="","",COUNTA($B$4:B162))</f>
        <v>159</v>
      </c>
      <c r="B162" s="14" t="s">
        <v>1530</v>
      </c>
      <c r="C162" s="14" t="s">
        <v>266</v>
      </c>
      <c r="D162" s="14" t="s">
        <v>267</v>
      </c>
      <c r="E162" s="14" t="s">
        <v>266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 x14ac:dyDescent="0.25">
      <c r="A163" s="14">
        <f>IF(B163="","",COUNTA($B$4:B163))</f>
        <v>160</v>
      </c>
      <c r="B163" s="14" t="s">
        <v>1530</v>
      </c>
      <c r="C163" s="14" t="s">
        <v>226</v>
      </c>
      <c r="D163" s="14" t="s">
        <v>227</v>
      </c>
      <c r="E163" s="14" t="s">
        <v>226</v>
      </c>
      <c r="F163" s="14" t="s">
        <v>150</v>
      </c>
      <c r="G163" s="14" t="s">
        <v>151</v>
      </c>
      <c r="H163" s="14">
        <v>3</v>
      </c>
      <c r="I163" s="14"/>
      <c r="J163" s="14"/>
    </row>
    <row r="164" spans="1:10" x14ac:dyDescent="0.25">
      <c r="A164" s="14">
        <f>IF(B164="","",COUNTA($B$4:B164))</f>
        <v>161</v>
      </c>
      <c r="B164" s="14" t="s">
        <v>1530</v>
      </c>
      <c r="C164" s="14" t="s">
        <v>228</v>
      </c>
      <c r="D164" s="14" t="s">
        <v>229</v>
      </c>
      <c r="E164" s="14" t="s">
        <v>228</v>
      </c>
      <c r="F164" s="14" t="s">
        <v>150</v>
      </c>
      <c r="G164" s="14" t="s">
        <v>151</v>
      </c>
      <c r="H164" s="14">
        <v>1000</v>
      </c>
      <c r="I164" s="14"/>
      <c r="J164" s="14"/>
    </row>
    <row r="165" spans="1:10" x14ac:dyDescent="0.25">
      <c r="A165" s="14">
        <f>IF(B165="","",COUNTA($B$4:B165))</f>
        <v>162</v>
      </c>
      <c r="B165" s="14" t="s">
        <v>1530</v>
      </c>
      <c r="C165" s="14" t="s">
        <v>230</v>
      </c>
      <c r="D165" s="14" t="s">
        <v>231</v>
      </c>
      <c r="E165" s="14" t="s">
        <v>230</v>
      </c>
      <c r="F165" s="14" t="s">
        <v>169</v>
      </c>
      <c r="G165" s="14" t="s">
        <v>170</v>
      </c>
      <c r="H165" s="14"/>
      <c r="I165" s="14"/>
      <c r="J165" s="14"/>
    </row>
    <row r="166" spans="1:10" x14ac:dyDescent="0.25">
      <c r="A166" s="14">
        <f>IF(B166="","",COUNTA($B$4:B166))</f>
        <v>163</v>
      </c>
      <c r="B166" s="14" t="s">
        <v>1530</v>
      </c>
      <c r="C166" s="14" t="s">
        <v>233</v>
      </c>
      <c r="D166" s="14" t="s">
        <v>234</v>
      </c>
      <c r="E166" s="14" t="s">
        <v>233</v>
      </c>
      <c r="F166" s="14" t="s">
        <v>155</v>
      </c>
      <c r="G166" s="14" t="s">
        <v>156</v>
      </c>
      <c r="H166" s="14">
        <v>1</v>
      </c>
      <c r="I166" s="14"/>
      <c r="J166" s="14"/>
    </row>
    <row r="167" spans="1:10" x14ac:dyDescent="0.25">
      <c r="A167" s="14">
        <f>IF(B167="","",COUNTA($B$4:B167))</f>
        <v>164</v>
      </c>
      <c r="B167" s="14" t="s">
        <v>1530</v>
      </c>
      <c r="C167" s="14" t="s">
        <v>236</v>
      </c>
      <c r="D167" s="14" t="s">
        <v>237</v>
      </c>
      <c r="E167" s="14" t="s">
        <v>236</v>
      </c>
      <c r="F167" s="14" t="s">
        <v>155</v>
      </c>
      <c r="G167" s="14" t="s">
        <v>156</v>
      </c>
      <c r="H167" s="14">
        <v>1</v>
      </c>
      <c r="I167" s="14"/>
      <c r="J167" s="14"/>
    </row>
    <row r="168" spans="1:10" x14ac:dyDescent="0.25">
      <c r="A168" s="14">
        <f>IF(B168="","",COUNTA($B$4:B168))</f>
        <v>165</v>
      </c>
      <c r="B168" s="14" t="s">
        <v>1530</v>
      </c>
      <c r="C168" s="14" t="s">
        <v>239</v>
      </c>
      <c r="D168" s="14" t="s">
        <v>240</v>
      </c>
      <c r="E168" s="14" t="s">
        <v>239</v>
      </c>
      <c r="F168" s="14" t="s">
        <v>169</v>
      </c>
      <c r="G168" s="14" t="s">
        <v>170</v>
      </c>
      <c r="H168" s="14"/>
      <c r="I168" s="14"/>
      <c r="J168" s="14"/>
    </row>
    <row r="169" spans="1:10" x14ac:dyDescent="0.25">
      <c r="A169" s="14">
        <f>IF(B169="","",COUNTA($B$4:B169))</f>
        <v>166</v>
      </c>
      <c r="B169" s="14" t="s">
        <v>1530</v>
      </c>
      <c r="C169" s="14" t="s">
        <v>278</v>
      </c>
      <c r="D169" s="14" t="s">
        <v>279</v>
      </c>
      <c r="E169" s="14" t="s">
        <v>278</v>
      </c>
      <c r="F169" s="14" t="s">
        <v>155</v>
      </c>
      <c r="G169" s="14" t="s">
        <v>156</v>
      </c>
      <c r="H169" s="14">
        <v>1</v>
      </c>
      <c r="I169" s="14"/>
      <c r="J169" s="14"/>
    </row>
    <row r="170" spans="1:10" x14ac:dyDescent="0.25">
      <c r="A170" s="14">
        <f>IF(B170="","",COUNTA($B$4:B170))</f>
        <v>167</v>
      </c>
      <c r="B170" s="14" t="s">
        <v>1530</v>
      </c>
      <c r="C170" s="14" t="s">
        <v>281</v>
      </c>
      <c r="D170" s="14" t="s">
        <v>282</v>
      </c>
      <c r="E170" s="14" t="s">
        <v>281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 x14ac:dyDescent="0.25">
      <c r="A171" s="14">
        <f>IF(B171="","",COUNTA($B$4:B171))</f>
        <v>168</v>
      </c>
      <c r="B171" s="14" t="s">
        <v>1530</v>
      </c>
      <c r="C171" s="14" t="s">
        <v>284</v>
      </c>
      <c r="D171" s="14" t="s">
        <v>285</v>
      </c>
      <c r="E171" s="14" t="s">
        <v>284</v>
      </c>
      <c r="F171" s="14" t="s">
        <v>155</v>
      </c>
      <c r="G171" s="14" t="s">
        <v>156</v>
      </c>
      <c r="H171" s="14">
        <v>1</v>
      </c>
      <c r="I171" s="14"/>
      <c r="J171" s="14"/>
    </row>
    <row r="172" spans="1:10" x14ac:dyDescent="0.25">
      <c r="A172" s="14">
        <f>IF(B172="","",COUNTA($B$4:B172))</f>
        <v>169</v>
      </c>
      <c r="B172" s="14" t="s">
        <v>1530</v>
      </c>
      <c r="C172" s="14" t="s">
        <v>249</v>
      </c>
      <c r="D172" s="14" t="s">
        <v>250</v>
      </c>
      <c r="E172" s="14" t="s">
        <v>249</v>
      </c>
      <c r="F172" s="14" t="s">
        <v>150</v>
      </c>
      <c r="G172" s="14" t="s">
        <v>151</v>
      </c>
      <c r="H172" s="14">
        <v>4</v>
      </c>
      <c r="I172" s="14"/>
      <c r="J172" s="14"/>
    </row>
    <row r="173" spans="1:10" x14ac:dyDescent="0.25">
      <c r="A173" s="14">
        <f>IF(B173="","",COUNTA($B$4:B173))</f>
        <v>170</v>
      </c>
      <c r="B173" s="14" t="s">
        <v>1530</v>
      </c>
      <c r="C173" s="14" t="s">
        <v>251</v>
      </c>
      <c r="D173" s="14" t="s">
        <v>252</v>
      </c>
      <c r="E173" s="14" t="s">
        <v>251</v>
      </c>
      <c r="F173" s="14" t="s">
        <v>150</v>
      </c>
      <c r="G173" s="14" t="s">
        <v>151</v>
      </c>
      <c r="H173" s="14">
        <v>4</v>
      </c>
      <c r="I173" s="14"/>
      <c r="J173" s="14"/>
    </row>
    <row r="174" spans="1:10" x14ac:dyDescent="0.25">
      <c r="A174" s="14">
        <f>IF(B174="","",COUNTA($B$4:B174))</f>
        <v>171</v>
      </c>
      <c r="B174" s="14" t="s">
        <v>1530</v>
      </c>
      <c r="C174" s="14" t="s">
        <v>253</v>
      </c>
      <c r="D174" s="14" t="s">
        <v>254</v>
      </c>
      <c r="E174" s="14" t="s">
        <v>253</v>
      </c>
      <c r="F174" s="14" t="s">
        <v>150</v>
      </c>
      <c r="G174" s="14" t="s">
        <v>151</v>
      </c>
      <c r="H174" s="14">
        <v>10</v>
      </c>
      <c r="I174" s="14"/>
      <c r="J174" s="14"/>
    </row>
    <row r="175" spans="1:10" x14ac:dyDescent="0.25">
      <c r="A175" s="14">
        <f>IF(B175="","",COUNTA($B$4:B175))</f>
        <v>172</v>
      </c>
      <c r="B175" s="14" t="s">
        <v>1530</v>
      </c>
      <c r="C175" s="14" t="s">
        <v>255</v>
      </c>
      <c r="D175" s="14" t="s">
        <v>256</v>
      </c>
      <c r="E175" s="14" t="s">
        <v>255</v>
      </c>
      <c r="F175" s="14" t="s">
        <v>150</v>
      </c>
      <c r="G175" s="14" t="s">
        <v>151</v>
      </c>
      <c r="H175" s="14">
        <v>10</v>
      </c>
      <c r="I175" s="14"/>
      <c r="J175" s="14"/>
    </row>
    <row r="176" spans="1:10" x14ac:dyDescent="0.25">
      <c r="A176" s="14">
        <f>IF(B176="","",COUNTA($B$4:B176))</f>
        <v>173</v>
      </c>
      <c r="B176" s="14" t="s">
        <v>1530</v>
      </c>
      <c r="C176" s="14" t="s">
        <v>257</v>
      </c>
      <c r="D176" s="14" t="s">
        <v>258</v>
      </c>
      <c r="E176" s="14" t="s">
        <v>257</v>
      </c>
      <c r="F176" s="14" t="s">
        <v>169</v>
      </c>
      <c r="G176" s="14" t="s">
        <v>243</v>
      </c>
      <c r="H176" s="14"/>
      <c r="I176" s="14"/>
      <c r="J176" s="14"/>
    </row>
    <row r="177" spans="1:10" x14ac:dyDescent="0.25">
      <c r="A177" s="14">
        <f>IF(B177="","",COUNTA($B$4:B177))</f>
        <v>174</v>
      </c>
      <c r="B177" s="14" t="s">
        <v>1530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 x14ac:dyDescent="0.25">
      <c r="A178" s="14">
        <f>IF(B178="","",COUNTA($B$4:B178))</f>
        <v>175</v>
      </c>
      <c r="B178" s="14" t="s">
        <v>1530</v>
      </c>
      <c r="C178" s="14" t="s">
        <v>261</v>
      </c>
      <c r="D178" s="14" t="s">
        <v>262</v>
      </c>
      <c r="E178" s="14" t="s">
        <v>261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 x14ac:dyDescent="0.25">
      <c r="A179" s="14">
        <f>IF(B179="","",COUNTA($B$4:B179))</f>
        <v>176</v>
      </c>
      <c r="B179" s="14" t="s">
        <v>1530</v>
      </c>
      <c r="C179" s="14" t="s">
        <v>263</v>
      </c>
      <c r="D179" s="14" t="s">
        <v>264</v>
      </c>
      <c r="E179" s="14" t="s">
        <v>263</v>
      </c>
      <c r="F179" s="14" t="s">
        <v>169</v>
      </c>
      <c r="G179" s="14" t="s">
        <v>243</v>
      </c>
      <c r="H179" s="14"/>
      <c r="I179" s="14"/>
      <c r="J179" s="14"/>
    </row>
    <row r="180" spans="1:10" x14ac:dyDescent="0.25">
      <c r="A180" s="14">
        <f>IF(B180="","",COUNTA($B$4:B180))</f>
        <v>177</v>
      </c>
      <c r="B180" s="14" t="s">
        <v>1531</v>
      </c>
      <c r="C180" s="14" t="s">
        <v>148</v>
      </c>
      <c r="D180" s="14" t="s">
        <v>149</v>
      </c>
      <c r="E180" s="14" t="s">
        <v>148</v>
      </c>
      <c r="F180" s="14" t="s">
        <v>150</v>
      </c>
      <c r="G180" s="14" t="s">
        <v>151</v>
      </c>
      <c r="H180" s="14">
        <v>15</v>
      </c>
      <c r="I180" s="14"/>
      <c r="J180" s="14"/>
    </row>
    <row r="181" spans="1:10" x14ac:dyDescent="0.25">
      <c r="A181" s="14">
        <f>IF(B181="","",COUNTA($B$4:B181))</f>
        <v>178</v>
      </c>
      <c r="B181" s="14" t="s">
        <v>1531</v>
      </c>
      <c r="C181" s="14" t="s">
        <v>157</v>
      </c>
      <c r="D181" s="14" t="s">
        <v>158</v>
      </c>
      <c r="E181" s="14" t="s">
        <v>157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 x14ac:dyDescent="0.25">
      <c r="A182" s="14">
        <f>IF(B182="","",COUNTA($B$4:B182))</f>
        <v>179</v>
      </c>
      <c r="B182" s="14" t="s">
        <v>1531</v>
      </c>
      <c r="C182" s="14" t="s">
        <v>159</v>
      </c>
      <c r="D182" s="14" t="s">
        <v>160</v>
      </c>
      <c r="E182" s="14" t="s">
        <v>159</v>
      </c>
      <c r="F182" s="14" t="s">
        <v>150</v>
      </c>
      <c r="G182" s="14" t="s">
        <v>151</v>
      </c>
      <c r="H182" s="14">
        <v>4</v>
      </c>
      <c r="I182" s="14"/>
      <c r="J182" s="14"/>
    </row>
    <row r="183" spans="1:10" x14ac:dyDescent="0.25">
      <c r="A183" s="14">
        <f>IF(B183="","",COUNTA($B$4:B183))</f>
        <v>180</v>
      </c>
      <c r="B183" s="14" t="s">
        <v>1531</v>
      </c>
      <c r="C183" s="14" t="s">
        <v>162</v>
      </c>
      <c r="D183" s="14" t="s">
        <v>163</v>
      </c>
      <c r="E183" s="14" t="s">
        <v>164</v>
      </c>
      <c r="F183" s="14" t="s">
        <v>150</v>
      </c>
      <c r="G183" s="14" t="s">
        <v>151</v>
      </c>
      <c r="H183" s="14">
        <v>4</v>
      </c>
      <c r="I183" s="14"/>
      <c r="J183" s="14"/>
    </row>
    <row r="184" spans="1:10" x14ac:dyDescent="0.25">
      <c r="A184" s="14">
        <f>IF(B184="","",COUNTA($B$4:B184))</f>
        <v>181</v>
      </c>
      <c r="B184" s="14" t="s">
        <v>1531</v>
      </c>
      <c r="C184" s="14" t="s">
        <v>166</v>
      </c>
      <c r="D184" s="14" t="s">
        <v>167</v>
      </c>
      <c r="E184" s="14" t="s">
        <v>168</v>
      </c>
      <c r="F184" s="14" t="s">
        <v>169</v>
      </c>
      <c r="G184" s="14" t="s">
        <v>170</v>
      </c>
      <c r="H184" s="14"/>
      <c r="I184" s="14"/>
      <c r="J184" s="14"/>
    </row>
    <row r="185" spans="1:10" x14ac:dyDescent="0.25">
      <c r="A185" s="14">
        <f>IF(B185="","",COUNTA($B$4:B185))</f>
        <v>182</v>
      </c>
      <c r="B185" s="14" t="s">
        <v>1531</v>
      </c>
      <c r="C185" s="14" t="s">
        <v>174</v>
      </c>
      <c r="D185" s="14" t="s">
        <v>175</v>
      </c>
      <c r="E185" s="14" t="s">
        <v>176</v>
      </c>
      <c r="F185" s="14" t="s">
        <v>169</v>
      </c>
      <c r="G185" s="14" t="s">
        <v>170</v>
      </c>
      <c r="H185" s="14"/>
      <c r="I185" s="14"/>
      <c r="J185" s="14"/>
    </row>
    <row r="186" spans="1:10" x14ac:dyDescent="0.25">
      <c r="A186" s="14">
        <f>IF(B186="","",COUNTA($B$4:B186))</f>
        <v>183</v>
      </c>
      <c r="B186" s="14" t="s">
        <v>1531</v>
      </c>
      <c r="C186" s="14" t="s">
        <v>172</v>
      </c>
      <c r="D186" s="14" t="s">
        <v>177</v>
      </c>
      <c r="E186" s="14" t="s">
        <v>172</v>
      </c>
      <c r="F186" s="14" t="s">
        <v>155</v>
      </c>
      <c r="G186" s="14" t="s">
        <v>156</v>
      </c>
      <c r="H186" s="14">
        <v>5</v>
      </c>
      <c r="I186" s="14">
        <v>1</v>
      </c>
      <c r="J186" s="14"/>
    </row>
    <row r="187" spans="1:10" x14ac:dyDescent="0.25">
      <c r="A187" s="14">
        <f>IF(B187="","",COUNTA($B$4:B187))</f>
        <v>184</v>
      </c>
      <c r="B187" s="14" t="s">
        <v>1531</v>
      </c>
      <c r="C187" s="14" t="s">
        <v>178</v>
      </c>
      <c r="D187" s="14" t="s">
        <v>179</v>
      </c>
      <c r="E187" s="14" t="s">
        <v>178</v>
      </c>
      <c r="F187" s="14" t="s">
        <v>150</v>
      </c>
      <c r="G187" s="14" t="s">
        <v>151</v>
      </c>
      <c r="H187" s="14">
        <v>20</v>
      </c>
      <c r="I187" s="14"/>
      <c r="J187" s="14"/>
    </row>
    <row r="188" spans="1:10" x14ac:dyDescent="0.25">
      <c r="A188" s="14">
        <f>IF(B188="","",COUNTA($B$4:B188))</f>
        <v>185</v>
      </c>
      <c r="B188" s="14" t="s">
        <v>1531</v>
      </c>
      <c r="C188" s="14" t="s">
        <v>181</v>
      </c>
      <c r="D188" s="14" t="s">
        <v>182</v>
      </c>
      <c r="E188" s="14" t="s">
        <v>181</v>
      </c>
      <c r="F188" s="14" t="s">
        <v>150</v>
      </c>
      <c r="G188" s="14" t="s">
        <v>151</v>
      </c>
      <c r="H188" s="14">
        <v>30</v>
      </c>
      <c r="I188" s="14"/>
      <c r="J188" s="14"/>
    </row>
    <row r="189" spans="1:10" x14ac:dyDescent="0.25">
      <c r="A189" s="14">
        <f>IF(B189="","",COUNTA($B$4:B189))</f>
        <v>186</v>
      </c>
      <c r="B189" s="14" t="s">
        <v>1531</v>
      </c>
      <c r="C189" s="14" t="s">
        <v>183</v>
      </c>
      <c r="D189" s="14" t="s">
        <v>184</v>
      </c>
      <c r="E189" s="14" t="s">
        <v>183</v>
      </c>
      <c r="F189" s="14" t="s">
        <v>150</v>
      </c>
      <c r="G189" s="14" t="s">
        <v>151</v>
      </c>
      <c r="H189" s="14">
        <v>1000</v>
      </c>
      <c r="I189" s="14"/>
      <c r="J189" s="14"/>
    </row>
    <row r="190" spans="1:10" x14ac:dyDescent="0.25">
      <c r="A190" s="14">
        <f>IF(B190="","",COUNTA($B$4:B190))</f>
        <v>187</v>
      </c>
      <c r="B190" s="14" t="s">
        <v>1531</v>
      </c>
      <c r="C190" s="14" t="s">
        <v>185</v>
      </c>
      <c r="D190" s="14" t="s">
        <v>186</v>
      </c>
      <c r="E190" s="14" t="s">
        <v>185</v>
      </c>
      <c r="F190" s="14" t="s">
        <v>150</v>
      </c>
      <c r="G190" s="14" t="s">
        <v>151</v>
      </c>
      <c r="H190" s="14">
        <v>75</v>
      </c>
      <c r="I190" s="14"/>
      <c r="J190" s="14"/>
    </row>
    <row r="191" spans="1:10" x14ac:dyDescent="0.25">
      <c r="A191" s="14">
        <f>IF(B191="","",COUNTA($B$4:B191))</f>
        <v>188</v>
      </c>
      <c r="B191" s="14" t="s">
        <v>1531</v>
      </c>
      <c r="C191" s="14" t="s">
        <v>193</v>
      </c>
      <c r="D191" s="14" t="s">
        <v>194</v>
      </c>
      <c r="E191" s="14" t="s">
        <v>193</v>
      </c>
      <c r="F191" s="14" t="s">
        <v>150</v>
      </c>
      <c r="G191" s="14" t="s">
        <v>151</v>
      </c>
      <c r="H191" s="14">
        <v>25</v>
      </c>
      <c r="I191" s="14"/>
      <c r="J191" s="14"/>
    </row>
    <row r="192" spans="1:10" x14ac:dyDescent="0.25">
      <c r="A192" s="14">
        <f>IF(B192="","",COUNTA($B$4:B192))</f>
        <v>189</v>
      </c>
      <c r="B192" s="14" t="s">
        <v>1531</v>
      </c>
      <c r="C192" s="14" t="s">
        <v>195</v>
      </c>
      <c r="D192" s="14" t="s">
        <v>196</v>
      </c>
      <c r="E192" s="14" t="s">
        <v>195</v>
      </c>
      <c r="F192" s="14" t="s">
        <v>150</v>
      </c>
      <c r="G192" s="14" t="s">
        <v>151</v>
      </c>
      <c r="H192" s="14">
        <v>400</v>
      </c>
      <c r="I192" s="14"/>
      <c r="J192" s="14"/>
    </row>
    <row r="193" spans="1:10" x14ac:dyDescent="0.25">
      <c r="A193" s="14">
        <f>IF(B193="","",COUNTA($B$4:B193))</f>
        <v>190</v>
      </c>
      <c r="B193" s="14" t="s">
        <v>1531</v>
      </c>
      <c r="C193" s="14" t="s">
        <v>197</v>
      </c>
      <c r="D193" s="14" t="s">
        <v>198</v>
      </c>
      <c r="E193" s="14" t="s">
        <v>197</v>
      </c>
      <c r="F193" s="14" t="s">
        <v>150</v>
      </c>
      <c r="G193" s="14" t="s">
        <v>151</v>
      </c>
      <c r="H193" s="14">
        <v>5</v>
      </c>
      <c r="I193" s="14"/>
      <c r="J193" s="14"/>
    </row>
    <row r="194" spans="1:10" x14ac:dyDescent="0.25">
      <c r="A194" s="14">
        <f>IF(B194="","",COUNTA($B$4:B194))</f>
        <v>191</v>
      </c>
      <c r="B194" s="14" t="s">
        <v>1531</v>
      </c>
      <c r="C194" s="14" t="s">
        <v>199</v>
      </c>
      <c r="D194" s="14" t="s">
        <v>200</v>
      </c>
      <c r="E194" s="14" t="s">
        <v>199</v>
      </c>
      <c r="F194" s="14" t="s">
        <v>150</v>
      </c>
      <c r="G194" s="14" t="s">
        <v>151</v>
      </c>
      <c r="H194" s="14">
        <v>20</v>
      </c>
      <c r="I194" s="14"/>
      <c r="J194" s="14"/>
    </row>
    <row r="195" spans="1:10" x14ac:dyDescent="0.25">
      <c r="A195" s="14">
        <f>IF(B195="","",COUNTA($B$4:B195))</f>
        <v>192</v>
      </c>
      <c r="B195" s="14" t="s">
        <v>1531</v>
      </c>
      <c r="C195" s="14" t="s">
        <v>201</v>
      </c>
      <c r="D195" s="14" t="s">
        <v>202</v>
      </c>
      <c r="E195" s="14" t="s">
        <v>201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 x14ac:dyDescent="0.25">
      <c r="A196" s="14">
        <f>IF(B196="","",COUNTA($B$4:B196))</f>
        <v>193</v>
      </c>
      <c r="B196" s="14" t="s">
        <v>1531</v>
      </c>
      <c r="C196" s="14" t="s">
        <v>621</v>
      </c>
      <c r="D196" s="14" t="s">
        <v>1399</v>
      </c>
      <c r="E196" s="14" t="s">
        <v>621</v>
      </c>
      <c r="F196" s="14" t="s">
        <v>150</v>
      </c>
      <c r="G196" s="14" t="s">
        <v>151</v>
      </c>
      <c r="H196" s="14">
        <v>30</v>
      </c>
      <c r="I196" s="14"/>
      <c r="J196" s="14"/>
    </row>
    <row r="197" spans="1:10" x14ac:dyDescent="0.25">
      <c r="A197" s="14">
        <f>IF(B197="","",COUNTA($B$4:B197))</f>
        <v>194</v>
      </c>
      <c r="B197" s="14" t="s">
        <v>1531</v>
      </c>
      <c r="C197" s="14" t="s">
        <v>287</v>
      </c>
      <c r="D197" s="14" t="s">
        <v>288</v>
      </c>
      <c r="E197" s="14" t="s">
        <v>287</v>
      </c>
      <c r="F197" s="14" t="s">
        <v>155</v>
      </c>
      <c r="G197" s="14" t="s">
        <v>156</v>
      </c>
      <c r="H197" s="14">
        <v>5</v>
      </c>
      <c r="I197" s="14"/>
      <c r="J197" s="14"/>
    </row>
    <row r="198" spans="1:10" x14ac:dyDescent="0.25">
      <c r="A198" s="14">
        <f>IF(B198="","",COUNTA($B$4:B198))</f>
        <v>195</v>
      </c>
      <c r="B198" s="14" t="s">
        <v>1531</v>
      </c>
      <c r="C198" s="14" t="s">
        <v>290</v>
      </c>
      <c r="D198" s="14" t="s">
        <v>291</v>
      </c>
      <c r="E198" s="14" t="s">
        <v>290</v>
      </c>
      <c r="F198" s="14" t="s">
        <v>155</v>
      </c>
      <c r="G198" s="14" t="s">
        <v>156</v>
      </c>
      <c r="H198" s="14">
        <v>5</v>
      </c>
      <c r="I198" s="14"/>
      <c r="J198" s="14"/>
    </row>
    <row r="199" spans="1:10" x14ac:dyDescent="0.25">
      <c r="A199" s="14">
        <f>IF(B199="","",COUNTA($B$4:B199))</f>
        <v>196</v>
      </c>
      <c r="B199" s="14" t="s">
        <v>1531</v>
      </c>
      <c r="C199" s="14" t="s">
        <v>292</v>
      </c>
      <c r="D199" s="14" t="s">
        <v>293</v>
      </c>
      <c r="E199" s="14" t="s">
        <v>292</v>
      </c>
      <c r="F199" s="14" t="s">
        <v>155</v>
      </c>
      <c r="G199" s="14" t="s">
        <v>156</v>
      </c>
      <c r="H199" s="14">
        <v>5</v>
      </c>
      <c r="I199" s="14"/>
      <c r="J199" s="14"/>
    </row>
    <row r="200" spans="1:10" x14ac:dyDescent="0.25">
      <c r="A200" s="14">
        <f>IF(B200="","",COUNTA($B$4:B200))</f>
        <v>197</v>
      </c>
      <c r="B200" s="14" t="s">
        <v>1531</v>
      </c>
      <c r="C200" s="14" t="s">
        <v>294</v>
      </c>
      <c r="D200" s="14" t="s">
        <v>295</v>
      </c>
      <c r="E200" s="14" t="s">
        <v>294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 x14ac:dyDescent="0.25">
      <c r="A201" s="14">
        <f>IF(B201="","",COUNTA($B$4:B201))</f>
        <v>198</v>
      </c>
      <c r="B201" s="14" t="s">
        <v>1531</v>
      </c>
      <c r="C201" s="14" t="s">
        <v>296</v>
      </c>
      <c r="D201" s="14" t="s">
        <v>297</v>
      </c>
      <c r="E201" s="14" t="s">
        <v>296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 x14ac:dyDescent="0.25">
      <c r="A202" s="14">
        <f>IF(B202="","",COUNTA($B$4:B202))</f>
        <v>199</v>
      </c>
      <c r="B202" s="14" t="s">
        <v>1531</v>
      </c>
      <c r="C202" s="14" t="s">
        <v>298</v>
      </c>
      <c r="D202" s="14" t="s">
        <v>299</v>
      </c>
      <c r="E202" s="14" t="s">
        <v>298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 x14ac:dyDescent="0.25">
      <c r="A203" s="14">
        <f>IF(B203="","",COUNTA($B$4:B203))</f>
        <v>200</v>
      </c>
      <c r="B203" s="14" t="s">
        <v>1531</v>
      </c>
      <c r="C203" s="14" t="s">
        <v>226</v>
      </c>
      <c r="D203" s="14" t="s">
        <v>227</v>
      </c>
      <c r="E203" s="14" t="s">
        <v>226</v>
      </c>
      <c r="F203" s="14" t="s">
        <v>150</v>
      </c>
      <c r="G203" s="14" t="s">
        <v>151</v>
      </c>
      <c r="H203" s="14">
        <v>3</v>
      </c>
      <c r="I203" s="14"/>
      <c r="J203" s="14"/>
    </row>
    <row r="204" spans="1:10" x14ac:dyDescent="0.25">
      <c r="A204" s="14">
        <f>IF(B204="","",COUNTA($B$4:B204))</f>
        <v>201</v>
      </c>
      <c r="B204" s="14" t="s">
        <v>1531</v>
      </c>
      <c r="C204" s="14" t="s">
        <v>228</v>
      </c>
      <c r="D204" s="14" t="s">
        <v>229</v>
      </c>
      <c r="E204" s="14" t="s">
        <v>228</v>
      </c>
      <c r="F204" s="14" t="s">
        <v>150</v>
      </c>
      <c r="G204" s="14" t="s">
        <v>151</v>
      </c>
      <c r="H204" s="14">
        <v>1000</v>
      </c>
      <c r="I204" s="14"/>
      <c r="J204" s="14"/>
    </row>
    <row r="205" spans="1:10" x14ac:dyDescent="0.25">
      <c r="A205" s="14">
        <f>IF(B205="","",COUNTA($B$4:B205))</f>
        <v>202</v>
      </c>
      <c r="B205" s="14" t="s">
        <v>1531</v>
      </c>
      <c r="C205" s="14" t="s">
        <v>230</v>
      </c>
      <c r="D205" s="14" t="s">
        <v>231</v>
      </c>
      <c r="E205" s="14" t="s">
        <v>230</v>
      </c>
      <c r="F205" s="14" t="s">
        <v>169</v>
      </c>
      <c r="G205" s="14" t="s">
        <v>170</v>
      </c>
      <c r="H205" s="14"/>
      <c r="I205" s="14"/>
      <c r="J205" s="14"/>
    </row>
    <row r="206" spans="1:10" x14ac:dyDescent="0.25">
      <c r="A206" s="14">
        <f>IF(B206="","",COUNTA($B$4:B206))</f>
        <v>203</v>
      </c>
      <c r="B206" s="14" t="s">
        <v>1531</v>
      </c>
      <c r="C206" s="14" t="s">
        <v>233</v>
      </c>
      <c r="D206" s="14" t="s">
        <v>234</v>
      </c>
      <c r="E206" s="14" t="s">
        <v>233</v>
      </c>
      <c r="F206" s="14" t="s">
        <v>155</v>
      </c>
      <c r="G206" s="14" t="s">
        <v>156</v>
      </c>
      <c r="H206" s="14">
        <v>1</v>
      </c>
      <c r="I206" s="14"/>
      <c r="J206" s="14"/>
    </row>
    <row r="207" spans="1:10" x14ac:dyDescent="0.25">
      <c r="A207" s="14">
        <f>IF(B207="","",COUNTA($B$4:B207))</f>
        <v>204</v>
      </c>
      <c r="B207" s="14" t="s">
        <v>1531</v>
      </c>
      <c r="C207" s="14" t="s">
        <v>236</v>
      </c>
      <c r="D207" s="14" t="s">
        <v>237</v>
      </c>
      <c r="E207" s="14" t="s">
        <v>236</v>
      </c>
      <c r="F207" s="14" t="s">
        <v>155</v>
      </c>
      <c r="G207" s="14" t="s">
        <v>156</v>
      </c>
      <c r="H207" s="14">
        <v>1</v>
      </c>
      <c r="I207" s="14"/>
      <c r="J207" s="14"/>
    </row>
    <row r="208" spans="1:10" x14ac:dyDescent="0.25">
      <c r="A208" s="14">
        <f>IF(B208="","",COUNTA($B$4:B208))</f>
        <v>205</v>
      </c>
      <c r="B208" s="14" t="s">
        <v>1531</v>
      </c>
      <c r="C208" s="14" t="s">
        <v>239</v>
      </c>
      <c r="D208" s="14" t="s">
        <v>240</v>
      </c>
      <c r="E208" s="14" t="s">
        <v>239</v>
      </c>
      <c r="F208" s="14" t="s">
        <v>169</v>
      </c>
      <c r="G208" s="14" t="s">
        <v>170</v>
      </c>
      <c r="H208" s="14"/>
      <c r="I208" s="14"/>
      <c r="J208" s="14"/>
    </row>
    <row r="209" spans="1:10" x14ac:dyDescent="0.25">
      <c r="A209" s="14">
        <f>IF(B209="","",COUNTA($B$4:B209))</f>
        <v>206</v>
      </c>
      <c r="B209" s="14" t="s">
        <v>1531</v>
      </c>
      <c r="C209" s="14" t="s">
        <v>241</v>
      </c>
      <c r="D209" s="14" t="s">
        <v>242</v>
      </c>
      <c r="E209" s="14" t="s">
        <v>241</v>
      </c>
      <c r="F209" s="14" t="s">
        <v>150</v>
      </c>
      <c r="G209" s="14" t="s">
        <v>243</v>
      </c>
      <c r="H209" s="14"/>
      <c r="I209" s="14" t="s">
        <v>244</v>
      </c>
      <c r="J209" s="14"/>
    </row>
    <row r="210" spans="1:10" x14ac:dyDescent="0.25">
      <c r="A210" s="14">
        <f>IF(B210="","",COUNTA($B$4:B210))</f>
        <v>207</v>
      </c>
      <c r="B210" s="14" t="s">
        <v>1531</v>
      </c>
      <c r="C210" s="14" t="s">
        <v>246</v>
      </c>
      <c r="D210" s="14" t="s">
        <v>247</v>
      </c>
      <c r="E210" s="14" t="s">
        <v>246</v>
      </c>
      <c r="F210" s="14" t="s">
        <v>150</v>
      </c>
      <c r="G210" s="14" t="s">
        <v>243</v>
      </c>
      <c r="H210" s="14"/>
      <c r="I210" s="14" t="s">
        <v>244</v>
      </c>
      <c r="J210" s="14"/>
    </row>
    <row r="211" spans="1:10" x14ac:dyDescent="0.25">
      <c r="A211" s="14">
        <f>IF(B211="","",COUNTA($B$4:B211))</f>
        <v>208</v>
      </c>
      <c r="B211" s="14" t="s">
        <v>1531</v>
      </c>
      <c r="C211" s="14" t="s">
        <v>249</v>
      </c>
      <c r="D211" s="14" t="s">
        <v>250</v>
      </c>
      <c r="E211" s="14" t="s">
        <v>249</v>
      </c>
      <c r="F211" s="14" t="s">
        <v>150</v>
      </c>
      <c r="G211" s="14" t="s">
        <v>151</v>
      </c>
      <c r="H211" s="14">
        <v>4</v>
      </c>
      <c r="I211" s="14"/>
      <c r="J211" s="14"/>
    </row>
    <row r="212" spans="1:10" x14ac:dyDescent="0.25">
      <c r="A212" s="14">
        <f>IF(B212="","",COUNTA($B$4:B212))</f>
        <v>209</v>
      </c>
      <c r="B212" s="14" t="s">
        <v>1531</v>
      </c>
      <c r="C212" s="14" t="s">
        <v>251</v>
      </c>
      <c r="D212" s="14" t="s">
        <v>252</v>
      </c>
      <c r="E212" s="14" t="s">
        <v>251</v>
      </c>
      <c r="F212" s="14" t="s">
        <v>150</v>
      </c>
      <c r="G212" s="14" t="s">
        <v>151</v>
      </c>
      <c r="H212" s="14">
        <v>4</v>
      </c>
      <c r="I212" s="14"/>
      <c r="J212" s="14"/>
    </row>
    <row r="213" spans="1:10" x14ac:dyDescent="0.25">
      <c r="A213" s="14">
        <f>IF(B213="","",COUNTA($B$4:B213))</f>
        <v>210</v>
      </c>
      <c r="B213" s="14" t="s">
        <v>1531</v>
      </c>
      <c r="C213" s="14" t="s">
        <v>253</v>
      </c>
      <c r="D213" s="14" t="s">
        <v>254</v>
      </c>
      <c r="E213" s="14" t="s">
        <v>253</v>
      </c>
      <c r="F213" s="14" t="s">
        <v>150</v>
      </c>
      <c r="G213" s="14" t="s">
        <v>151</v>
      </c>
      <c r="H213" s="14">
        <v>10</v>
      </c>
      <c r="I213" s="14"/>
      <c r="J213" s="14"/>
    </row>
    <row r="214" spans="1:10" x14ac:dyDescent="0.25">
      <c r="A214" s="14">
        <f>IF(B214="","",COUNTA($B$4:B214))</f>
        <v>211</v>
      </c>
      <c r="B214" s="14" t="s">
        <v>1531</v>
      </c>
      <c r="C214" s="14" t="s">
        <v>255</v>
      </c>
      <c r="D214" s="14" t="s">
        <v>256</v>
      </c>
      <c r="E214" s="14" t="s">
        <v>255</v>
      </c>
      <c r="F214" s="14" t="s">
        <v>150</v>
      </c>
      <c r="G214" s="14" t="s">
        <v>151</v>
      </c>
      <c r="H214" s="14">
        <v>10</v>
      </c>
      <c r="I214" s="14"/>
      <c r="J214" s="14"/>
    </row>
    <row r="215" spans="1:10" x14ac:dyDescent="0.25">
      <c r="A215" s="14">
        <f>IF(B215="","",COUNTA($B$4:B215))</f>
        <v>212</v>
      </c>
      <c r="B215" s="14" t="s">
        <v>1531</v>
      </c>
      <c r="C215" s="14" t="s">
        <v>257</v>
      </c>
      <c r="D215" s="14" t="s">
        <v>258</v>
      </c>
      <c r="E215" s="14" t="s">
        <v>257</v>
      </c>
      <c r="F215" s="14" t="s">
        <v>169</v>
      </c>
      <c r="G215" s="14" t="s">
        <v>243</v>
      </c>
      <c r="H215" s="14"/>
      <c r="I215" s="14"/>
      <c r="J215" s="14"/>
    </row>
    <row r="216" spans="1:10" x14ac:dyDescent="0.25">
      <c r="A216" s="14">
        <f>IF(B216="","",COUNTA($B$4:B216))</f>
        <v>213</v>
      </c>
      <c r="B216" s="14" t="s">
        <v>1531</v>
      </c>
      <c r="C216" s="14" t="s">
        <v>259</v>
      </c>
      <c r="D216" s="14" t="s">
        <v>260</v>
      </c>
      <c r="E216" s="14" t="s">
        <v>259</v>
      </c>
      <c r="F216" s="14" t="s">
        <v>150</v>
      </c>
      <c r="G216" s="14" t="s">
        <v>151</v>
      </c>
      <c r="H216" s="14">
        <v>10</v>
      </c>
      <c r="I216" s="14"/>
      <c r="J216" s="14"/>
    </row>
    <row r="217" spans="1:10" x14ac:dyDescent="0.25">
      <c r="A217" s="14">
        <f>IF(B217="","",COUNTA($B$4:B217))</f>
        <v>214</v>
      </c>
      <c r="B217" s="14" t="s">
        <v>1531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 x14ac:dyDescent="0.25">
      <c r="A218" s="14">
        <f>IF(B218="","",COUNTA($B$4:B218))</f>
        <v>215</v>
      </c>
      <c r="B218" s="14" t="s">
        <v>1531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</row>
    <row r="219" spans="1:10" x14ac:dyDescent="0.25">
      <c r="A219" s="14">
        <f>IF(B219="","",COUNTA($B$4:B219))</f>
        <v>216</v>
      </c>
      <c r="B219" s="14" t="s">
        <v>1532</v>
      </c>
      <c r="C219" s="14" t="s">
        <v>148</v>
      </c>
      <c r="D219" s="14" t="s">
        <v>149</v>
      </c>
      <c r="E219" s="14" t="s">
        <v>148</v>
      </c>
      <c r="F219" s="14" t="s">
        <v>150</v>
      </c>
      <c r="G219" s="14" t="s">
        <v>151</v>
      </c>
      <c r="H219" s="14">
        <v>15</v>
      </c>
      <c r="I219" s="14"/>
      <c r="J219" s="14"/>
    </row>
    <row r="220" spans="1:10" x14ac:dyDescent="0.25">
      <c r="A220" s="14">
        <f>IF(B220="","",COUNTA($B$4:B220))</f>
        <v>217</v>
      </c>
      <c r="B220" s="14" t="s">
        <v>1532</v>
      </c>
      <c r="C220" s="14" t="s">
        <v>157</v>
      </c>
      <c r="D220" s="14" t="s">
        <v>158</v>
      </c>
      <c r="E220" s="14" t="s">
        <v>157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 x14ac:dyDescent="0.25">
      <c r="A221" s="14">
        <f>IF(B221="","",COUNTA($B$4:B221))</f>
        <v>218</v>
      </c>
      <c r="B221" s="14" t="s">
        <v>1532</v>
      </c>
      <c r="C221" s="14" t="s">
        <v>159</v>
      </c>
      <c r="D221" s="14" t="s">
        <v>160</v>
      </c>
      <c r="E221" s="14" t="s">
        <v>159</v>
      </c>
      <c r="F221" s="14" t="s">
        <v>150</v>
      </c>
      <c r="G221" s="14" t="s">
        <v>151</v>
      </c>
      <c r="H221" s="14">
        <v>4</v>
      </c>
      <c r="I221" s="14"/>
      <c r="J221" s="14"/>
    </row>
    <row r="222" spans="1:10" x14ac:dyDescent="0.25">
      <c r="A222" s="14">
        <f>IF(B222="","",COUNTA($B$4:B222))</f>
        <v>219</v>
      </c>
      <c r="B222" s="14" t="s">
        <v>1532</v>
      </c>
      <c r="C222" s="14" t="s">
        <v>162</v>
      </c>
      <c r="D222" s="14" t="s">
        <v>163</v>
      </c>
      <c r="E222" s="14" t="s">
        <v>164</v>
      </c>
      <c r="F222" s="14" t="s">
        <v>150</v>
      </c>
      <c r="G222" s="14" t="s">
        <v>151</v>
      </c>
      <c r="H222" s="14">
        <v>4</v>
      </c>
      <c r="I222" s="14"/>
      <c r="J222" s="14"/>
    </row>
    <row r="223" spans="1:10" x14ac:dyDescent="0.25">
      <c r="A223" s="14">
        <f>IF(B223="","",COUNTA($B$4:B223))</f>
        <v>220</v>
      </c>
      <c r="B223" s="14" t="s">
        <v>1532</v>
      </c>
      <c r="C223" s="14" t="s">
        <v>166</v>
      </c>
      <c r="D223" s="14" t="s">
        <v>167</v>
      </c>
      <c r="E223" s="14" t="s">
        <v>168</v>
      </c>
      <c r="F223" s="14" t="s">
        <v>169</v>
      </c>
      <c r="G223" s="14" t="s">
        <v>170</v>
      </c>
      <c r="H223" s="14"/>
      <c r="I223" s="14"/>
      <c r="J223" s="14"/>
    </row>
    <row r="224" spans="1:10" x14ac:dyDescent="0.25">
      <c r="A224" s="14">
        <f>IF(B224="","",COUNTA($B$4:B224))</f>
        <v>221</v>
      </c>
      <c r="B224" s="14" t="s">
        <v>1532</v>
      </c>
      <c r="C224" s="14" t="s">
        <v>174</v>
      </c>
      <c r="D224" s="14" t="s">
        <v>175</v>
      </c>
      <c r="E224" s="14" t="s">
        <v>176</v>
      </c>
      <c r="F224" s="14" t="s">
        <v>169</v>
      </c>
      <c r="G224" s="14" t="s">
        <v>170</v>
      </c>
      <c r="H224" s="14"/>
      <c r="I224" s="14"/>
      <c r="J224" s="14"/>
    </row>
    <row r="225" spans="1:10" x14ac:dyDescent="0.25">
      <c r="A225" s="14">
        <f>IF(B225="","",COUNTA($B$4:B225))</f>
        <v>222</v>
      </c>
      <c r="B225" s="14" t="s">
        <v>1532</v>
      </c>
      <c r="C225" s="14" t="s">
        <v>172</v>
      </c>
      <c r="D225" s="14" t="s">
        <v>177</v>
      </c>
      <c r="E225" s="14" t="s">
        <v>172</v>
      </c>
      <c r="F225" s="14" t="s">
        <v>155</v>
      </c>
      <c r="G225" s="14" t="s">
        <v>156</v>
      </c>
      <c r="H225" s="14">
        <v>5</v>
      </c>
      <c r="I225" s="14">
        <v>1</v>
      </c>
      <c r="J225" s="14"/>
    </row>
    <row r="226" spans="1:10" x14ac:dyDescent="0.25">
      <c r="A226" s="14">
        <f>IF(B226="","",COUNTA($B$4:B226))</f>
        <v>223</v>
      </c>
      <c r="B226" s="14" t="s">
        <v>1532</v>
      </c>
      <c r="C226" s="14" t="s">
        <v>178</v>
      </c>
      <c r="D226" s="14" t="s">
        <v>179</v>
      </c>
      <c r="E226" s="14" t="s">
        <v>178</v>
      </c>
      <c r="F226" s="14" t="s">
        <v>150</v>
      </c>
      <c r="G226" s="14" t="s">
        <v>151</v>
      </c>
      <c r="H226" s="14">
        <v>20</v>
      </c>
      <c r="I226" s="14"/>
      <c r="J226" s="14"/>
    </row>
    <row r="227" spans="1:10" x14ac:dyDescent="0.25">
      <c r="A227" s="14">
        <f>IF(B227="","",COUNTA($B$4:B227))</f>
        <v>224</v>
      </c>
      <c r="B227" s="14" t="s">
        <v>1532</v>
      </c>
      <c r="C227" s="14" t="s">
        <v>1489</v>
      </c>
      <c r="D227" s="14" t="s">
        <v>1422</v>
      </c>
      <c r="E227" s="14" t="s">
        <v>1489</v>
      </c>
      <c r="F227" s="14" t="s">
        <v>150</v>
      </c>
      <c r="G227" s="14" t="s">
        <v>151</v>
      </c>
      <c r="H227" s="14">
        <v>30</v>
      </c>
      <c r="I227" s="14"/>
      <c r="J227" s="14"/>
    </row>
    <row r="228" spans="1:10" x14ac:dyDescent="0.25">
      <c r="A228" s="14">
        <f>IF(B228="","",COUNTA($B$4:B228))</f>
        <v>225</v>
      </c>
      <c r="B228" s="14" t="s">
        <v>1532</v>
      </c>
      <c r="C228" s="14" t="s">
        <v>1394</v>
      </c>
      <c r="D228" s="14" t="s">
        <v>1395</v>
      </c>
      <c r="E228" s="14" t="s">
        <v>1394</v>
      </c>
      <c r="F228" s="14" t="s">
        <v>150</v>
      </c>
      <c r="G228" s="14" t="s">
        <v>151</v>
      </c>
      <c r="H228" s="14">
        <v>30</v>
      </c>
      <c r="I228" s="14"/>
      <c r="J228" s="14"/>
    </row>
    <row r="229" spans="1:10" x14ac:dyDescent="0.25">
      <c r="A229" s="14">
        <f>IF(B229="","",COUNTA($B$4:B229))</f>
        <v>226</v>
      </c>
      <c r="B229" s="14" t="s">
        <v>1532</v>
      </c>
      <c r="C229" s="14" t="s">
        <v>197</v>
      </c>
      <c r="D229" s="14" t="s">
        <v>198</v>
      </c>
      <c r="E229" s="14" t="s">
        <v>197</v>
      </c>
      <c r="F229" s="14" t="s">
        <v>150</v>
      </c>
      <c r="G229" s="14" t="s">
        <v>151</v>
      </c>
      <c r="H229" s="14">
        <v>5</v>
      </c>
      <c r="I229" s="14"/>
      <c r="J229" s="14"/>
    </row>
    <row r="230" spans="1:10" x14ac:dyDescent="0.25">
      <c r="A230" s="14">
        <f>IF(B230="","",COUNTA($B$4:B230))</f>
        <v>227</v>
      </c>
      <c r="B230" s="14" t="s">
        <v>1532</v>
      </c>
      <c r="C230" s="14" t="s">
        <v>199</v>
      </c>
      <c r="D230" s="14" t="s">
        <v>200</v>
      </c>
      <c r="E230" s="14" t="s">
        <v>199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 x14ac:dyDescent="0.25">
      <c r="A231" s="14">
        <f>IF(B231="","",COUNTA($B$4:B231))</f>
        <v>228</v>
      </c>
      <c r="B231" s="14" t="s">
        <v>1532</v>
      </c>
      <c r="C231" s="14" t="s">
        <v>201</v>
      </c>
      <c r="D231" s="14" t="s">
        <v>202</v>
      </c>
      <c r="E231" s="14" t="s">
        <v>201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 x14ac:dyDescent="0.25">
      <c r="A232" s="14">
        <f>IF(B232="","",COUNTA($B$4:B232))</f>
        <v>229</v>
      </c>
      <c r="B232" s="14" t="s">
        <v>1532</v>
      </c>
      <c r="C232" s="14" t="s">
        <v>1472</v>
      </c>
      <c r="D232" s="14" t="s">
        <v>1470</v>
      </c>
      <c r="E232" s="14" t="s">
        <v>1472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 x14ac:dyDescent="0.25">
      <c r="A233" s="14">
        <f>IF(B233="","",COUNTA($B$4:B233))</f>
        <v>230</v>
      </c>
      <c r="B233" s="14" t="s">
        <v>1532</v>
      </c>
      <c r="C233" s="14" t="s">
        <v>298</v>
      </c>
      <c r="D233" s="14" t="s">
        <v>299</v>
      </c>
      <c r="E233" s="14" t="s">
        <v>298</v>
      </c>
      <c r="F233" s="14" t="s">
        <v>155</v>
      </c>
      <c r="G233" s="14" t="s">
        <v>156</v>
      </c>
      <c r="H233" s="14">
        <v>5</v>
      </c>
      <c r="I233" s="14"/>
      <c r="J233" s="14"/>
    </row>
    <row r="234" spans="1:10" x14ac:dyDescent="0.25">
      <c r="A234" s="14">
        <f>IF(B234="","",COUNTA($B$4:B234))</f>
        <v>231</v>
      </c>
      <c r="B234" s="14" t="s">
        <v>1532</v>
      </c>
      <c r="C234" s="14" t="s">
        <v>226</v>
      </c>
      <c r="D234" s="14" t="s">
        <v>227</v>
      </c>
      <c r="E234" s="14" t="s">
        <v>226</v>
      </c>
      <c r="F234" s="14" t="s">
        <v>150</v>
      </c>
      <c r="G234" s="14" t="s">
        <v>151</v>
      </c>
      <c r="H234" s="14">
        <v>3</v>
      </c>
      <c r="I234" s="14"/>
      <c r="J234" s="14"/>
    </row>
    <row r="235" spans="1:10" x14ac:dyDescent="0.25">
      <c r="A235" s="14">
        <f>IF(B235="","",COUNTA($B$4:B235))</f>
        <v>232</v>
      </c>
      <c r="B235" s="14" t="s">
        <v>1532</v>
      </c>
      <c r="C235" s="14" t="s">
        <v>228</v>
      </c>
      <c r="D235" s="14" t="s">
        <v>229</v>
      </c>
      <c r="E235" s="14" t="s">
        <v>228</v>
      </c>
      <c r="F235" s="14" t="s">
        <v>150</v>
      </c>
      <c r="G235" s="14" t="s">
        <v>151</v>
      </c>
      <c r="H235" s="14">
        <v>1000</v>
      </c>
      <c r="I235" s="14"/>
      <c r="J235" s="14"/>
    </row>
    <row r="236" spans="1:10" x14ac:dyDescent="0.25">
      <c r="A236" s="14">
        <f>IF(B236="","",COUNTA($B$4:B236))</f>
        <v>233</v>
      </c>
      <c r="B236" s="14" t="s">
        <v>1532</v>
      </c>
      <c r="C236" s="14" t="s">
        <v>230</v>
      </c>
      <c r="D236" s="14" t="s">
        <v>231</v>
      </c>
      <c r="E236" s="14" t="s">
        <v>230</v>
      </c>
      <c r="F236" s="14" t="s">
        <v>169</v>
      </c>
      <c r="G236" s="14" t="s">
        <v>170</v>
      </c>
      <c r="H236" s="14"/>
      <c r="I236" s="14"/>
      <c r="J236" s="14"/>
    </row>
    <row r="237" spans="1:10" x14ac:dyDescent="0.25">
      <c r="A237" s="14">
        <f>IF(B237="","",COUNTA($B$4:B237))</f>
        <v>234</v>
      </c>
      <c r="B237" s="14" t="s">
        <v>1532</v>
      </c>
      <c r="C237" s="14" t="s">
        <v>233</v>
      </c>
      <c r="D237" s="14" t="s">
        <v>234</v>
      </c>
      <c r="E237" s="14" t="s">
        <v>233</v>
      </c>
      <c r="F237" s="14" t="s">
        <v>155</v>
      </c>
      <c r="G237" s="14" t="s">
        <v>156</v>
      </c>
      <c r="H237" s="14">
        <v>1</v>
      </c>
      <c r="I237" s="14"/>
      <c r="J237" s="14"/>
    </row>
    <row r="238" spans="1:10" x14ac:dyDescent="0.25">
      <c r="A238" s="14">
        <f>IF(B238="","",COUNTA($B$4:B238))</f>
        <v>235</v>
      </c>
      <c r="B238" s="14" t="s">
        <v>1532</v>
      </c>
      <c r="C238" s="14" t="s">
        <v>239</v>
      </c>
      <c r="D238" s="14" t="s">
        <v>240</v>
      </c>
      <c r="E238" s="14" t="s">
        <v>239</v>
      </c>
      <c r="F238" s="14" t="s">
        <v>169</v>
      </c>
      <c r="G238" s="14" t="s">
        <v>170</v>
      </c>
      <c r="H238" s="14"/>
      <c r="I238" s="14"/>
      <c r="J238" s="14"/>
    </row>
    <row r="239" spans="1:10" x14ac:dyDescent="0.25">
      <c r="A239" s="14">
        <f>IF(B239="","",COUNTA($B$4:B239))</f>
        <v>236</v>
      </c>
      <c r="B239" s="14" t="s">
        <v>1532</v>
      </c>
      <c r="C239" s="14" t="s">
        <v>241</v>
      </c>
      <c r="D239" s="14" t="s">
        <v>242</v>
      </c>
      <c r="E239" s="14" t="s">
        <v>241</v>
      </c>
      <c r="F239" s="14" t="s">
        <v>150</v>
      </c>
      <c r="G239" s="14" t="s">
        <v>243</v>
      </c>
      <c r="H239" s="14"/>
      <c r="I239" s="14" t="s">
        <v>244</v>
      </c>
      <c r="J239" s="14"/>
    </row>
    <row r="240" spans="1:10" x14ac:dyDescent="0.25">
      <c r="A240" s="14">
        <f>IF(B240="","",COUNTA($B$4:B240))</f>
        <v>237</v>
      </c>
      <c r="B240" s="14" t="s">
        <v>1532</v>
      </c>
      <c r="C240" s="14" t="s">
        <v>246</v>
      </c>
      <c r="D240" s="14" t="s">
        <v>247</v>
      </c>
      <c r="E240" s="14" t="s">
        <v>246</v>
      </c>
      <c r="F240" s="14" t="s">
        <v>150</v>
      </c>
      <c r="G240" s="14" t="s">
        <v>243</v>
      </c>
      <c r="H240" s="14"/>
      <c r="I240" s="14" t="s">
        <v>244</v>
      </c>
      <c r="J240" s="14"/>
    </row>
    <row r="241" spans="1:10" x14ac:dyDescent="0.25">
      <c r="A241" s="14">
        <f>IF(B241="","",COUNTA($B$4:B241))</f>
        <v>238</v>
      </c>
      <c r="B241" s="14" t="s">
        <v>1532</v>
      </c>
      <c r="C241" s="14" t="s">
        <v>249</v>
      </c>
      <c r="D241" s="14" t="s">
        <v>250</v>
      </c>
      <c r="E241" s="14" t="s">
        <v>249</v>
      </c>
      <c r="F241" s="14" t="s">
        <v>150</v>
      </c>
      <c r="G241" s="14" t="s">
        <v>151</v>
      </c>
      <c r="H241" s="14">
        <v>4</v>
      </c>
      <c r="I241" s="14"/>
      <c r="J241" s="14"/>
    </row>
    <row r="242" spans="1:10" x14ac:dyDescent="0.25">
      <c r="A242" s="14">
        <f>IF(B242="","",COUNTA($B$4:B242))</f>
        <v>239</v>
      </c>
      <c r="B242" s="14" t="s">
        <v>1532</v>
      </c>
      <c r="C242" s="14" t="s">
        <v>251</v>
      </c>
      <c r="D242" s="14" t="s">
        <v>252</v>
      </c>
      <c r="E242" s="14" t="s">
        <v>251</v>
      </c>
      <c r="F242" s="14" t="s">
        <v>150</v>
      </c>
      <c r="G242" s="14" t="s">
        <v>151</v>
      </c>
      <c r="H242" s="14">
        <v>4</v>
      </c>
      <c r="I242" s="14"/>
      <c r="J242" s="14"/>
    </row>
    <row r="243" spans="1:10" x14ac:dyDescent="0.25">
      <c r="A243" s="14">
        <f>IF(B243="","",COUNTA($B$4:B243))</f>
        <v>240</v>
      </c>
      <c r="B243" s="14" t="s">
        <v>1532</v>
      </c>
      <c r="C243" s="14" t="s">
        <v>253</v>
      </c>
      <c r="D243" s="14" t="s">
        <v>254</v>
      </c>
      <c r="E243" s="14" t="s">
        <v>253</v>
      </c>
      <c r="F243" s="14" t="s">
        <v>150</v>
      </c>
      <c r="G243" s="14" t="s">
        <v>151</v>
      </c>
      <c r="H243" s="14">
        <v>10</v>
      </c>
      <c r="I243" s="14"/>
      <c r="J243" s="14"/>
    </row>
    <row r="244" spans="1:10" x14ac:dyDescent="0.25">
      <c r="A244" s="14">
        <f>IF(B244="","",COUNTA($B$4:B244))</f>
        <v>241</v>
      </c>
      <c r="B244" s="14" t="s">
        <v>1532</v>
      </c>
      <c r="C244" s="14" t="s">
        <v>255</v>
      </c>
      <c r="D244" s="14" t="s">
        <v>256</v>
      </c>
      <c r="E244" s="14" t="s">
        <v>255</v>
      </c>
      <c r="F244" s="14" t="s">
        <v>150</v>
      </c>
      <c r="G244" s="14" t="s">
        <v>151</v>
      </c>
      <c r="H244" s="14">
        <v>10</v>
      </c>
      <c r="I244" s="14"/>
      <c r="J244" s="14"/>
    </row>
    <row r="245" spans="1:10" x14ac:dyDescent="0.25">
      <c r="A245" s="14">
        <f>IF(B245="","",COUNTA($B$4:B245))</f>
        <v>242</v>
      </c>
      <c r="B245" s="14" t="s">
        <v>1532</v>
      </c>
      <c r="C245" s="14" t="s">
        <v>257</v>
      </c>
      <c r="D245" s="14" t="s">
        <v>258</v>
      </c>
      <c r="E245" s="14" t="s">
        <v>257</v>
      </c>
      <c r="F245" s="14" t="s">
        <v>169</v>
      </c>
      <c r="G245" s="14" t="s">
        <v>243</v>
      </c>
      <c r="H245" s="14"/>
      <c r="I245" s="14"/>
      <c r="J245" s="14"/>
    </row>
    <row r="246" spans="1:10" x14ac:dyDescent="0.25">
      <c r="A246" s="14">
        <f>IF(B246="","",COUNTA($B$4:B246))</f>
        <v>243</v>
      </c>
      <c r="B246" s="14" t="s">
        <v>1532</v>
      </c>
      <c r="C246" s="14" t="s">
        <v>259</v>
      </c>
      <c r="D246" s="14" t="s">
        <v>260</v>
      </c>
      <c r="E246" s="14" t="s">
        <v>259</v>
      </c>
      <c r="F246" s="14" t="s">
        <v>150</v>
      </c>
      <c r="G246" s="14" t="s">
        <v>151</v>
      </c>
      <c r="H246" s="14">
        <v>10</v>
      </c>
      <c r="I246" s="14"/>
      <c r="J246" s="14"/>
    </row>
    <row r="247" spans="1:10" x14ac:dyDescent="0.25">
      <c r="A247" s="14">
        <f>IF(B247="","",COUNTA($B$4:B247))</f>
        <v>244</v>
      </c>
      <c r="B247" s="14" t="s">
        <v>1532</v>
      </c>
      <c r="C247" s="14" t="s">
        <v>261</v>
      </c>
      <c r="D247" s="14" t="s">
        <v>262</v>
      </c>
      <c r="E247" s="14" t="s">
        <v>261</v>
      </c>
      <c r="F247" s="14" t="s">
        <v>150</v>
      </c>
      <c r="G247" s="14" t="s">
        <v>151</v>
      </c>
      <c r="H247" s="14">
        <v>10</v>
      </c>
      <c r="I247" s="14"/>
      <c r="J247" s="14"/>
    </row>
    <row r="248" spans="1:10" x14ac:dyDescent="0.25">
      <c r="A248" s="14">
        <f>IF(B248="","",COUNTA($B$4:B248))</f>
        <v>245</v>
      </c>
      <c r="B248" s="14" t="s">
        <v>1532</v>
      </c>
      <c r="C248" s="14" t="s">
        <v>263</v>
      </c>
      <c r="D248" s="14" t="s">
        <v>264</v>
      </c>
      <c r="E248" s="14" t="s">
        <v>263</v>
      </c>
      <c r="F248" s="14" t="s">
        <v>169</v>
      </c>
      <c r="G248" s="14" t="s">
        <v>243</v>
      </c>
      <c r="H248" s="14"/>
      <c r="I248" s="14"/>
      <c r="J248" s="14"/>
    </row>
    <row r="249" spans="1:10" x14ac:dyDescent="0.25">
      <c r="A249" s="14">
        <f>IF(B249="","",COUNTA($B$4:B249))</f>
        <v>246</v>
      </c>
      <c r="B249" s="14" t="s">
        <v>1533</v>
      </c>
      <c r="C249" s="14" t="s">
        <v>148</v>
      </c>
      <c r="D249" s="14" t="s">
        <v>149</v>
      </c>
      <c r="E249" s="14" t="s">
        <v>148</v>
      </c>
      <c r="F249" s="14" t="s">
        <v>150</v>
      </c>
      <c r="G249" s="14" t="s">
        <v>151</v>
      </c>
      <c r="H249" s="14">
        <v>15</v>
      </c>
      <c r="I249" s="14"/>
      <c r="J249" s="14"/>
    </row>
    <row r="250" spans="1:10" x14ac:dyDescent="0.25">
      <c r="A250" s="14">
        <f>IF(B250="","",COUNTA($B$4:B250))</f>
        <v>247</v>
      </c>
      <c r="B250" s="14" t="s">
        <v>1533</v>
      </c>
      <c r="C250" s="14" t="s">
        <v>1460</v>
      </c>
      <c r="D250" s="14" t="s">
        <v>1397</v>
      </c>
      <c r="E250" s="14" t="s">
        <v>1460</v>
      </c>
      <c r="F250" s="14" t="s">
        <v>155</v>
      </c>
      <c r="G250" s="14" t="s">
        <v>156</v>
      </c>
      <c r="H250" s="14">
        <v>5</v>
      </c>
      <c r="I250" s="14"/>
      <c r="J250" s="14"/>
    </row>
    <row r="251" spans="1:10" x14ac:dyDescent="0.25">
      <c r="A251" s="14">
        <f>IF(B251="","",COUNTA($B$4:B251))</f>
        <v>248</v>
      </c>
      <c r="B251" s="14" t="s">
        <v>1533</v>
      </c>
      <c r="C251" s="14" t="s">
        <v>153</v>
      </c>
      <c r="D251" s="14" t="s">
        <v>154</v>
      </c>
      <c r="E251" s="14" t="s">
        <v>153</v>
      </c>
      <c r="F251" s="14" t="s">
        <v>155</v>
      </c>
      <c r="G251" s="14" t="s">
        <v>156</v>
      </c>
      <c r="H251" s="14">
        <v>3</v>
      </c>
      <c r="I251" s="14"/>
      <c r="J251" s="14"/>
    </row>
    <row r="252" spans="1:10" x14ac:dyDescent="0.25">
      <c r="A252" s="14">
        <f>IF(B252="","",COUNTA($B$4:B252))</f>
        <v>249</v>
      </c>
      <c r="B252" s="14" t="s">
        <v>1533</v>
      </c>
      <c r="C252" s="14" t="s">
        <v>157</v>
      </c>
      <c r="D252" s="14" t="s">
        <v>158</v>
      </c>
      <c r="E252" s="14" t="s">
        <v>157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 x14ac:dyDescent="0.25">
      <c r="A253" s="14">
        <f>IF(B253="","",COUNTA($B$4:B253))</f>
        <v>250</v>
      </c>
      <c r="B253" s="14" t="s">
        <v>1533</v>
      </c>
      <c r="C253" s="14" t="s">
        <v>159</v>
      </c>
      <c r="D253" s="14" t="s">
        <v>160</v>
      </c>
      <c r="E253" s="14" t="s">
        <v>159</v>
      </c>
      <c r="F253" s="14" t="s">
        <v>150</v>
      </c>
      <c r="G253" s="14" t="s">
        <v>151</v>
      </c>
      <c r="H253" s="14">
        <v>4</v>
      </c>
      <c r="I253" s="14"/>
      <c r="J253" s="14"/>
    </row>
    <row r="254" spans="1:10" x14ac:dyDescent="0.25">
      <c r="A254" s="14">
        <f>IF(B254="","",COUNTA($B$4:B254))</f>
        <v>251</v>
      </c>
      <c r="B254" s="14" t="s">
        <v>1533</v>
      </c>
      <c r="C254" s="14" t="s">
        <v>162</v>
      </c>
      <c r="D254" s="14" t="s">
        <v>163</v>
      </c>
      <c r="E254" s="14" t="s">
        <v>164</v>
      </c>
      <c r="F254" s="14" t="s">
        <v>150</v>
      </c>
      <c r="G254" s="14" t="s">
        <v>151</v>
      </c>
      <c r="H254" s="14">
        <v>4</v>
      </c>
      <c r="I254" s="14"/>
      <c r="J254" s="14"/>
    </row>
    <row r="255" spans="1:10" x14ac:dyDescent="0.25">
      <c r="A255" s="14">
        <f>IF(B255="","",COUNTA($B$4:B255))</f>
        <v>252</v>
      </c>
      <c r="B255" s="14" t="s">
        <v>1533</v>
      </c>
      <c r="C255" s="14" t="s">
        <v>166</v>
      </c>
      <c r="D255" s="14" t="s">
        <v>167</v>
      </c>
      <c r="E255" s="14" t="s">
        <v>1561</v>
      </c>
      <c r="F255" s="14" t="s">
        <v>169</v>
      </c>
      <c r="G255" s="14" t="s">
        <v>170</v>
      </c>
      <c r="H255" s="14"/>
      <c r="I255" s="14"/>
      <c r="J255" s="14"/>
    </row>
    <row r="256" spans="1:10" x14ac:dyDescent="0.25">
      <c r="A256" s="14">
        <f>IF(B256="","",COUNTA($B$4:B256))</f>
        <v>253</v>
      </c>
      <c r="B256" s="14" t="s">
        <v>1533</v>
      </c>
      <c r="C256" s="14" t="s">
        <v>174</v>
      </c>
      <c r="D256" s="14" t="s">
        <v>175</v>
      </c>
      <c r="E256" s="14" t="s">
        <v>176</v>
      </c>
      <c r="F256" s="14" t="s">
        <v>169</v>
      </c>
      <c r="G256" s="14" t="s">
        <v>170</v>
      </c>
      <c r="H256" s="14"/>
      <c r="I256" s="14"/>
      <c r="J256" s="14"/>
    </row>
    <row r="257" spans="1:10" x14ac:dyDescent="0.25">
      <c r="A257" s="14">
        <f>IF(B257="","",COUNTA($B$4:B257))</f>
        <v>254</v>
      </c>
      <c r="B257" s="14" t="s">
        <v>1533</v>
      </c>
      <c r="C257" s="14" t="s">
        <v>172</v>
      </c>
      <c r="D257" s="14" t="s">
        <v>177</v>
      </c>
      <c r="E257" s="14" t="s">
        <v>172</v>
      </c>
      <c r="F257" s="14" t="s">
        <v>155</v>
      </c>
      <c r="G257" s="14" t="s">
        <v>156</v>
      </c>
      <c r="H257" s="14">
        <v>5</v>
      </c>
      <c r="I257" s="14">
        <v>1</v>
      </c>
      <c r="J257" s="14"/>
    </row>
    <row r="258" spans="1:10" x14ac:dyDescent="0.25">
      <c r="A258" s="14">
        <f>IF(B258="","",COUNTA($B$4:B258))</f>
        <v>255</v>
      </c>
      <c r="B258" s="14" t="s">
        <v>1533</v>
      </c>
      <c r="C258" s="14" t="s">
        <v>303</v>
      </c>
      <c r="D258" s="14" t="s">
        <v>304</v>
      </c>
      <c r="E258" s="14" t="s">
        <v>303</v>
      </c>
      <c r="F258" s="14" t="s">
        <v>169</v>
      </c>
      <c r="G258" s="14" t="s">
        <v>170</v>
      </c>
      <c r="H258" s="14"/>
      <c r="I258" s="14"/>
      <c r="J258" s="14"/>
    </row>
    <row r="259" spans="1:10" x14ac:dyDescent="0.25">
      <c r="A259" s="14">
        <f>IF(B259="","",COUNTA($B$4:B259))</f>
        <v>256</v>
      </c>
      <c r="B259" s="14" t="s">
        <v>1533</v>
      </c>
      <c r="C259" s="14" t="s">
        <v>305</v>
      </c>
      <c r="D259" s="14" t="s">
        <v>306</v>
      </c>
      <c r="E259" s="14" t="s">
        <v>305</v>
      </c>
      <c r="F259" s="14" t="s">
        <v>150</v>
      </c>
      <c r="G259" s="14" t="s">
        <v>151</v>
      </c>
      <c r="H259" s="14">
        <v>10</v>
      </c>
      <c r="I259" s="14" t="s">
        <v>244</v>
      </c>
      <c r="J259" s="14"/>
    </row>
    <row r="260" spans="1:10" x14ac:dyDescent="0.25">
      <c r="A260" s="14">
        <f>IF(B260="","",COUNTA($B$4:B260))</f>
        <v>257</v>
      </c>
      <c r="B260" s="14" t="s">
        <v>1533</v>
      </c>
      <c r="C260" s="14" t="s">
        <v>307</v>
      </c>
      <c r="D260" s="14" t="s">
        <v>308</v>
      </c>
      <c r="E260" s="14" t="s">
        <v>307</v>
      </c>
      <c r="F260" s="14" t="s">
        <v>169</v>
      </c>
      <c r="G260" s="14" t="s">
        <v>170</v>
      </c>
      <c r="H260" s="14"/>
      <c r="I260" s="14"/>
      <c r="J260" s="14"/>
    </row>
    <row r="261" spans="1:10" x14ac:dyDescent="0.25">
      <c r="A261" s="14">
        <f>IF(B261="","",COUNTA($B$4:B261))</f>
        <v>258</v>
      </c>
      <c r="B261" s="14" t="s">
        <v>1533</v>
      </c>
      <c r="C261" s="14" t="s">
        <v>178</v>
      </c>
      <c r="D261" s="14" t="s">
        <v>179</v>
      </c>
      <c r="E261" s="14" t="s">
        <v>178</v>
      </c>
      <c r="F261" s="14" t="s">
        <v>150</v>
      </c>
      <c r="G261" s="14" t="s">
        <v>151</v>
      </c>
      <c r="H261" s="14">
        <v>20</v>
      </c>
      <c r="I261" s="14"/>
      <c r="J261" s="14"/>
    </row>
    <row r="262" spans="1:10" x14ac:dyDescent="0.25">
      <c r="A262" s="14">
        <f>IF(B262="","",COUNTA($B$4:B262))</f>
        <v>259</v>
      </c>
      <c r="B262" s="14" t="s">
        <v>1533</v>
      </c>
      <c r="C262" s="14" t="s">
        <v>181</v>
      </c>
      <c r="D262" s="14" t="s">
        <v>182</v>
      </c>
      <c r="E262" s="14" t="s">
        <v>181</v>
      </c>
      <c r="F262" s="14" t="s">
        <v>150</v>
      </c>
      <c r="G262" s="14" t="s">
        <v>151</v>
      </c>
      <c r="H262" s="14">
        <v>30</v>
      </c>
      <c r="I262" s="14"/>
      <c r="J262" s="14"/>
    </row>
    <row r="263" spans="1:10" x14ac:dyDescent="0.25">
      <c r="A263" s="14">
        <f>IF(B263="","",COUNTA($B$4:B263))</f>
        <v>260</v>
      </c>
      <c r="B263" s="14" t="s">
        <v>1533</v>
      </c>
      <c r="C263" s="14" t="s">
        <v>183</v>
      </c>
      <c r="D263" s="14" t="s">
        <v>184</v>
      </c>
      <c r="E263" s="14" t="s">
        <v>183</v>
      </c>
      <c r="F263" s="14" t="s">
        <v>150</v>
      </c>
      <c r="G263" s="14" t="s">
        <v>151</v>
      </c>
      <c r="H263" s="14">
        <v>1000</v>
      </c>
      <c r="I263" s="14"/>
      <c r="J263" s="14"/>
    </row>
    <row r="264" spans="1:10" x14ac:dyDescent="0.25">
      <c r="A264" s="14">
        <f>IF(B264="","",COUNTA($B$4:B264))</f>
        <v>261</v>
      </c>
      <c r="B264" s="14" t="s">
        <v>1533</v>
      </c>
      <c r="C264" s="14" t="s">
        <v>187</v>
      </c>
      <c r="D264" s="14" t="s">
        <v>188</v>
      </c>
      <c r="E264" s="14" t="s">
        <v>187</v>
      </c>
      <c r="F264" s="14" t="s">
        <v>155</v>
      </c>
      <c r="G264" s="14" t="s">
        <v>156</v>
      </c>
      <c r="H264" s="14">
        <v>3</v>
      </c>
      <c r="I264" s="14"/>
      <c r="J264" s="14"/>
    </row>
    <row r="265" spans="1:10" x14ac:dyDescent="0.25">
      <c r="A265" s="14">
        <f>IF(B265="","",COUNTA($B$4:B265))</f>
        <v>262</v>
      </c>
      <c r="B265" s="14" t="s">
        <v>1533</v>
      </c>
      <c r="C265" s="14" t="s">
        <v>189</v>
      </c>
      <c r="D265" s="14" t="s">
        <v>190</v>
      </c>
      <c r="E265" s="14" t="s">
        <v>189</v>
      </c>
      <c r="F265" s="14" t="s">
        <v>155</v>
      </c>
      <c r="G265" s="14" t="s">
        <v>156</v>
      </c>
      <c r="H265" s="14">
        <v>3</v>
      </c>
      <c r="I265" s="14"/>
      <c r="J265" s="14"/>
    </row>
    <row r="266" spans="1:10" x14ac:dyDescent="0.25">
      <c r="A266" s="14">
        <f>IF(B266="","",COUNTA($B$4:B266))</f>
        <v>263</v>
      </c>
      <c r="B266" s="14" t="s">
        <v>1533</v>
      </c>
      <c r="C266" s="14" t="s">
        <v>193</v>
      </c>
      <c r="D266" s="14" t="s">
        <v>194</v>
      </c>
      <c r="E266" s="14" t="s">
        <v>193</v>
      </c>
      <c r="F266" s="14" t="s">
        <v>150</v>
      </c>
      <c r="G266" s="14" t="s">
        <v>151</v>
      </c>
      <c r="H266" s="14">
        <v>25</v>
      </c>
      <c r="I266" s="14"/>
      <c r="J266" s="14"/>
    </row>
    <row r="267" spans="1:10" x14ac:dyDescent="0.25">
      <c r="A267" s="14">
        <f>IF(B267="","",COUNTA($B$4:B267))</f>
        <v>264</v>
      </c>
      <c r="B267" s="14" t="s">
        <v>1533</v>
      </c>
      <c r="C267" s="14" t="s">
        <v>195</v>
      </c>
      <c r="D267" s="14" t="s">
        <v>196</v>
      </c>
      <c r="E267" s="14" t="s">
        <v>195</v>
      </c>
      <c r="F267" s="14" t="s">
        <v>150</v>
      </c>
      <c r="G267" s="14" t="s">
        <v>151</v>
      </c>
      <c r="H267" s="14">
        <v>400</v>
      </c>
      <c r="I267" s="14"/>
      <c r="J267" s="14"/>
    </row>
    <row r="268" spans="1:10" x14ac:dyDescent="0.25">
      <c r="A268" s="14">
        <f>IF(B268="","",COUNTA($B$4:B268))</f>
        <v>265</v>
      </c>
      <c r="B268" s="14" t="s">
        <v>1533</v>
      </c>
      <c r="C268" s="14" t="s">
        <v>197</v>
      </c>
      <c r="D268" s="14" t="s">
        <v>198</v>
      </c>
      <c r="E268" s="14" t="s">
        <v>197</v>
      </c>
      <c r="F268" s="14" t="s">
        <v>150</v>
      </c>
      <c r="G268" s="14" t="s">
        <v>151</v>
      </c>
      <c r="H268" s="14">
        <v>5</v>
      </c>
      <c r="I268" s="14"/>
      <c r="J268" s="14"/>
    </row>
    <row r="269" spans="1:10" x14ac:dyDescent="0.25">
      <c r="A269" s="14">
        <f>IF(B269="","",COUNTA($B$4:B269))</f>
        <v>266</v>
      </c>
      <c r="B269" s="14" t="s">
        <v>1533</v>
      </c>
      <c r="C269" s="14" t="s">
        <v>199</v>
      </c>
      <c r="D269" s="14" t="s">
        <v>200</v>
      </c>
      <c r="E269" s="14" t="s">
        <v>199</v>
      </c>
      <c r="F269" s="14" t="s">
        <v>150</v>
      </c>
      <c r="G269" s="14" t="s">
        <v>151</v>
      </c>
      <c r="H269" s="14">
        <v>20</v>
      </c>
      <c r="I269" s="14"/>
      <c r="J269" s="14"/>
    </row>
    <row r="270" spans="1:10" x14ac:dyDescent="0.25">
      <c r="A270" s="14">
        <f>IF(B270="","",COUNTA($B$4:B270))</f>
        <v>267</v>
      </c>
      <c r="B270" s="14" t="s">
        <v>1533</v>
      </c>
      <c r="C270" s="14" t="s">
        <v>201</v>
      </c>
      <c r="D270" s="14" t="s">
        <v>202</v>
      </c>
      <c r="E270" s="14" t="s">
        <v>201</v>
      </c>
      <c r="F270" s="14" t="s">
        <v>150</v>
      </c>
      <c r="G270" s="14" t="s">
        <v>151</v>
      </c>
      <c r="H270" s="14">
        <v>30</v>
      </c>
      <c r="I270" s="14"/>
      <c r="J270" s="14"/>
    </row>
    <row r="271" spans="1:10" x14ac:dyDescent="0.25">
      <c r="A271" s="14">
        <f>IF(B271="","",COUNTA($B$4:B271))</f>
        <v>268</v>
      </c>
      <c r="B271" s="14" t="s">
        <v>1533</v>
      </c>
      <c r="C271" s="14" t="s">
        <v>203</v>
      </c>
      <c r="D271" s="14" t="s">
        <v>204</v>
      </c>
      <c r="E271" s="14" t="s">
        <v>203</v>
      </c>
      <c r="F271" s="14" t="s">
        <v>155</v>
      </c>
      <c r="G271" s="14" t="s">
        <v>156</v>
      </c>
      <c r="H271" s="14">
        <v>5</v>
      </c>
      <c r="I271" s="14">
        <v>2</v>
      </c>
      <c r="J271" s="14"/>
    </row>
    <row r="272" spans="1:10" x14ac:dyDescent="0.25">
      <c r="A272" s="14">
        <f>IF(B272="","",COUNTA($B$4:B272))</f>
        <v>269</v>
      </c>
      <c r="B272" s="14" t="s">
        <v>1533</v>
      </c>
      <c r="C272" s="14" t="s">
        <v>205</v>
      </c>
      <c r="D272" s="14" t="s">
        <v>206</v>
      </c>
      <c r="E272" s="14" t="s">
        <v>205</v>
      </c>
      <c r="F272" s="14" t="s">
        <v>155</v>
      </c>
      <c r="G272" s="14" t="s">
        <v>156</v>
      </c>
      <c r="H272" s="14">
        <v>4</v>
      </c>
      <c r="I272" s="14"/>
      <c r="J272" s="14"/>
    </row>
    <row r="273" spans="1:10" x14ac:dyDescent="0.25">
      <c r="A273" s="14">
        <f>IF(B273="","",COUNTA($B$4:B273))</f>
        <v>270</v>
      </c>
      <c r="B273" s="14" t="s">
        <v>1533</v>
      </c>
      <c r="C273" s="14" t="s">
        <v>208</v>
      </c>
      <c r="D273" s="14" t="s">
        <v>209</v>
      </c>
      <c r="E273" s="14" t="s">
        <v>208</v>
      </c>
      <c r="F273" s="14" t="s">
        <v>155</v>
      </c>
      <c r="G273" s="14" t="s">
        <v>156</v>
      </c>
      <c r="H273" s="14">
        <v>5</v>
      </c>
      <c r="I273" s="14"/>
      <c r="J273" s="14"/>
    </row>
    <row r="274" spans="1:10" x14ac:dyDescent="0.25">
      <c r="A274" s="14">
        <f>IF(B274="","",COUNTA($B$4:B274))</f>
        <v>271</v>
      </c>
      <c r="B274" s="14" t="s">
        <v>1533</v>
      </c>
      <c r="C274" s="14" t="s">
        <v>673</v>
      </c>
      <c r="D274" s="14" t="s">
        <v>1402</v>
      </c>
      <c r="E274" s="14" t="s">
        <v>673</v>
      </c>
      <c r="F274" s="14" t="s">
        <v>150</v>
      </c>
      <c r="G274" s="14" t="s">
        <v>151</v>
      </c>
      <c r="H274" s="14">
        <v>4</v>
      </c>
      <c r="I274" s="14"/>
      <c r="J274" s="14"/>
    </row>
    <row r="275" spans="1:10" x14ac:dyDescent="0.25">
      <c r="A275" s="14">
        <f>IF(B275="","",COUNTA($B$4:B275))</f>
        <v>272</v>
      </c>
      <c r="B275" s="14" t="s">
        <v>1533</v>
      </c>
      <c r="C275" s="14" t="s">
        <v>309</v>
      </c>
      <c r="D275" s="14" t="s">
        <v>310</v>
      </c>
      <c r="E275" s="14" t="s">
        <v>309</v>
      </c>
      <c r="F275" s="14" t="s">
        <v>155</v>
      </c>
      <c r="G275" s="14" t="s">
        <v>156</v>
      </c>
      <c r="H275" s="14">
        <v>5</v>
      </c>
      <c r="I275" s="14"/>
      <c r="J275" s="14"/>
    </row>
    <row r="276" spans="1:10" x14ac:dyDescent="0.25">
      <c r="A276" s="14">
        <f>IF(B276="","",COUNTA($B$4:B276))</f>
        <v>273</v>
      </c>
      <c r="B276" s="14" t="s">
        <v>1533</v>
      </c>
      <c r="C276" s="14" t="s">
        <v>211</v>
      </c>
      <c r="D276" s="14" t="s">
        <v>212</v>
      </c>
      <c r="E276" s="14" t="s">
        <v>211</v>
      </c>
      <c r="F276" s="14" t="s">
        <v>155</v>
      </c>
      <c r="G276" s="14" t="s">
        <v>156</v>
      </c>
      <c r="H276" s="14">
        <v>5</v>
      </c>
      <c r="I276" s="14"/>
      <c r="J276" s="14"/>
    </row>
    <row r="277" spans="1:10" x14ac:dyDescent="0.25">
      <c r="A277" s="14">
        <f>IF(B277="","",COUNTA($B$4:B277))</f>
        <v>274</v>
      </c>
      <c r="B277" s="14" t="s">
        <v>1533</v>
      </c>
      <c r="C277" s="14" t="s">
        <v>311</v>
      </c>
      <c r="D277" s="14" t="s">
        <v>312</v>
      </c>
      <c r="E277" s="14" t="s">
        <v>311</v>
      </c>
      <c r="F277" s="14" t="s">
        <v>155</v>
      </c>
      <c r="G277" s="14" t="s">
        <v>156</v>
      </c>
      <c r="H277" s="14">
        <v>5</v>
      </c>
      <c r="I277" s="14"/>
      <c r="J277" s="14"/>
    </row>
    <row r="278" spans="1:10" x14ac:dyDescent="0.25">
      <c r="A278" s="14">
        <f>IF(B278="","",COUNTA($B$4:B278))</f>
        <v>275</v>
      </c>
      <c r="B278" s="14" t="s">
        <v>1533</v>
      </c>
      <c r="C278" s="14" t="s">
        <v>228</v>
      </c>
      <c r="D278" s="14" t="s">
        <v>229</v>
      </c>
      <c r="E278" s="14" t="s">
        <v>228</v>
      </c>
      <c r="F278" s="14" t="s">
        <v>150</v>
      </c>
      <c r="G278" s="14" t="s">
        <v>151</v>
      </c>
      <c r="H278" s="14">
        <v>1000</v>
      </c>
      <c r="I278" s="14"/>
      <c r="J278" s="14"/>
    </row>
    <row r="279" spans="1:10" x14ac:dyDescent="0.25">
      <c r="A279" s="14">
        <f>IF(B279="","",COUNTA($B$4:B279))</f>
        <v>276</v>
      </c>
      <c r="B279" s="14" t="s">
        <v>1533</v>
      </c>
      <c r="C279" s="14" t="s">
        <v>314</v>
      </c>
      <c r="D279" s="14" t="s">
        <v>315</v>
      </c>
      <c r="E279" s="14" t="s">
        <v>314</v>
      </c>
      <c r="F279" s="14" t="s">
        <v>150</v>
      </c>
      <c r="G279" s="14" t="s">
        <v>151</v>
      </c>
      <c r="H279" s="14">
        <v>5</v>
      </c>
      <c r="I279" s="14"/>
      <c r="J279" s="14"/>
    </row>
    <row r="280" spans="1:10" x14ac:dyDescent="0.25">
      <c r="A280" s="14">
        <f>IF(B280="","",COUNTA($B$4:B280))</f>
        <v>277</v>
      </c>
      <c r="B280" s="14" t="s">
        <v>1533</v>
      </c>
      <c r="C280" s="14" t="s">
        <v>316</v>
      </c>
      <c r="D280" s="14" t="s">
        <v>317</v>
      </c>
      <c r="E280" s="14" t="s">
        <v>316</v>
      </c>
      <c r="F280" s="14" t="s">
        <v>150</v>
      </c>
      <c r="G280" s="14" t="s">
        <v>151</v>
      </c>
      <c r="H280" s="14">
        <v>20</v>
      </c>
      <c r="I280" s="14"/>
      <c r="J280" s="14"/>
    </row>
    <row r="281" spans="1:10" x14ac:dyDescent="0.25">
      <c r="A281" s="14">
        <f>IF(B281="","",COUNTA($B$4:B281))</f>
        <v>278</v>
      </c>
      <c r="B281" s="14" t="s">
        <v>1533</v>
      </c>
      <c r="C281" s="14" t="s">
        <v>318</v>
      </c>
      <c r="D281" s="14" t="s">
        <v>319</v>
      </c>
      <c r="E281" s="14" t="s">
        <v>318</v>
      </c>
      <c r="F281" s="14" t="s">
        <v>150</v>
      </c>
      <c r="G281" s="14" t="s">
        <v>151</v>
      </c>
      <c r="H281" s="14">
        <v>30</v>
      </c>
      <c r="I281" s="14"/>
      <c r="J281" s="14"/>
    </row>
    <row r="282" spans="1:10" x14ac:dyDescent="0.25">
      <c r="A282" s="14">
        <f>IF(B282="","",COUNTA($B$4:B282))</f>
        <v>279</v>
      </c>
      <c r="B282" s="14" t="s">
        <v>1533</v>
      </c>
      <c r="C282" s="14" t="s">
        <v>320</v>
      </c>
      <c r="D282" s="14" t="s">
        <v>321</v>
      </c>
      <c r="E282" s="14" t="s">
        <v>320</v>
      </c>
      <c r="F282" s="14" t="s">
        <v>155</v>
      </c>
      <c r="G282" s="14" t="s">
        <v>156</v>
      </c>
      <c r="H282" s="14">
        <v>5</v>
      </c>
      <c r="I282" s="14">
        <v>2</v>
      </c>
      <c r="J282" s="14"/>
    </row>
    <row r="283" spans="1:10" x14ac:dyDescent="0.25">
      <c r="A283" s="14">
        <f>IF(B283="","",COUNTA($B$4:B283))</f>
        <v>280</v>
      </c>
      <c r="B283" s="14" t="s">
        <v>1533</v>
      </c>
      <c r="C283" s="14" t="s">
        <v>322</v>
      </c>
      <c r="D283" s="14" t="s">
        <v>323</v>
      </c>
      <c r="E283" s="14" t="s">
        <v>322</v>
      </c>
      <c r="F283" s="14" t="s">
        <v>155</v>
      </c>
      <c r="G283" s="14" t="s">
        <v>156</v>
      </c>
      <c r="H283" s="14">
        <v>4</v>
      </c>
      <c r="I283" s="14"/>
      <c r="J283" s="14"/>
    </row>
    <row r="284" spans="1:10" x14ac:dyDescent="0.25">
      <c r="A284" s="14">
        <f>IF(B284="","",COUNTA($B$4:B284))</f>
        <v>281</v>
      </c>
      <c r="B284" s="14" t="s">
        <v>1533</v>
      </c>
      <c r="C284" s="14" t="s">
        <v>324</v>
      </c>
      <c r="D284" s="14" t="s">
        <v>325</v>
      </c>
      <c r="E284" s="14" t="s">
        <v>324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 x14ac:dyDescent="0.25">
      <c r="A285" s="14">
        <f>IF(B285="","",COUNTA($B$4:B285))</f>
        <v>282</v>
      </c>
      <c r="B285" s="14" t="s">
        <v>1533</v>
      </c>
      <c r="C285" s="14" t="s">
        <v>326</v>
      </c>
      <c r="D285" s="14" t="s">
        <v>327</v>
      </c>
      <c r="E285" s="14" t="s">
        <v>326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 x14ac:dyDescent="0.25">
      <c r="A286" s="14">
        <f>IF(B286="","",COUNTA($B$4:B286))</f>
        <v>283</v>
      </c>
      <c r="B286" s="14" t="s">
        <v>1533</v>
      </c>
      <c r="C286" s="14" t="s">
        <v>328</v>
      </c>
      <c r="D286" s="14" t="s">
        <v>329</v>
      </c>
      <c r="E286" s="14" t="s">
        <v>328</v>
      </c>
      <c r="F286" s="14" t="s">
        <v>150</v>
      </c>
      <c r="G286" s="14" t="s">
        <v>151</v>
      </c>
      <c r="H286" s="14">
        <v>1000</v>
      </c>
      <c r="I286" s="14"/>
      <c r="J286" s="14"/>
    </row>
    <row r="287" spans="1:10" x14ac:dyDescent="0.25">
      <c r="A287" s="14">
        <f>IF(B287="","",COUNTA($B$4:B287))</f>
        <v>284</v>
      </c>
      <c r="B287" s="14" t="s">
        <v>1533</v>
      </c>
      <c r="C287" s="14" t="s">
        <v>330</v>
      </c>
      <c r="D287" s="14" t="s">
        <v>331</v>
      </c>
      <c r="E287" s="14" t="s">
        <v>330</v>
      </c>
      <c r="F287" s="14" t="s">
        <v>150</v>
      </c>
      <c r="G287" s="14" t="s">
        <v>151</v>
      </c>
      <c r="H287" s="14">
        <v>100</v>
      </c>
      <c r="I287" s="14"/>
      <c r="J287" s="14"/>
    </row>
    <row r="288" spans="1:10" x14ac:dyDescent="0.25">
      <c r="A288" s="14">
        <f>IF(B288="","",COUNTA($B$4:B288))</f>
        <v>285</v>
      </c>
      <c r="B288" s="14" t="s">
        <v>1533</v>
      </c>
      <c r="C288" s="14" t="s">
        <v>294</v>
      </c>
      <c r="D288" s="14" t="s">
        <v>295</v>
      </c>
      <c r="E288" s="14" t="s">
        <v>294</v>
      </c>
      <c r="F288" s="14" t="s">
        <v>155</v>
      </c>
      <c r="G288" s="14" t="s">
        <v>156</v>
      </c>
      <c r="H288" s="14">
        <v>5</v>
      </c>
      <c r="I288" s="14"/>
      <c r="J288" s="14"/>
    </row>
    <row r="289" spans="1:10" x14ac:dyDescent="0.25">
      <c r="A289" s="14">
        <f>IF(B289="","",COUNTA($B$4:B289))</f>
        <v>286</v>
      </c>
      <c r="B289" s="14" t="s">
        <v>1533</v>
      </c>
      <c r="C289" s="14" t="s">
        <v>226</v>
      </c>
      <c r="D289" s="14" t="s">
        <v>227</v>
      </c>
      <c r="E289" s="14" t="s">
        <v>226</v>
      </c>
      <c r="F289" s="14" t="s">
        <v>150</v>
      </c>
      <c r="G289" s="14" t="s">
        <v>151</v>
      </c>
      <c r="H289" s="14">
        <v>3</v>
      </c>
      <c r="I289" s="14"/>
      <c r="J289" s="14"/>
    </row>
    <row r="290" spans="1:10" x14ac:dyDescent="0.25">
      <c r="A290" s="14">
        <f>IF(B290="","",COUNTA($B$4:B290))</f>
        <v>287</v>
      </c>
      <c r="B290" s="14" t="s">
        <v>1533</v>
      </c>
      <c r="C290" s="14" t="s">
        <v>332</v>
      </c>
      <c r="D290" s="14" t="s">
        <v>333</v>
      </c>
      <c r="E290" s="14" t="s">
        <v>332</v>
      </c>
      <c r="F290" s="14" t="s">
        <v>155</v>
      </c>
      <c r="G290" s="14" t="s">
        <v>156</v>
      </c>
      <c r="H290" s="14">
        <v>1</v>
      </c>
      <c r="I290" s="14"/>
      <c r="J290" s="14"/>
    </row>
    <row r="291" spans="1:10" x14ac:dyDescent="0.25">
      <c r="A291" s="14">
        <f>IF(B291="","",COUNTA($B$4:B291))</f>
        <v>288</v>
      </c>
      <c r="B291" s="14" t="s">
        <v>1533</v>
      </c>
      <c r="C291" s="14" t="s">
        <v>335</v>
      </c>
      <c r="D291" s="14" t="s">
        <v>336</v>
      </c>
      <c r="E291" s="14" t="s">
        <v>335</v>
      </c>
      <c r="F291" s="14" t="s">
        <v>155</v>
      </c>
      <c r="G291" s="14" t="s">
        <v>156</v>
      </c>
      <c r="H291" s="14">
        <v>1</v>
      </c>
      <c r="I291" s="14"/>
      <c r="J291" s="14"/>
    </row>
    <row r="292" spans="1:10" x14ac:dyDescent="0.25">
      <c r="A292" s="14">
        <f>IF(B292="","",COUNTA($B$4:B292))</f>
        <v>289</v>
      </c>
      <c r="B292" s="14" t="s">
        <v>1533</v>
      </c>
      <c r="C292" s="14" t="s">
        <v>230</v>
      </c>
      <c r="D292" s="14" t="s">
        <v>231</v>
      </c>
      <c r="E292" s="14" t="s">
        <v>230</v>
      </c>
      <c r="F292" s="14" t="s">
        <v>169</v>
      </c>
      <c r="G292" s="14" t="s">
        <v>170</v>
      </c>
      <c r="H292" s="14"/>
      <c r="I292" s="14"/>
      <c r="J292" s="14"/>
    </row>
    <row r="293" spans="1:10" x14ac:dyDescent="0.25">
      <c r="A293" s="14">
        <f>IF(B293="","",COUNTA($B$4:B293))</f>
        <v>290</v>
      </c>
      <c r="B293" s="14" t="s">
        <v>1533</v>
      </c>
      <c r="C293" s="14" t="s">
        <v>233</v>
      </c>
      <c r="D293" s="14" t="s">
        <v>234</v>
      </c>
      <c r="E293" s="14" t="s">
        <v>233</v>
      </c>
      <c r="F293" s="14" t="s">
        <v>155</v>
      </c>
      <c r="G293" s="14" t="s">
        <v>156</v>
      </c>
      <c r="H293" s="14">
        <v>1</v>
      </c>
      <c r="I293" s="14"/>
      <c r="J293" s="14"/>
    </row>
    <row r="294" spans="1:10" x14ac:dyDescent="0.25">
      <c r="A294" s="14">
        <f>IF(B294="","",COUNTA($B$4:B294))</f>
        <v>291</v>
      </c>
      <c r="B294" s="14" t="s">
        <v>1533</v>
      </c>
      <c r="C294" s="14" t="s">
        <v>236</v>
      </c>
      <c r="D294" s="14" t="s">
        <v>237</v>
      </c>
      <c r="E294" s="14" t="s">
        <v>236</v>
      </c>
      <c r="F294" s="14" t="s">
        <v>155</v>
      </c>
      <c r="G294" s="14" t="s">
        <v>156</v>
      </c>
      <c r="H294" s="14">
        <v>1</v>
      </c>
      <c r="I294" s="14"/>
      <c r="J294" s="14"/>
    </row>
    <row r="295" spans="1:10" x14ac:dyDescent="0.25">
      <c r="A295" s="14">
        <f>IF(B295="","",COUNTA($B$4:B295))</f>
        <v>292</v>
      </c>
      <c r="B295" s="14" t="s">
        <v>1533</v>
      </c>
      <c r="C295" s="14" t="s">
        <v>239</v>
      </c>
      <c r="D295" s="14" t="s">
        <v>240</v>
      </c>
      <c r="E295" s="14" t="s">
        <v>239</v>
      </c>
      <c r="F295" s="14" t="s">
        <v>169</v>
      </c>
      <c r="G295" s="14" t="s">
        <v>170</v>
      </c>
      <c r="H295" s="14"/>
      <c r="I295" s="14"/>
      <c r="J295" s="14"/>
    </row>
    <row r="296" spans="1:10" x14ac:dyDescent="0.25">
      <c r="A296" s="14">
        <f>IF(B296="","",COUNTA($B$4:B296))</f>
        <v>293</v>
      </c>
      <c r="B296" s="14" t="s">
        <v>1533</v>
      </c>
      <c r="C296" s="14" t="s">
        <v>241</v>
      </c>
      <c r="D296" s="14" t="s">
        <v>242</v>
      </c>
      <c r="E296" s="14" t="s">
        <v>241</v>
      </c>
      <c r="F296" s="14" t="s">
        <v>150</v>
      </c>
      <c r="G296" s="14" t="s">
        <v>243</v>
      </c>
      <c r="H296" s="14"/>
      <c r="I296" s="14" t="s">
        <v>244</v>
      </c>
      <c r="J296" s="14"/>
    </row>
    <row r="297" spans="1:10" x14ac:dyDescent="0.25">
      <c r="A297" s="14">
        <f>IF(B297="","",COUNTA($B$4:B297))</f>
        <v>294</v>
      </c>
      <c r="B297" s="14" t="s">
        <v>1533</v>
      </c>
      <c r="C297" s="14" t="s">
        <v>246</v>
      </c>
      <c r="D297" s="14" t="s">
        <v>247</v>
      </c>
      <c r="E297" s="14" t="s">
        <v>246</v>
      </c>
      <c r="F297" s="14" t="s">
        <v>150</v>
      </c>
      <c r="G297" s="14" t="s">
        <v>243</v>
      </c>
      <c r="H297" s="14"/>
      <c r="I297" s="14" t="s">
        <v>244</v>
      </c>
      <c r="J297" s="14"/>
    </row>
    <row r="298" spans="1:10" x14ac:dyDescent="0.25">
      <c r="A298" s="14">
        <f>IF(B298="","",COUNTA($B$4:B298))</f>
        <v>295</v>
      </c>
      <c r="B298" s="14" t="s">
        <v>1533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</row>
    <row r="299" spans="1:10" x14ac:dyDescent="0.25">
      <c r="A299" s="14">
        <f>IF(B299="","",COUNTA($B$4:B299))</f>
        <v>296</v>
      </c>
      <c r="B299" s="14" t="s">
        <v>1533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4"/>
    </row>
    <row r="300" spans="1:10" x14ac:dyDescent="0.25">
      <c r="A300" s="14">
        <f>IF(B300="","",COUNTA($B$4:B300))</f>
        <v>297</v>
      </c>
      <c r="B300" s="14" t="s">
        <v>1533</v>
      </c>
      <c r="C300" s="14" t="s">
        <v>253</v>
      </c>
      <c r="D300" s="14" t="s">
        <v>254</v>
      </c>
      <c r="E300" s="14" t="s">
        <v>253</v>
      </c>
      <c r="F300" s="14" t="s">
        <v>150</v>
      </c>
      <c r="G300" s="14" t="s">
        <v>151</v>
      </c>
      <c r="H300" s="14">
        <v>10</v>
      </c>
      <c r="I300" s="14"/>
      <c r="J300" s="14"/>
    </row>
    <row r="301" spans="1:10" x14ac:dyDescent="0.25">
      <c r="A301" s="14">
        <f>IF(B301="","",COUNTA($B$4:B301))</f>
        <v>298</v>
      </c>
      <c r="B301" s="14" t="s">
        <v>1533</v>
      </c>
      <c r="C301" s="14" t="s">
        <v>255</v>
      </c>
      <c r="D301" s="14" t="s">
        <v>256</v>
      </c>
      <c r="E301" s="14" t="s">
        <v>255</v>
      </c>
      <c r="F301" s="14" t="s">
        <v>150</v>
      </c>
      <c r="G301" s="14" t="s">
        <v>151</v>
      </c>
      <c r="H301" s="14">
        <v>10</v>
      </c>
      <c r="I301" s="14"/>
      <c r="J301" s="14"/>
    </row>
    <row r="302" spans="1:10" x14ac:dyDescent="0.25">
      <c r="A302" s="14">
        <f>IF(B302="","",COUNTA($B$4:B302))</f>
        <v>299</v>
      </c>
      <c r="B302" s="14" t="s">
        <v>1533</v>
      </c>
      <c r="C302" s="14" t="s">
        <v>257</v>
      </c>
      <c r="D302" s="14" t="s">
        <v>258</v>
      </c>
      <c r="E302" s="14" t="s">
        <v>257</v>
      </c>
      <c r="F302" s="14" t="s">
        <v>169</v>
      </c>
      <c r="G302" s="14" t="s">
        <v>243</v>
      </c>
      <c r="H302" s="14"/>
      <c r="I302" s="14"/>
      <c r="J302" s="14"/>
    </row>
    <row r="303" spans="1:10" x14ac:dyDescent="0.25">
      <c r="A303" s="14">
        <f>IF(B303="","",COUNTA($B$4:B303))</f>
        <v>300</v>
      </c>
      <c r="B303" s="14" t="s">
        <v>1533</v>
      </c>
      <c r="C303" s="14" t="s">
        <v>259</v>
      </c>
      <c r="D303" s="14" t="s">
        <v>260</v>
      </c>
      <c r="E303" s="14" t="s">
        <v>259</v>
      </c>
      <c r="F303" s="14" t="s">
        <v>150</v>
      </c>
      <c r="G303" s="14" t="s">
        <v>151</v>
      </c>
      <c r="H303" s="14">
        <v>10</v>
      </c>
      <c r="I303" s="14"/>
      <c r="J303" s="14"/>
    </row>
    <row r="304" spans="1:10" x14ac:dyDescent="0.25">
      <c r="A304" s="14">
        <f>IF(B304="","",COUNTA($B$4:B304))</f>
        <v>301</v>
      </c>
      <c r="B304" s="14" t="s">
        <v>1533</v>
      </c>
      <c r="C304" s="14" t="s">
        <v>261</v>
      </c>
      <c r="D304" s="14" t="s">
        <v>262</v>
      </c>
      <c r="E304" s="14" t="s">
        <v>261</v>
      </c>
      <c r="F304" s="14" t="s">
        <v>150</v>
      </c>
      <c r="G304" s="14" t="s">
        <v>151</v>
      </c>
      <c r="H304" s="14">
        <v>10</v>
      </c>
      <c r="I304" s="14"/>
      <c r="J304" s="14"/>
    </row>
    <row r="305" spans="1:10" x14ac:dyDescent="0.25">
      <c r="A305" s="14">
        <f>IF(B305="","",COUNTA($B$4:B305))</f>
        <v>302</v>
      </c>
      <c r="B305" s="14" t="s">
        <v>1533</v>
      </c>
      <c r="C305" s="14" t="s">
        <v>263</v>
      </c>
      <c r="D305" s="14" t="s">
        <v>264</v>
      </c>
      <c r="E305" s="14" t="s">
        <v>263</v>
      </c>
      <c r="F305" s="14" t="s">
        <v>169</v>
      </c>
      <c r="G305" s="14" t="s">
        <v>243</v>
      </c>
      <c r="H305" s="14"/>
      <c r="I305" s="14"/>
      <c r="J305" s="14"/>
    </row>
    <row r="306" spans="1:10" x14ac:dyDescent="0.25">
      <c r="A306" s="14">
        <f>IF(B306="","",COUNTA($B$4:B306))</f>
        <v>303</v>
      </c>
      <c r="B306" s="14" t="s">
        <v>1534</v>
      </c>
      <c r="C306" s="14" t="s">
        <v>148</v>
      </c>
      <c r="D306" s="14" t="s">
        <v>149</v>
      </c>
      <c r="E306" s="14" t="s">
        <v>148</v>
      </c>
      <c r="F306" s="14" t="s">
        <v>150</v>
      </c>
      <c r="G306" s="14" t="s">
        <v>151</v>
      </c>
      <c r="H306" s="14">
        <v>15</v>
      </c>
      <c r="I306" s="14"/>
      <c r="J306" s="14"/>
    </row>
    <row r="307" spans="1:10" x14ac:dyDescent="0.25">
      <c r="A307" s="14">
        <f>IF(B307="","",COUNTA($B$4:B307))</f>
        <v>304</v>
      </c>
      <c r="B307" s="14" t="s">
        <v>1534</v>
      </c>
      <c r="C307" s="14" t="s">
        <v>338</v>
      </c>
      <c r="D307" s="14" t="s">
        <v>339</v>
      </c>
      <c r="E307" s="14" t="s">
        <v>338</v>
      </c>
      <c r="F307" s="14" t="s">
        <v>155</v>
      </c>
      <c r="G307" s="14" t="s">
        <v>156</v>
      </c>
      <c r="H307" s="14">
        <v>3</v>
      </c>
      <c r="I307" s="14"/>
      <c r="J307" s="14"/>
    </row>
    <row r="308" spans="1:10" x14ac:dyDescent="0.25">
      <c r="A308" s="14">
        <f>IF(B308="","",COUNTA($B$4:B308))</f>
        <v>305</v>
      </c>
      <c r="B308" s="14" t="s">
        <v>1534</v>
      </c>
      <c r="C308" s="14" t="s">
        <v>157</v>
      </c>
      <c r="D308" s="14" t="s">
        <v>158</v>
      </c>
      <c r="E308" s="14" t="s">
        <v>157</v>
      </c>
      <c r="F308" s="14" t="s">
        <v>150</v>
      </c>
      <c r="G308" s="14" t="s">
        <v>151</v>
      </c>
      <c r="H308" s="14">
        <v>10</v>
      </c>
      <c r="I308" s="14"/>
      <c r="J308" s="14"/>
    </row>
    <row r="309" spans="1:10" x14ac:dyDescent="0.25">
      <c r="A309" s="14">
        <f>IF(B309="","",COUNTA($B$4:B309))</f>
        <v>306</v>
      </c>
      <c r="B309" s="14" t="s">
        <v>1534</v>
      </c>
      <c r="C309" s="14" t="s">
        <v>159</v>
      </c>
      <c r="D309" s="14" t="s">
        <v>160</v>
      </c>
      <c r="E309" s="14" t="s">
        <v>159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 x14ac:dyDescent="0.25">
      <c r="A310" s="14">
        <f>IF(B310="","",COUNTA($B$4:B310))</f>
        <v>307</v>
      </c>
      <c r="B310" s="14" t="s">
        <v>1534</v>
      </c>
      <c r="C310" s="14" t="s">
        <v>342</v>
      </c>
      <c r="D310" s="14" t="s">
        <v>343</v>
      </c>
      <c r="E310" s="14" t="s">
        <v>342</v>
      </c>
      <c r="F310" s="14" t="s">
        <v>150</v>
      </c>
      <c r="G310" s="14" t="s">
        <v>151</v>
      </c>
      <c r="H310" s="14">
        <v>5</v>
      </c>
      <c r="I310" s="14"/>
      <c r="J310" s="14"/>
    </row>
    <row r="311" spans="1:10" x14ac:dyDescent="0.25">
      <c r="A311" s="14">
        <f>IF(B311="","",COUNTA($B$4:B311))</f>
        <v>308</v>
      </c>
      <c r="B311" s="14" t="s">
        <v>1534</v>
      </c>
      <c r="C311" s="14" t="s">
        <v>300</v>
      </c>
      <c r="D311" s="14" t="s">
        <v>301</v>
      </c>
      <c r="E311" s="14" t="s">
        <v>300</v>
      </c>
      <c r="F311" s="14" t="s">
        <v>169</v>
      </c>
      <c r="G311" s="14" t="s">
        <v>170</v>
      </c>
      <c r="H311" s="14"/>
      <c r="I311" s="14"/>
      <c r="J311" s="14"/>
    </row>
    <row r="312" spans="1:10" x14ac:dyDescent="0.25">
      <c r="A312" s="14">
        <f>IF(B312="","",COUNTA($B$4:B312))</f>
        <v>309</v>
      </c>
      <c r="B312" s="14" t="s">
        <v>1534</v>
      </c>
      <c r="C312" s="14" t="s">
        <v>345</v>
      </c>
      <c r="D312" s="14" t="s">
        <v>346</v>
      </c>
      <c r="E312" s="14" t="s">
        <v>345</v>
      </c>
      <c r="F312" s="14" t="s">
        <v>169</v>
      </c>
      <c r="G312" s="14" t="s">
        <v>170</v>
      </c>
      <c r="H312" s="14"/>
      <c r="I312" s="14"/>
      <c r="J312" s="14"/>
    </row>
    <row r="313" spans="1:10" x14ac:dyDescent="0.25">
      <c r="A313" s="14">
        <f>IF(B313="","",COUNTA($B$4:B313))</f>
        <v>310</v>
      </c>
      <c r="B313" s="14" t="s">
        <v>1534</v>
      </c>
      <c r="C313" s="14" t="s">
        <v>307</v>
      </c>
      <c r="D313" s="14" t="s">
        <v>308</v>
      </c>
      <c r="E313" s="14" t="s">
        <v>307</v>
      </c>
      <c r="F313" s="14" t="s">
        <v>169</v>
      </c>
      <c r="G313" s="14" t="s">
        <v>170</v>
      </c>
      <c r="H313" s="14"/>
      <c r="I313" s="14"/>
      <c r="J313" s="14"/>
    </row>
    <row r="314" spans="1:10" x14ac:dyDescent="0.25">
      <c r="A314" s="14">
        <f>IF(B314="","",COUNTA($B$4:B314))</f>
        <v>311</v>
      </c>
      <c r="B314" s="14" t="s">
        <v>1534</v>
      </c>
      <c r="C314" s="14" t="s">
        <v>305</v>
      </c>
      <c r="D314" s="14" t="s">
        <v>306</v>
      </c>
      <c r="E314" s="14" t="s">
        <v>305</v>
      </c>
      <c r="F314" s="14" t="s">
        <v>150</v>
      </c>
      <c r="G314" s="14" t="s">
        <v>151</v>
      </c>
      <c r="H314" s="14">
        <v>10</v>
      </c>
      <c r="I314" s="14" t="s">
        <v>244</v>
      </c>
      <c r="J314" s="14"/>
    </row>
    <row r="315" spans="1:10" x14ac:dyDescent="0.25">
      <c r="A315" s="14">
        <f>IF(B315="","",COUNTA($B$4:B315))</f>
        <v>312</v>
      </c>
      <c r="B315" s="14" t="s">
        <v>1534</v>
      </c>
      <c r="C315" s="14" t="s">
        <v>178</v>
      </c>
      <c r="D315" s="14" t="s">
        <v>179</v>
      </c>
      <c r="E315" s="14" t="s">
        <v>178</v>
      </c>
      <c r="F315" s="14" t="s">
        <v>150</v>
      </c>
      <c r="G315" s="14" t="s">
        <v>151</v>
      </c>
      <c r="H315" s="14">
        <v>20</v>
      </c>
      <c r="I315" s="14"/>
      <c r="J315" s="14"/>
    </row>
    <row r="316" spans="1:10" x14ac:dyDescent="0.25">
      <c r="A316" s="14">
        <f>IF(B316="","",COUNTA($B$4:B316))</f>
        <v>313</v>
      </c>
      <c r="B316" s="14" t="s">
        <v>1534</v>
      </c>
      <c r="C316" s="14" t="s">
        <v>347</v>
      </c>
      <c r="D316" s="14" t="s">
        <v>348</v>
      </c>
      <c r="E316" s="14" t="s">
        <v>347</v>
      </c>
      <c r="F316" s="14" t="s">
        <v>150</v>
      </c>
      <c r="G316" s="14" t="s">
        <v>151</v>
      </c>
      <c r="H316" s="14">
        <v>30</v>
      </c>
      <c r="I316" s="14"/>
      <c r="J316" s="14"/>
    </row>
    <row r="317" spans="1:10" x14ac:dyDescent="0.25">
      <c r="A317" s="14">
        <f>IF(B317="","",COUNTA($B$4:B317))</f>
        <v>314</v>
      </c>
      <c r="B317" s="14" t="s">
        <v>1534</v>
      </c>
      <c r="C317" s="14" t="s">
        <v>350</v>
      </c>
      <c r="D317" s="14" t="s">
        <v>351</v>
      </c>
      <c r="E317" s="14" t="s">
        <v>350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 x14ac:dyDescent="0.25">
      <c r="A318" s="14">
        <f>IF(B318="","",COUNTA($B$4:B318))</f>
        <v>315</v>
      </c>
      <c r="B318" s="14" t="s">
        <v>1534</v>
      </c>
      <c r="C318" s="14" t="s">
        <v>353</v>
      </c>
      <c r="D318" s="14" t="s">
        <v>354</v>
      </c>
      <c r="E318" s="14" t="s">
        <v>353</v>
      </c>
      <c r="F318" s="14" t="s">
        <v>155</v>
      </c>
      <c r="G318" s="14" t="s">
        <v>156</v>
      </c>
      <c r="H318" s="14">
        <v>3</v>
      </c>
      <c r="I318" s="14"/>
      <c r="J318" s="14"/>
    </row>
    <row r="319" spans="1:10" x14ac:dyDescent="0.25">
      <c r="A319" s="14">
        <f>IF(B319="","",COUNTA($B$4:B319))</f>
        <v>316</v>
      </c>
      <c r="B319" s="14" t="s">
        <v>1534</v>
      </c>
      <c r="C319" s="14" t="s">
        <v>153</v>
      </c>
      <c r="D319" s="14" t="s">
        <v>154</v>
      </c>
      <c r="E319" s="14" t="s">
        <v>153</v>
      </c>
      <c r="F319" s="14" t="s">
        <v>155</v>
      </c>
      <c r="G319" s="14" t="s">
        <v>156</v>
      </c>
      <c r="H319" s="14">
        <v>3</v>
      </c>
      <c r="I319" s="14"/>
      <c r="J319" s="14"/>
    </row>
    <row r="320" spans="1:10" x14ac:dyDescent="0.25">
      <c r="A320" s="14">
        <f>IF(B320="","",COUNTA($B$4:B320))</f>
        <v>317</v>
      </c>
      <c r="B320" s="14" t="s">
        <v>1534</v>
      </c>
      <c r="C320" s="14" t="s">
        <v>187</v>
      </c>
      <c r="D320" s="14" t="s">
        <v>188</v>
      </c>
      <c r="E320" s="14" t="s">
        <v>187</v>
      </c>
      <c r="F320" s="14" t="s">
        <v>155</v>
      </c>
      <c r="G320" s="14" t="s">
        <v>156</v>
      </c>
      <c r="H320" s="14">
        <v>3</v>
      </c>
      <c r="I320" s="14"/>
      <c r="J320" s="14"/>
    </row>
    <row r="321" spans="1:10" x14ac:dyDescent="0.25">
      <c r="A321" s="14">
        <f>IF(B321="","",COUNTA($B$4:B321))</f>
        <v>318</v>
      </c>
      <c r="B321" s="14" t="s">
        <v>1534</v>
      </c>
      <c r="C321" s="14" t="s">
        <v>193</v>
      </c>
      <c r="D321" s="14" t="s">
        <v>194</v>
      </c>
      <c r="E321" s="14" t="s">
        <v>193</v>
      </c>
      <c r="F321" s="14" t="s">
        <v>150</v>
      </c>
      <c r="G321" s="14" t="s">
        <v>151</v>
      </c>
      <c r="H321" s="14">
        <v>25</v>
      </c>
      <c r="I321" s="14"/>
      <c r="J321" s="14"/>
    </row>
    <row r="322" spans="1:10" x14ac:dyDescent="0.25">
      <c r="A322" s="14">
        <f>IF(B322="","",COUNTA($B$4:B322))</f>
        <v>319</v>
      </c>
      <c r="B322" s="14" t="s">
        <v>1534</v>
      </c>
      <c r="C322" s="14" t="s">
        <v>195</v>
      </c>
      <c r="D322" s="14" t="s">
        <v>196</v>
      </c>
      <c r="E322" s="14" t="s">
        <v>195</v>
      </c>
      <c r="F322" s="14" t="s">
        <v>150</v>
      </c>
      <c r="G322" s="14" t="s">
        <v>151</v>
      </c>
      <c r="H322" s="14">
        <v>400</v>
      </c>
      <c r="I322" s="14"/>
      <c r="J322" s="14"/>
    </row>
    <row r="323" spans="1:10" x14ac:dyDescent="0.25">
      <c r="A323" s="14">
        <f>IF(B323="","",COUNTA($B$4:B323))</f>
        <v>320</v>
      </c>
      <c r="B323" s="14" t="s">
        <v>1534</v>
      </c>
      <c r="C323" s="14" t="s">
        <v>197</v>
      </c>
      <c r="D323" s="14" t="s">
        <v>198</v>
      </c>
      <c r="E323" s="14" t="s">
        <v>197</v>
      </c>
      <c r="F323" s="14" t="s">
        <v>150</v>
      </c>
      <c r="G323" s="14" t="s">
        <v>151</v>
      </c>
      <c r="H323" s="14">
        <v>5</v>
      </c>
      <c r="I323" s="14"/>
      <c r="J323" s="14"/>
    </row>
    <row r="324" spans="1:10" x14ac:dyDescent="0.25">
      <c r="A324" s="14">
        <f>IF(B324="","",COUNTA($B$4:B324))</f>
        <v>321</v>
      </c>
      <c r="B324" s="14" t="s">
        <v>1534</v>
      </c>
      <c r="C324" s="14" t="s">
        <v>199</v>
      </c>
      <c r="D324" s="14" t="s">
        <v>200</v>
      </c>
      <c r="E324" s="14" t="s">
        <v>199</v>
      </c>
      <c r="F324" s="14" t="s">
        <v>150</v>
      </c>
      <c r="G324" s="14" t="s">
        <v>151</v>
      </c>
      <c r="H324" s="14">
        <v>20</v>
      </c>
      <c r="I324" s="14"/>
      <c r="J324" s="14"/>
    </row>
    <row r="325" spans="1:10" x14ac:dyDescent="0.25">
      <c r="A325" s="14">
        <f>IF(B325="","",COUNTA($B$4:B325))</f>
        <v>322</v>
      </c>
      <c r="B325" s="14" t="s">
        <v>1534</v>
      </c>
      <c r="C325" s="14" t="s">
        <v>201</v>
      </c>
      <c r="D325" s="14" t="s">
        <v>202</v>
      </c>
      <c r="E325" s="14" t="s">
        <v>201</v>
      </c>
      <c r="F325" s="14" t="s">
        <v>150</v>
      </c>
      <c r="G325" s="14" t="s">
        <v>151</v>
      </c>
      <c r="H325" s="14">
        <v>30</v>
      </c>
      <c r="I325" s="14"/>
      <c r="J325" s="14"/>
    </row>
    <row r="326" spans="1:10" x14ac:dyDescent="0.25">
      <c r="A326" s="14">
        <f>IF(B326="","",COUNTA($B$4:B326))</f>
        <v>323</v>
      </c>
      <c r="B326" s="14" t="s">
        <v>1534</v>
      </c>
      <c r="C326" s="14" t="s">
        <v>203</v>
      </c>
      <c r="D326" s="14" t="s">
        <v>204</v>
      </c>
      <c r="E326" s="14" t="s">
        <v>203</v>
      </c>
      <c r="F326" s="14" t="s">
        <v>155</v>
      </c>
      <c r="G326" s="14" t="s">
        <v>156</v>
      </c>
      <c r="H326" s="14">
        <v>5</v>
      </c>
      <c r="I326" s="14">
        <v>2</v>
      </c>
      <c r="J326" s="14"/>
    </row>
    <row r="327" spans="1:10" x14ac:dyDescent="0.25">
      <c r="A327" s="14">
        <f>IF(B327="","",COUNTA($B$4:B327))</f>
        <v>324</v>
      </c>
      <c r="B327" s="14" t="s">
        <v>1534</v>
      </c>
      <c r="C327" s="14" t="s">
        <v>205</v>
      </c>
      <c r="D327" s="14" t="s">
        <v>206</v>
      </c>
      <c r="E327" s="14" t="s">
        <v>205</v>
      </c>
      <c r="F327" s="14" t="s">
        <v>155</v>
      </c>
      <c r="G327" s="14" t="s">
        <v>156</v>
      </c>
      <c r="H327" s="14">
        <v>4</v>
      </c>
      <c r="I327" s="14"/>
      <c r="J327" s="14"/>
    </row>
    <row r="328" spans="1:10" x14ac:dyDescent="0.25">
      <c r="A328" s="14">
        <f>IF(B328="","",COUNTA($B$4:B328))</f>
        <v>325</v>
      </c>
      <c r="B328" s="14" t="s">
        <v>1534</v>
      </c>
      <c r="C328" s="14" t="s">
        <v>208</v>
      </c>
      <c r="D328" s="14" t="s">
        <v>209</v>
      </c>
      <c r="E328" s="14" t="s">
        <v>208</v>
      </c>
      <c r="F328" s="14" t="s">
        <v>155</v>
      </c>
      <c r="G328" s="14" t="s">
        <v>156</v>
      </c>
      <c r="H328" s="14">
        <v>5</v>
      </c>
      <c r="I328" s="14"/>
      <c r="J328" s="14"/>
    </row>
    <row r="329" spans="1:10" x14ac:dyDescent="0.25">
      <c r="A329" s="14">
        <f>IF(B329="","",COUNTA($B$4:B329))</f>
        <v>326</v>
      </c>
      <c r="B329" s="14" t="s">
        <v>1534</v>
      </c>
      <c r="C329" s="14" t="s">
        <v>621</v>
      </c>
      <c r="D329" s="14" t="s">
        <v>1399</v>
      </c>
      <c r="E329" s="14" t="s">
        <v>621</v>
      </c>
      <c r="F329" s="14" t="s">
        <v>150</v>
      </c>
      <c r="G329" s="14" t="s">
        <v>151</v>
      </c>
      <c r="H329" s="14">
        <v>30</v>
      </c>
      <c r="I329" s="14"/>
      <c r="J329" s="14"/>
    </row>
    <row r="330" spans="1:10" x14ac:dyDescent="0.25">
      <c r="A330" s="14">
        <f>IF(B330="","",COUNTA($B$4:B330))</f>
        <v>327</v>
      </c>
      <c r="B330" s="14" t="s">
        <v>1534</v>
      </c>
      <c r="C330" s="14" t="s">
        <v>673</v>
      </c>
      <c r="D330" s="14" t="s">
        <v>1402</v>
      </c>
      <c r="E330" s="14" t="s">
        <v>673</v>
      </c>
      <c r="F330" s="14" t="s">
        <v>150</v>
      </c>
      <c r="G330" s="14" t="s">
        <v>151</v>
      </c>
      <c r="H330" s="14">
        <v>4</v>
      </c>
      <c r="I330" s="14"/>
      <c r="J330" s="14"/>
    </row>
    <row r="331" spans="1:10" x14ac:dyDescent="0.25">
      <c r="A331" s="14">
        <f>IF(B331="","",COUNTA($B$4:B331))</f>
        <v>328</v>
      </c>
      <c r="B331" s="14" t="s">
        <v>1534</v>
      </c>
      <c r="C331" s="14" t="s">
        <v>309</v>
      </c>
      <c r="D331" s="14" t="s">
        <v>310</v>
      </c>
      <c r="E331" s="14" t="s">
        <v>309</v>
      </c>
      <c r="F331" s="14" t="s">
        <v>155</v>
      </c>
      <c r="G331" s="14" t="s">
        <v>156</v>
      </c>
      <c r="H331" s="14">
        <v>5</v>
      </c>
      <c r="I331" s="14"/>
      <c r="J331" s="14"/>
    </row>
    <row r="332" spans="1:10" x14ac:dyDescent="0.25">
      <c r="A332" s="14">
        <f>IF(B332="","",COUNTA($B$4:B332))</f>
        <v>329</v>
      </c>
      <c r="B332" s="14" t="s">
        <v>1534</v>
      </c>
      <c r="C332" s="14" t="s">
        <v>211</v>
      </c>
      <c r="D332" s="14" t="s">
        <v>212</v>
      </c>
      <c r="E332" s="14" t="s">
        <v>211</v>
      </c>
      <c r="F332" s="14" t="s">
        <v>155</v>
      </c>
      <c r="G332" s="14" t="s">
        <v>156</v>
      </c>
      <c r="H332" s="14">
        <v>5</v>
      </c>
      <c r="I332" s="14"/>
      <c r="J332" s="14"/>
    </row>
    <row r="333" spans="1:10" x14ac:dyDescent="0.25">
      <c r="A333" s="14">
        <f>IF(B333="","",COUNTA($B$4:B333))</f>
        <v>330</v>
      </c>
      <c r="B333" s="14" t="s">
        <v>1534</v>
      </c>
      <c r="C333" s="14" t="s">
        <v>356</v>
      </c>
      <c r="D333" s="14" t="s">
        <v>357</v>
      </c>
      <c r="E333" s="14" t="s">
        <v>356</v>
      </c>
      <c r="F333" s="14" t="s">
        <v>150</v>
      </c>
      <c r="G333" s="14" t="s">
        <v>151</v>
      </c>
      <c r="H333" s="14">
        <v>30</v>
      </c>
      <c r="I333" s="14"/>
      <c r="J333" s="14"/>
    </row>
    <row r="334" spans="1:10" x14ac:dyDescent="0.25">
      <c r="A334" s="14">
        <f>IF(B334="","",COUNTA($B$4:B334))</f>
        <v>331</v>
      </c>
      <c r="B334" s="14" t="s">
        <v>1534</v>
      </c>
      <c r="C334" s="14" t="s">
        <v>311</v>
      </c>
      <c r="D334" s="14" t="s">
        <v>312</v>
      </c>
      <c r="E334" s="14" t="s">
        <v>311</v>
      </c>
      <c r="F334" s="14" t="s">
        <v>155</v>
      </c>
      <c r="G334" s="14" t="s">
        <v>156</v>
      </c>
      <c r="H334" s="14">
        <v>5</v>
      </c>
      <c r="I334" s="14"/>
      <c r="J334" s="14"/>
    </row>
    <row r="335" spans="1:10" x14ac:dyDescent="0.25">
      <c r="A335" s="14">
        <f>IF(B335="","",COUNTA($B$4:B335))</f>
        <v>332</v>
      </c>
      <c r="B335" s="14" t="s">
        <v>1534</v>
      </c>
      <c r="C335" s="14" t="s">
        <v>1535</v>
      </c>
      <c r="D335" s="14" t="s">
        <v>359</v>
      </c>
      <c r="E335" s="14" t="s">
        <v>1535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 x14ac:dyDescent="0.25">
      <c r="A336" s="14">
        <f>IF(B336="","",COUNTA($B$4:B336))</f>
        <v>333</v>
      </c>
      <c r="B336" s="14" t="s">
        <v>1534</v>
      </c>
      <c r="C336" s="14" t="s">
        <v>1536</v>
      </c>
      <c r="D336" s="14" t="s">
        <v>361</v>
      </c>
      <c r="E336" s="14" t="s">
        <v>1536</v>
      </c>
      <c r="F336" s="14" t="s">
        <v>155</v>
      </c>
      <c r="G336" s="14" t="s">
        <v>156</v>
      </c>
      <c r="H336" s="14">
        <v>5</v>
      </c>
      <c r="I336" s="14"/>
      <c r="J336" s="14"/>
    </row>
    <row r="337" spans="1:10" x14ac:dyDescent="0.25">
      <c r="A337" s="14">
        <f>IF(B337="","",COUNTA($B$4:B337))</f>
        <v>334</v>
      </c>
      <c r="B337" s="14" t="s">
        <v>1534</v>
      </c>
      <c r="C337" s="14" t="s">
        <v>1537</v>
      </c>
      <c r="D337" s="14" t="s">
        <v>363</v>
      </c>
      <c r="E337" s="14" t="s">
        <v>1537</v>
      </c>
      <c r="F337" s="14" t="s">
        <v>150</v>
      </c>
      <c r="G337" s="14" t="s">
        <v>151</v>
      </c>
      <c r="H337" s="14">
        <v>30</v>
      </c>
      <c r="I337" s="14"/>
      <c r="J337" s="14"/>
    </row>
    <row r="338" spans="1:10" x14ac:dyDescent="0.25">
      <c r="A338" s="14">
        <f>IF(B338="","",COUNTA($B$4:B338))</f>
        <v>335</v>
      </c>
      <c r="B338" s="14" t="s">
        <v>1534</v>
      </c>
      <c r="C338" s="14" t="s">
        <v>228</v>
      </c>
      <c r="D338" s="14" t="s">
        <v>229</v>
      </c>
      <c r="E338" s="14" t="s">
        <v>228</v>
      </c>
      <c r="F338" s="14" t="s">
        <v>150</v>
      </c>
      <c r="G338" s="14" t="s">
        <v>151</v>
      </c>
      <c r="H338" s="14">
        <v>1000</v>
      </c>
      <c r="I338" s="14"/>
      <c r="J338" s="14"/>
    </row>
    <row r="339" spans="1:10" x14ac:dyDescent="0.25">
      <c r="A339" s="14">
        <f>IF(B339="","",COUNTA($B$4:B339))</f>
        <v>336</v>
      </c>
      <c r="B339" s="14" t="s">
        <v>1534</v>
      </c>
      <c r="C339" s="14" t="s">
        <v>364</v>
      </c>
      <c r="D339" s="14" t="s">
        <v>365</v>
      </c>
      <c r="E339" s="14" t="s">
        <v>364</v>
      </c>
      <c r="F339" s="14" t="s">
        <v>155</v>
      </c>
      <c r="G339" s="14" t="s">
        <v>156</v>
      </c>
      <c r="H339" s="14">
        <v>3</v>
      </c>
      <c r="I339" s="14"/>
      <c r="J339" s="14"/>
    </row>
    <row r="340" spans="1:10" x14ac:dyDescent="0.25">
      <c r="A340" s="14">
        <f>IF(B340="","",COUNTA($B$4:B340))</f>
        <v>337</v>
      </c>
      <c r="B340" s="14" t="s">
        <v>1534</v>
      </c>
      <c r="C340" s="14" t="s">
        <v>314</v>
      </c>
      <c r="D340" s="14" t="s">
        <v>315</v>
      </c>
      <c r="E340" s="14" t="s">
        <v>314</v>
      </c>
      <c r="F340" s="14" t="s">
        <v>150</v>
      </c>
      <c r="G340" s="14" t="s">
        <v>151</v>
      </c>
      <c r="H340" s="14">
        <v>5</v>
      </c>
      <c r="I340" s="14"/>
      <c r="J340" s="14"/>
    </row>
    <row r="341" spans="1:10" x14ac:dyDescent="0.25">
      <c r="A341" s="14">
        <f>IF(B341="","",COUNTA($B$4:B341))</f>
        <v>338</v>
      </c>
      <c r="B341" s="14" t="s">
        <v>1534</v>
      </c>
      <c r="C341" s="14" t="s">
        <v>316</v>
      </c>
      <c r="D341" s="14" t="s">
        <v>317</v>
      </c>
      <c r="E341" s="14" t="s">
        <v>316</v>
      </c>
      <c r="F341" s="14" t="s">
        <v>150</v>
      </c>
      <c r="G341" s="14" t="s">
        <v>151</v>
      </c>
      <c r="H341" s="14">
        <v>20</v>
      </c>
      <c r="I341" s="14"/>
      <c r="J341" s="14"/>
    </row>
    <row r="342" spans="1:10" x14ac:dyDescent="0.25">
      <c r="A342" s="14">
        <f>IF(B342="","",COUNTA($B$4:B342))</f>
        <v>339</v>
      </c>
      <c r="B342" s="14" t="s">
        <v>1534</v>
      </c>
      <c r="C342" s="14" t="s">
        <v>318</v>
      </c>
      <c r="D342" s="14" t="s">
        <v>319</v>
      </c>
      <c r="E342" s="14" t="s">
        <v>318</v>
      </c>
      <c r="F342" s="14" t="s">
        <v>150</v>
      </c>
      <c r="G342" s="14" t="s">
        <v>151</v>
      </c>
      <c r="H342" s="14">
        <v>30</v>
      </c>
      <c r="I342" s="14"/>
      <c r="J342" s="14"/>
    </row>
    <row r="343" spans="1:10" x14ac:dyDescent="0.25">
      <c r="A343" s="14">
        <f>IF(B343="","",COUNTA($B$4:B343))</f>
        <v>340</v>
      </c>
      <c r="B343" s="14" t="s">
        <v>1534</v>
      </c>
      <c r="C343" s="14" t="s">
        <v>320</v>
      </c>
      <c r="D343" s="14" t="s">
        <v>321</v>
      </c>
      <c r="E343" s="14" t="s">
        <v>320</v>
      </c>
      <c r="F343" s="14" t="s">
        <v>155</v>
      </c>
      <c r="G343" s="14" t="s">
        <v>156</v>
      </c>
      <c r="H343" s="14">
        <v>5</v>
      </c>
      <c r="I343" s="14">
        <v>2</v>
      </c>
      <c r="J343" s="14"/>
    </row>
    <row r="344" spans="1:10" x14ac:dyDescent="0.25">
      <c r="A344" s="14">
        <f>IF(B344="","",COUNTA($B$4:B344))</f>
        <v>341</v>
      </c>
      <c r="B344" s="14" t="s">
        <v>1534</v>
      </c>
      <c r="C344" s="14" t="s">
        <v>322</v>
      </c>
      <c r="D344" s="14" t="s">
        <v>323</v>
      </c>
      <c r="E344" s="14" t="s">
        <v>322</v>
      </c>
      <c r="F344" s="14" t="s">
        <v>155</v>
      </c>
      <c r="G344" s="14" t="s">
        <v>156</v>
      </c>
      <c r="H344" s="14">
        <v>4</v>
      </c>
      <c r="I344" s="14"/>
      <c r="J344" s="14"/>
    </row>
    <row r="345" spans="1:10" x14ac:dyDescent="0.25">
      <c r="A345" s="14">
        <f>IF(B345="","",COUNTA($B$4:B345))</f>
        <v>342</v>
      </c>
      <c r="B345" s="14" t="s">
        <v>1534</v>
      </c>
      <c r="C345" s="14" t="s">
        <v>324</v>
      </c>
      <c r="D345" s="14" t="s">
        <v>325</v>
      </c>
      <c r="E345" s="14" t="s">
        <v>324</v>
      </c>
      <c r="F345" s="14" t="s">
        <v>155</v>
      </c>
      <c r="G345" s="14" t="s">
        <v>156</v>
      </c>
      <c r="H345" s="14">
        <v>5</v>
      </c>
      <c r="I345" s="14"/>
      <c r="J345" s="14"/>
    </row>
    <row r="346" spans="1:10" x14ac:dyDescent="0.25">
      <c r="A346" s="14">
        <f>IF(B346="","",COUNTA($B$4:B346))</f>
        <v>343</v>
      </c>
      <c r="B346" s="14" t="s">
        <v>1534</v>
      </c>
      <c r="C346" s="14" t="s">
        <v>326</v>
      </c>
      <c r="D346" s="14" t="s">
        <v>327</v>
      </c>
      <c r="E346" s="14" t="s">
        <v>326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 x14ac:dyDescent="0.25">
      <c r="A347" s="14">
        <f>IF(B347="","",COUNTA($B$4:B347))</f>
        <v>344</v>
      </c>
      <c r="B347" s="14" t="s">
        <v>1534</v>
      </c>
      <c r="C347" s="14" t="s">
        <v>328</v>
      </c>
      <c r="D347" s="14" t="s">
        <v>329</v>
      </c>
      <c r="E347" s="14" t="s">
        <v>328</v>
      </c>
      <c r="F347" s="14" t="s">
        <v>150</v>
      </c>
      <c r="G347" s="14" t="s">
        <v>151</v>
      </c>
      <c r="H347" s="14">
        <v>1000</v>
      </c>
      <c r="I347" s="14"/>
      <c r="J347" s="14"/>
    </row>
    <row r="348" spans="1:10" x14ac:dyDescent="0.25">
      <c r="A348" s="14">
        <f>IF(B348="","",COUNTA($B$4:B348))</f>
        <v>345</v>
      </c>
      <c r="B348" s="14" t="s">
        <v>1534</v>
      </c>
      <c r="C348" s="14" t="s">
        <v>294</v>
      </c>
      <c r="D348" s="14" t="s">
        <v>295</v>
      </c>
      <c r="E348" s="14" t="s">
        <v>294</v>
      </c>
      <c r="F348" s="14" t="s">
        <v>155</v>
      </c>
      <c r="G348" s="14" t="s">
        <v>156</v>
      </c>
      <c r="H348" s="14">
        <v>5</v>
      </c>
      <c r="I348" s="14"/>
      <c r="J348" s="14"/>
    </row>
    <row r="349" spans="1:10" x14ac:dyDescent="0.25">
      <c r="A349" s="14">
        <f>IF(B349="","",COUNTA($B$4:B349))</f>
        <v>346</v>
      </c>
      <c r="B349" s="14" t="s">
        <v>1534</v>
      </c>
      <c r="C349" s="14" t="s">
        <v>332</v>
      </c>
      <c r="D349" s="14" t="s">
        <v>333</v>
      </c>
      <c r="E349" s="14" t="s">
        <v>332</v>
      </c>
      <c r="F349" s="14" t="s">
        <v>155</v>
      </c>
      <c r="G349" s="14" t="s">
        <v>156</v>
      </c>
      <c r="H349" s="14">
        <v>1</v>
      </c>
      <c r="I349" s="14"/>
      <c r="J349" s="14"/>
    </row>
    <row r="350" spans="1:10" x14ac:dyDescent="0.25">
      <c r="A350" s="14">
        <f>IF(B350="","",COUNTA($B$4:B350))</f>
        <v>347</v>
      </c>
      <c r="B350" s="14" t="s">
        <v>1534</v>
      </c>
      <c r="C350" s="14" t="s">
        <v>335</v>
      </c>
      <c r="D350" s="14" t="s">
        <v>336</v>
      </c>
      <c r="E350" s="14" t="s">
        <v>335</v>
      </c>
      <c r="F350" s="14" t="s">
        <v>155</v>
      </c>
      <c r="G350" s="14" t="s">
        <v>156</v>
      </c>
      <c r="H350" s="14">
        <v>1</v>
      </c>
      <c r="I350" s="14"/>
      <c r="J350" s="14"/>
    </row>
    <row r="351" spans="1:10" x14ac:dyDescent="0.25">
      <c r="A351" s="14">
        <f>IF(B351="","",COUNTA($B$4:B351))</f>
        <v>348</v>
      </c>
      <c r="B351" s="14" t="s">
        <v>1534</v>
      </c>
      <c r="C351" s="14" t="s">
        <v>366</v>
      </c>
      <c r="D351" s="14" t="s">
        <v>367</v>
      </c>
      <c r="E351" s="14" t="s">
        <v>366</v>
      </c>
      <c r="F351" s="14" t="s">
        <v>169</v>
      </c>
      <c r="G351" s="14" t="s">
        <v>170</v>
      </c>
      <c r="H351" s="14"/>
      <c r="I351" s="14"/>
      <c r="J351" s="14"/>
    </row>
    <row r="352" spans="1:10" x14ac:dyDescent="0.25">
      <c r="A352" s="14">
        <f>IF(B352="","",COUNTA($B$4:B352))</f>
        <v>349</v>
      </c>
      <c r="B352" s="14" t="s">
        <v>1534</v>
      </c>
      <c r="C352" s="14" t="s">
        <v>368</v>
      </c>
      <c r="D352" s="14" t="s">
        <v>369</v>
      </c>
      <c r="E352" s="14" t="s">
        <v>368</v>
      </c>
      <c r="F352" s="14" t="s">
        <v>155</v>
      </c>
      <c r="G352" s="14" t="s">
        <v>156</v>
      </c>
      <c r="H352" s="14">
        <v>1</v>
      </c>
      <c r="I352" s="14"/>
      <c r="J352" s="14"/>
    </row>
    <row r="353" spans="1:10" x14ac:dyDescent="0.25">
      <c r="A353" s="14">
        <f>IF(B353="","",COUNTA($B$4:B353))</f>
        <v>350</v>
      </c>
      <c r="B353" s="14" t="s">
        <v>1534</v>
      </c>
      <c r="C353" s="14" t="s">
        <v>370</v>
      </c>
      <c r="D353" s="14" t="s">
        <v>371</v>
      </c>
      <c r="E353" s="14" t="s">
        <v>370</v>
      </c>
      <c r="F353" s="14" t="s">
        <v>169</v>
      </c>
      <c r="G353" s="14" t="s">
        <v>170</v>
      </c>
      <c r="H353" s="14"/>
      <c r="I353" s="14"/>
      <c r="J353" s="14"/>
    </row>
    <row r="354" spans="1:10" x14ac:dyDescent="0.25">
      <c r="A354" s="14">
        <f>IF(B354="","",COUNTA($B$4:B354))</f>
        <v>351</v>
      </c>
      <c r="B354" s="14" t="s">
        <v>1534</v>
      </c>
      <c r="C354" s="14" t="s">
        <v>372</v>
      </c>
      <c r="D354" s="14" t="s">
        <v>373</v>
      </c>
      <c r="E354" s="14" t="s">
        <v>372</v>
      </c>
      <c r="F354" s="14" t="s">
        <v>169</v>
      </c>
      <c r="G354" s="14" t="s">
        <v>170</v>
      </c>
      <c r="H354" s="14"/>
      <c r="I354" s="14"/>
      <c r="J354" s="14"/>
    </row>
    <row r="355" spans="1:10" x14ac:dyDescent="0.25">
      <c r="A355" s="14">
        <f>IF(B355="","",COUNTA($B$4:B355))</f>
        <v>352</v>
      </c>
      <c r="B355" s="14" t="s">
        <v>1534</v>
      </c>
      <c r="C355" s="14" t="s">
        <v>239</v>
      </c>
      <c r="D355" s="14" t="s">
        <v>240</v>
      </c>
      <c r="E355" s="14" t="s">
        <v>239</v>
      </c>
      <c r="F355" s="14" t="s">
        <v>169</v>
      </c>
      <c r="G355" s="14" t="s">
        <v>170</v>
      </c>
      <c r="H355" s="14"/>
      <c r="I355" s="14"/>
      <c r="J355" s="14"/>
    </row>
    <row r="356" spans="1:10" x14ac:dyDescent="0.25">
      <c r="A356" s="14">
        <f>IF(B356="","",COUNTA($B$4:B356))</f>
        <v>353</v>
      </c>
      <c r="B356" s="14" t="s">
        <v>1534</v>
      </c>
      <c r="C356" s="14" t="s">
        <v>253</v>
      </c>
      <c r="D356" s="14" t="s">
        <v>254</v>
      </c>
      <c r="E356" s="14" t="s">
        <v>253</v>
      </c>
      <c r="F356" s="14" t="s">
        <v>150</v>
      </c>
      <c r="G356" s="14" t="s">
        <v>151</v>
      </c>
      <c r="H356" s="14">
        <v>10</v>
      </c>
      <c r="I356" s="14"/>
      <c r="J356" s="14"/>
    </row>
    <row r="357" spans="1:10" x14ac:dyDescent="0.25">
      <c r="A357" s="14">
        <f>IF(B357="","",COUNTA($B$4:B357))</f>
        <v>354</v>
      </c>
      <c r="B357" s="14" t="s">
        <v>1534</v>
      </c>
      <c r="C357" s="14" t="s">
        <v>255</v>
      </c>
      <c r="D357" s="14" t="s">
        <v>256</v>
      </c>
      <c r="E357" s="14" t="s">
        <v>255</v>
      </c>
      <c r="F357" s="14" t="s">
        <v>150</v>
      </c>
      <c r="G357" s="14" t="s">
        <v>151</v>
      </c>
      <c r="H357" s="14">
        <v>10</v>
      </c>
      <c r="I357" s="14"/>
      <c r="J357" s="14"/>
    </row>
    <row r="358" spans="1:10" x14ac:dyDescent="0.25">
      <c r="A358" s="14">
        <f>IF(B358="","",COUNTA($B$4:B358))</f>
        <v>355</v>
      </c>
      <c r="B358" s="14" t="s">
        <v>1534</v>
      </c>
      <c r="C358" s="14" t="s">
        <v>257</v>
      </c>
      <c r="D358" s="14" t="s">
        <v>258</v>
      </c>
      <c r="E358" s="14" t="s">
        <v>257</v>
      </c>
      <c r="F358" s="14" t="s">
        <v>169</v>
      </c>
      <c r="G358" s="14" t="s">
        <v>243</v>
      </c>
      <c r="H358" s="14"/>
      <c r="I358" s="14"/>
      <c r="J358" s="14"/>
    </row>
    <row r="359" spans="1:10" x14ac:dyDescent="0.25">
      <c r="A359" s="14">
        <f>IF(B359="","",COUNTA($B$4:B359))</f>
        <v>356</v>
      </c>
      <c r="B359" s="14" t="s">
        <v>1534</v>
      </c>
      <c r="C359" s="14" t="s">
        <v>259</v>
      </c>
      <c r="D359" s="14" t="s">
        <v>260</v>
      </c>
      <c r="E359" s="14" t="s">
        <v>259</v>
      </c>
      <c r="F359" s="14" t="s">
        <v>150</v>
      </c>
      <c r="G359" s="14" t="s">
        <v>151</v>
      </c>
      <c r="H359" s="14">
        <v>10</v>
      </c>
      <c r="I359" s="14"/>
      <c r="J359" s="14"/>
    </row>
    <row r="360" spans="1:10" x14ac:dyDescent="0.25">
      <c r="A360" s="14">
        <f>IF(B360="","",COUNTA($B$4:B360))</f>
        <v>357</v>
      </c>
      <c r="B360" s="14" t="s">
        <v>1534</v>
      </c>
      <c r="C360" s="14" t="s">
        <v>261</v>
      </c>
      <c r="D360" s="14" t="s">
        <v>262</v>
      </c>
      <c r="E360" s="14" t="s">
        <v>261</v>
      </c>
      <c r="F360" s="14" t="s">
        <v>150</v>
      </c>
      <c r="G360" s="14" t="s">
        <v>151</v>
      </c>
      <c r="H360" s="14">
        <v>10</v>
      </c>
      <c r="I360" s="14"/>
      <c r="J360" s="14"/>
    </row>
    <row r="361" spans="1:10" x14ac:dyDescent="0.25">
      <c r="A361" s="14">
        <f>IF(B361="","",COUNTA($B$4:B361))</f>
        <v>358</v>
      </c>
      <c r="B361" s="14" t="s">
        <v>1534</v>
      </c>
      <c r="C361" s="14" t="s">
        <v>263</v>
      </c>
      <c r="D361" s="14" t="s">
        <v>264</v>
      </c>
      <c r="E361" s="14" t="s">
        <v>263</v>
      </c>
      <c r="F361" s="14" t="s">
        <v>169</v>
      </c>
      <c r="G361" s="14" t="s">
        <v>243</v>
      </c>
      <c r="H361" s="14"/>
      <c r="I361" s="14"/>
      <c r="J361" s="14"/>
    </row>
    <row r="362" spans="1:10" x14ac:dyDescent="0.25">
      <c r="A362" s="14">
        <f>IF(B362="","",COUNTA($B$4:B362))</f>
        <v>359</v>
      </c>
      <c r="B362" s="14" t="s">
        <v>1538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</row>
    <row r="363" spans="1:10" x14ac:dyDescent="0.25">
      <c r="A363" s="14">
        <f>IF(B363="","",COUNTA($B$4:B363))</f>
        <v>360</v>
      </c>
      <c r="B363" s="14" t="s">
        <v>1538</v>
      </c>
      <c r="C363" s="14" t="s">
        <v>159</v>
      </c>
      <c r="D363" s="14" t="s">
        <v>160</v>
      </c>
      <c r="E363" s="14" t="s">
        <v>159</v>
      </c>
      <c r="F363" s="14" t="s">
        <v>150</v>
      </c>
      <c r="G363" s="14" t="s">
        <v>151</v>
      </c>
      <c r="H363" s="14">
        <v>4</v>
      </c>
      <c r="I363" s="14"/>
      <c r="J363" s="14"/>
    </row>
    <row r="364" spans="1:10" x14ac:dyDescent="0.25">
      <c r="A364" s="14">
        <f>IF(B364="","",COUNTA($B$4:B364))</f>
        <v>361</v>
      </c>
      <c r="B364" s="14" t="s">
        <v>1538</v>
      </c>
      <c r="C364" s="14" t="s">
        <v>162</v>
      </c>
      <c r="D364" s="14" t="s">
        <v>163</v>
      </c>
      <c r="E364" s="14" t="s">
        <v>164</v>
      </c>
      <c r="F364" s="14" t="s">
        <v>150</v>
      </c>
      <c r="G364" s="14" t="s">
        <v>151</v>
      </c>
      <c r="H364" s="14">
        <v>4</v>
      </c>
      <c r="I364" s="14"/>
      <c r="J364" s="14"/>
    </row>
    <row r="365" spans="1:10" x14ac:dyDescent="0.25">
      <c r="A365" s="14">
        <f>IF(B365="","",COUNTA($B$4:B365))</f>
        <v>362</v>
      </c>
      <c r="B365" s="14" t="s">
        <v>1538</v>
      </c>
      <c r="C365" s="14" t="s">
        <v>193</v>
      </c>
      <c r="D365" s="14" t="s">
        <v>194</v>
      </c>
      <c r="E365" s="14" t="s">
        <v>193</v>
      </c>
      <c r="F365" s="14" t="s">
        <v>150</v>
      </c>
      <c r="G365" s="14" t="s">
        <v>151</v>
      </c>
      <c r="H365" s="14">
        <v>5</v>
      </c>
      <c r="I365" s="14"/>
      <c r="J365" s="14"/>
    </row>
    <row r="366" spans="1:10" x14ac:dyDescent="0.25">
      <c r="A366" s="14">
        <f>IF(B366="","",COUNTA($B$4:B366))</f>
        <v>363</v>
      </c>
      <c r="B366" s="14" t="s">
        <v>1538</v>
      </c>
      <c r="C366" s="14" t="s">
        <v>195</v>
      </c>
      <c r="D366" s="14" t="s">
        <v>196</v>
      </c>
      <c r="E366" s="14" t="s">
        <v>195</v>
      </c>
      <c r="F366" s="14" t="s">
        <v>150</v>
      </c>
      <c r="G366" s="14" t="s">
        <v>151</v>
      </c>
      <c r="H366" s="14">
        <v>80</v>
      </c>
      <c r="I366" s="14"/>
      <c r="J366" s="14"/>
    </row>
    <row r="367" spans="1:10" x14ac:dyDescent="0.25">
      <c r="A367" s="14">
        <f>IF(B367="","",COUNTA($B$4:B367))</f>
        <v>364</v>
      </c>
      <c r="B367" s="14" t="s">
        <v>1538</v>
      </c>
      <c r="C367" s="14" t="s">
        <v>197</v>
      </c>
      <c r="D367" s="14" t="s">
        <v>198</v>
      </c>
      <c r="E367" s="14" t="s">
        <v>197</v>
      </c>
      <c r="F367" s="14" t="s">
        <v>150</v>
      </c>
      <c r="G367" s="14" t="s">
        <v>151</v>
      </c>
      <c r="H367" s="14">
        <v>5</v>
      </c>
      <c r="I367" s="14"/>
      <c r="J367" s="14"/>
    </row>
    <row r="368" spans="1:10" x14ac:dyDescent="0.25">
      <c r="A368" s="14">
        <f>IF(B368="","",COUNTA($B$4:B368))</f>
        <v>365</v>
      </c>
      <c r="B368" s="14" t="s">
        <v>1538</v>
      </c>
      <c r="C368" s="14" t="s">
        <v>199</v>
      </c>
      <c r="D368" s="14" t="s">
        <v>200</v>
      </c>
      <c r="E368" s="14" t="s">
        <v>199</v>
      </c>
      <c r="F368" s="14" t="s">
        <v>150</v>
      </c>
      <c r="G368" s="14" t="s">
        <v>151</v>
      </c>
      <c r="H368" s="14">
        <v>20</v>
      </c>
      <c r="I368" s="14"/>
      <c r="J368" s="14"/>
    </row>
    <row r="369" spans="1:10" x14ac:dyDescent="0.25">
      <c r="A369" s="14">
        <f>IF(B369="","",COUNTA($B$4:B369))</f>
        <v>366</v>
      </c>
      <c r="B369" s="14" t="s">
        <v>1538</v>
      </c>
      <c r="C369" s="14" t="s">
        <v>201</v>
      </c>
      <c r="D369" s="14" t="s">
        <v>202</v>
      </c>
      <c r="E369" s="14" t="s">
        <v>201</v>
      </c>
      <c r="F369" s="14" t="s">
        <v>150</v>
      </c>
      <c r="G369" s="14" t="s">
        <v>151</v>
      </c>
      <c r="H369" s="14">
        <v>30</v>
      </c>
      <c r="I369" s="14"/>
      <c r="J369" s="14"/>
    </row>
    <row r="370" spans="1:10" x14ac:dyDescent="0.25">
      <c r="A370" s="14">
        <f>IF(B370="","",COUNTA($B$4:B370))</f>
        <v>367</v>
      </c>
      <c r="B370" s="14" t="s">
        <v>1538</v>
      </c>
      <c r="C370" s="14" t="s">
        <v>203</v>
      </c>
      <c r="D370" s="14" t="s">
        <v>204</v>
      </c>
      <c r="E370" s="14" t="s">
        <v>203</v>
      </c>
      <c r="F370" s="14" t="s">
        <v>155</v>
      </c>
      <c r="G370" s="14" t="s">
        <v>156</v>
      </c>
      <c r="H370" s="14">
        <v>5</v>
      </c>
      <c r="I370" s="14">
        <v>2</v>
      </c>
      <c r="J370" s="14"/>
    </row>
    <row r="371" spans="1:10" x14ac:dyDescent="0.25">
      <c r="A371" s="14">
        <f>IF(B371="","",COUNTA($B$4:B371))</f>
        <v>368</v>
      </c>
      <c r="B371" s="14" t="s">
        <v>1538</v>
      </c>
      <c r="C371" s="14" t="s">
        <v>205</v>
      </c>
      <c r="D371" s="14" t="s">
        <v>206</v>
      </c>
      <c r="E371" s="14" t="s">
        <v>205</v>
      </c>
      <c r="F371" s="14" t="s">
        <v>155</v>
      </c>
      <c r="G371" s="14" t="s">
        <v>156</v>
      </c>
      <c r="H371" s="14">
        <v>4</v>
      </c>
      <c r="I371" s="14"/>
      <c r="J371" s="14"/>
    </row>
    <row r="372" spans="1:10" x14ac:dyDescent="0.25">
      <c r="A372" s="14">
        <f>IF(B372="","",COUNTA($B$4:B372))</f>
        <v>369</v>
      </c>
      <c r="B372" s="14" t="s">
        <v>1538</v>
      </c>
      <c r="C372" s="14" t="s">
        <v>208</v>
      </c>
      <c r="D372" s="14" t="s">
        <v>209</v>
      </c>
      <c r="E372" s="14" t="s">
        <v>208</v>
      </c>
      <c r="F372" s="14" t="s">
        <v>155</v>
      </c>
      <c r="G372" s="14" t="s">
        <v>156</v>
      </c>
      <c r="H372" s="14">
        <v>5</v>
      </c>
      <c r="I372" s="14"/>
      <c r="J372" s="14"/>
    </row>
    <row r="373" spans="1:10" x14ac:dyDescent="0.25">
      <c r="A373" s="14">
        <f>IF(B373="","",COUNTA($B$4:B373))</f>
        <v>370</v>
      </c>
      <c r="B373" s="14" t="s">
        <v>1538</v>
      </c>
      <c r="C373" s="14" t="s">
        <v>228</v>
      </c>
      <c r="D373" s="14" t="s">
        <v>229</v>
      </c>
      <c r="E373" s="14" t="s">
        <v>228</v>
      </c>
      <c r="F373" s="14" t="s">
        <v>150</v>
      </c>
      <c r="G373" s="14" t="s">
        <v>151</v>
      </c>
      <c r="H373" s="14">
        <v>1000</v>
      </c>
      <c r="I373" s="14"/>
      <c r="J373" s="14"/>
    </row>
    <row r="374" spans="1:10" x14ac:dyDescent="0.25">
      <c r="A374" s="14">
        <f>IF(B374="","",COUNTA($B$4:B374))</f>
        <v>371</v>
      </c>
      <c r="B374" s="14" t="s">
        <v>1538</v>
      </c>
      <c r="C374" s="14" t="s">
        <v>1423</v>
      </c>
      <c r="D374" s="14" t="s">
        <v>1378</v>
      </c>
      <c r="E374" s="14" t="s">
        <v>1423</v>
      </c>
      <c r="F374" s="14" t="s">
        <v>150</v>
      </c>
      <c r="G374" s="14" t="s">
        <v>151</v>
      </c>
      <c r="H374" s="14">
        <v>15</v>
      </c>
      <c r="I374" s="14"/>
      <c r="J374" s="14"/>
    </row>
    <row r="375" spans="1:10" x14ac:dyDescent="0.25">
      <c r="A375" s="14">
        <f>IF(B375="","",COUNTA($B$4:B375))</f>
        <v>372</v>
      </c>
      <c r="B375" s="14" t="s">
        <v>1538</v>
      </c>
      <c r="C375" s="14" t="s">
        <v>1539</v>
      </c>
      <c r="D375" s="14" t="s">
        <v>1478</v>
      </c>
      <c r="E375" s="14" t="s">
        <v>1539</v>
      </c>
      <c r="F375" s="14" t="s">
        <v>155</v>
      </c>
      <c r="G375" s="14" t="s">
        <v>156</v>
      </c>
      <c r="H375" s="14">
        <v>3</v>
      </c>
      <c r="I375" s="14" t="s">
        <v>244</v>
      </c>
      <c r="J375" s="14"/>
    </row>
    <row r="376" spans="1:10" x14ac:dyDescent="0.25">
      <c r="A376" s="14">
        <f>IF(B376="","",COUNTA($B$4:B376))</f>
        <v>373</v>
      </c>
      <c r="B376" s="14" t="s">
        <v>1538</v>
      </c>
      <c r="C376" s="14" t="s">
        <v>1424</v>
      </c>
      <c r="D376" s="14" t="s">
        <v>1540</v>
      </c>
      <c r="E376" s="14" t="s">
        <v>1424</v>
      </c>
      <c r="F376" s="14" t="s">
        <v>155</v>
      </c>
      <c r="G376" s="14" t="s">
        <v>156</v>
      </c>
      <c r="H376" s="14">
        <v>5</v>
      </c>
      <c r="I376" s="14" t="s">
        <v>244</v>
      </c>
      <c r="J376" s="14"/>
    </row>
    <row r="377" spans="1:10" x14ac:dyDescent="0.25">
      <c r="A377" s="14">
        <f>IF(B377="","",COUNTA($B$4:B377))</f>
        <v>374</v>
      </c>
      <c r="B377" s="14" t="s">
        <v>1538</v>
      </c>
      <c r="C377" s="14" t="s">
        <v>1385</v>
      </c>
      <c r="D377" s="14" t="s">
        <v>1541</v>
      </c>
      <c r="E377" s="14" t="s">
        <v>1385</v>
      </c>
      <c r="F377" s="14" t="s">
        <v>155</v>
      </c>
      <c r="G377" s="14" t="s">
        <v>156</v>
      </c>
      <c r="H377" s="14">
        <v>5</v>
      </c>
      <c r="I377" s="14" t="s">
        <v>244</v>
      </c>
      <c r="J377" s="14"/>
    </row>
    <row r="378" spans="1:10" x14ac:dyDescent="0.25">
      <c r="A378" s="14">
        <f>IF(B378="","",COUNTA($B$4:B378))</f>
        <v>375</v>
      </c>
      <c r="B378" s="14" t="s">
        <v>1538</v>
      </c>
      <c r="C378" s="14" t="s">
        <v>1386</v>
      </c>
      <c r="D378" s="14" t="s">
        <v>1542</v>
      </c>
      <c r="E378" s="14" t="s">
        <v>1386</v>
      </c>
      <c r="F378" s="14" t="s">
        <v>155</v>
      </c>
      <c r="G378" s="14" t="s">
        <v>156</v>
      </c>
      <c r="H378" s="14">
        <v>5</v>
      </c>
      <c r="I378" s="14" t="s">
        <v>244</v>
      </c>
      <c r="J378" s="14"/>
    </row>
    <row r="379" spans="1:10" x14ac:dyDescent="0.25">
      <c r="A379" s="14">
        <f>IF(B379="","",COUNTA($B$4:B379))</f>
        <v>376</v>
      </c>
      <c r="B379" s="14" t="s">
        <v>1538</v>
      </c>
      <c r="C379" s="14" t="s">
        <v>1543</v>
      </c>
      <c r="D379" s="14" t="s">
        <v>1544</v>
      </c>
      <c r="E379" s="14" t="s">
        <v>1543</v>
      </c>
      <c r="F379" s="14" t="s">
        <v>155</v>
      </c>
      <c r="G379" s="14" t="s">
        <v>156</v>
      </c>
      <c r="H379" s="14">
        <v>3</v>
      </c>
      <c r="I379" s="14" t="s">
        <v>244</v>
      </c>
      <c r="J379" s="14"/>
    </row>
    <row r="380" spans="1:10" x14ac:dyDescent="0.25">
      <c r="A380" s="14">
        <f>IF(B380="","",COUNTA($B$4:B380))</f>
        <v>377</v>
      </c>
      <c r="B380" s="14" t="s">
        <v>1538</v>
      </c>
      <c r="C380" s="14" t="s">
        <v>375</v>
      </c>
      <c r="D380" s="14" t="s">
        <v>376</v>
      </c>
      <c r="E380" s="14" t="s">
        <v>375</v>
      </c>
      <c r="F380" s="14" t="s">
        <v>169</v>
      </c>
      <c r="G380" s="14" t="s">
        <v>170</v>
      </c>
      <c r="H380" s="14"/>
      <c r="I380" s="14"/>
      <c r="J380" s="14"/>
    </row>
    <row r="381" spans="1:10" x14ac:dyDescent="0.25">
      <c r="A381" s="14">
        <f>IF(B381="","",COUNTA($B$4:B381))</f>
        <v>378</v>
      </c>
      <c r="B381" s="14" t="s">
        <v>1538</v>
      </c>
      <c r="C381" s="14" t="s">
        <v>249</v>
      </c>
      <c r="D381" s="14" t="s">
        <v>250</v>
      </c>
      <c r="E381" s="14" t="s">
        <v>249</v>
      </c>
      <c r="F381" s="14" t="s">
        <v>150</v>
      </c>
      <c r="G381" s="14" t="s">
        <v>151</v>
      </c>
      <c r="H381" s="14">
        <v>4</v>
      </c>
      <c r="I381" s="14"/>
      <c r="J381" s="14"/>
    </row>
    <row r="382" spans="1:10" x14ac:dyDescent="0.25">
      <c r="A382" s="14">
        <f>IF(B382="","",COUNTA($B$4:B382))</f>
        <v>379</v>
      </c>
      <c r="B382" s="14" t="s">
        <v>1538</v>
      </c>
      <c r="C382" s="14" t="s">
        <v>251</v>
      </c>
      <c r="D382" s="14" t="s">
        <v>252</v>
      </c>
      <c r="E382" s="14" t="s">
        <v>251</v>
      </c>
      <c r="F382" s="14" t="s">
        <v>150</v>
      </c>
      <c r="G382" s="14" t="s">
        <v>151</v>
      </c>
      <c r="H382" s="14">
        <v>4</v>
      </c>
      <c r="I382" s="14"/>
      <c r="J382" s="14"/>
    </row>
    <row r="383" spans="1:10" x14ac:dyDescent="0.25">
      <c r="A383" s="14">
        <f>IF(B383="","",COUNTA($B$4:B383))</f>
        <v>380</v>
      </c>
      <c r="B383" s="14" t="s">
        <v>1538</v>
      </c>
      <c r="C383" s="14" t="s">
        <v>253</v>
      </c>
      <c r="D383" s="14" t="s">
        <v>254</v>
      </c>
      <c r="E383" s="14" t="s">
        <v>253</v>
      </c>
      <c r="F383" s="14" t="s">
        <v>150</v>
      </c>
      <c r="G383" s="14" t="s">
        <v>151</v>
      </c>
      <c r="H383" s="14">
        <v>10</v>
      </c>
      <c r="I383" s="14"/>
      <c r="J383" s="14"/>
    </row>
    <row r="384" spans="1:10" x14ac:dyDescent="0.25">
      <c r="A384" s="14">
        <f>IF(B384="","",COUNTA($B$4:B384))</f>
        <v>381</v>
      </c>
      <c r="B384" s="14" t="s">
        <v>1538</v>
      </c>
      <c r="C384" s="14" t="s">
        <v>255</v>
      </c>
      <c r="D384" s="14" t="s">
        <v>256</v>
      </c>
      <c r="E384" s="14" t="s">
        <v>255</v>
      </c>
      <c r="F384" s="14" t="s">
        <v>150</v>
      </c>
      <c r="G384" s="14" t="s">
        <v>151</v>
      </c>
      <c r="H384" s="14">
        <v>10</v>
      </c>
      <c r="I384" s="14"/>
      <c r="J384" s="14"/>
    </row>
    <row r="385" spans="1:10" x14ac:dyDescent="0.25">
      <c r="A385" s="14">
        <f>IF(B385="","",COUNTA($B$4:B385))</f>
        <v>382</v>
      </c>
      <c r="B385" s="14" t="s">
        <v>1538</v>
      </c>
      <c r="C385" s="14" t="s">
        <v>257</v>
      </c>
      <c r="D385" s="14" t="s">
        <v>258</v>
      </c>
      <c r="E385" s="14" t="s">
        <v>257</v>
      </c>
      <c r="F385" s="14" t="s">
        <v>169</v>
      </c>
      <c r="G385" s="14" t="s">
        <v>243</v>
      </c>
      <c r="H385" s="14"/>
      <c r="I385" s="14"/>
      <c r="J385" s="14"/>
    </row>
    <row r="386" spans="1:10" x14ac:dyDescent="0.25">
      <c r="A386" s="14">
        <f>IF(B386="","",COUNTA($B$4:B386))</f>
        <v>383</v>
      </c>
      <c r="B386" s="14" t="s">
        <v>1538</v>
      </c>
      <c r="C386" s="14" t="s">
        <v>259</v>
      </c>
      <c r="D386" s="14" t="s">
        <v>260</v>
      </c>
      <c r="E386" s="14" t="s">
        <v>259</v>
      </c>
      <c r="F386" s="14" t="s">
        <v>150</v>
      </c>
      <c r="G386" s="14" t="s">
        <v>151</v>
      </c>
      <c r="H386" s="14">
        <v>10</v>
      </c>
      <c r="I386" s="14"/>
      <c r="J386" s="14"/>
    </row>
    <row r="387" spans="1:10" x14ac:dyDescent="0.25">
      <c r="A387" s="14">
        <f>IF(B387="","",COUNTA($B$4:B387))</f>
        <v>384</v>
      </c>
      <c r="B387" s="14" t="s">
        <v>1538</v>
      </c>
      <c r="C387" s="14" t="s">
        <v>261</v>
      </c>
      <c r="D387" s="14" t="s">
        <v>262</v>
      </c>
      <c r="E387" s="14" t="s">
        <v>261</v>
      </c>
      <c r="F387" s="14" t="s">
        <v>150</v>
      </c>
      <c r="G387" s="14" t="s">
        <v>151</v>
      </c>
      <c r="H387" s="14">
        <v>10</v>
      </c>
      <c r="I387" s="14"/>
      <c r="J387" s="14"/>
    </row>
    <row r="388" spans="1:10" x14ac:dyDescent="0.25">
      <c r="A388" s="14">
        <f>IF(B388="","",COUNTA($B$4:B388))</f>
        <v>385</v>
      </c>
      <c r="B388" s="14" t="s">
        <v>1538</v>
      </c>
      <c r="C388" s="14" t="s">
        <v>263</v>
      </c>
      <c r="D388" s="14" t="s">
        <v>264</v>
      </c>
      <c r="E388" s="14" t="s">
        <v>263</v>
      </c>
      <c r="F388" s="14" t="s">
        <v>169</v>
      </c>
      <c r="G388" s="14" t="s">
        <v>243</v>
      </c>
      <c r="H388" s="14"/>
      <c r="I388" s="14"/>
      <c r="J388" s="14"/>
    </row>
    <row r="389" spans="1:10" x14ac:dyDescent="0.25">
      <c r="A389" s="14">
        <f>IF(B389="","",COUNTA($B$4:B389))</f>
        <v>386</v>
      </c>
      <c r="B389" s="14" t="s">
        <v>1545</v>
      </c>
      <c r="C389" s="14" t="s">
        <v>148</v>
      </c>
      <c r="D389" s="14" t="s">
        <v>149</v>
      </c>
      <c r="E389" s="14" t="s">
        <v>148</v>
      </c>
      <c r="F389" s="14" t="s">
        <v>150</v>
      </c>
      <c r="G389" s="14" t="s">
        <v>151</v>
      </c>
      <c r="H389" s="14">
        <v>15</v>
      </c>
      <c r="I389" s="14"/>
      <c r="J389" s="14"/>
    </row>
    <row r="390" spans="1:10" x14ac:dyDescent="0.25">
      <c r="A390" s="14">
        <f>IF(B390="","",COUNTA($B$4:B390))</f>
        <v>387</v>
      </c>
      <c r="B390" s="14" t="s">
        <v>1545</v>
      </c>
      <c r="C390" s="14" t="s">
        <v>381</v>
      </c>
      <c r="D390" s="14" t="s">
        <v>382</v>
      </c>
      <c r="E390" s="14" t="s">
        <v>381</v>
      </c>
      <c r="F390" s="14" t="s">
        <v>150</v>
      </c>
      <c r="G390" s="14" t="s">
        <v>151</v>
      </c>
      <c r="H390" s="14">
        <v>30</v>
      </c>
      <c r="I390" s="14"/>
      <c r="J390" s="14"/>
    </row>
    <row r="391" spans="1:10" x14ac:dyDescent="0.25">
      <c r="A391" s="14">
        <f>IF(B391="","",COUNTA($B$4:B391))</f>
        <v>388</v>
      </c>
      <c r="B391" s="14" t="s">
        <v>1545</v>
      </c>
      <c r="C391" s="14" t="s">
        <v>338</v>
      </c>
      <c r="D391" s="14" t="s">
        <v>339</v>
      </c>
      <c r="E391" s="14" t="s">
        <v>338</v>
      </c>
      <c r="F391" s="14" t="s">
        <v>155</v>
      </c>
      <c r="G391" s="14" t="s">
        <v>156</v>
      </c>
      <c r="H391" s="14">
        <v>3</v>
      </c>
      <c r="I391" s="14"/>
      <c r="J391" s="14"/>
    </row>
    <row r="392" spans="1:10" x14ac:dyDescent="0.25">
      <c r="A392" s="14">
        <f>IF(B392="","",COUNTA($B$4:B392))</f>
        <v>389</v>
      </c>
      <c r="B392" s="14" t="s">
        <v>1545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</row>
    <row r="393" spans="1:10" x14ac:dyDescent="0.25">
      <c r="A393" s="14">
        <f>IF(B393="","",COUNTA($B$4:B393))</f>
        <v>390</v>
      </c>
      <c r="B393" s="14" t="s">
        <v>1545</v>
      </c>
      <c r="C393" s="14" t="s">
        <v>199</v>
      </c>
      <c r="D393" s="14" t="s">
        <v>200</v>
      </c>
      <c r="E393" s="14" t="s">
        <v>199</v>
      </c>
      <c r="F393" s="14" t="s">
        <v>150</v>
      </c>
      <c r="G393" s="14" t="s">
        <v>151</v>
      </c>
      <c r="H393" s="14">
        <v>20</v>
      </c>
      <c r="I393" s="14"/>
      <c r="J393" s="14"/>
    </row>
    <row r="394" spans="1:10" x14ac:dyDescent="0.25">
      <c r="A394" s="14">
        <f>IF(B394="","",COUNTA($B$4:B394))</f>
        <v>391</v>
      </c>
      <c r="B394" s="14" t="s">
        <v>1545</v>
      </c>
      <c r="C394" s="14" t="s">
        <v>201</v>
      </c>
      <c r="D394" s="14" t="s">
        <v>202</v>
      </c>
      <c r="E394" s="14" t="s">
        <v>201</v>
      </c>
      <c r="F394" s="14" t="s">
        <v>150</v>
      </c>
      <c r="G394" s="14" t="s">
        <v>151</v>
      </c>
      <c r="H394" s="14">
        <v>30</v>
      </c>
      <c r="I394" s="14"/>
      <c r="J394" s="14"/>
    </row>
    <row r="395" spans="1:10" x14ac:dyDescent="0.25">
      <c r="A395" s="14">
        <f>IF(B395="","",COUNTA($B$4:B395))</f>
        <v>392</v>
      </c>
      <c r="B395" s="14" t="s">
        <v>1545</v>
      </c>
      <c r="C395" s="14" t="s">
        <v>386</v>
      </c>
      <c r="D395" s="14" t="s">
        <v>387</v>
      </c>
      <c r="E395" s="14" t="s">
        <v>386</v>
      </c>
      <c r="F395" s="14" t="s">
        <v>155</v>
      </c>
      <c r="G395" s="14" t="s">
        <v>156</v>
      </c>
      <c r="H395" s="14">
        <v>5</v>
      </c>
      <c r="I395" s="14">
        <v>1</v>
      </c>
      <c r="J395" s="14"/>
    </row>
    <row r="396" spans="1:10" x14ac:dyDescent="0.25">
      <c r="A396" s="14">
        <f>IF(B396="","",COUNTA($B$4:B396))</f>
        <v>393</v>
      </c>
      <c r="B396" s="14" t="s">
        <v>1545</v>
      </c>
      <c r="C396" s="14" t="s">
        <v>388</v>
      </c>
      <c r="D396" s="14" t="s">
        <v>389</v>
      </c>
      <c r="E396" s="14" t="s">
        <v>388</v>
      </c>
      <c r="F396" s="14" t="s">
        <v>155</v>
      </c>
      <c r="G396" s="14" t="s">
        <v>156</v>
      </c>
      <c r="H396" s="14">
        <v>1</v>
      </c>
      <c r="I396" s="14" t="s">
        <v>244</v>
      </c>
      <c r="J396" s="14"/>
    </row>
    <row r="397" spans="1:10" x14ac:dyDescent="0.25">
      <c r="A397" s="14">
        <f>IF(B397="","",COUNTA($B$4:B397))</f>
        <v>394</v>
      </c>
      <c r="B397" s="14" t="s">
        <v>1545</v>
      </c>
      <c r="C397" s="14" t="s">
        <v>390</v>
      </c>
      <c r="D397" s="14" t="s">
        <v>391</v>
      </c>
      <c r="E397" s="14" t="s">
        <v>390</v>
      </c>
      <c r="F397" s="14" t="s">
        <v>155</v>
      </c>
      <c r="G397" s="14" t="s">
        <v>156</v>
      </c>
      <c r="H397" s="14">
        <v>1</v>
      </c>
      <c r="I397" s="14" t="s">
        <v>244</v>
      </c>
      <c r="J397" s="14"/>
    </row>
    <row r="398" spans="1:10" x14ac:dyDescent="0.25">
      <c r="A398" s="14">
        <f>IF(B398="","",COUNTA($B$4:B398))</f>
        <v>395</v>
      </c>
      <c r="B398" s="14" t="s">
        <v>1545</v>
      </c>
      <c r="C398" s="14" t="s">
        <v>673</v>
      </c>
      <c r="D398" s="14" t="s">
        <v>1402</v>
      </c>
      <c r="E398" s="14" t="s">
        <v>673</v>
      </c>
      <c r="F398" s="14" t="s">
        <v>150</v>
      </c>
      <c r="G398" s="14" t="s">
        <v>151</v>
      </c>
      <c r="H398" s="14">
        <v>4</v>
      </c>
      <c r="I398" s="14" t="s">
        <v>244</v>
      </c>
      <c r="J398" s="14"/>
    </row>
    <row r="399" spans="1:10" x14ac:dyDescent="0.25">
      <c r="A399" s="14">
        <f>IF(B399="","",COUNTA($B$4:B399))</f>
        <v>396</v>
      </c>
      <c r="B399" s="14" t="s">
        <v>1545</v>
      </c>
      <c r="C399" s="14" t="s">
        <v>392</v>
      </c>
      <c r="D399" s="14" t="s">
        <v>393</v>
      </c>
      <c r="E399" s="14" t="s">
        <v>392</v>
      </c>
      <c r="F399" s="14" t="s">
        <v>155</v>
      </c>
      <c r="G399" s="14" t="s">
        <v>156</v>
      </c>
      <c r="H399" s="14">
        <v>6</v>
      </c>
      <c r="I399" s="14" t="s">
        <v>1562</v>
      </c>
      <c r="J399" s="14"/>
    </row>
    <row r="400" spans="1:10" x14ac:dyDescent="0.25">
      <c r="A400" s="14">
        <f>IF(B400="","",COUNTA($B$4:B400))</f>
        <v>397</v>
      </c>
      <c r="B400" s="14" t="s">
        <v>1545</v>
      </c>
      <c r="C400" s="14" t="s">
        <v>228</v>
      </c>
      <c r="D400" s="14" t="s">
        <v>229</v>
      </c>
      <c r="E400" s="14" t="s">
        <v>228</v>
      </c>
      <c r="F400" s="14" t="s">
        <v>150</v>
      </c>
      <c r="G400" s="14" t="s">
        <v>151</v>
      </c>
      <c r="H400" s="14">
        <v>1000</v>
      </c>
      <c r="I400" s="14" t="s">
        <v>244</v>
      </c>
      <c r="J400" s="14"/>
    </row>
    <row r="401" spans="1:10" x14ac:dyDescent="0.25">
      <c r="A401" s="14">
        <f>IF(B401="","",COUNTA($B$4:B401))</f>
        <v>398</v>
      </c>
      <c r="B401" s="14" t="s">
        <v>1545</v>
      </c>
      <c r="C401" s="14" t="s">
        <v>249</v>
      </c>
      <c r="D401" s="14" t="s">
        <v>250</v>
      </c>
      <c r="E401" s="14" t="s">
        <v>249</v>
      </c>
      <c r="F401" s="14" t="s">
        <v>150</v>
      </c>
      <c r="G401" s="14" t="s">
        <v>151</v>
      </c>
      <c r="H401" s="14">
        <v>4</v>
      </c>
      <c r="I401" s="14" t="s">
        <v>244</v>
      </c>
      <c r="J401" s="14"/>
    </row>
    <row r="402" spans="1:10" x14ac:dyDescent="0.25">
      <c r="A402" s="14">
        <f>IF(B402="","",COUNTA($B$4:B402))</f>
        <v>399</v>
      </c>
      <c r="B402" s="14" t="s">
        <v>1545</v>
      </c>
      <c r="C402" s="14" t="s">
        <v>251</v>
      </c>
      <c r="D402" s="14" t="s">
        <v>252</v>
      </c>
      <c r="E402" s="14" t="s">
        <v>251</v>
      </c>
      <c r="F402" s="14" t="s">
        <v>150</v>
      </c>
      <c r="G402" s="14" t="s">
        <v>151</v>
      </c>
      <c r="H402" s="14">
        <v>4</v>
      </c>
      <c r="I402" s="14" t="s">
        <v>244</v>
      </c>
      <c r="J402" s="14"/>
    </row>
    <row r="403" spans="1:10" x14ac:dyDescent="0.25">
      <c r="A403" s="14">
        <f>IF(B403="","",COUNTA($B$4:B403))</f>
        <v>400</v>
      </c>
      <c r="B403" s="14" t="s">
        <v>1545</v>
      </c>
      <c r="C403" s="14" t="s">
        <v>253</v>
      </c>
      <c r="D403" s="14" t="s">
        <v>254</v>
      </c>
      <c r="E403" s="14" t="s">
        <v>253</v>
      </c>
      <c r="F403" s="14" t="s">
        <v>150</v>
      </c>
      <c r="G403" s="14" t="s">
        <v>151</v>
      </c>
      <c r="H403" s="14">
        <v>10</v>
      </c>
      <c r="I403" s="14" t="s">
        <v>244</v>
      </c>
      <c r="J403" s="14"/>
    </row>
    <row r="404" spans="1:10" x14ac:dyDescent="0.25">
      <c r="A404" s="14">
        <f>IF(B404="","",COUNTA($B$4:B404))</f>
        <v>401</v>
      </c>
      <c r="B404" s="14" t="s">
        <v>1545</v>
      </c>
      <c r="C404" s="14" t="s">
        <v>255</v>
      </c>
      <c r="D404" s="14" t="s">
        <v>256</v>
      </c>
      <c r="E404" s="14" t="s">
        <v>255</v>
      </c>
      <c r="F404" s="14" t="s">
        <v>150</v>
      </c>
      <c r="G404" s="14" t="s">
        <v>151</v>
      </c>
      <c r="H404" s="14">
        <v>10</v>
      </c>
      <c r="I404" s="14" t="s">
        <v>244</v>
      </c>
      <c r="J404" s="14"/>
    </row>
    <row r="405" spans="1:10" x14ac:dyDescent="0.25">
      <c r="A405" s="14">
        <f>IF(B405="","",COUNTA($B$4:B405))</f>
        <v>402</v>
      </c>
      <c r="B405" s="14" t="s">
        <v>1545</v>
      </c>
      <c r="C405" s="14" t="s">
        <v>257</v>
      </c>
      <c r="D405" s="14" t="s">
        <v>258</v>
      </c>
      <c r="E405" s="14" t="s">
        <v>257</v>
      </c>
      <c r="F405" s="14" t="s">
        <v>169</v>
      </c>
      <c r="G405" s="14" t="s">
        <v>243</v>
      </c>
      <c r="H405" s="14"/>
      <c r="I405" s="14" t="s">
        <v>244</v>
      </c>
      <c r="J405" s="14"/>
    </row>
    <row r="406" spans="1:10" x14ac:dyDescent="0.25">
      <c r="A406" s="14">
        <f>IF(B406="","",COUNTA($B$4:B406))</f>
        <v>403</v>
      </c>
      <c r="B406" s="14" t="s">
        <v>1545</v>
      </c>
      <c r="C406" s="14" t="s">
        <v>259</v>
      </c>
      <c r="D406" s="14" t="s">
        <v>260</v>
      </c>
      <c r="E406" s="14" t="s">
        <v>259</v>
      </c>
      <c r="F406" s="14" t="s">
        <v>150</v>
      </c>
      <c r="G406" s="14" t="s">
        <v>151</v>
      </c>
      <c r="H406" s="14">
        <v>10</v>
      </c>
      <c r="I406" s="14" t="s">
        <v>244</v>
      </c>
      <c r="J406" s="14"/>
    </row>
    <row r="407" spans="1:10" x14ac:dyDescent="0.25">
      <c r="A407" s="14">
        <f>IF(B407="","",COUNTA($B$4:B407))</f>
        <v>404</v>
      </c>
      <c r="B407" s="14" t="s">
        <v>1545</v>
      </c>
      <c r="C407" s="14" t="s">
        <v>261</v>
      </c>
      <c r="D407" s="14" t="s">
        <v>262</v>
      </c>
      <c r="E407" s="14" t="s">
        <v>261</v>
      </c>
      <c r="F407" s="14" t="s">
        <v>150</v>
      </c>
      <c r="G407" s="14" t="s">
        <v>151</v>
      </c>
      <c r="H407" s="14">
        <v>10</v>
      </c>
      <c r="I407" s="14" t="s">
        <v>244</v>
      </c>
      <c r="J407" s="14"/>
    </row>
    <row r="408" spans="1:10" x14ac:dyDescent="0.25">
      <c r="A408" s="14">
        <f>IF(B408="","",COUNTA($B$4:B408))</f>
        <v>405</v>
      </c>
      <c r="B408" s="14" t="s">
        <v>1545</v>
      </c>
      <c r="C408" s="14" t="s">
        <v>263</v>
      </c>
      <c r="D408" s="14" t="s">
        <v>264</v>
      </c>
      <c r="E408" s="14" t="s">
        <v>263</v>
      </c>
      <c r="F408" s="14" t="s">
        <v>169</v>
      </c>
      <c r="G408" s="14" t="s">
        <v>243</v>
      </c>
      <c r="H408" s="14"/>
      <c r="I408" s="14" t="s">
        <v>244</v>
      </c>
      <c r="J408" s="14"/>
    </row>
    <row r="409" spans="1:10" x14ac:dyDescent="0.25">
      <c r="A409" s="14">
        <f>IF(B409="","",COUNTA($B$4:B409))</f>
        <v>406</v>
      </c>
      <c r="B409" s="14" t="s">
        <v>1546</v>
      </c>
      <c r="C409" s="14" t="s">
        <v>148</v>
      </c>
      <c r="D409" s="14" t="s">
        <v>149</v>
      </c>
      <c r="E409" s="14" t="s">
        <v>148</v>
      </c>
      <c r="F409" s="14" t="s">
        <v>150</v>
      </c>
      <c r="G409" s="14" t="s">
        <v>151</v>
      </c>
      <c r="H409" s="14">
        <v>15</v>
      </c>
      <c r="I409" s="14"/>
      <c r="J409" s="14"/>
    </row>
    <row r="410" spans="1:10" x14ac:dyDescent="0.25">
      <c r="A410" s="14">
        <f>IF(B410="","",COUNTA($B$4:B410))</f>
        <v>407</v>
      </c>
      <c r="B410" s="14" t="s">
        <v>1546</v>
      </c>
      <c r="C410" s="14" t="s">
        <v>159</v>
      </c>
      <c r="D410" s="14" t="s">
        <v>160</v>
      </c>
      <c r="E410" s="14" t="s">
        <v>159</v>
      </c>
      <c r="F410" s="14" t="s">
        <v>150</v>
      </c>
      <c r="G410" s="14" t="s">
        <v>151</v>
      </c>
      <c r="H410" s="14">
        <v>4</v>
      </c>
      <c r="I410" s="14"/>
      <c r="J410" s="14"/>
    </row>
    <row r="411" spans="1:10" x14ac:dyDescent="0.25">
      <c r="A411" s="14">
        <f>IF(B411="","",COUNTA($B$4:B411))</f>
        <v>408</v>
      </c>
      <c r="B411" s="14" t="s">
        <v>1546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4"/>
    </row>
    <row r="412" spans="1:10" x14ac:dyDescent="0.25">
      <c r="A412" s="14">
        <f>IF(B412="","",COUNTA($B$4:B412))</f>
        <v>409</v>
      </c>
      <c r="B412" s="14" t="s">
        <v>1546</v>
      </c>
      <c r="C412" s="14" t="s">
        <v>193</v>
      </c>
      <c r="D412" s="14" t="s">
        <v>194</v>
      </c>
      <c r="E412" s="14" t="s">
        <v>193</v>
      </c>
      <c r="F412" s="14" t="s">
        <v>150</v>
      </c>
      <c r="G412" s="14" t="s">
        <v>151</v>
      </c>
      <c r="H412" s="14">
        <v>5</v>
      </c>
      <c r="I412" s="14"/>
      <c r="J412" s="14"/>
    </row>
    <row r="413" spans="1:10" x14ac:dyDescent="0.25">
      <c r="A413" s="14">
        <f>IF(B413="","",COUNTA($B$4:B413))</f>
        <v>410</v>
      </c>
      <c r="B413" s="14" t="s">
        <v>1546</v>
      </c>
      <c r="C413" s="14" t="s">
        <v>195</v>
      </c>
      <c r="D413" s="14" t="s">
        <v>196</v>
      </c>
      <c r="E413" s="14" t="s">
        <v>195</v>
      </c>
      <c r="F413" s="14" t="s">
        <v>150</v>
      </c>
      <c r="G413" s="14" t="s">
        <v>151</v>
      </c>
      <c r="H413" s="14">
        <v>80</v>
      </c>
      <c r="I413" s="14"/>
      <c r="J413" s="14"/>
    </row>
    <row r="414" spans="1:10" x14ac:dyDescent="0.25">
      <c r="A414" s="14">
        <f>IF(B414="","",COUNTA($B$4:B414))</f>
        <v>411</v>
      </c>
      <c r="B414" s="14" t="s">
        <v>1546</v>
      </c>
      <c r="C414" s="14" t="s">
        <v>197</v>
      </c>
      <c r="D414" s="14" t="s">
        <v>198</v>
      </c>
      <c r="E414" s="14" t="s">
        <v>197</v>
      </c>
      <c r="F414" s="14" t="s">
        <v>150</v>
      </c>
      <c r="G414" s="14" t="s">
        <v>151</v>
      </c>
      <c r="H414" s="14">
        <v>5</v>
      </c>
      <c r="I414" s="14"/>
      <c r="J414" s="14"/>
    </row>
    <row r="415" spans="1:10" x14ac:dyDescent="0.25">
      <c r="A415" s="14">
        <f>IF(B415="","",COUNTA($B$4:B415))</f>
        <v>412</v>
      </c>
      <c r="B415" s="14" t="s">
        <v>1546</v>
      </c>
      <c r="C415" s="14" t="s">
        <v>199</v>
      </c>
      <c r="D415" s="14" t="s">
        <v>200</v>
      </c>
      <c r="E415" s="14" t="s">
        <v>199</v>
      </c>
      <c r="F415" s="14" t="s">
        <v>150</v>
      </c>
      <c r="G415" s="14" t="s">
        <v>151</v>
      </c>
      <c r="H415" s="14">
        <v>20</v>
      </c>
      <c r="I415" s="14"/>
      <c r="J415" s="14"/>
    </row>
    <row r="416" spans="1:10" x14ac:dyDescent="0.25">
      <c r="A416" s="14">
        <f>IF(B416="","",COUNTA($B$4:B416))</f>
        <v>413</v>
      </c>
      <c r="B416" s="14" t="s">
        <v>1546</v>
      </c>
      <c r="C416" s="14" t="s">
        <v>201</v>
      </c>
      <c r="D416" s="14" t="s">
        <v>202</v>
      </c>
      <c r="E416" s="14" t="s">
        <v>201</v>
      </c>
      <c r="F416" s="14" t="s">
        <v>150</v>
      </c>
      <c r="G416" s="14" t="s">
        <v>151</v>
      </c>
      <c r="H416" s="14">
        <v>30</v>
      </c>
      <c r="I416" s="14"/>
      <c r="J416" s="14"/>
    </row>
    <row r="417" spans="1:10" x14ac:dyDescent="0.25">
      <c r="A417" s="14">
        <f>IF(B417="","",COUNTA($B$4:B417))</f>
        <v>414</v>
      </c>
      <c r="B417" s="14" t="s">
        <v>1546</v>
      </c>
      <c r="C417" s="14" t="s">
        <v>203</v>
      </c>
      <c r="D417" s="14" t="s">
        <v>204</v>
      </c>
      <c r="E417" s="14" t="s">
        <v>203</v>
      </c>
      <c r="F417" s="14" t="s">
        <v>155</v>
      </c>
      <c r="G417" s="14" t="s">
        <v>156</v>
      </c>
      <c r="H417" s="14">
        <v>5</v>
      </c>
      <c r="I417" s="14">
        <v>2</v>
      </c>
      <c r="J417" s="14"/>
    </row>
    <row r="418" spans="1:10" x14ac:dyDescent="0.25">
      <c r="A418" s="14">
        <f>IF(B418="","",COUNTA($B$4:B418))</f>
        <v>415</v>
      </c>
      <c r="B418" s="14" t="s">
        <v>1546</v>
      </c>
      <c r="C418" s="14" t="s">
        <v>205</v>
      </c>
      <c r="D418" s="14" t="s">
        <v>206</v>
      </c>
      <c r="E418" s="14" t="s">
        <v>205</v>
      </c>
      <c r="F418" s="14" t="s">
        <v>155</v>
      </c>
      <c r="G418" s="14" t="s">
        <v>156</v>
      </c>
      <c r="H418" s="14">
        <v>4</v>
      </c>
      <c r="I418" s="14"/>
      <c r="J418" s="14"/>
    </row>
    <row r="419" spans="1:10" x14ac:dyDescent="0.25">
      <c r="A419" s="14">
        <f>IF(B419="","",COUNTA($B$4:B419))</f>
        <v>416</v>
      </c>
      <c r="B419" s="14" t="s">
        <v>1546</v>
      </c>
      <c r="C419" s="14" t="s">
        <v>208</v>
      </c>
      <c r="D419" s="14" t="s">
        <v>209</v>
      </c>
      <c r="E419" s="14" t="s">
        <v>208</v>
      </c>
      <c r="F419" s="14" t="s">
        <v>155</v>
      </c>
      <c r="G419" s="14" t="s">
        <v>156</v>
      </c>
      <c r="H419" s="14">
        <v>5</v>
      </c>
      <c r="I419" s="14"/>
      <c r="J419" s="14"/>
    </row>
    <row r="420" spans="1:10" x14ac:dyDescent="0.25">
      <c r="A420" s="14">
        <f>IF(B420="","",COUNTA($B$4:B420))</f>
        <v>417</v>
      </c>
      <c r="B420" s="14" t="s">
        <v>1546</v>
      </c>
      <c r="C420" s="14" t="s">
        <v>228</v>
      </c>
      <c r="D420" s="14" t="s">
        <v>229</v>
      </c>
      <c r="E420" s="14" t="s">
        <v>228</v>
      </c>
      <c r="F420" s="14" t="s">
        <v>150</v>
      </c>
      <c r="G420" s="14" t="s">
        <v>151</v>
      </c>
      <c r="H420" s="14">
        <v>1000</v>
      </c>
      <c r="I420" s="14"/>
      <c r="J420" s="14"/>
    </row>
    <row r="421" spans="1:10" x14ac:dyDescent="0.25">
      <c r="A421" s="14">
        <f>IF(B421="","",COUNTA($B$4:B421))</f>
        <v>418</v>
      </c>
      <c r="B421" s="14" t="s">
        <v>1546</v>
      </c>
      <c r="C421" s="14" t="s">
        <v>1423</v>
      </c>
      <c r="D421" s="14" t="s">
        <v>1378</v>
      </c>
      <c r="E421" s="14" t="s">
        <v>1423</v>
      </c>
      <c r="F421" s="14" t="s">
        <v>150</v>
      </c>
      <c r="G421" s="14" t="s">
        <v>151</v>
      </c>
      <c r="H421" s="14">
        <v>15</v>
      </c>
      <c r="I421" s="14"/>
      <c r="J421" s="14"/>
    </row>
    <row r="422" spans="1:10" x14ac:dyDescent="0.25">
      <c r="A422" s="14">
        <f>IF(B422="","",COUNTA($B$4:B422))</f>
        <v>419</v>
      </c>
      <c r="B422" s="14" t="s">
        <v>1546</v>
      </c>
      <c r="C422" s="14" t="s">
        <v>397</v>
      </c>
      <c r="D422" s="14" t="s">
        <v>398</v>
      </c>
      <c r="E422" s="14" t="s">
        <v>397</v>
      </c>
      <c r="F422" s="14" t="s">
        <v>150</v>
      </c>
      <c r="G422" s="14" t="s">
        <v>151</v>
      </c>
      <c r="H422" s="14">
        <v>100</v>
      </c>
      <c r="I422" s="14"/>
      <c r="J422" s="14"/>
    </row>
    <row r="423" spans="1:10" x14ac:dyDescent="0.25">
      <c r="A423" s="14">
        <f>IF(B423="","",COUNTA($B$4:B423))</f>
        <v>420</v>
      </c>
      <c r="B423" s="14" t="s">
        <v>1546</v>
      </c>
      <c r="C423" s="14" t="s">
        <v>375</v>
      </c>
      <c r="D423" s="14" t="s">
        <v>376</v>
      </c>
      <c r="E423" s="14" t="s">
        <v>375</v>
      </c>
      <c r="F423" s="14" t="s">
        <v>169</v>
      </c>
      <c r="G423" s="14" t="s">
        <v>170</v>
      </c>
      <c r="H423" s="14"/>
      <c r="I423" s="14"/>
      <c r="J423" s="14"/>
    </row>
    <row r="424" spans="1:10" x14ac:dyDescent="0.25">
      <c r="A424" s="14">
        <f>IF(B424="","",COUNTA($B$4:B424))</f>
        <v>421</v>
      </c>
      <c r="B424" s="14" t="s">
        <v>1546</v>
      </c>
      <c r="C424" s="14" t="s">
        <v>249</v>
      </c>
      <c r="D424" s="14" t="s">
        <v>250</v>
      </c>
      <c r="E424" s="14" t="s">
        <v>249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 x14ac:dyDescent="0.25">
      <c r="A425" s="14">
        <f>IF(B425="","",COUNTA($B$4:B425))</f>
        <v>422</v>
      </c>
      <c r="B425" s="14" t="s">
        <v>1546</v>
      </c>
      <c r="C425" s="14" t="s">
        <v>251</v>
      </c>
      <c r="D425" s="14" t="s">
        <v>252</v>
      </c>
      <c r="E425" s="14" t="s">
        <v>251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 x14ac:dyDescent="0.25">
      <c r="A426" s="14">
        <f>IF(B426="","",COUNTA($B$4:B426))</f>
        <v>423</v>
      </c>
      <c r="B426" s="14" t="s">
        <v>1546</v>
      </c>
      <c r="C426" s="14" t="s">
        <v>253</v>
      </c>
      <c r="D426" s="14" t="s">
        <v>254</v>
      </c>
      <c r="E426" s="14" t="s">
        <v>253</v>
      </c>
      <c r="F426" s="14" t="s">
        <v>150</v>
      </c>
      <c r="G426" s="14" t="s">
        <v>151</v>
      </c>
      <c r="H426" s="14">
        <v>10</v>
      </c>
      <c r="I426" s="14"/>
      <c r="J426" s="14"/>
    </row>
    <row r="427" spans="1:10" x14ac:dyDescent="0.25">
      <c r="A427" s="14">
        <f>IF(B427="","",COUNTA($B$4:B427))</f>
        <v>424</v>
      </c>
      <c r="B427" s="14" t="s">
        <v>1546</v>
      </c>
      <c r="C427" s="14" t="s">
        <v>255</v>
      </c>
      <c r="D427" s="14" t="s">
        <v>256</v>
      </c>
      <c r="E427" s="14" t="s">
        <v>255</v>
      </c>
      <c r="F427" s="14" t="s">
        <v>150</v>
      </c>
      <c r="G427" s="14" t="s">
        <v>151</v>
      </c>
      <c r="H427" s="14">
        <v>10</v>
      </c>
      <c r="I427" s="14"/>
      <c r="J427" s="14"/>
    </row>
    <row r="428" spans="1:10" x14ac:dyDescent="0.25">
      <c r="A428" s="14">
        <f>IF(B428="","",COUNTA($B$4:B428))</f>
        <v>425</v>
      </c>
      <c r="B428" s="14" t="s">
        <v>1546</v>
      </c>
      <c r="C428" s="14" t="s">
        <v>257</v>
      </c>
      <c r="D428" s="14" t="s">
        <v>258</v>
      </c>
      <c r="E428" s="14" t="s">
        <v>257</v>
      </c>
      <c r="F428" s="14" t="s">
        <v>169</v>
      </c>
      <c r="G428" s="14" t="s">
        <v>243</v>
      </c>
      <c r="H428" s="14"/>
      <c r="I428" s="14"/>
      <c r="J428" s="14"/>
    </row>
    <row r="429" spans="1:10" x14ac:dyDescent="0.25">
      <c r="A429" s="14">
        <f>IF(B429="","",COUNTA($B$4:B429))</f>
        <v>426</v>
      </c>
      <c r="B429" s="14" t="s">
        <v>1546</v>
      </c>
      <c r="C429" s="14" t="s">
        <v>259</v>
      </c>
      <c r="D429" s="14" t="s">
        <v>260</v>
      </c>
      <c r="E429" s="14" t="s">
        <v>259</v>
      </c>
      <c r="F429" s="14" t="s">
        <v>150</v>
      </c>
      <c r="G429" s="14" t="s">
        <v>151</v>
      </c>
      <c r="H429" s="14">
        <v>10</v>
      </c>
      <c r="I429" s="14"/>
      <c r="J429" s="14"/>
    </row>
    <row r="430" spans="1:10" x14ac:dyDescent="0.25">
      <c r="A430" s="14">
        <f>IF(B430="","",COUNTA($B$4:B430))</f>
        <v>427</v>
      </c>
      <c r="B430" s="14" t="s">
        <v>1546</v>
      </c>
      <c r="C430" s="14" t="s">
        <v>261</v>
      </c>
      <c r="D430" s="14" t="s">
        <v>262</v>
      </c>
      <c r="E430" s="14" t="s">
        <v>261</v>
      </c>
      <c r="F430" s="14" t="s">
        <v>150</v>
      </c>
      <c r="G430" s="14" t="s">
        <v>151</v>
      </c>
      <c r="H430" s="14">
        <v>10</v>
      </c>
      <c r="I430" s="14"/>
      <c r="J430" s="14"/>
    </row>
    <row r="431" spans="1:10" x14ac:dyDescent="0.25">
      <c r="A431" s="14">
        <f>IF(B431="","",COUNTA($B$4:B431))</f>
        <v>428</v>
      </c>
      <c r="B431" s="14" t="s">
        <v>1546</v>
      </c>
      <c r="C431" s="14" t="s">
        <v>263</v>
      </c>
      <c r="D431" s="14" t="s">
        <v>264</v>
      </c>
      <c r="E431" s="14" t="s">
        <v>263</v>
      </c>
      <c r="F431" s="14" t="s">
        <v>169</v>
      </c>
      <c r="G431" s="14" t="s">
        <v>243</v>
      </c>
      <c r="H431" s="14"/>
      <c r="I431" s="14"/>
      <c r="J431" s="14"/>
    </row>
    <row r="432" spans="1:10" x14ac:dyDescent="0.25">
      <c r="A432" s="14">
        <f>IF(B432="","",COUNTA($B$4:B432))</f>
        <v>429</v>
      </c>
      <c r="B432" s="14" t="s">
        <v>1547</v>
      </c>
      <c r="C432" s="14" t="s">
        <v>148</v>
      </c>
      <c r="D432" s="14" t="s">
        <v>149</v>
      </c>
      <c r="E432" s="14" t="s">
        <v>148</v>
      </c>
      <c r="F432" s="14" t="s">
        <v>150</v>
      </c>
      <c r="G432" s="14" t="s">
        <v>151</v>
      </c>
      <c r="H432" s="14">
        <v>15</v>
      </c>
      <c r="I432" s="14"/>
      <c r="J432" s="14"/>
    </row>
    <row r="433" spans="1:10" x14ac:dyDescent="0.25">
      <c r="A433" s="14">
        <f>IF(B433="","",COUNTA($B$4:B433))</f>
        <v>430</v>
      </c>
      <c r="B433" s="14" t="s">
        <v>1547</v>
      </c>
      <c r="C433" s="14" t="s">
        <v>381</v>
      </c>
      <c r="D433" s="14" t="s">
        <v>382</v>
      </c>
      <c r="E433" s="14" t="s">
        <v>381</v>
      </c>
      <c r="F433" s="14" t="s">
        <v>150</v>
      </c>
      <c r="G433" s="14" t="s">
        <v>151</v>
      </c>
      <c r="H433" s="14">
        <v>30</v>
      </c>
      <c r="I433" s="14"/>
      <c r="J433" s="14"/>
    </row>
    <row r="434" spans="1:10" x14ac:dyDescent="0.25">
      <c r="A434" s="14">
        <f>IF(B434="","",COUNTA($B$4:B434))</f>
        <v>431</v>
      </c>
      <c r="B434" s="14" t="s">
        <v>1547</v>
      </c>
      <c r="C434" s="14" t="s">
        <v>338</v>
      </c>
      <c r="D434" s="14" t="s">
        <v>339</v>
      </c>
      <c r="E434" s="14" t="s">
        <v>338</v>
      </c>
      <c r="F434" s="14" t="s">
        <v>155</v>
      </c>
      <c r="G434" s="14" t="s">
        <v>156</v>
      </c>
      <c r="H434" s="14">
        <v>3</v>
      </c>
      <c r="I434" s="14"/>
      <c r="J434" s="14"/>
    </row>
    <row r="435" spans="1:10" x14ac:dyDescent="0.25">
      <c r="A435" s="14">
        <f>IF(B435="","",COUNTA($B$4:B435))</f>
        <v>432</v>
      </c>
      <c r="B435" s="14" t="s">
        <v>1547</v>
      </c>
      <c r="C435" s="14" t="s">
        <v>197</v>
      </c>
      <c r="D435" s="14" t="s">
        <v>198</v>
      </c>
      <c r="E435" s="14" t="s">
        <v>197</v>
      </c>
      <c r="F435" s="14" t="s">
        <v>150</v>
      </c>
      <c r="G435" s="14" t="s">
        <v>151</v>
      </c>
      <c r="H435" s="14">
        <v>5</v>
      </c>
      <c r="I435" s="14"/>
      <c r="J435" s="14"/>
    </row>
    <row r="436" spans="1:10" x14ac:dyDescent="0.25">
      <c r="A436" s="14">
        <f>IF(B436="","",COUNTA($B$4:B436))</f>
        <v>433</v>
      </c>
      <c r="B436" s="14" t="s">
        <v>1547</v>
      </c>
      <c r="C436" s="14" t="s">
        <v>199</v>
      </c>
      <c r="D436" s="14" t="s">
        <v>200</v>
      </c>
      <c r="E436" s="14" t="s">
        <v>199</v>
      </c>
      <c r="F436" s="14" t="s">
        <v>150</v>
      </c>
      <c r="G436" s="14" t="s">
        <v>151</v>
      </c>
      <c r="H436" s="14">
        <v>20</v>
      </c>
      <c r="I436" s="14"/>
      <c r="J436" s="14"/>
    </row>
    <row r="437" spans="1:10" x14ac:dyDescent="0.25">
      <c r="A437" s="14">
        <f>IF(B437="","",COUNTA($B$4:B437))</f>
        <v>434</v>
      </c>
      <c r="B437" s="14" t="s">
        <v>1547</v>
      </c>
      <c r="C437" s="14" t="s">
        <v>201</v>
      </c>
      <c r="D437" s="14" t="s">
        <v>202</v>
      </c>
      <c r="E437" s="14" t="s">
        <v>201</v>
      </c>
      <c r="F437" s="14" t="s">
        <v>150</v>
      </c>
      <c r="G437" s="14" t="s">
        <v>151</v>
      </c>
      <c r="H437" s="14">
        <v>30</v>
      </c>
      <c r="I437" s="14"/>
      <c r="J437" s="14"/>
    </row>
    <row r="438" spans="1:10" x14ac:dyDescent="0.25">
      <c r="A438" s="14">
        <f>IF(B438="","",COUNTA($B$4:B438))</f>
        <v>435</v>
      </c>
      <c r="B438" s="14" t="s">
        <v>1547</v>
      </c>
      <c r="C438" s="14" t="s">
        <v>399</v>
      </c>
      <c r="D438" s="14" t="s">
        <v>400</v>
      </c>
      <c r="E438" s="14" t="s">
        <v>399</v>
      </c>
      <c r="F438" s="14" t="s">
        <v>150</v>
      </c>
      <c r="G438" s="14" t="s">
        <v>151</v>
      </c>
      <c r="H438" s="14">
        <v>30</v>
      </c>
      <c r="I438" s="14"/>
      <c r="J438" s="14"/>
    </row>
    <row r="439" spans="1:10" x14ac:dyDescent="0.25">
      <c r="A439" s="14">
        <f>IF(B439="","",COUNTA($B$4:B439))</f>
        <v>436</v>
      </c>
      <c r="B439" s="14" t="s">
        <v>1547</v>
      </c>
      <c r="C439" s="14" t="s">
        <v>228</v>
      </c>
      <c r="D439" s="14" t="s">
        <v>229</v>
      </c>
      <c r="E439" s="14" t="s">
        <v>228</v>
      </c>
      <c r="F439" s="14" t="s">
        <v>150</v>
      </c>
      <c r="G439" s="14" t="s">
        <v>151</v>
      </c>
      <c r="H439" s="14">
        <v>1000</v>
      </c>
      <c r="I439" s="14"/>
      <c r="J439" s="14"/>
    </row>
    <row r="440" spans="1:10" x14ac:dyDescent="0.25">
      <c r="A440" s="14">
        <f>IF(B440="","",COUNTA($B$4:B440))</f>
        <v>437</v>
      </c>
      <c r="B440" s="14" t="s">
        <v>1547</v>
      </c>
      <c r="C440" s="14" t="s">
        <v>249</v>
      </c>
      <c r="D440" s="14" t="s">
        <v>250</v>
      </c>
      <c r="E440" s="14" t="s">
        <v>249</v>
      </c>
      <c r="F440" s="14" t="s">
        <v>150</v>
      </c>
      <c r="G440" s="14" t="s">
        <v>151</v>
      </c>
      <c r="H440" s="14">
        <v>4</v>
      </c>
      <c r="I440" s="14"/>
      <c r="J440" s="14"/>
    </row>
    <row r="441" spans="1:10" x14ac:dyDescent="0.25">
      <c r="A441" s="14">
        <f>IF(B441="","",COUNTA($B$4:B441))</f>
        <v>438</v>
      </c>
      <c r="B441" s="14" t="s">
        <v>1547</v>
      </c>
      <c r="C441" s="14" t="s">
        <v>251</v>
      </c>
      <c r="D441" s="14" t="s">
        <v>252</v>
      </c>
      <c r="E441" s="14" t="s">
        <v>251</v>
      </c>
      <c r="F441" s="14" t="s">
        <v>150</v>
      </c>
      <c r="G441" s="14" t="s">
        <v>151</v>
      </c>
      <c r="H441" s="14">
        <v>4</v>
      </c>
      <c r="I441" s="14"/>
      <c r="J441" s="14"/>
    </row>
    <row r="442" spans="1:10" x14ac:dyDescent="0.25">
      <c r="A442" s="14">
        <f>IF(B442="","",COUNTA($B$4:B442))</f>
        <v>439</v>
      </c>
      <c r="B442" s="14" t="s">
        <v>1547</v>
      </c>
      <c r="C442" s="14" t="s">
        <v>253</v>
      </c>
      <c r="D442" s="14" t="s">
        <v>254</v>
      </c>
      <c r="E442" s="14" t="s">
        <v>253</v>
      </c>
      <c r="F442" s="14" t="s">
        <v>150</v>
      </c>
      <c r="G442" s="14" t="s">
        <v>151</v>
      </c>
      <c r="H442" s="14">
        <v>10</v>
      </c>
      <c r="I442" s="14"/>
      <c r="J442" s="14"/>
    </row>
    <row r="443" spans="1:10" x14ac:dyDescent="0.25">
      <c r="A443" s="14">
        <f>IF(B443="","",COUNTA($B$4:B443))</f>
        <v>440</v>
      </c>
      <c r="B443" s="14" t="s">
        <v>1547</v>
      </c>
      <c r="C443" s="14" t="s">
        <v>255</v>
      </c>
      <c r="D443" s="14" t="s">
        <v>256</v>
      </c>
      <c r="E443" s="14" t="s">
        <v>255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 x14ac:dyDescent="0.25">
      <c r="A444" s="14">
        <f>IF(B444="","",COUNTA($B$4:B444))</f>
        <v>441</v>
      </c>
      <c r="B444" s="14" t="s">
        <v>1547</v>
      </c>
      <c r="C444" s="14" t="s">
        <v>257</v>
      </c>
      <c r="D444" s="14" t="s">
        <v>258</v>
      </c>
      <c r="E444" s="14" t="s">
        <v>257</v>
      </c>
      <c r="F444" s="14" t="s">
        <v>169</v>
      </c>
      <c r="G444" s="14" t="s">
        <v>243</v>
      </c>
      <c r="H444" s="14"/>
      <c r="I444" s="14"/>
      <c r="J444" s="14"/>
    </row>
    <row r="445" spans="1:10" x14ac:dyDescent="0.25">
      <c r="A445" s="14">
        <f>IF(B445="","",COUNTA($B$4:B445))</f>
        <v>442</v>
      </c>
      <c r="B445" s="14" t="s">
        <v>1547</v>
      </c>
      <c r="C445" s="14" t="s">
        <v>259</v>
      </c>
      <c r="D445" s="14" t="s">
        <v>260</v>
      </c>
      <c r="E445" s="14" t="s">
        <v>259</v>
      </c>
      <c r="F445" s="14" t="s">
        <v>150</v>
      </c>
      <c r="G445" s="14" t="s">
        <v>151</v>
      </c>
      <c r="H445" s="14">
        <v>10</v>
      </c>
      <c r="I445" s="14"/>
      <c r="J445" s="14"/>
    </row>
    <row r="446" spans="1:10" x14ac:dyDescent="0.25">
      <c r="A446" s="14">
        <f>IF(B446="","",COUNTA($B$4:B446))</f>
        <v>443</v>
      </c>
      <c r="B446" s="14" t="s">
        <v>1547</v>
      </c>
      <c r="C446" s="14" t="s">
        <v>261</v>
      </c>
      <c r="D446" s="14" t="s">
        <v>262</v>
      </c>
      <c r="E446" s="14" t="s">
        <v>261</v>
      </c>
      <c r="F446" s="14" t="s">
        <v>150</v>
      </c>
      <c r="G446" s="14" t="s">
        <v>151</v>
      </c>
      <c r="H446" s="14">
        <v>10</v>
      </c>
      <c r="I446" s="14"/>
      <c r="J446" s="14"/>
    </row>
    <row r="447" spans="1:10" x14ac:dyDescent="0.25">
      <c r="A447" s="14">
        <f>IF(B447="","",COUNTA($B$4:B447))</f>
        <v>444</v>
      </c>
      <c r="B447" s="14" t="s">
        <v>1547</v>
      </c>
      <c r="C447" s="14" t="s">
        <v>263</v>
      </c>
      <c r="D447" s="14" t="s">
        <v>264</v>
      </c>
      <c r="E447" s="14" t="s">
        <v>263</v>
      </c>
      <c r="F447" s="14" t="s">
        <v>169</v>
      </c>
      <c r="G447" s="14" t="s">
        <v>243</v>
      </c>
      <c r="H447" s="14"/>
      <c r="I447" s="14"/>
      <c r="J447" s="14"/>
    </row>
    <row r="448" spans="1:10" x14ac:dyDescent="0.25">
      <c r="A448" s="14">
        <f>IF(B448="","",COUNTA($B$4:B448))</f>
        <v>445</v>
      </c>
      <c r="B448" s="14" t="s">
        <v>1548</v>
      </c>
      <c r="C448" s="14" t="s">
        <v>148</v>
      </c>
      <c r="D448" s="14" t="s">
        <v>149</v>
      </c>
      <c r="E448" s="14" t="s">
        <v>148</v>
      </c>
      <c r="F448" s="14" t="s">
        <v>150</v>
      </c>
      <c r="G448" s="14" t="s">
        <v>151</v>
      </c>
      <c r="H448" s="14">
        <v>15</v>
      </c>
      <c r="I448" s="14"/>
      <c r="J448" s="14"/>
    </row>
    <row r="449" spans="1:10" x14ac:dyDescent="0.25">
      <c r="A449" s="14">
        <f>IF(B449="","",COUNTA($B$4:B449))</f>
        <v>446</v>
      </c>
      <c r="B449" s="14" t="s">
        <v>1548</v>
      </c>
      <c r="C449" s="14" t="s">
        <v>159</v>
      </c>
      <c r="D449" s="14" t="s">
        <v>160</v>
      </c>
      <c r="E449" s="14" t="s">
        <v>159</v>
      </c>
      <c r="F449" s="14" t="s">
        <v>150</v>
      </c>
      <c r="G449" s="14" t="s">
        <v>151</v>
      </c>
      <c r="H449" s="14">
        <v>4</v>
      </c>
      <c r="I449" s="14"/>
      <c r="J449" s="14"/>
    </row>
    <row r="450" spans="1:10" x14ac:dyDescent="0.25">
      <c r="A450" s="14">
        <f>IF(B450="","",COUNTA($B$4:B450))</f>
        <v>447</v>
      </c>
      <c r="B450" s="14" t="s">
        <v>1548</v>
      </c>
      <c r="C450" s="14" t="s">
        <v>162</v>
      </c>
      <c r="D450" s="14" t="s">
        <v>163</v>
      </c>
      <c r="E450" s="14" t="s">
        <v>164</v>
      </c>
      <c r="F450" s="14" t="s">
        <v>150</v>
      </c>
      <c r="G450" s="14" t="s">
        <v>151</v>
      </c>
      <c r="H450" s="14">
        <v>4</v>
      </c>
      <c r="I450" s="14"/>
      <c r="J450" s="14"/>
    </row>
    <row r="451" spans="1:10" x14ac:dyDescent="0.25">
      <c r="A451" s="14">
        <f>IF(B451="","",COUNTA($B$4:B451))</f>
        <v>448</v>
      </c>
      <c r="B451" s="14" t="s">
        <v>1548</v>
      </c>
      <c r="C451" s="14" t="s">
        <v>193</v>
      </c>
      <c r="D451" s="14" t="s">
        <v>194</v>
      </c>
      <c r="E451" s="14" t="s">
        <v>193</v>
      </c>
      <c r="F451" s="14" t="s">
        <v>150</v>
      </c>
      <c r="G451" s="14" t="s">
        <v>151</v>
      </c>
      <c r="H451" s="14">
        <v>5</v>
      </c>
      <c r="I451" s="14"/>
      <c r="J451" s="14"/>
    </row>
    <row r="452" spans="1:10" x14ac:dyDescent="0.25">
      <c r="A452" s="14">
        <f>IF(B452="","",COUNTA($B$4:B452))</f>
        <v>449</v>
      </c>
      <c r="B452" s="14" t="s">
        <v>1548</v>
      </c>
      <c r="C452" s="14" t="s">
        <v>195</v>
      </c>
      <c r="D452" s="14" t="s">
        <v>196</v>
      </c>
      <c r="E452" s="14" t="s">
        <v>195</v>
      </c>
      <c r="F452" s="14" t="s">
        <v>150</v>
      </c>
      <c r="G452" s="14" t="s">
        <v>151</v>
      </c>
      <c r="H452" s="14">
        <v>80</v>
      </c>
      <c r="I452" s="14"/>
      <c r="J452" s="14"/>
    </row>
    <row r="453" spans="1:10" x14ac:dyDescent="0.25">
      <c r="A453" s="14">
        <f>IF(B453="","",COUNTA($B$4:B453))</f>
        <v>450</v>
      </c>
      <c r="B453" s="14" t="s">
        <v>1548</v>
      </c>
      <c r="C453" s="14" t="s">
        <v>197</v>
      </c>
      <c r="D453" s="14" t="s">
        <v>198</v>
      </c>
      <c r="E453" s="14" t="s">
        <v>197</v>
      </c>
      <c r="F453" s="14" t="s">
        <v>150</v>
      </c>
      <c r="G453" s="14" t="s">
        <v>151</v>
      </c>
      <c r="H453" s="14">
        <v>5</v>
      </c>
      <c r="I453" s="14"/>
      <c r="J453" s="14"/>
    </row>
    <row r="454" spans="1:10" x14ac:dyDescent="0.25">
      <c r="A454" s="14">
        <f>IF(B454="","",COUNTA($B$4:B454))</f>
        <v>451</v>
      </c>
      <c r="B454" s="14" t="s">
        <v>1548</v>
      </c>
      <c r="C454" s="14" t="s">
        <v>199</v>
      </c>
      <c r="D454" s="14" t="s">
        <v>200</v>
      </c>
      <c r="E454" s="14" t="s">
        <v>199</v>
      </c>
      <c r="F454" s="14" t="s">
        <v>150</v>
      </c>
      <c r="G454" s="14" t="s">
        <v>151</v>
      </c>
      <c r="H454" s="14">
        <v>20</v>
      </c>
      <c r="I454" s="14"/>
      <c r="J454" s="14"/>
    </row>
    <row r="455" spans="1:10" x14ac:dyDescent="0.25">
      <c r="A455" s="14">
        <f>IF(B455="","",COUNTA($B$4:B455))</f>
        <v>452</v>
      </c>
      <c r="B455" s="14" t="s">
        <v>1548</v>
      </c>
      <c r="C455" s="14" t="s">
        <v>201</v>
      </c>
      <c r="D455" s="14" t="s">
        <v>202</v>
      </c>
      <c r="E455" s="14" t="s">
        <v>201</v>
      </c>
      <c r="F455" s="14" t="s">
        <v>150</v>
      </c>
      <c r="G455" s="14" t="s">
        <v>151</v>
      </c>
      <c r="H455" s="14">
        <v>30</v>
      </c>
      <c r="I455" s="14"/>
      <c r="J455" s="14"/>
    </row>
    <row r="456" spans="1:10" x14ac:dyDescent="0.25">
      <c r="A456" s="14">
        <f>IF(B456="","",COUNTA($B$4:B456))</f>
        <v>453</v>
      </c>
      <c r="B456" s="14" t="s">
        <v>1548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</row>
    <row r="457" spans="1:10" x14ac:dyDescent="0.25">
      <c r="A457" s="14">
        <f>IF(B457="","",COUNTA($B$4:B457))</f>
        <v>454</v>
      </c>
      <c r="B457" s="14" t="s">
        <v>1548</v>
      </c>
      <c r="C457" s="14" t="s">
        <v>205</v>
      </c>
      <c r="D457" s="14" t="s">
        <v>206</v>
      </c>
      <c r="E457" s="14" t="s">
        <v>205</v>
      </c>
      <c r="F457" s="14" t="s">
        <v>155</v>
      </c>
      <c r="G457" s="14" t="s">
        <v>156</v>
      </c>
      <c r="H457" s="14">
        <v>4</v>
      </c>
      <c r="I457" s="14"/>
      <c r="J457" s="14"/>
    </row>
    <row r="458" spans="1:10" x14ac:dyDescent="0.25">
      <c r="A458" s="14">
        <f>IF(B458="","",COUNTA($B$4:B458))</f>
        <v>455</v>
      </c>
      <c r="B458" s="14" t="s">
        <v>1548</v>
      </c>
      <c r="C458" s="14" t="s">
        <v>208</v>
      </c>
      <c r="D458" s="14" t="s">
        <v>209</v>
      </c>
      <c r="E458" s="14" t="s">
        <v>208</v>
      </c>
      <c r="F458" s="14" t="s">
        <v>155</v>
      </c>
      <c r="G458" s="14" t="s">
        <v>156</v>
      </c>
      <c r="H458" s="14">
        <v>5</v>
      </c>
      <c r="I458" s="14"/>
      <c r="J458" s="14"/>
    </row>
    <row r="459" spans="1:10" x14ac:dyDescent="0.25">
      <c r="A459" s="14">
        <f>IF(B459="","",COUNTA($B$4:B459))</f>
        <v>456</v>
      </c>
      <c r="B459" s="14" t="s">
        <v>1548</v>
      </c>
      <c r="C459" s="14" t="s">
        <v>228</v>
      </c>
      <c r="D459" s="14" t="s">
        <v>229</v>
      </c>
      <c r="E459" s="14" t="s">
        <v>228</v>
      </c>
      <c r="F459" s="14" t="s">
        <v>150</v>
      </c>
      <c r="G459" s="14" t="s">
        <v>151</v>
      </c>
      <c r="H459" s="14">
        <v>1000</v>
      </c>
      <c r="I459" s="14"/>
      <c r="J459" s="14"/>
    </row>
    <row r="460" spans="1:10" x14ac:dyDescent="0.25">
      <c r="A460" s="14">
        <f>IF(B460="","",COUNTA($B$4:B460))</f>
        <v>457</v>
      </c>
      <c r="B460" s="14" t="s">
        <v>1548</v>
      </c>
      <c r="C460" s="14" t="s">
        <v>1423</v>
      </c>
      <c r="D460" s="14" t="s">
        <v>1378</v>
      </c>
      <c r="E460" s="14" t="s">
        <v>1423</v>
      </c>
      <c r="F460" s="14" t="s">
        <v>150</v>
      </c>
      <c r="G460" s="14" t="s">
        <v>151</v>
      </c>
      <c r="H460" s="14">
        <v>15</v>
      </c>
      <c r="I460" s="14"/>
      <c r="J460" s="14"/>
    </row>
    <row r="461" spans="1:10" x14ac:dyDescent="0.25">
      <c r="A461" s="14">
        <f>IF(B461="","",COUNTA($B$4:B461))</f>
        <v>458</v>
      </c>
      <c r="B461" s="14" t="s">
        <v>1548</v>
      </c>
      <c r="C461" s="14" t="s">
        <v>375</v>
      </c>
      <c r="D461" s="14" t="s">
        <v>376</v>
      </c>
      <c r="E461" s="14" t="s">
        <v>375</v>
      </c>
      <c r="F461" s="14" t="s">
        <v>169</v>
      </c>
      <c r="G461" s="14" t="s">
        <v>170</v>
      </c>
      <c r="H461" s="14"/>
      <c r="I461" s="14"/>
      <c r="J461" s="14"/>
    </row>
    <row r="462" spans="1:10" x14ac:dyDescent="0.25">
      <c r="A462" s="14">
        <f>IF(B462="","",COUNTA($B$4:B462))</f>
        <v>459</v>
      </c>
      <c r="B462" s="14" t="s">
        <v>1548</v>
      </c>
      <c r="C462" s="14" t="s">
        <v>249</v>
      </c>
      <c r="D462" s="14" t="s">
        <v>250</v>
      </c>
      <c r="E462" s="14" t="s">
        <v>249</v>
      </c>
      <c r="F462" s="14" t="s">
        <v>150</v>
      </c>
      <c r="G462" s="14" t="s">
        <v>151</v>
      </c>
      <c r="H462" s="14">
        <v>4</v>
      </c>
      <c r="I462" s="14"/>
      <c r="J462" s="14"/>
    </row>
    <row r="463" spans="1:10" x14ac:dyDescent="0.25">
      <c r="A463" s="14">
        <f>IF(B463="","",COUNTA($B$4:B463))</f>
        <v>460</v>
      </c>
      <c r="B463" s="14" t="s">
        <v>1548</v>
      </c>
      <c r="C463" s="14" t="s">
        <v>251</v>
      </c>
      <c r="D463" s="14" t="s">
        <v>252</v>
      </c>
      <c r="E463" s="14" t="s">
        <v>251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 x14ac:dyDescent="0.25">
      <c r="A464" s="14">
        <f>IF(B464="","",COUNTA($B$4:B464))</f>
        <v>461</v>
      </c>
      <c r="B464" s="14" t="s">
        <v>1548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/>
      <c r="J464" s="14"/>
    </row>
    <row r="465" spans="1:10" x14ac:dyDescent="0.25">
      <c r="A465" s="14">
        <f>IF(B465="","",COUNTA($B$4:B465))</f>
        <v>462</v>
      </c>
      <c r="B465" s="14" t="s">
        <v>1548</v>
      </c>
      <c r="C465" s="14" t="s">
        <v>255</v>
      </c>
      <c r="D465" s="14" t="s">
        <v>256</v>
      </c>
      <c r="E465" s="14" t="s">
        <v>255</v>
      </c>
      <c r="F465" s="14" t="s">
        <v>150</v>
      </c>
      <c r="G465" s="14" t="s">
        <v>151</v>
      </c>
      <c r="H465" s="14">
        <v>10</v>
      </c>
      <c r="I465" s="14"/>
      <c r="J465" s="14"/>
    </row>
    <row r="466" spans="1:10" x14ac:dyDescent="0.25">
      <c r="A466" s="14">
        <f>IF(B466="","",COUNTA($B$4:B466))</f>
        <v>463</v>
      </c>
      <c r="B466" s="14" t="s">
        <v>1548</v>
      </c>
      <c r="C466" s="14" t="s">
        <v>257</v>
      </c>
      <c r="D466" s="14" t="s">
        <v>258</v>
      </c>
      <c r="E466" s="14" t="s">
        <v>257</v>
      </c>
      <c r="F466" s="14" t="s">
        <v>169</v>
      </c>
      <c r="G466" s="14" t="s">
        <v>243</v>
      </c>
      <c r="H466" s="14"/>
      <c r="I466" s="14"/>
      <c r="J466" s="14"/>
    </row>
    <row r="467" spans="1:10" x14ac:dyDescent="0.25">
      <c r="A467" s="14">
        <f>IF(B467="","",COUNTA($B$4:B467))</f>
        <v>464</v>
      </c>
      <c r="B467" s="14" t="s">
        <v>1548</v>
      </c>
      <c r="C467" s="14" t="s">
        <v>259</v>
      </c>
      <c r="D467" s="14" t="s">
        <v>260</v>
      </c>
      <c r="E467" s="14" t="s">
        <v>259</v>
      </c>
      <c r="F467" s="14" t="s">
        <v>150</v>
      </c>
      <c r="G467" s="14" t="s">
        <v>151</v>
      </c>
      <c r="H467" s="14">
        <v>10</v>
      </c>
      <c r="I467" s="14"/>
      <c r="J467" s="14"/>
    </row>
    <row r="468" spans="1:10" x14ac:dyDescent="0.25">
      <c r="A468" s="14">
        <f>IF(B468="","",COUNTA($B$4:B468))</f>
        <v>465</v>
      </c>
      <c r="B468" s="14" t="s">
        <v>1548</v>
      </c>
      <c r="C468" s="14" t="s">
        <v>261</v>
      </c>
      <c r="D468" s="14" t="s">
        <v>262</v>
      </c>
      <c r="E468" s="14" t="s">
        <v>261</v>
      </c>
      <c r="F468" s="14" t="s">
        <v>150</v>
      </c>
      <c r="G468" s="14" t="s">
        <v>151</v>
      </c>
      <c r="H468" s="14">
        <v>10</v>
      </c>
      <c r="I468" s="14"/>
      <c r="J468" s="14"/>
    </row>
    <row r="469" spans="1:10" x14ac:dyDescent="0.25">
      <c r="A469" s="14">
        <f>IF(B469="","",COUNTA($B$4:B469))</f>
        <v>466</v>
      </c>
      <c r="B469" s="14" t="s">
        <v>1548</v>
      </c>
      <c r="C469" s="14" t="s">
        <v>263</v>
      </c>
      <c r="D469" s="14" t="s">
        <v>264</v>
      </c>
      <c r="E469" s="14" t="s">
        <v>263</v>
      </c>
      <c r="F469" s="14" t="s">
        <v>169</v>
      </c>
      <c r="G469" s="14" t="s">
        <v>243</v>
      </c>
      <c r="H469" s="14"/>
      <c r="I469" s="14"/>
      <c r="J469" s="14"/>
    </row>
    <row r="470" spans="1:10" x14ac:dyDescent="0.25">
      <c r="A470" s="14">
        <f>IF(B470="","",COUNTA($B$4:B470))</f>
        <v>467</v>
      </c>
      <c r="B470" s="14" t="s">
        <v>1549</v>
      </c>
      <c r="C470" s="14" t="s">
        <v>148</v>
      </c>
      <c r="D470" s="14" t="s">
        <v>149</v>
      </c>
      <c r="E470" s="14" t="s">
        <v>148</v>
      </c>
      <c r="F470" s="14" t="s">
        <v>150</v>
      </c>
      <c r="G470" s="14" t="s">
        <v>151</v>
      </c>
      <c r="H470" s="14">
        <v>15</v>
      </c>
      <c r="I470" s="14"/>
      <c r="J470" s="14"/>
    </row>
    <row r="471" spans="1:10" x14ac:dyDescent="0.25">
      <c r="A471" s="14">
        <f>IF(B471="","",COUNTA($B$4:B471))</f>
        <v>468</v>
      </c>
      <c r="B471" s="14" t="s">
        <v>1549</v>
      </c>
      <c r="C471" s="14" t="s">
        <v>381</v>
      </c>
      <c r="D471" s="14" t="s">
        <v>382</v>
      </c>
      <c r="E471" s="14" t="s">
        <v>381</v>
      </c>
      <c r="F471" s="14" t="s">
        <v>150</v>
      </c>
      <c r="G471" s="14" t="s">
        <v>151</v>
      </c>
      <c r="H471" s="14">
        <v>30</v>
      </c>
      <c r="I471" s="14"/>
      <c r="J471" s="14"/>
    </row>
    <row r="472" spans="1:10" x14ac:dyDescent="0.25">
      <c r="A472" s="14">
        <f>IF(B472="","",COUNTA($B$4:B472))</f>
        <v>469</v>
      </c>
      <c r="B472" s="14" t="s">
        <v>1549</v>
      </c>
      <c r="C472" s="14" t="s">
        <v>338</v>
      </c>
      <c r="D472" s="14" t="s">
        <v>339</v>
      </c>
      <c r="E472" s="14" t="s">
        <v>338</v>
      </c>
      <c r="F472" s="14" t="s">
        <v>155</v>
      </c>
      <c r="G472" s="14" t="s">
        <v>156</v>
      </c>
      <c r="H472" s="14">
        <v>3</v>
      </c>
      <c r="I472" s="14"/>
      <c r="J472" s="14"/>
    </row>
    <row r="473" spans="1:10" x14ac:dyDescent="0.25">
      <c r="A473" s="14">
        <f>IF(B473="","",COUNTA($B$4:B473))</f>
        <v>470</v>
      </c>
      <c r="B473" s="14" t="s">
        <v>1549</v>
      </c>
      <c r="C473" s="14" t="s">
        <v>197</v>
      </c>
      <c r="D473" s="14" t="s">
        <v>198</v>
      </c>
      <c r="E473" s="14" t="s">
        <v>197</v>
      </c>
      <c r="F473" s="14" t="s">
        <v>150</v>
      </c>
      <c r="G473" s="14" t="s">
        <v>151</v>
      </c>
      <c r="H473" s="14">
        <v>5</v>
      </c>
      <c r="I473" s="14"/>
      <c r="J473" s="14"/>
    </row>
    <row r="474" spans="1:10" x14ac:dyDescent="0.25">
      <c r="A474" s="14">
        <f>IF(B474="","",COUNTA($B$4:B474))</f>
        <v>471</v>
      </c>
      <c r="B474" s="14" t="s">
        <v>1549</v>
      </c>
      <c r="C474" s="14" t="s">
        <v>199</v>
      </c>
      <c r="D474" s="14" t="s">
        <v>200</v>
      </c>
      <c r="E474" s="14" t="s">
        <v>1425</v>
      </c>
      <c r="F474" s="14" t="s">
        <v>150</v>
      </c>
      <c r="G474" s="14" t="s">
        <v>151</v>
      </c>
      <c r="H474" s="14">
        <v>20</v>
      </c>
      <c r="I474" s="14"/>
      <c r="J474" s="14"/>
    </row>
    <row r="475" spans="1:10" x14ac:dyDescent="0.25">
      <c r="A475" s="14">
        <f>IF(B475="","",COUNTA($B$4:B475))</f>
        <v>472</v>
      </c>
      <c r="B475" s="14" t="s">
        <v>1549</v>
      </c>
      <c r="C475" s="14" t="s">
        <v>201</v>
      </c>
      <c r="D475" s="14" t="s">
        <v>202</v>
      </c>
      <c r="E475" s="14" t="s">
        <v>1426</v>
      </c>
      <c r="F475" s="14" t="s">
        <v>150</v>
      </c>
      <c r="G475" s="14" t="s">
        <v>1498</v>
      </c>
      <c r="H475" s="14">
        <v>30</v>
      </c>
      <c r="I475" s="14"/>
      <c r="J475" s="14"/>
    </row>
    <row r="476" spans="1:10" x14ac:dyDescent="0.25">
      <c r="A476" s="14">
        <f>IF(B476="","",COUNTA($B$4:B476))</f>
        <v>473</v>
      </c>
      <c r="B476" s="14" t="s">
        <v>1549</v>
      </c>
      <c r="C476" s="14" t="s">
        <v>1427</v>
      </c>
      <c r="D476" s="14" t="s">
        <v>1380</v>
      </c>
      <c r="E476" s="14" t="s">
        <v>1427</v>
      </c>
      <c r="F476" s="14" t="s">
        <v>150</v>
      </c>
      <c r="G476" s="14" t="s">
        <v>151</v>
      </c>
      <c r="H476" s="14">
        <v>3</v>
      </c>
      <c r="I476" s="14"/>
      <c r="J476" s="14"/>
    </row>
    <row r="477" spans="1:10" x14ac:dyDescent="0.25">
      <c r="A477" s="14">
        <f>IF(B477="","",COUNTA($B$4:B477))</f>
        <v>474</v>
      </c>
      <c r="B477" s="14" t="s">
        <v>1549</v>
      </c>
      <c r="C477" s="14" t="s">
        <v>1428</v>
      </c>
      <c r="D477" s="14" t="s">
        <v>1505</v>
      </c>
      <c r="E477" s="14" t="s">
        <v>1428</v>
      </c>
      <c r="F477" s="14" t="s">
        <v>155</v>
      </c>
      <c r="G477" s="14" t="s">
        <v>156</v>
      </c>
      <c r="H477" s="14">
        <v>5</v>
      </c>
      <c r="I477" s="14">
        <v>2</v>
      </c>
      <c r="J477" s="14"/>
    </row>
    <row r="478" spans="1:10" x14ac:dyDescent="0.25">
      <c r="A478" s="14">
        <f>IF(B478="","",COUNTA($B$4:B478))</f>
        <v>475</v>
      </c>
      <c r="B478" s="14" t="s">
        <v>1549</v>
      </c>
      <c r="C478" s="14" t="s">
        <v>228</v>
      </c>
      <c r="D478" s="14" t="s">
        <v>229</v>
      </c>
      <c r="E478" s="14" t="s">
        <v>228</v>
      </c>
      <c r="F478" s="14" t="s">
        <v>150</v>
      </c>
      <c r="G478" s="14" t="s">
        <v>151</v>
      </c>
      <c r="H478" s="14">
        <v>1000</v>
      </c>
      <c r="I478" s="14"/>
      <c r="J478" s="14"/>
    </row>
    <row r="479" spans="1:10" x14ac:dyDescent="0.25">
      <c r="A479" s="14">
        <f>IF(B479="","",COUNTA($B$4:B479))</f>
        <v>476</v>
      </c>
      <c r="B479" s="14" t="s">
        <v>1549</v>
      </c>
      <c r="C479" s="14" t="s">
        <v>249</v>
      </c>
      <c r="D479" s="14" t="s">
        <v>250</v>
      </c>
      <c r="E479" s="14" t="s">
        <v>249</v>
      </c>
      <c r="F479" s="14" t="s">
        <v>150</v>
      </c>
      <c r="G479" s="14" t="s">
        <v>151</v>
      </c>
      <c r="H479" s="14">
        <v>4</v>
      </c>
      <c r="I479" s="14"/>
      <c r="J479" s="14"/>
    </row>
    <row r="480" spans="1:10" x14ac:dyDescent="0.25">
      <c r="A480" s="14">
        <f>IF(B480="","",COUNTA($B$4:B480))</f>
        <v>477</v>
      </c>
      <c r="B480" s="14" t="s">
        <v>1549</v>
      </c>
      <c r="C480" s="14" t="s">
        <v>251</v>
      </c>
      <c r="D480" s="14" t="s">
        <v>252</v>
      </c>
      <c r="E480" s="14" t="s">
        <v>251</v>
      </c>
      <c r="F480" s="14" t="s">
        <v>150</v>
      </c>
      <c r="G480" s="14" t="s">
        <v>151</v>
      </c>
      <c r="H480" s="14">
        <v>4</v>
      </c>
      <c r="I480" s="14"/>
      <c r="J480" s="14"/>
    </row>
    <row r="481" spans="1:10" x14ac:dyDescent="0.25">
      <c r="A481" s="14">
        <f>IF(B481="","",COUNTA($B$4:B481))</f>
        <v>478</v>
      </c>
      <c r="B481" s="14" t="s">
        <v>1549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 x14ac:dyDescent="0.25">
      <c r="A482" s="14">
        <f>IF(B482="","",COUNTA($B$4:B482))</f>
        <v>479</v>
      </c>
      <c r="B482" s="14" t="s">
        <v>1549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 x14ac:dyDescent="0.25">
      <c r="A483" s="14">
        <f>IF(B483="","",COUNTA($B$4:B483))</f>
        <v>480</v>
      </c>
      <c r="B483" s="14" t="s">
        <v>1549</v>
      </c>
      <c r="C483" s="14" t="s">
        <v>257</v>
      </c>
      <c r="D483" s="14" t="s">
        <v>258</v>
      </c>
      <c r="E483" s="14" t="s">
        <v>257</v>
      </c>
      <c r="F483" s="14" t="s">
        <v>169</v>
      </c>
      <c r="G483" s="14" t="s">
        <v>243</v>
      </c>
      <c r="H483" s="14"/>
      <c r="I483" s="14"/>
      <c r="J483" s="14"/>
    </row>
    <row r="484" spans="1:10" x14ac:dyDescent="0.25">
      <c r="A484" s="14">
        <f>IF(B484="","",COUNTA($B$4:B484))</f>
        <v>481</v>
      </c>
      <c r="B484" s="14" t="s">
        <v>1549</v>
      </c>
      <c r="C484" s="14" t="s">
        <v>259</v>
      </c>
      <c r="D484" s="14" t="s">
        <v>260</v>
      </c>
      <c r="E484" s="14" t="s">
        <v>259</v>
      </c>
      <c r="F484" s="14" t="s">
        <v>150</v>
      </c>
      <c r="G484" s="14" t="s">
        <v>151</v>
      </c>
      <c r="H484" s="14">
        <v>10</v>
      </c>
      <c r="I484" s="14"/>
      <c r="J484" s="14"/>
    </row>
    <row r="485" spans="1:10" x14ac:dyDescent="0.25">
      <c r="A485" s="14">
        <f>IF(B485="","",COUNTA($B$4:B485))</f>
        <v>482</v>
      </c>
      <c r="B485" s="14" t="s">
        <v>1549</v>
      </c>
      <c r="C485" s="14" t="s">
        <v>261</v>
      </c>
      <c r="D485" s="14" t="s">
        <v>262</v>
      </c>
      <c r="E485" s="14" t="s">
        <v>261</v>
      </c>
      <c r="F485" s="14" t="s">
        <v>150</v>
      </c>
      <c r="G485" s="14" t="s">
        <v>151</v>
      </c>
      <c r="H485" s="14">
        <v>10</v>
      </c>
      <c r="I485" s="14"/>
      <c r="J485" s="14"/>
    </row>
    <row r="486" spans="1:10" x14ac:dyDescent="0.25">
      <c r="A486" s="14">
        <f>IF(B486="","",COUNTA($B$4:B486))</f>
        <v>483</v>
      </c>
      <c r="B486" s="14" t="s">
        <v>1549</v>
      </c>
      <c r="C486" s="14" t="s">
        <v>263</v>
      </c>
      <c r="D486" s="14" t="s">
        <v>264</v>
      </c>
      <c r="E486" s="14" t="s">
        <v>263</v>
      </c>
      <c r="F486" s="14" t="s">
        <v>169</v>
      </c>
      <c r="G486" s="14" t="s">
        <v>243</v>
      </c>
      <c r="H486" s="14"/>
      <c r="I486" s="14"/>
      <c r="J486" s="14"/>
    </row>
    <row r="487" spans="1:10" x14ac:dyDescent="0.25">
      <c r="A487" s="14">
        <f>IF(B487="","",COUNTA($B$4:B487))</f>
        <v>484</v>
      </c>
      <c r="B487" s="14" t="s">
        <v>1550</v>
      </c>
      <c r="C487" s="14" t="s">
        <v>148</v>
      </c>
      <c r="D487" s="14" t="s">
        <v>149</v>
      </c>
      <c r="E487" s="14" t="s">
        <v>148</v>
      </c>
      <c r="F487" s="14" t="s">
        <v>150</v>
      </c>
      <c r="G487" s="14" t="s">
        <v>151</v>
      </c>
      <c r="H487" s="14">
        <v>15</v>
      </c>
      <c r="I487" s="14"/>
      <c r="J487" s="14"/>
    </row>
    <row r="488" spans="1:10" x14ac:dyDescent="0.25">
      <c r="A488" s="14">
        <f>IF(B488="","",COUNTA($B$4:B488))</f>
        <v>485</v>
      </c>
      <c r="B488" s="14" t="s">
        <v>1550</v>
      </c>
      <c r="C488" s="14" t="s">
        <v>159</v>
      </c>
      <c r="D488" s="14" t="s">
        <v>160</v>
      </c>
      <c r="E488" s="14" t="s">
        <v>159</v>
      </c>
      <c r="F488" s="14" t="s">
        <v>150</v>
      </c>
      <c r="G488" s="14" t="s">
        <v>151</v>
      </c>
      <c r="H488" s="14">
        <v>4</v>
      </c>
      <c r="I488" s="14"/>
      <c r="J488" s="14"/>
    </row>
    <row r="489" spans="1:10" x14ac:dyDescent="0.25">
      <c r="A489" s="14">
        <f>IF(B489="","",COUNTA($B$4:B489))</f>
        <v>486</v>
      </c>
      <c r="B489" s="14" t="s">
        <v>1550</v>
      </c>
      <c r="C489" s="14" t="s">
        <v>162</v>
      </c>
      <c r="D489" s="14" t="s">
        <v>163</v>
      </c>
      <c r="E489" s="14" t="s">
        <v>164</v>
      </c>
      <c r="F489" s="14" t="s">
        <v>150</v>
      </c>
      <c r="G489" s="14" t="s">
        <v>151</v>
      </c>
      <c r="H489" s="14">
        <v>4</v>
      </c>
      <c r="I489" s="14"/>
      <c r="J489" s="14"/>
    </row>
    <row r="490" spans="1:10" x14ac:dyDescent="0.25">
      <c r="A490" s="14">
        <f>IF(B490="","",COUNTA($B$4:B490))</f>
        <v>487</v>
      </c>
      <c r="B490" s="14" t="s">
        <v>1550</v>
      </c>
      <c r="C490" s="14" t="s">
        <v>193</v>
      </c>
      <c r="D490" s="14" t="s">
        <v>194</v>
      </c>
      <c r="E490" s="14" t="s">
        <v>193</v>
      </c>
      <c r="F490" s="14" t="s">
        <v>150</v>
      </c>
      <c r="G490" s="14" t="s">
        <v>151</v>
      </c>
      <c r="H490" s="14">
        <v>5</v>
      </c>
      <c r="I490" s="14"/>
      <c r="J490" s="15"/>
    </row>
    <row r="491" spans="1:10" x14ac:dyDescent="0.25">
      <c r="A491" s="14">
        <f>IF(B491="","",COUNTA($B$4:B491))</f>
        <v>488</v>
      </c>
      <c r="B491" s="14" t="s">
        <v>1550</v>
      </c>
      <c r="C491" s="14" t="s">
        <v>195</v>
      </c>
      <c r="D491" s="14" t="s">
        <v>196</v>
      </c>
      <c r="E491" s="14" t="s">
        <v>195</v>
      </c>
      <c r="F491" s="14" t="s">
        <v>150</v>
      </c>
      <c r="G491" s="14" t="s">
        <v>151</v>
      </c>
      <c r="H491" s="14">
        <v>80</v>
      </c>
      <c r="I491" s="14"/>
      <c r="J491" s="15"/>
    </row>
    <row r="492" spans="1:10" x14ac:dyDescent="0.25">
      <c r="A492" s="14">
        <f>IF(B492="","",COUNTA($B$4:B492))</f>
        <v>489</v>
      </c>
      <c r="B492" s="14" t="s">
        <v>1550</v>
      </c>
      <c r="C492" s="14" t="s">
        <v>197</v>
      </c>
      <c r="D492" s="14" t="s">
        <v>198</v>
      </c>
      <c r="E492" s="14" t="s">
        <v>197</v>
      </c>
      <c r="F492" s="14" t="s">
        <v>150</v>
      </c>
      <c r="G492" s="14" t="s">
        <v>151</v>
      </c>
      <c r="H492" s="14">
        <v>5</v>
      </c>
      <c r="I492" s="14"/>
      <c r="J492" s="15"/>
    </row>
    <row r="493" spans="1:10" x14ac:dyDescent="0.25">
      <c r="A493" s="14">
        <f>IF(B493="","",COUNTA($B$4:B493))</f>
        <v>490</v>
      </c>
      <c r="B493" s="14" t="s">
        <v>1550</v>
      </c>
      <c r="C493" s="14" t="s">
        <v>199</v>
      </c>
      <c r="D493" s="14" t="s">
        <v>200</v>
      </c>
      <c r="E493" s="14" t="s">
        <v>199</v>
      </c>
      <c r="F493" s="14" t="s">
        <v>150</v>
      </c>
      <c r="G493" s="14" t="s">
        <v>151</v>
      </c>
      <c r="H493" s="14">
        <v>20</v>
      </c>
      <c r="I493" s="14"/>
      <c r="J493" s="15"/>
    </row>
    <row r="494" spans="1:10" x14ac:dyDescent="0.25">
      <c r="A494" s="14">
        <f>IF(B494="","",COUNTA($B$4:B494))</f>
        <v>491</v>
      </c>
      <c r="B494" s="14" t="s">
        <v>1550</v>
      </c>
      <c r="C494" s="14" t="s">
        <v>201</v>
      </c>
      <c r="D494" s="14" t="s">
        <v>202</v>
      </c>
      <c r="E494" s="14" t="s">
        <v>201</v>
      </c>
      <c r="F494" s="14" t="s">
        <v>150</v>
      </c>
      <c r="G494" s="14" t="s">
        <v>151</v>
      </c>
      <c r="H494" s="14">
        <v>30</v>
      </c>
      <c r="I494" s="14"/>
      <c r="J494" s="15"/>
    </row>
    <row r="495" spans="1:10" x14ac:dyDescent="0.25">
      <c r="A495" s="14">
        <f>IF(B495="","",COUNTA($B$4:B495))</f>
        <v>492</v>
      </c>
      <c r="B495" s="14" t="s">
        <v>1550</v>
      </c>
      <c r="C495" s="14" t="s">
        <v>203</v>
      </c>
      <c r="D495" s="14" t="s">
        <v>204</v>
      </c>
      <c r="E495" s="14" t="s">
        <v>203</v>
      </c>
      <c r="F495" s="14" t="s">
        <v>155</v>
      </c>
      <c r="G495" s="14" t="s">
        <v>156</v>
      </c>
      <c r="H495" s="14">
        <v>5</v>
      </c>
      <c r="I495" s="14">
        <v>2</v>
      </c>
      <c r="J495" s="15"/>
    </row>
    <row r="496" spans="1:10" x14ac:dyDescent="0.25">
      <c r="A496" s="14">
        <f>IF(B496="","",COUNTA($B$4:B496))</f>
        <v>493</v>
      </c>
      <c r="B496" s="14" t="s">
        <v>1550</v>
      </c>
      <c r="C496" s="14" t="s">
        <v>205</v>
      </c>
      <c r="D496" s="14" t="s">
        <v>206</v>
      </c>
      <c r="E496" s="14" t="s">
        <v>205</v>
      </c>
      <c r="F496" s="14" t="s">
        <v>155</v>
      </c>
      <c r="G496" s="14" t="s">
        <v>156</v>
      </c>
      <c r="H496" s="14">
        <v>4</v>
      </c>
      <c r="I496" s="14"/>
      <c r="J496" s="15"/>
    </row>
    <row r="497" spans="1:10" x14ac:dyDescent="0.25">
      <c r="A497" s="14">
        <f>IF(B497="","",COUNTA($B$4:B497))</f>
        <v>494</v>
      </c>
      <c r="B497" s="14" t="s">
        <v>1550</v>
      </c>
      <c r="C497" s="14" t="s">
        <v>208</v>
      </c>
      <c r="D497" s="14" t="s">
        <v>209</v>
      </c>
      <c r="E497" s="14" t="s">
        <v>208</v>
      </c>
      <c r="F497" s="14" t="s">
        <v>155</v>
      </c>
      <c r="G497" s="14" t="s">
        <v>156</v>
      </c>
      <c r="H497" s="14">
        <v>5</v>
      </c>
      <c r="I497" s="14"/>
      <c r="J497" s="15"/>
    </row>
    <row r="498" spans="1:10" x14ac:dyDescent="0.25">
      <c r="A498" s="14">
        <f>IF(B498="","",COUNTA($B$4:B498))</f>
        <v>495</v>
      </c>
      <c r="B498" s="14" t="s">
        <v>1550</v>
      </c>
      <c r="C498" s="14" t="s">
        <v>228</v>
      </c>
      <c r="D498" s="14" t="s">
        <v>229</v>
      </c>
      <c r="E498" s="14" t="s">
        <v>228</v>
      </c>
      <c r="F498" s="14" t="s">
        <v>150</v>
      </c>
      <c r="G498" s="14" t="s">
        <v>151</v>
      </c>
      <c r="H498" s="14">
        <v>1000</v>
      </c>
      <c r="I498" s="14"/>
      <c r="J498" s="15"/>
    </row>
    <row r="499" spans="1:10" x14ac:dyDescent="0.25">
      <c r="A499" s="14">
        <f>IF(B499="","",COUNTA($B$4:B499))</f>
        <v>496</v>
      </c>
      <c r="B499" s="14" t="s">
        <v>1550</v>
      </c>
      <c r="C499" s="14" t="s">
        <v>1423</v>
      </c>
      <c r="D499" s="14" t="s">
        <v>1378</v>
      </c>
      <c r="E499" s="14" t="s">
        <v>1423</v>
      </c>
      <c r="F499" s="14" t="s">
        <v>150</v>
      </c>
      <c r="G499" s="14" t="s">
        <v>151</v>
      </c>
      <c r="H499" s="14">
        <v>15</v>
      </c>
      <c r="I499" s="14"/>
      <c r="J499" s="15"/>
    </row>
    <row r="500" spans="1:10" x14ac:dyDescent="0.25">
      <c r="A500" s="14">
        <f>IF(B500="","",COUNTA($B$4:B500))</f>
        <v>497</v>
      </c>
      <c r="B500" s="14" t="s">
        <v>1550</v>
      </c>
      <c r="C500" s="14" t="s">
        <v>375</v>
      </c>
      <c r="D500" s="14" t="s">
        <v>376</v>
      </c>
      <c r="E500" s="14" t="s">
        <v>375</v>
      </c>
      <c r="F500" s="14" t="s">
        <v>169</v>
      </c>
      <c r="G500" s="14" t="s">
        <v>170</v>
      </c>
      <c r="H500" s="14"/>
      <c r="I500" s="14"/>
      <c r="J500" s="15"/>
    </row>
    <row r="501" spans="1:10" x14ac:dyDescent="0.25">
      <c r="A501" s="14">
        <f>IF(B501="","",COUNTA($B$4:B501))</f>
        <v>498</v>
      </c>
      <c r="B501" s="14" t="s">
        <v>1550</v>
      </c>
      <c r="C501" s="14" t="s">
        <v>249</v>
      </c>
      <c r="D501" s="14" t="s">
        <v>250</v>
      </c>
      <c r="E501" s="14" t="s">
        <v>249</v>
      </c>
      <c r="F501" s="14" t="s">
        <v>150</v>
      </c>
      <c r="G501" s="14" t="s">
        <v>151</v>
      </c>
      <c r="H501" s="14">
        <v>4</v>
      </c>
      <c r="I501" s="14"/>
      <c r="J501" s="15"/>
    </row>
    <row r="502" spans="1:10" x14ac:dyDescent="0.25">
      <c r="A502" s="14">
        <f>IF(B502="","",COUNTA($B$4:B502))</f>
        <v>499</v>
      </c>
      <c r="B502" s="14" t="s">
        <v>1550</v>
      </c>
      <c r="C502" s="14" t="s">
        <v>251</v>
      </c>
      <c r="D502" s="14" t="s">
        <v>252</v>
      </c>
      <c r="E502" s="14" t="s">
        <v>251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 x14ac:dyDescent="0.25">
      <c r="A503" s="14">
        <f>IF(B503="","",COUNTA($B$4:B503))</f>
        <v>500</v>
      </c>
      <c r="B503" s="14" t="s">
        <v>1550</v>
      </c>
      <c r="C503" s="14" t="s">
        <v>253</v>
      </c>
      <c r="D503" s="14" t="s">
        <v>254</v>
      </c>
      <c r="E503" s="14" t="s">
        <v>253</v>
      </c>
      <c r="F503" s="14" t="s">
        <v>150</v>
      </c>
      <c r="G503" s="14" t="s">
        <v>151</v>
      </c>
      <c r="H503" s="14">
        <v>10</v>
      </c>
      <c r="I503" s="14"/>
      <c r="J503" s="15"/>
    </row>
    <row r="504" spans="1:10" x14ac:dyDescent="0.25">
      <c r="A504" s="14">
        <f>IF(B504="","",COUNTA($B$4:B504))</f>
        <v>501</v>
      </c>
      <c r="B504" s="14" t="s">
        <v>1550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</row>
    <row r="505" spans="1:10" x14ac:dyDescent="0.25">
      <c r="A505" s="14">
        <f>IF(B505="","",COUNTA($B$4:B505))</f>
        <v>502</v>
      </c>
      <c r="B505" s="14" t="s">
        <v>1550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/>
      <c r="J505" s="15"/>
    </row>
    <row r="506" spans="1:10" x14ac:dyDescent="0.25">
      <c r="A506" s="14">
        <f>IF(B506="","",COUNTA($B$4:B506))</f>
        <v>503</v>
      </c>
      <c r="B506" s="14" t="s">
        <v>1550</v>
      </c>
      <c r="C506" s="14" t="s">
        <v>259</v>
      </c>
      <c r="D506" s="14" t="s">
        <v>260</v>
      </c>
      <c r="E506" s="14" t="s">
        <v>259</v>
      </c>
      <c r="F506" s="14" t="s">
        <v>150</v>
      </c>
      <c r="G506" s="14" t="s">
        <v>151</v>
      </c>
      <c r="H506" s="14">
        <v>10</v>
      </c>
      <c r="I506" s="14"/>
      <c r="J506" s="15"/>
    </row>
    <row r="507" spans="1:10" x14ac:dyDescent="0.25">
      <c r="A507" s="14">
        <f>IF(B507="","",COUNTA($B$4:B507))</f>
        <v>504</v>
      </c>
      <c r="B507" s="14" t="s">
        <v>1550</v>
      </c>
      <c r="C507" s="14" t="s">
        <v>261</v>
      </c>
      <c r="D507" s="14" t="s">
        <v>262</v>
      </c>
      <c r="E507" s="14" t="s">
        <v>261</v>
      </c>
      <c r="F507" s="14" t="s">
        <v>150</v>
      </c>
      <c r="G507" s="14" t="s">
        <v>151</v>
      </c>
      <c r="H507" s="14">
        <v>10</v>
      </c>
      <c r="I507" s="14"/>
      <c r="J507" s="15"/>
    </row>
    <row r="508" spans="1:10" x14ac:dyDescent="0.25">
      <c r="A508" s="14">
        <f>IF(B508="","",COUNTA($B$4:B508))</f>
        <v>505</v>
      </c>
      <c r="B508" s="14" t="s">
        <v>1550</v>
      </c>
      <c r="C508" s="14" t="s">
        <v>263</v>
      </c>
      <c r="D508" s="14" t="s">
        <v>264</v>
      </c>
      <c r="E508" s="14" t="s">
        <v>263</v>
      </c>
      <c r="F508" s="14" t="s">
        <v>169</v>
      </c>
      <c r="G508" s="14" t="s">
        <v>243</v>
      </c>
      <c r="H508" s="14"/>
      <c r="I508" s="14"/>
      <c r="J508" s="15"/>
    </row>
    <row r="509" spans="1:10" x14ac:dyDescent="0.25">
      <c r="A509" s="14">
        <f>IF(B509="","",COUNTA($B$4:B509))</f>
        <v>506</v>
      </c>
      <c r="B509" s="14" t="s">
        <v>1551</v>
      </c>
      <c r="C509" s="14" t="s">
        <v>148</v>
      </c>
      <c r="D509" s="14" t="s">
        <v>149</v>
      </c>
      <c r="E509" s="14" t="s">
        <v>148</v>
      </c>
      <c r="F509" s="14" t="s">
        <v>150</v>
      </c>
      <c r="G509" s="14" t="s">
        <v>151</v>
      </c>
      <c r="H509" s="14">
        <v>15</v>
      </c>
      <c r="I509" s="14"/>
      <c r="J509" s="15"/>
    </row>
    <row r="510" spans="1:10" x14ac:dyDescent="0.25">
      <c r="A510" s="14">
        <f>IF(B510="","",COUNTA($B$4:B510))</f>
        <v>507</v>
      </c>
      <c r="B510" s="14" t="s">
        <v>1551</v>
      </c>
      <c r="C510" s="14" t="s">
        <v>338</v>
      </c>
      <c r="D510" s="14" t="s">
        <v>339</v>
      </c>
      <c r="E510" s="14" t="s">
        <v>338</v>
      </c>
      <c r="F510" s="14" t="s">
        <v>155</v>
      </c>
      <c r="G510" s="14" t="s">
        <v>156</v>
      </c>
      <c r="H510" s="14">
        <v>3</v>
      </c>
      <c r="I510" s="14"/>
      <c r="J510" s="15"/>
    </row>
    <row r="511" spans="1:10" x14ac:dyDescent="0.25">
      <c r="A511" s="14">
        <f>IF(B511="","",COUNTA($B$4:B511))</f>
        <v>508</v>
      </c>
      <c r="B511" s="14" t="s">
        <v>1551</v>
      </c>
      <c r="C511" s="14" t="s">
        <v>197</v>
      </c>
      <c r="D511" s="14" t="s">
        <v>198</v>
      </c>
      <c r="E511" s="14" t="s">
        <v>197</v>
      </c>
      <c r="F511" s="14" t="s">
        <v>150</v>
      </c>
      <c r="G511" s="14" t="s">
        <v>151</v>
      </c>
      <c r="H511" s="14">
        <v>5</v>
      </c>
      <c r="I511" s="14"/>
      <c r="J511" s="15"/>
    </row>
    <row r="512" spans="1:10" x14ac:dyDescent="0.25">
      <c r="A512" s="14">
        <f>IF(B512="","",COUNTA($B$4:B512))</f>
        <v>509</v>
      </c>
      <c r="B512" s="14" t="s">
        <v>1551</v>
      </c>
      <c r="C512" s="14" t="s">
        <v>199</v>
      </c>
      <c r="D512" s="14" t="s">
        <v>200</v>
      </c>
      <c r="E512" s="14" t="s">
        <v>199</v>
      </c>
      <c r="F512" s="14" t="s">
        <v>150</v>
      </c>
      <c r="G512" s="14" t="s">
        <v>151</v>
      </c>
      <c r="H512" s="14">
        <v>20</v>
      </c>
      <c r="I512" s="14"/>
      <c r="J512" s="15"/>
    </row>
    <row r="513" spans="1:10" x14ac:dyDescent="0.25">
      <c r="A513" s="14">
        <f>IF(B513="","",COUNTA($B$4:B513))</f>
        <v>510</v>
      </c>
      <c r="B513" s="14" t="s">
        <v>1551</v>
      </c>
      <c r="C513" s="14" t="s">
        <v>201</v>
      </c>
      <c r="D513" s="14" t="s">
        <v>202</v>
      </c>
      <c r="E513" s="14" t="s">
        <v>201</v>
      </c>
      <c r="F513" s="14" t="s">
        <v>150</v>
      </c>
      <c r="G513" s="14" t="s">
        <v>151</v>
      </c>
      <c r="H513" s="14">
        <v>30</v>
      </c>
      <c r="I513" s="14"/>
      <c r="J513" s="15"/>
    </row>
    <row r="514" spans="1:10" x14ac:dyDescent="0.25">
      <c r="A514" s="14">
        <f>IF(B514="","",COUNTA($B$4:B514))</f>
        <v>511</v>
      </c>
      <c r="B514" s="14" t="s">
        <v>1551</v>
      </c>
      <c r="C514" s="14" t="s">
        <v>203</v>
      </c>
      <c r="D514" s="14" t="s">
        <v>204</v>
      </c>
      <c r="E514" s="14" t="s">
        <v>203</v>
      </c>
      <c r="F514" s="14" t="s">
        <v>155</v>
      </c>
      <c r="G514" s="14" t="s">
        <v>156</v>
      </c>
      <c r="H514" s="14">
        <v>5</v>
      </c>
      <c r="I514" s="14">
        <v>2</v>
      </c>
      <c r="J514" s="15"/>
    </row>
    <row r="515" spans="1:10" x14ac:dyDescent="0.25">
      <c r="A515" s="14">
        <f>IF(B515="","",COUNTA($B$4:B515))</f>
        <v>512</v>
      </c>
      <c r="B515" s="14" t="s">
        <v>1551</v>
      </c>
      <c r="C515" s="14" t="s">
        <v>205</v>
      </c>
      <c r="D515" s="14" t="s">
        <v>206</v>
      </c>
      <c r="E515" s="14" t="s">
        <v>205</v>
      </c>
      <c r="F515" s="14" t="s">
        <v>155</v>
      </c>
      <c r="G515" s="14" t="s">
        <v>156</v>
      </c>
      <c r="H515" s="14">
        <v>4</v>
      </c>
      <c r="I515" s="14"/>
      <c r="J515" s="15"/>
    </row>
    <row r="516" spans="1:10" x14ac:dyDescent="0.25">
      <c r="A516" s="14">
        <f>IF(B516="","",COUNTA($B$4:B516))</f>
        <v>513</v>
      </c>
      <c r="B516" s="14" t="s">
        <v>1551</v>
      </c>
      <c r="C516" s="14" t="s">
        <v>208</v>
      </c>
      <c r="D516" s="14" t="s">
        <v>209</v>
      </c>
      <c r="E516" s="14" t="s">
        <v>208</v>
      </c>
      <c r="F516" s="14" t="s">
        <v>155</v>
      </c>
      <c r="G516" s="14" t="s">
        <v>156</v>
      </c>
      <c r="H516" s="14">
        <v>5</v>
      </c>
      <c r="I516" s="14"/>
      <c r="J516" s="15"/>
    </row>
    <row r="517" spans="1:10" x14ac:dyDescent="0.25">
      <c r="A517" s="14">
        <f>IF(B517="","",COUNTA($B$4:B517))</f>
        <v>514</v>
      </c>
      <c r="B517" s="14" t="s">
        <v>1551</v>
      </c>
      <c r="C517" s="14" t="s">
        <v>1429</v>
      </c>
      <c r="D517" s="14" t="s">
        <v>327</v>
      </c>
      <c r="E517" s="14" t="s">
        <v>1429</v>
      </c>
      <c r="F517" s="14" t="s">
        <v>155</v>
      </c>
      <c r="G517" s="14" t="s">
        <v>156</v>
      </c>
      <c r="H517" s="14">
        <v>5</v>
      </c>
      <c r="I517" s="14"/>
      <c r="J517" s="15"/>
    </row>
    <row r="518" spans="1:10" x14ac:dyDescent="0.25">
      <c r="A518" s="14">
        <f>IF(B518="","",COUNTA($B$4:B518))</f>
        <v>515</v>
      </c>
      <c r="B518" s="14" t="s">
        <v>1551</v>
      </c>
      <c r="C518" s="14" t="s">
        <v>162</v>
      </c>
      <c r="D518" s="14" t="s">
        <v>163</v>
      </c>
      <c r="E518" s="14" t="s">
        <v>164</v>
      </c>
      <c r="F518" s="14" t="s">
        <v>150</v>
      </c>
      <c r="G518" s="14" t="s">
        <v>151</v>
      </c>
      <c r="H518" s="14">
        <v>4</v>
      </c>
      <c r="I518" s="14"/>
      <c r="J518" s="15"/>
    </row>
    <row r="519" spans="1:10" x14ac:dyDescent="0.25">
      <c r="A519" s="14">
        <f>IF(B519="","",COUNTA($B$4:B519))</f>
        <v>516</v>
      </c>
      <c r="B519" s="14" t="s">
        <v>1551</v>
      </c>
      <c r="C519" s="14" t="s">
        <v>249</v>
      </c>
      <c r="D519" s="14" t="s">
        <v>250</v>
      </c>
      <c r="E519" s="14" t="s">
        <v>249</v>
      </c>
      <c r="F519" s="14" t="s">
        <v>150</v>
      </c>
      <c r="G519" s="14" t="s">
        <v>151</v>
      </c>
      <c r="H519" s="14">
        <v>4</v>
      </c>
      <c r="I519" s="14"/>
      <c r="J519" s="15"/>
    </row>
    <row r="520" spans="1:10" x14ac:dyDescent="0.25">
      <c r="A520" s="14">
        <f>IF(B520="","",COUNTA($B$4:B520))</f>
        <v>517</v>
      </c>
      <c r="B520" s="14" t="s">
        <v>1551</v>
      </c>
      <c r="C520" s="14" t="s">
        <v>251</v>
      </c>
      <c r="D520" s="14" t="s">
        <v>252</v>
      </c>
      <c r="E520" s="14" t="s">
        <v>251</v>
      </c>
      <c r="F520" s="14" t="s">
        <v>150</v>
      </c>
      <c r="G520" s="14" t="s">
        <v>151</v>
      </c>
      <c r="H520" s="14">
        <v>4</v>
      </c>
      <c r="I520" s="14"/>
      <c r="J520" s="15"/>
    </row>
    <row r="521" spans="1:10" x14ac:dyDescent="0.25">
      <c r="A521" s="14">
        <f>IF(B521="","",COUNTA($B$4:B521))</f>
        <v>518</v>
      </c>
      <c r="B521" s="14" t="s">
        <v>1551</v>
      </c>
      <c r="C521" s="14" t="s">
        <v>253</v>
      </c>
      <c r="D521" s="14" t="s">
        <v>254</v>
      </c>
      <c r="E521" s="14" t="s">
        <v>253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 x14ac:dyDescent="0.25">
      <c r="A522" s="14">
        <f>IF(B522="","",COUNTA($B$4:B522))</f>
        <v>519</v>
      </c>
      <c r="B522" s="14" t="s">
        <v>1551</v>
      </c>
      <c r="C522" s="14" t="s">
        <v>255</v>
      </c>
      <c r="D522" s="14" t="s">
        <v>256</v>
      </c>
      <c r="E522" s="14" t="s">
        <v>255</v>
      </c>
      <c r="F522" s="14" t="s">
        <v>150</v>
      </c>
      <c r="G522" s="14" t="s">
        <v>151</v>
      </c>
      <c r="H522" s="14">
        <v>10</v>
      </c>
      <c r="I522" s="14"/>
      <c r="J522" s="15"/>
    </row>
    <row r="523" spans="1:10" x14ac:dyDescent="0.25">
      <c r="A523" s="14">
        <f>IF(B523="","",COUNTA($B$4:B523))</f>
        <v>520</v>
      </c>
      <c r="B523" s="14" t="s">
        <v>1551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</row>
    <row r="524" spans="1:10" x14ac:dyDescent="0.25">
      <c r="A524" s="14">
        <f>IF(B524="","",COUNTA($B$4:B524))</f>
        <v>521</v>
      </c>
      <c r="B524" s="14" t="s">
        <v>1551</v>
      </c>
      <c r="C524" s="14" t="s">
        <v>259</v>
      </c>
      <c r="D524" s="14" t="s">
        <v>260</v>
      </c>
      <c r="E524" s="14" t="s">
        <v>259</v>
      </c>
      <c r="F524" s="14" t="s">
        <v>150</v>
      </c>
      <c r="G524" s="14" t="s">
        <v>151</v>
      </c>
      <c r="H524" s="14">
        <v>10</v>
      </c>
      <c r="I524" s="14"/>
      <c r="J524" s="15"/>
    </row>
    <row r="525" spans="1:10" x14ac:dyDescent="0.25">
      <c r="A525" s="14">
        <f>IF(B525="","",COUNTA($B$4:B525))</f>
        <v>522</v>
      </c>
      <c r="B525" s="14" t="s">
        <v>1551</v>
      </c>
      <c r="C525" s="14" t="s">
        <v>261</v>
      </c>
      <c r="D525" s="14" t="s">
        <v>262</v>
      </c>
      <c r="E525" s="14" t="s">
        <v>261</v>
      </c>
      <c r="F525" s="14" t="s">
        <v>150</v>
      </c>
      <c r="G525" s="14" t="s">
        <v>151</v>
      </c>
      <c r="H525" s="14">
        <v>10</v>
      </c>
      <c r="I525" s="14"/>
      <c r="J525" s="15"/>
    </row>
    <row r="526" spans="1:10" x14ac:dyDescent="0.25">
      <c r="A526" s="14">
        <f>IF(B526="","",COUNTA($B$4:B526))</f>
        <v>523</v>
      </c>
      <c r="B526" s="14" t="s">
        <v>1551</v>
      </c>
      <c r="C526" s="14" t="s">
        <v>263</v>
      </c>
      <c r="D526" s="14" t="s">
        <v>264</v>
      </c>
      <c r="E526" s="14" t="s">
        <v>263</v>
      </c>
      <c r="F526" s="14" t="s">
        <v>169</v>
      </c>
      <c r="G526" s="14" t="s">
        <v>243</v>
      </c>
      <c r="H526" s="14"/>
      <c r="I526" s="14"/>
      <c r="J526" s="15"/>
    </row>
    <row r="527" spans="1:10" x14ac:dyDescent="0.25">
      <c r="A527" s="14">
        <f>IF(B527="","",COUNTA($B$4:B527))</f>
        <v>524</v>
      </c>
      <c r="B527" s="14" t="s">
        <v>1552</v>
      </c>
      <c r="C527" s="14" t="s">
        <v>148</v>
      </c>
      <c r="D527" s="14" t="s">
        <v>149</v>
      </c>
      <c r="E527" s="14" t="s">
        <v>148</v>
      </c>
      <c r="F527" s="14" t="s">
        <v>150</v>
      </c>
      <c r="G527" s="14" t="s">
        <v>151</v>
      </c>
      <c r="H527" s="14">
        <v>15</v>
      </c>
      <c r="I527" s="14"/>
      <c r="J527" s="15"/>
    </row>
    <row r="528" spans="1:10" x14ac:dyDescent="0.25">
      <c r="A528" s="14">
        <f>IF(B528="","",COUNTA($B$4:B528))</f>
        <v>525</v>
      </c>
      <c r="B528" s="14" t="s">
        <v>1552</v>
      </c>
      <c r="C528" s="14" t="s">
        <v>1460</v>
      </c>
      <c r="D528" s="14" t="s">
        <v>1397</v>
      </c>
      <c r="E528" s="14" t="s">
        <v>1460</v>
      </c>
      <c r="F528" s="14" t="s">
        <v>155</v>
      </c>
      <c r="G528" s="14" t="s">
        <v>156</v>
      </c>
      <c r="H528" s="14">
        <v>5</v>
      </c>
      <c r="I528" s="14"/>
      <c r="J528" s="15"/>
    </row>
    <row r="529" spans="1:10" x14ac:dyDescent="0.25">
      <c r="A529" s="14">
        <f>IF(B529="","",COUNTA($B$4:B529))</f>
        <v>526</v>
      </c>
      <c r="B529" s="14" t="s">
        <v>1552</v>
      </c>
      <c r="C529" s="14" t="s">
        <v>159</v>
      </c>
      <c r="D529" s="14" t="s">
        <v>160</v>
      </c>
      <c r="E529" s="14" t="s">
        <v>159</v>
      </c>
      <c r="F529" s="14" t="s">
        <v>150</v>
      </c>
      <c r="G529" s="14" t="s">
        <v>151</v>
      </c>
      <c r="H529" s="14">
        <v>4</v>
      </c>
      <c r="I529" s="14"/>
      <c r="J529" s="15"/>
    </row>
    <row r="530" spans="1:10" x14ac:dyDescent="0.25">
      <c r="A530" s="14">
        <f>IF(B530="","",COUNTA($B$4:B530))</f>
        <v>527</v>
      </c>
      <c r="B530" s="14" t="s">
        <v>1552</v>
      </c>
      <c r="C530" s="14" t="s">
        <v>162</v>
      </c>
      <c r="D530" s="14" t="s">
        <v>163</v>
      </c>
      <c r="E530" s="14" t="s">
        <v>164</v>
      </c>
      <c r="F530" s="14" t="s">
        <v>150</v>
      </c>
      <c r="G530" s="14" t="s">
        <v>151</v>
      </c>
      <c r="H530" s="14">
        <v>4</v>
      </c>
      <c r="I530" s="14"/>
      <c r="J530" s="15"/>
    </row>
    <row r="531" spans="1:10" x14ac:dyDescent="0.25">
      <c r="A531" s="14">
        <f>IF(B531="","",COUNTA($B$4:B531))</f>
        <v>528</v>
      </c>
      <c r="B531" s="14" t="s">
        <v>1552</v>
      </c>
      <c r="C531" s="14" t="s">
        <v>193</v>
      </c>
      <c r="D531" s="14" t="s">
        <v>194</v>
      </c>
      <c r="E531" s="14" t="s">
        <v>193</v>
      </c>
      <c r="F531" s="14" t="s">
        <v>150</v>
      </c>
      <c r="G531" s="14" t="s">
        <v>151</v>
      </c>
      <c r="H531" s="14">
        <v>5</v>
      </c>
      <c r="I531" s="14"/>
      <c r="J531" s="15"/>
    </row>
    <row r="532" spans="1:10" x14ac:dyDescent="0.25">
      <c r="A532" s="14">
        <f>IF(B532="","",COUNTA($B$4:B532))</f>
        <v>529</v>
      </c>
      <c r="B532" s="14" t="s">
        <v>1552</v>
      </c>
      <c r="C532" s="14" t="s">
        <v>195</v>
      </c>
      <c r="D532" s="14" t="s">
        <v>196</v>
      </c>
      <c r="E532" s="14" t="s">
        <v>195</v>
      </c>
      <c r="F532" s="14" t="s">
        <v>150</v>
      </c>
      <c r="G532" s="14" t="s">
        <v>151</v>
      </c>
      <c r="H532" s="14">
        <v>80</v>
      </c>
      <c r="I532" s="14"/>
      <c r="J532" s="15"/>
    </row>
    <row r="533" spans="1:10" x14ac:dyDescent="0.25">
      <c r="A533" s="14">
        <f>IF(B533="","",COUNTA($B$4:B533))</f>
        <v>530</v>
      </c>
      <c r="B533" s="14" t="s">
        <v>1552</v>
      </c>
      <c r="C533" s="14" t="s">
        <v>197</v>
      </c>
      <c r="D533" s="14" t="s">
        <v>198</v>
      </c>
      <c r="E533" s="14" t="s">
        <v>197</v>
      </c>
      <c r="F533" s="14" t="s">
        <v>150</v>
      </c>
      <c r="G533" s="14" t="s">
        <v>151</v>
      </c>
      <c r="H533" s="14">
        <v>5</v>
      </c>
      <c r="I533" s="14"/>
      <c r="J533" s="15"/>
    </row>
    <row r="534" spans="1:10" x14ac:dyDescent="0.25">
      <c r="A534" s="14">
        <f>IF(B534="","",COUNTA($B$4:B534))</f>
        <v>531</v>
      </c>
      <c r="B534" s="14" t="s">
        <v>1552</v>
      </c>
      <c r="C534" s="14" t="s">
        <v>199</v>
      </c>
      <c r="D534" s="14" t="s">
        <v>200</v>
      </c>
      <c r="E534" s="14" t="s">
        <v>199</v>
      </c>
      <c r="F534" s="14" t="s">
        <v>150</v>
      </c>
      <c r="G534" s="14" t="s">
        <v>151</v>
      </c>
      <c r="H534" s="14">
        <v>20</v>
      </c>
      <c r="I534" s="14"/>
      <c r="J534" s="15"/>
    </row>
    <row r="535" spans="1:10" x14ac:dyDescent="0.25">
      <c r="A535" s="14">
        <f>IF(B535="","",COUNTA($B$4:B535))</f>
        <v>532</v>
      </c>
      <c r="B535" s="14" t="s">
        <v>1552</v>
      </c>
      <c r="C535" s="14" t="s">
        <v>201</v>
      </c>
      <c r="D535" s="14" t="s">
        <v>202</v>
      </c>
      <c r="E535" s="14" t="s">
        <v>201</v>
      </c>
      <c r="F535" s="14" t="s">
        <v>150</v>
      </c>
      <c r="G535" s="14" t="s">
        <v>151</v>
      </c>
      <c r="H535" s="14">
        <v>30</v>
      </c>
      <c r="I535" s="14"/>
      <c r="J535" s="15"/>
    </row>
    <row r="536" spans="1:10" x14ac:dyDescent="0.25">
      <c r="A536" s="14">
        <f>IF(B536="","",COUNTA($B$4:B536))</f>
        <v>533</v>
      </c>
      <c r="B536" s="14" t="s">
        <v>1552</v>
      </c>
      <c r="C536" s="14" t="s">
        <v>203</v>
      </c>
      <c r="D536" s="14" t="s">
        <v>204</v>
      </c>
      <c r="E536" s="14" t="s">
        <v>203</v>
      </c>
      <c r="F536" s="14" t="s">
        <v>155</v>
      </c>
      <c r="G536" s="14" t="s">
        <v>156</v>
      </c>
      <c r="H536" s="14">
        <v>5</v>
      </c>
      <c r="I536" s="14">
        <v>2</v>
      </c>
      <c r="J536" s="15"/>
    </row>
    <row r="537" spans="1:10" x14ac:dyDescent="0.25">
      <c r="A537" s="14">
        <f>IF(B537="","",COUNTA($B$4:B537))</f>
        <v>534</v>
      </c>
      <c r="B537" s="14" t="s">
        <v>1552</v>
      </c>
      <c r="C537" s="14" t="s">
        <v>205</v>
      </c>
      <c r="D537" s="14" t="s">
        <v>206</v>
      </c>
      <c r="E537" s="14" t="s">
        <v>205</v>
      </c>
      <c r="F537" s="14" t="s">
        <v>155</v>
      </c>
      <c r="G537" s="14" t="s">
        <v>156</v>
      </c>
      <c r="H537" s="14">
        <v>4</v>
      </c>
      <c r="I537" s="14"/>
      <c r="J537" s="15"/>
    </row>
    <row r="538" spans="1:10" x14ac:dyDescent="0.25">
      <c r="A538" s="14">
        <f>IF(B538="","",COUNTA($B$4:B538))</f>
        <v>535</v>
      </c>
      <c r="B538" s="14" t="s">
        <v>1552</v>
      </c>
      <c r="C538" s="14" t="s">
        <v>208</v>
      </c>
      <c r="D538" s="14" t="s">
        <v>209</v>
      </c>
      <c r="E538" s="14" t="s">
        <v>208</v>
      </c>
      <c r="F538" s="14" t="s">
        <v>155</v>
      </c>
      <c r="G538" s="14" t="s">
        <v>156</v>
      </c>
      <c r="H538" s="14">
        <v>5</v>
      </c>
      <c r="I538" s="14"/>
      <c r="J538" s="15"/>
    </row>
    <row r="539" spans="1:10" x14ac:dyDescent="0.25">
      <c r="A539" s="14">
        <f>IF(B539="","",COUNTA($B$4:B539))</f>
        <v>536</v>
      </c>
      <c r="B539" s="14" t="s">
        <v>1552</v>
      </c>
      <c r="C539" s="14" t="s">
        <v>375</v>
      </c>
      <c r="D539" s="14" t="s">
        <v>376</v>
      </c>
      <c r="E539" s="14" t="s">
        <v>375</v>
      </c>
      <c r="F539" s="14" t="s">
        <v>169</v>
      </c>
      <c r="G539" s="14" t="s">
        <v>170</v>
      </c>
      <c r="H539" s="14"/>
      <c r="I539" s="14"/>
      <c r="J539" s="15"/>
    </row>
    <row r="540" spans="1:10" x14ac:dyDescent="0.25">
      <c r="A540" s="14">
        <f>IF(B540="","",COUNTA($B$4:B540))</f>
        <v>537</v>
      </c>
      <c r="B540" s="14" t="s">
        <v>1552</v>
      </c>
      <c r="C540" s="14" t="s">
        <v>249</v>
      </c>
      <c r="D540" s="14" t="s">
        <v>250</v>
      </c>
      <c r="E540" s="14" t="s">
        <v>249</v>
      </c>
      <c r="F540" s="14" t="s">
        <v>150</v>
      </c>
      <c r="G540" s="14" t="s">
        <v>151</v>
      </c>
      <c r="H540" s="14">
        <v>4</v>
      </c>
      <c r="I540" s="14"/>
      <c r="J540" s="15"/>
    </row>
    <row r="541" spans="1:10" x14ac:dyDescent="0.25">
      <c r="A541" s="14">
        <f>IF(B541="","",COUNTA($B$4:B541))</f>
        <v>538</v>
      </c>
      <c r="B541" s="14" t="s">
        <v>1552</v>
      </c>
      <c r="C541" s="14" t="s">
        <v>251</v>
      </c>
      <c r="D541" s="14" t="s">
        <v>252</v>
      </c>
      <c r="E541" s="14" t="s">
        <v>251</v>
      </c>
      <c r="F541" s="14" t="s">
        <v>150</v>
      </c>
      <c r="G541" s="14" t="s">
        <v>151</v>
      </c>
      <c r="H541" s="14">
        <v>4</v>
      </c>
      <c r="I541" s="14"/>
      <c r="J541" s="15"/>
    </row>
    <row r="542" spans="1:10" x14ac:dyDescent="0.25">
      <c r="A542" s="14">
        <f>IF(B542="","",COUNTA($B$4:B542))</f>
        <v>539</v>
      </c>
      <c r="B542" s="14" t="s">
        <v>1552</v>
      </c>
      <c r="C542" s="14" t="s">
        <v>253</v>
      </c>
      <c r="D542" s="14" t="s">
        <v>254</v>
      </c>
      <c r="E542" s="14" t="s">
        <v>253</v>
      </c>
      <c r="F542" s="14" t="s">
        <v>150</v>
      </c>
      <c r="G542" s="14" t="s">
        <v>151</v>
      </c>
      <c r="H542" s="14">
        <v>10</v>
      </c>
      <c r="I542" s="14"/>
      <c r="J542" s="15"/>
    </row>
    <row r="543" spans="1:10" x14ac:dyDescent="0.25">
      <c r="A543" s="14">
        <f>IF(B543="","",COUNTA($B$4:B543))</f>
        <v>540</v>
      </c>
      <c r="B543" s="14" t="s">
        <v>1552</v>
      </c>
      <c r="C543" s="14" t="s">
        <v>255</v>
      </c>
      <c r="D543" s="14" t="s">
        <v>256</v>
      </c>
      <c r="E543" s="14" t="s">
        <v>255</v>
      </c>
      <c r="F543" s="14" t="s">
        <v>150</v>
      </c>
      <c r="G543" s="14" t="s">
        <v>151</v>
      </c>
      <c r="H543" s="14">
        <v>10</v>
      </c>
      <c r="I543" s="14"/>
      <c r="J543" s="15"/>
    </row>
    <row r="544" spans="1:10" x14ac:dyDescent="0.25">
      <c r="A544" s="14">
        <f>IF(B544="","",COUNTA($B$4:B544))</f>
        <v>541</v>
      </c>
      <c r="B544" s="14" t="s">
        <v>1552</v>
      </c>
      <c r="C544" s="14" t="s">
        <v>257</v>
      </c>
      <c r="D544" s="14" t="s">
        <v>258</v>
      </c>
      <c r="E544" s="14" t="s">
        <v>257</v>
      </c>
      <c r="F544" s="14" t="s">
        <v>169</v>
      </c>
      <c r="G544" s="14" t="s">
        <v>243</v>
      </c>
      <c r="H544" s="14"/>
      <c r="I544" s="14"/>
      <c r="J544" s="15"/>
    </row>
    <row r="545" spans="1:10" x14ac:dyDescent="0.25">
      <c r="A545" s="14">
        <f>IF(B545="","",COUNTA($B$4:B545))</f>
        <v>542</v>
      </c>
      <c r="B545" s="14" t="s">
        <v>1552</v>
      </c>
      <c r="C545" s="14" t="s">
        <v>259</v>
      </c>
      <c r="D545" s="14" t="s">
        <v>260</v>
      </c>
      <c r="E545" s="14" t="s">
        <v>259</v>
      </c>
      <c r="F545" s="14" t="s">
        <v>150</v>
      </c>
      <c r="G545" s="14" t="s">
        <v>151</v>
      </c>
      <c r="H545" s="14">
        <v>10</v>
      </c>
      <c r="I545" s="14"/>
      <c r="J545" s="15"/>
    </row>
    <row r="546" spans="1:10" x14ac:dyDescent="0.25">
      <c r="A546" s="14">
        <f>IF(B546="","",COUNTA($B$4:B546))</f>
        <v>543</v>
      </c>
      <c r="B546" s="14" t="s">
        <v>1552</v>
      </c>
      <c r="C546" s="14" t="s">
        <v>261</v>
      </c>
      <c r="D546" s="14" t="s">
        <v>262</v>
      </c>
      <c r="E546" s="14" t="s">
        <v>261</v>
      </c>
      <c r="F546" s="14" t="s">
        <v>150</v>
      </c>
      <c r="G546" s="14" t="s">
        <v>151</v>
      </c>
      <c r="H546" s="14">
        <v>10</v>
      </c>
      <c r="I546" s="14"/>
      <c r="J546" s="15"/>
    </row>
    <row r="547" spans="1:10" x14ac:dyDescent="0.25">
      <c r="A547" s="14">
        <f>IF(B547="","",COUNTA($B$4:B547))</f>
        <v>544</v>
      </c>
      <c r="B547" s="14" t="s">
        <v>1552</v>
      </c>
      <c r="C547" s="14" t="s">
        <v>263</v>
      </c>
      <c r="D547" s="14" t="s">
        <v>264</v>
      </c>
      <c r="E547" s="14" t="s">
        <v>263</v>
      </c>
      <c r="F547" s="14" t="s">
        <v>169</v>
      </c>
      <c r="G547" s="14" t="s">
        <v>243</v>
      </c>
      <c r="H547" s="14"/>
      <c r="I547" s="14"/>
      <c r="J547" s="15"/>
    </row>
    <row r="548" spans="1:10" x14ac:dyDescent="0.25">
      <c r="A548" s="14">
        <f>IF(B548="","",COUNTA($B$4:B548))</f>
        <v>545</v>
      </c>
      <c r="B548" s="14" t="s">
        <v>1553</v>
      </c>
      <c r="C548" s="14" t="s">
        <v>148</v>
      </c>
      <c r="D548" s="14" t="s">
        <v>149</v>
      </c>
      <c r="E548" s="14" t="s">
        <v>148</v>
      </c>
      <c r="F548" s="14" t="s">
        <v>150</v>
      </c>
      <c r="G548" s="14" t="s">
        <v>151</v>
      </c>
      <c r="H548" s="14">
        <v>15</v>
      </c>
      <c r="I548" s="14"/>
      <c r="J548" s="15"/>
    </row>
    <row r="549" spans="1:10" x14ac:dyDescent="0.25">
      <c r="A549" s="14">
        <f>IF(B549="","",COUNTA($B$4:B549))</f>
        <v>546</v>
      </c>
      <c r="B549" s="14" t="s">
        <v>1553</v>
      </c>
      <c r="C549" s="14" t="s">
        <v>1460</v>
      </c>
      <c r="D549" s="14" t="s">
        <v>1397</v>
      </c>
      <c r="E549" s="14" t="s">
        <v>1460</v>
      </c>
      <c r="F549" s="14" t="s">
        <v>155</v>
      </c>
      <c r="G549" s="14" t="s">
        <v>156</v>
      </c>
      <c r="H549" s="14">
        <v>5</v>
      </c>
      <c r="I549" s="14"/>
      <c r="J549" s="15"/>
    </row>
    <row r="550" spans="1:10" x14ac:dyDescent="0.25">
      <c r="A550" s="14">
        <f>IF(B550="","",COUNTA($B$4:B550))</f>
        <v>547</v>
      </c>
      <c r="B550" s="14" t="s">
        <v>1553</v>
      </c>
      <c r="C550" s="14" t="s">
        <v>338</v>
      </c>
      <c r="D550" s="14" t="s">
        <v>339</v>
      </c>
      <c r="E550" s="14" t="s">
        <v>338</v>
      </c>
      <c r="F550" s="14" t="s">
        <v>155</v>
      </c>
      <c r="G550" s="14" t="s">
        <v>156</v>
      </c>
      <c r="H550" s="14">
        <v>3</v>
      </c>
      <c r="I550" s="14"/>
      <c r="J550" s="15"/>
    </row>
    <row r="551" spans="1:10" x14ac:dyDescent="0.25">
      <c r="A551" s="14">
        <f>IF(B551="","",COUNTA($B$4:B551))</f>
        <v>548</v>
      </c>
      <c r="B551" s="14" t="s">
        <v>1553</v>
      </c>
      <c r="C551" s="14" t="s">
        <v>1430</v>
      </c>
      <c r="D551" s="14" t="s">
        <v>413</v>
      </c>
      <c r="E551" s="14" t="s">
        <v>1430</v>
      </c>
      <c r="F551" s="14" t="s">
        <v>155</v>
      </c>
      <c r="G551" s="14" t="s">
        <v>156</v>
      </c>
      <c r="H551" s="14">
        <v>1</v>
      </c>
      <c r="I551" s="14"/>
      <c r="J551" s="15"/>
    </row>
    <row r="552" spans="1:10" x14ac:dyDescent="0.25">
      <c r="A552" s="14">
        <f>IF(B552="","",COUNTA($B$4:B552))</f>
        <v>549</v>
      </c>
      <c r="B552" s="14" t="s">
        <v>1553</v>
      </c>
      <c r="C552" s="14" t="s">
        <v>1432</v>
      </c>
      <c r="D552" s="14" t="s">
        <v>1559</v>
      </c>
      <c r="E552" s="14" t="s">
        <v>1432</v>
      </c>
      <c r="F552" s="14" t="s">
        <v>150</v>
      </c>
      <c r="G552" s="14" t="s">
        <v>151</v>
      </c>
      <c r="H552" s="14">
        <v>2</v>
      </c>
      <c r="I552" s="14"/>
      <c r="J552" s="15"/>
    </row>
    <row r="553" spans="1:10" x14ac:dyDescent="0.25">
      <c r="A553" s="14">
        <f>IF(B553="","",COUNTA($B$4:B553))</f>
        <v>550</v>
      </c>
      <c r="B553" s="14" t="s">
        <v>1553</v>
      </c>
      <c r="C553" s="14" t="s">
        <v>1279</v>
      </c>
      <c r="D553" s="14" t="s">
        <v>1280</v>
      </c>
      <c r="E553" s="14" t="s">
        <v>1279</v>
      </c>
      <c r="F553" s="14" t="s">
        <v>155</v>
      </c>
      <c r="G553" s="14" t="s">
        <v>156</v>
      </c>
      <c r="H553" s="14">
        <v>1</v>
      </c>
      <c r="I553" s="14"/>
      <c r="J553" s="15"/>
    </row>
    <row r="554" spans="1:10" x14ac:dyDescent="0.25">
      <c r="A554" s="14">
        <f>IF(B554="","",COUNTA($B$4:B554))</f>
        <v>551</v>
      </c>
      <c r="B554" s="14" t="s">
        <v>1553</v>
      </c>
      <c r="C554" s="14" t="s">
        <v>1469</v>
      </c>
      <c r="D554" s="14" t="s">
        <v>1466</v>
      </c>
      <c r="E554" s="14" t="s">
        <v>1469</v>
      </c>
      <c r="F554" s="14" t="s">
        <v>150</v>
      </c>
      <c r="G554" s="14" t="s">
        <v>151</v>
      </c>
      <c r="H554" s="14">
        <v>15</v>
      </c>
      <c r="I554" s="14"/>
      <c r="J554" s="15"/>
    </row>
    <row r="555" spans="1:10" x14ac:dyDescent="0.25">
      <c r="A555" s="14">
        <f>IF(B555="","",COUNTA($B$4:B555))</f>
        <v>552</v>
      </c>
      <c r="B555" s="14" t="s">
        <v>1553</v>
      </c>
      <c r="C555" s="14" t="s">
        <v>1431</v>
      </c>
      <c r="D555" s="14" t="s">
        <v>337</v>
      </c>
      <c r="E555" s="14" t="s">
        <v>1431</v>
      </c>
      <c r="F555" s="14" t="s">
        <v>150</v>
      </c>
      <c r="G555" s="14" t="s">
        <v>151</v>
      </c>
      <c r="H555" s="14">
        <v>15</v>
      </c>
      <c r="I555" s="14"/>
      <c r="J555" s="15"/>
    </row>
    <row r="556" spans="1:10" x14ac:dyDescent="0.25">
      <c r="A556" s="14">
        <f>IF(B556="","",COUNTA($B$4:B556))</f>
        <v>553</v>
      </c>
      <c r="B556" s="14" t="s">
        <v>1553</v>
      </c>
      <c r="C556" s="14" t="s">
        <v>159</v>
      </c>
      <c r="D556" s="14" t="s">
        <v>160</v>
      </c>
      <c r="E556" s="14" t="s">
        <v>159</v>
      </c>
      <c r="F556" s="14" t="s">
        <v>150</v>
      </c>
      <c r="G556" s="14" t="s">
        <v>151</v>
      </c>
      <c r="H556" s="14">
        <v>4</v>
      </c>
      <c r="I556" s="14"/>
      <c r="J556" s="15"/>
    </row>
    <row r="557" spans="1:10" x14ac:dyDescent="0.25">
      <c r="A557" s="14">
        <f>IF(B557="","",COUNTA($B$4:B557))</f>
        <v>554</v>
      </c>
      <c r="B557" s="14" t="s">
        <v>1553</v>
      </c>
      <c r="C557" s="14" t="s">
        <v>162</v>
      </c>
      <c r="D557" s="14" t="s">
        <v>163</v>
      </c>
      <c r="E557" s="14" t="s">
        <v>164</v>
      </c>
      <c r="F557" s="14" t="s">
        <v>150</v>
      </c>
      <c r="G557" s="14" t="s">
        <v>151</v>
      </c>
      <c r="H557" s="14">
        <v>4</v>
      </c>
      <c r="I557" s="14"/>
      <c r="J557" s="15"/>
    </row>
    <row r="558" spans="1:10" x14ac:dyDescent="0.25">
      <c r="A558" s="14">
        <f>IF(B558="","",COUNTA($B$4:B558))</f>
        <v>555</v>
      </c>
      <c r="B558" s="14" t="s">
        <v>1553</v>
      </c>
      <c r="C558" s="14" t="s">
        <v>197</v>
      </c>
      <c r="D558" s="14" t="s">
        <v>198</v>
      </c>
      <c r="E558" s="14" t="s">
        <v>197</v>
      </c>
      <c r="F558" s="14" t="s">
        <v>150</v>
      </c>
      <c r="G558" s="14" t="s">
        <v>151</v>
      </c>
      <c r="H558" s="14">
        <v>5</v>
      </c>
      <c r="I558" s="14"/>
      <c r="J558" s="15"/>
    </row>
    <row r="559" spans="1:10" x14ac:dyDescent="0.25">
      <c r="A559" s="14">
        <f>IF(B559="","",COUNTA($B$4:B559))</f>
        <v>556</v>
      </c>
      <c r="B559" s="14" t="s">
        <v>1553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5"/>
    </row>
    <row r="560" spans="1:10" x14ac:dyDescent="0.25">
      <c r="A560" s="14">
        <f>IF(B560="","",COUNTA($B$4:B560))</f>
        <v>557</v>
      </c>
      <c r="B560" s="14" t="s">
        <v>1553</v>
      </c>
      <c r="C560" s="14" t="s">
        <v>201</v>
      </c>
      <c r="D560" s="14" t="s">
        <v>202</v>
      </c>
      <c r="E560" s="14" t="s">
        <v>201</v>
      </c>
      <c r="F560" s="14" t="s">
        <v>150</v>
      </c>
      <c r="G560" s="14" t="s">
        <v>151</v>
      </c>
      <c r="H560" s="14">
        <v>30</v>
      </c>
      <c r="I560" s="14"/>
      <c r="J560" s="15"/>
    </row>
    <row r="561" spans="1:10" x14ac:dyDescent="0.25">
      <c r="A561" s="14">
        <f>IF(B561="","",COUNTA($B$4:B561))</f>
        <v>558</v>
      </c>
      <c r="B561" s="14" t="s">
        <v>1553</v>
      </c>
      <c r="C561" s="14" t="s">
        <v>203</v>
      </c>
      <c r="D561" s="14" t="s">
        <v>204</v>
      </c>
      <c r="E561" s="14" t="s">
        <v>203</v>
      </c>
      <c r="F561" s="14" t="s">
        <v>155</v>
      </c>
      <c r="G561" s="14" t="s">
        <v>156</v>
      </c>
      <c r="H561" s="14">
        <v>5</v>
      </c>
      <c r="I561" s="14">
        <v>2</v>
      </c>
      <c r="J561" s="15"/>
    </row>
    <row r="562" spans="1:10" x14ac:dyDescent="0.25">
      <c r="A562" s="14">
        <f>IF(B562="","",COUNTA($B$4:B562))</f>
        <v>559</v>
      </c>
      <c r="B562" s="14" t="s">
        <v>1553</v>
      </c>
      <c r="C562" s="14" t="s">
        <v>205</v>
      </c>
      <c r="D562" s="14" t="s">
        <v>206</v>
      </c>
      <c r="E562" s="14" t="s">
        <v>205</v>
      </c>
      <c r="F562" s="14" t="s">
        <v>155</v>
      </c>
      <c r="G562" s="14" t="s">
        <v>156</v>
      </c>
      <c r="H562" s="14">
        <v>4</v>
      </c>
      <c r="I562" s="14"/>
      <c r="J562" s="15"/>
    </row>
    <row r="563" spans="1:10" x14ac:dyDescent="0.25">
      <c r="A563" s="14">
        <f>IF(B563="","",COUNTA($B$4:B563))</f>
        <v>560</v>
      </c>
      <c r="B563" s="14" t="s">
        <v>1553</v>
      </c>
      <c r="C563" s="14" t="s">
        <v>208</v>
      </c>
      <c r="D563" s="14" t="s">
        <v>209</v>
      </c>
      <c r="E563" s="14" t="s">
        <v>208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 x14ac:dyDescent="0.25">
      <c r="A564" s="14">
        <f>IF(B564="","",COUNTA($B$4:B564))</f>
        <v>561</v>
      </c>
      <c r="B564" s="14" t="s">
        <v>1553</v>
      </c>
      <c r="C564" s="14" t="s">
        <v>311</v>
      </c>
      <c r="D564" s="14" t="s">
        <v>312</v>
      </c>
      <c r="E564" s="14" t="s">
        <v>311</v>
      </c>
      <c r="F564" s="14" t="s">
        <v>155</v>
      </c>
      <c r="G564" s="14" t="s">
        <v>156</v>
      </c>
      <c r="H564" s="14">
        <v>5</v>
      </c>
      <c r="I564" s="14"/>
      <c r="J564" s="15"/>
    </row>
    <row r="565" spans="1:10" x14ac:dyDescent="0.25">
      <c r="A565" s="14">
        <f>IF(B565="","",COUNTA($B$4:B565))</f>
        <v>562</v>
      </c>
      <c r="B565" s="14" t="s">
        <v>1553</v>
      </c>
      <c r="C565" s="14" t="s">
        <v>249</v>
      </c>
      <c r="D565" s="14" t="s">
        <v>250</v>
      </c>
      <c r="E565" s="14" t="s">
        <v>249</v>
      </c>
      <c r="F565" s="14" t="s">
        <v>150</v>
      </c>
      <c r="G565" s="14" t="s">
        <v>151</v>
      </c>
      <c r="H565" s="14">
        <v>4</v>
      </c>
      <c r="I565" s="14"/>
      <c r="J565" s="15"/>
    </row>
    <row r="566" spans="1:10" x14ac:dyDescent="0.25">
      <c r="A566" s="14">
        <f>IF(B566="","",COUNTA($B$4:B566))</f>
        <v>563</v>
      </c>
      <c r="B566" s="14" t="s">
        <v>1553</v>
      </c>
      <c r="C566" s="14" t="s">
        <v>251</v>
      </c>
      <c r="D566" s="14" t="s">
        <v>252</v>
      </c>
      <c r="E566" s="14" t="s">
        <v>251</v>
      </c>
      <c r="F566" s="14" t="s">
        <v>150</v>
      </c>
      <c r="G566" s="14" t="s">
        <v>151</v>
      </c>
      <c r="H566" s="14">
        <v>4</v>
      </c>
      <c r="I566" s="14"/>
      <c r="J566" s="15"/>
    </row>
    <row r="567" spans="1:10" x14ac:dyDescent="0.25">
      <c r="A567" s="14">
        <f>IF(B567="","",COUNTA($B$4:B567))</f>
        <v>564</v>
      </c>
      <c r="B567" s="14" t="s">
        <v>1553</v>
      </c>
      <c r="C567" s="14" t="s">
        <v>253</v>
      </c>
      <c r="D567" s="14" t="s">
        <v>254</v>
      </c>
      <c r="E567" s="14" t="s">
        <v>253</v>
      </c>
      <c r="F567" s="14" t="s">
        <v>150</v>
      </c>
      <c r="G567" s="14" t="s">
        <v>151</v>
      </c>
      <c r="H567" s="14">
        <v>10</v>
      </c>
      <c r="I567" s="14"/>
      <c r="J567" s="15"/>
    </row>
    <row r="568" spans="1:10" x14ac:dyDescent="0.25">
      <c r="A568" s="14">
        <f>IF(B568="","",COUNTA($B$4:B568))</f>
        <v>565</v>
      </c>
      <c r="B568" s="14" t="s">
        <v>1553</v>
      </c>
      <c r="C568" s="14" t="s">
        <v>255</v>
      </c>
      <c r="D568" s="14" t="s">
        <v>256</v>
      </c>
      <c r="E568" s="14" t="s">
        <v>255</v>
      </c>
      <c r="F568" s="14" t="s">
        <v>150</v>
      </c>
      <c r="G568" s="14" t="s">
        <v>151</v>
      </c>
      <c r="H568" s="14">
        <v>10</v>
      </c>
      <c r="I568" s="14"/>
      <c r="J568" s="15"/>
    </row>
    <row r="569" spans="1:10" x14ac:dyDescent="0.25">
      <c r="A569" s="14">
        <f>IF(B569="","",COUNTA($B$4:B569))</f>
        <v>566</v>
      </c>
      <c r="B569" s="14" t="s">
        <v>1553</v>
      </c>
      <c r="C569" s="14" t="s">
        <v>257</v>
      </c>
      <c r="D569" s="14" t="s">
        <v>258</v>
      </c>
      <c r="E569" s="14" t="s">
        <v>257</v>
      </c>
      <c r="F569" s="14" t="s">
        <v>169</v>
      </c>
      <c r="G569" s="14" t="s">
        <v>243</v>
      </c>
      <c r="H569" s="14"/>
      <c r="I569" s="14"/>
      <c r="J569" s="15"/>
    </row>
    <row r="570" spans="1:10" x14ac:dyDescent="0.25">
      <c r="A570" s="14">
        <f>IF(B570="","",COUNTA($B$4:B570))</f>
        <v>567</v>
      </c>
      <c r="B570" s="14" t="s">
        <v>1553</v>
      </c>
      <c r="C570" s="14" t="s">
        <v>259</v>
      </c>
      <c r="D570" s="14" t="s">
        <v>260</v>
      </c>
      <c r="E570" s="14" t="s">
        <v>259</v>
      </c>
      <c r="F570" s="14" t="s">
        <v>150</v>
      </c>
      <c r="G570" s="14" t="s">
        <v>151</v>
      </c>
      <c r="H570" s="14">
        <v>10</v>
      </c>
      <c r="I570" s="14"/>
      <c r="J570" s="15"/>
    </row>
    <row r="571" spans="1:10" x14ac:dyDescent="0.25">
      <c r="A571" s="14">
        <f>IF(B571="","",COUNTA($B$4:B571))</f>
        <v>568</v>
      </c>
      <c r="B571" s="14" t="s">
        <v>1553</v>
      </c>
      <c r="C571" s="14" t="s">
        <v>261</v>
      </c>
      <c r="D571" s="14" t="s">
        <v>262</v>
      </c>
      <c r="E571" s="14" t="s">
        <v>261</v>
      </c>
      <c r="F571" s="14" t="s">
        <v>150</v>
      </c>
      <c r="G571" s="14" t="s">
        <v>151</v>
      </c>
      <c r="H571" s="14">
        <v>10</v>
      </c>
      <c r="I571" s="14"/>
      <c r="J571" s="15"/>
    </row>
    <row r="572" spans="1:10" x14ac:dyDescent="0.25">
      <c r="A572" s="14">
        <f>IF(B572="","",COUNTA($B$4:B572))</f>
        <v>569</v>
      </c>
      <c r="B572" s="14" t="s">
        <v>1553</v>
      </c>
      <c r="C572" s="14" t="s">
        <v>263</v>
      </c>
      <c r="D572" s="14" t="s">
        <v>264</v>
      </c>
      <c r="E572" s="14" t="s">
        <v>263</v>
      </c>
      <c r="F572" s="14" t="s">
        <v>169</v>
      </c>
      <c r="G572" s="14" t="s">
        <v>243</v>
      </c>
      <c r="H572" s="14"/>
      <c r="I572" s="14"/>
      <c r="J572" s="15"/>
    </row>
    <row r="573" spans="1:10" x14ac:dyDescent="0.25">
      <c r="A573" s="14">
        <f>IF(B573="","",COUNTA($B$4:B573))</f>
        <v>570</v>
      </c>
      <c r="B573" s="14" t="s">
        <v>1554</v>
      </c>
      <c r="C573" s="14" t="s">
        <v>148</v>
      </c>
      <c r="D573" s="14" t="s">
        <v>149</v>
      </c>
      <c r="E573" s="14" t="s">
        <v>148</v>
      </c>
      <c r="F573" s="14" t="s">
        <v>150</v>
      </c>
      <c r="G573" s="14" t="s">
        <v>151</v>
      </c>
      <c r="H573" s="14">
        <v>15</v>
      </c>
      <c r="I573" s="14"/>
      <c r="J573" s="15"/>
    </row>
    <row r="574" spans="1:10" x14ac:dyDescent="0.25">
      <c r="A574" s="14">
        <f>IF(B574="","",COUNTA($B$4:B574))</f>
        <v>571</v>
      </c>
      <c r="B574" s="14" t="s">
        <v>1554</v>
      </c>
      <c r="C574" s="14" t="s">
        <v>1430</v>
      </c>
      <c r="D574" s="14" t="s">
        <v>413</v>
      </c>
      <c r="E574" s="14" t="s">
        <v>1430</v>
      </c>
      <c r="F574" s="14" t="s">
        <v>155</v>
      </c>
      <c r="G574" s="14" t="s">
        <v>156</v>
      </c>
      <c r="H574" s="14">
        <v>1</v>
      </c>
      <c r="I574" s="14"/>
      <c r="J574" s="15"/>
    </row>
    <row r="575" spans="1:10" x14ac:dyDescent="0.25">
      <c r="A575" s="14">
        <f>IF(B575="","",COUNTA($B$4:B575))</f>
        <v>572</v>
      </c>
      <c r="B575" s="14" t="s">
        <v>1554</v>
      </c>
      <c r="C575" s="14" t="s">
        <v>1431</v>
      </c>
      <c r="D575" s="14" t="s">
        <v>337</v>
      </c>
      <c r="E575" s="14" t="s">
        <v>1431</v>
      </c>
      <c r="F575" s="14" t="s">
        <v>150</v>
      </c>
      <c r="G575" s="14" t="s">
        <v>151</v>
      </c>
      <c r="H575" s="14">
        <v>15</v>
      </c>
      <c r="I575" s="14"/>
      <c r="J575" s="15"/>
    </row>
    <row r="576" spans="1:10" x14ac:dyDescent="0.25">
      <c r="A576" s="14">
        <f>IF(B576="","",COUNTA($B$4:B576))</f>
        <v>573</v>
      </c>
      <c r="B576" s="14" t="s">
        <v>1554</v>
      </c>
      <c r="C576" s="14" t="s">
        <v>1433</v>
      </c>
      <c r="D576" s="14" t="s">
        <v>417</v>
      </c>
      <c r="E576" s="14" t="s">
        <v>1434</v>
      </c>
      <c r="F576" s="14" t="s">
        <v>150</v>
      </c>
      <c r="G576" s="14" t="s">
        <v>151</v>
      </c>
      <c r="H576" s="14">
        <v>15</v>
      </c>
      <c r="I576" s="14"/>
      <c r="J576" s="15"/>
    </row>
    <row r="577" spans="1:10" x14ac:dyDescent="0.25">
      <c r="A577" s="14">
        <f>IF(B577="","",COUNTA($B$4:B577))</f>
        <v>574</v>
      </c>
      <c r="B577" s="14" t="s">
        <v>1554</v>
      </c>
      <c r="C577" s="14" t="s">
        <v>159</v>
      </c>
      <c r="D577" s="14" t="s">
        <v>160</v>
      </c>
      <c r="E577" s="14" t="s">
        <v>159</v>
      </c>
      <c r="F577" s="14" t="s">
        <v>150</v>
      </c>
      <c r="G577" s="14" t="s">
        <v>151</v>
      </c>
      <c r="H577" s="14">
        <v>4</v>
      </c>
      <c r="I577" s="14"/>
      <c r="J577" s="15"/>
    </row>
    <row r="578" spans="1:10" x14ac:dyDescent="0.25">
      <c r="A578" s="14">
        <f>IF(B578="","",COUNTA($B$4:B578))</f>
        <v>575</v>
      </c>
      <c r="B578" s="14" t="s">
        <v>1554</v>
      </c>
      <c r="C578" s="14" t="s">
        <v>162</v>
      </c>
      <c r="D578" s="14" t="s">
        <v>163</v>
      </c>
      <c r="E578" s="14" t="s">
        <v>164</v>
      </c>
      <c r="F578" s="14" t="s">
        <v>150</v>
      </c>
      <c r="G578" s="14" t="s">
        <v>151</v>
      </c>
      <c r="H578" s="14">
        <v>4</v>
      </c>
      <c r="I578" s="14"/>
      <c r="J578" s="15"/>
    </row>
    <row r="579" spans="1:10" x14ac:dyDescent="0.25">
      <c r="A579" s="14">
        <f>IF(B579="","",COUNTA($B$4:B579))</f>
        <v>576</v>
      </c>
      <c r="B579" s="14" t="s">
        <v>1554</v>
      </c>
      <c r="C579" s="14" t="s">
        <v>249</v>
      </c>
      <c r="D579" s="14" t="s">
        <v>250</v>
      </c>
      <c r="E579" s="14" t="s">
        <v>249</v>
      </c>
      <c r="F579" s="14" t="s">
        <v>150</v>
      </c>
      <c r="G579" s="14" t="s">
        <v>151</v>
      </c>
      <c r="H579" s="14">
        <v>4</v>
      </c>
      <c r="I579" s="14"/>
      <c r="J579" s="15"/>
    </row>
    <row r="580" spans="1:10" x14ac:dyDescent="0.25">
      <c r="A580" s="14">
        <f>IF(B580="","",COUNTA($B$4:B580))</f>
        <v>577</v>
      </c>
      <c r="B580" s="14" t="s">
        <v>1554</v>
      </c>
      <c r="C580" s="14" t="s">
        <v>251</v>
      </c>
      <c r="D580" s="14" t="s">
        <v>252</v>
      </c>
      <c r="E580" s="14" t="s">
        <v>251</v>
      </c>
      <c r="F580" s="14" t="s">
        <v>150</v>
      </c>
      <c r="G580" s="14" t="s">
        <v>151</v>
      </c>
      <c r="H580" s="14">
        <v>4</v>
      </c>
      <c r="I580" s="14"/>
      <c r="J580" s="15"/>
    </row>
    <row r="581" spans="1:10" x14ac:dyDescent="0.25">
      <c r="A581" s="14">
        <f>IF(B581="","",COUNTA($B$4:B581))</f>
        <v>578</v>
      </c>
      <c r="B581" s="14" t="s">
        <v>1554</v>
      </c>
      <c r="C581" s="14" t="s">
        <v>253</v>
      </c>
      <c r="D581" s="14" t="s">
        <v>254</v>
      </c>
      <c r="E581" s="14" t="s">
        <v>253</v>
      </c>
      <c r="F581" s="14" t="s">
        <v>150</v>
      </c>
      <c r="G581" s="14" t="s">
        <v>151</v>
      </c>
      <c r="H581" s="14">
        <v>10</v>
      </c>
      <c r="I581" s="14"/>
      <c r="J581" s="15"/>
    </row>
    <row r="582" spans="1:10" x14ac:dyDescent="0.25">
      <c r="A582" s="14">
        <f>IF(B582="","",COUNTA($B$4:B582))</f>
        <v>579</v>
      </c>
      <c r="B582" s="14" t="s">
        <v>1554</v>
      </c>
      <c r="C582" s="14" t="s">
        <v>255</v>
      </c>
      <c r="D582" s="14" t="s">
        <v>256</v>
      </c>
      <c r="E582" s="14" t="s">
        <v>255</v>
      </c>
      <c r="F582" s="14" t="s">
        <v>150</v>
      </c>
      <c r="G582" s="14" t="s">
        <v>151</v>
      </c>
      <c r="H582" s="14">
        <v>10</v>
      </c>
      <c r="I582" s="14"/>
      <c r="J582" s="15"/>
    </row>
    <row r="583" spans="1:10" x14ac:dyDescent="0.25">
      <c r="A583" s="14">
        <f>IF(B583="","",COUNTA($B$4:B583))</f>
        <v>580</v>
      </c>
      <c r="B583" s="14" t="s">
        <v>1554</v>
      </c>
      <c r="C583" s="14" t="s">
        <v>257</v>
      </c>
      <c r="D583" s="14" t="s">
        <v>258</v>
      </c>
      <c r="E583" s="14" t="s">
        <v>257</v>
      </c>
      <c r="F583" s="14" t="s">
        <v>169</v>
      </c>
      <c r="G583" s="14" t="s">
        <v>243</v>
      </c>
      <c r="H583" s="14"/>
      <c r="I583" s="14"/>
      <c r="J583" s="15"/>
    </row>
    <row r="584" spans="1:10" x14ac:dyDescent="0.25">
      <c r="A584" s="14">
        <f>IF(B584="","",COUNTA($B$4:B584))</f>
        <v>581</v>
      </c>
      <c r="B584" s="14" t="s">
        <v>1554</v>
      </c>
      <c r="C584" s="14" t="s">
        <v>259</v>
      </c>
      <c r="D584" s="14" t="s">
        <v>260</v>
      </c>
      <c r="E584" s="14" t="s">
        <v>259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 x14ac:dyDescent="0.25">
      <c r="A585" s="14">
        <f>IF(B585="","",COUNTA($B$4:B585))</f>
        <v>582</v>
      </c>
      <c r="B585" s="14" t="s">
        <v>1554</v>
      </c>
      <c r="C585" s="14" t="s">
        <v>261</v>
      </c>
      <c r="D585" s="14" t="s">
        <v>262</v>
      </c>
      <c r="E585" s="14" t="s">
        <v>261</v>
      </c>
      <c r="F585" s="14" t="s">
        <v>150</v>
      </c>
      <c r="G585" s="14" t="s">
        <v>151</v>
      </c>
      <c r="H585" s="14">
        <v>10</v>
      </c>
      <c r="I585" s="14"/>
      <c r="J585" s="15"/>
    </row>
    <row r="586" spans="1:10" x14ac:dyDescent="0.25">
      <c r="A586" s="14">
        <f>IF(B586="","",COUNTA($B$4:B586))</f>
        <v>583</v>
      </c>
      <c r="B586" s="14" t="s">
        <v>1554</v>
      </c>
      <c r="C586" s="14" t="s">
        <v>263</v>
      </c>
      <c r="D586" s="14" t="s">
        <v>264</v>
      </c>
      <c r="E586" s="14" t="s">
        <v>263</v>
      </c>
      <c r="F586" s="14" t="s">
        <v>169</v>
      </c>
      <c r="G586" s="14" t="s">
        <v>243</v>
      </c>
      <c r="H586" s="14"/>
      <c r="I586" s="14"/>
      <c r="J586" s="15"/>
    </row>
    <row r="587" spans="1:10" x14ac:dyDescent="0.25">
      <c r="A587" s="14">
        <f>IF(B587="","",COUNTA($B$4:B587))</f>
        <v>584</v>
      </c>
      <c r="B587" s="14" t="s">
        <v>1555</v>
      </c>
      <c r="C587" s="14" t="s">
        <v>159</v>
      </c>
      <c r="D587" s="14" t="s">
        <v>160</v>
      </c>
      <c r="E587" s="14" t="s">
        <v>159</v>
      </c>
      <c r="F587" s="14" t="s">
        <v>150</v>
      </c>
      <c r="G587" s="14" t="s">
        <v>151</v>
      </c>
      <c r="H587" s="14">
        <v>4</v>
      </c>
      <c r="I587" s="14"/>
      <c r="J587" s="15"/>
    </row>
    <row r="588" spans="1:10" x14ac:dyDescent="0.25">
      <c r="A588" s="14">
        <f>IF(B588="","",COUNTA($B$4:B588))</f>
        <v>585</v>
      </c>
      <c r="B588" s="14" t="s">
        <v>1555</v>
      </c>
      <c r="C588" s="14" t="s">
        <v>418</v>
      </c>
      <c r="D588" s="14" t="s">
        <v>419</v>
      </c>
      <c r="E588" s="14" t="s">
        <v>418</v>
      </c>
      <c r="F588" s="14" t="s">
        <v>150</v>
      </c>
      <c r="G588" s="14" t="s">
        <v>151</v>
      </c>
      <c r="H588" s="14">
        <v>8</v>
      </c>
      <c r="I588" s="14"/>
      <c r="J588" s="15"/>
    </row>
    <row r="589" spans="1:10" x14ac:dyDescent="0.25">
      <c r="A589" s="14">
        <f>IF(B589="","",COUNTA($B$4:B589))</f>
        <v>586</v>
      </c>
      <c r="B589" s="14" t="s">
        <v>1555</v>
      </c>
      <c r="C589" s="14" t="s">
        <v>420</v>
      </c>
      <c r="D589" s="14" t="s">
        <v>421</v>
      </c>
      <c r="E589" s="14" t="s">
        <v>420</v>
      </c>
      <c r="F589" s="14" t="s">
        <v>150</v>
      </c>
      <c r="G589" s="14" t="s">
        <v>151</v>
      </c>
      <c r="H589" s="14">
        <v>30</v>
      </c>
      <c r="I589" s="14"/>
      <c r="J589" s="15"/>
    </row>
    <row r="590" spans="1:10" x14ac:dyDescent="0.25">
      <c r="A590" s="14">
        <f>IF(B590="","",COUNTA($B$4:B590))</f>
        <v>587</v>
      </c>
      <c r="B590" s="14" t="s">
        <v>1555</v>
      </c>
      <c r="C590" s="14" t="s">
        <v>422</v>
      </c>
      <c r="D590" s="14" t="s">
        <v>423</v>
      </c>
      <c r="E590" s="14" t="s">
        <v>422</v>
      </c>
      <c r="F590" s="14" t="s">
        <v>150</v>
      </c>
      <c r="G590" s="14" t="s">
        <v>151</v>
      </c>
      <c r="H590" s="14">
        <v>1</v>
      </c>
      <c r="I590" s="14"/>
      <c r="J590" s="15"/>
    </row>
    <row r="591" spans="1:10" x14ac:dyDescent="0.25">
      <c r="A591" s="14">
        <f>IF(B591="","",COUNTA($B$4:B591))</f>
        <v>588</v>
      </c>
      <c r="B591" s="14" t="s">
        <v>1555</v>
      </c>
      <c r="C591" s="14" t="s">
        <v>426</v>
      </c>
      <c r="D591" s="14" t="s">
        <v>427</v>
      </c>
      <c r="E591" s="14" t="s">
        <v>426</v>
      </c>
      <c r="F591" s="14" t="s">
        <v>150</v>
      </c>
      <c r="G591" s="14" t="s">
        <v>151</v>
      </c>
      <c r="H591" s="14">
        <v>1</v>
      </c>
      <c r="I591" s="14"/>
      <c r="J591" s="15"/>
    </row>
    <row r="592" spans="1:10" x14ac:dyDescent="0.25">
      <c r="A592" s="14">
        <f>IF(B592="","",COUNTA($B$4:B592))</f>
        <v>589</v>
      </c>
      <c r="B592" s="14" t="s">
        <v>1555</v>
      </c>
      <c r="C592" s="14" t="s">
        <v>430</v>
      </c>
      <c r="D592" s="14" t="s">
        <v>431</v>
      </c>
      <c r="E592" s="14" t="s">
        <v>430</v>
      </c>
      <c r="F592" s="14" t="s">
        <v>150</v>
      </c>
      <c r="G592" s="14" t="s">
        <v>151</v>
      </c>
      <c r="H592" s="14">
        <v>1</v>
      </c>
      <c r="I592" s="14"/>
      <c r="J592" s="15"/>
    </row>
    <row r="593" spans="1:10" x14ac:dyDescent="0.25">
      <c r="A593" s="14">
        <f>IF(B593="","",COUNTA($B$4:B593))</f>
        <v>590</v>
      </c>
      <c r="B593" s="14" t="s">
        <v>1555</v>
      </c>
      <c r="C593" s="14" t="s">
        <v>1495</v>
      </c>
      <c r="D593" s="14" t="s">
        <v>1496</v>
      </c>
      <c r="E593" s="14" t="s">
        <v>1495</v>
      </c>
      <c r="F593" s="14" t="s">
        <v>150</v>
      </c>
      <c r="G593" s="14" t="s">
        <v>151</v>
      </c>
      <c r="H593" s="14">
        <v>1</v>
      </c>
      <c r="I593" s="14"/>
      <c r="J593" s="15"/>
    </row>
    <row r="594" spans="1:10" x14ac:dyDescent="0.25">
      <c r="A594" s="14">
        <f>IF(B594="","",COUNTA($B$4:B594))</f>
        <v>591</v>
      </c>
      <c r="B594" s="14" t="s">
        <v>1555</v>
      </c>
      <c r="C594" s="14" t="s">
        <v>434</v>
      </c>
      <c r="D594" s="14" t="s">
        <v>433</v>
      </c>
      <c r="E594" s="14" t="s">
        <v>434</v>
      </c>
      <c r="F594" s="14" t="s">
        <v>150</v>
      </c>
      <c r="G594" s="14" t="s">
        <v>151</v>
      </c>
      <c r="H594" s="14">
        <v>1</v>
      </c>
      <c r="I594" s="14"/>
      <c r="J594" s="15"/>
    </row>
    <row r="595" spans="1:10" x14ac:dyDescent="0.25">
      <c r="A595" s="14">
        <f>IF(B595="","",COUNTA($B$4:B595))</f>
        <v>592</v>
      </c>
      <c r="B595" s="14" t="s">
        <v>1555</v>
      </c>
      <c r="C595" s="14" t="s">
        <v>1450</v>
      </c>
      <c r="D595" s="14" t="s">
        <v>1485</v>
      </c>
      <c r="E595" s="14" t="s">
        <v>1450</v>
      </c>
      <c r="F595" s="14" t="s">
        <v>150</v>
      </c>
      <c r="G595" s="14" t="s">
        <v>151</v>
      </c>
      <c r="H595" s="14">
        <v>1</v>
      </c>
      <c r="I595" s="14"/>
      <c r="J595" s="15"/>
    </row>
    <row r="596" spans="1:10" x14ac:dyDescent="0.25">
      <c r="A596" s="14">
        <f>IF(B596="","",COUNTA($B$4:B596))</f>
        <v>593</v>
      </c>
      <c r="B596" s="14" t="s">
        <v>1555</v>
      </c>
      <c r="C596" s="14" t="s">
        <v>1453</v>
      </c>
      <c r="D596" s="14" t="s">
        <v>1483</v>
      </c>
      <c r="E596" s="14" t="s">
        <v>1453</v>
      </c>
      <c r="F596" s="14" t="s">
        <v>150</v>
      </c>
      <c r="G596" s="14" t="s">
        <v>151</v>
      </c>
      <c r="H596" s="14">
        <v>1</v>
      </c>
      <c r="I596" s="14"/>
      <c r="J596" s="15"/>
    </row>
    <row r="597" spans="1:10" x14ac:dyDescent="0.25">
      <c r="A597" s="14">
        <f>IF(B597="","",COUNTA($B$4:B597))</f>
        <v>594</v>
      </c>
      <c r="B597" s="14" t="s">
        <v>1555</v>
      </c>
      <c r="C597" s="14" t="s">
        <v>438</v>
      </c>
      <c r="D597" s="14" t="s">
        <v>439</v>
      </c>
      <c r="E597" s="14" t="s">
        <v>438</v>
      </c>
      <c r="F597" s="14" t="s">
        <v>150</v>
      </c>
      <c r="G597" s="14" t="s">
        <v>151</v>
      </c>
      <c r="H597" s="14">
        <v>1</v>
      </c>
      <c r="I597" s="14"/>
      <c r="J597" s="15"/>
    </row>
    <row r="598" spans="1:10" x14ac:dyDescent="0.25">
      <c r="A598" s="14">
        <f>IF(B598="","",COUNTA($B$4:B598))</f>
        <v>595</v>
      </c>
      <c r="B598" s="14" t="s">
        <v>1555</v>
      </c>
      <c r="C598" s="14" t="s">
        <v>1447</v>
      </c>
      <c r="D598" s="14" t="s">
        <v>1439</v>
      </c>
      <c r="E598" s="14" t="s">
        <v>1447</v>
      </c>
      <c r="F598" s="14" t="s">
        <v>150</v>
      </c>
      <c r="G598" s="14" t="s">
        <v>151</v>
      </c>
      <c r="H598" s="14">
        <v>4</v>
      </c>
      <c r="I598" s="14"/>
      <c r="J598" s="15"/>
    </row>
    <row r="599" spans="1:10" x14ac:dyDescent="0.25">
      <c r="A599" s="14">
        <f>IF(B599="","",COUNTA($B$4:B599))</f>
        <v>596</v>
      </c>
      <c r="B599" s="14" t="s">
        <v>1555</v>
      </c>
      <c r="C599" s="14" t="s">
        <v>1448</v>
      </c>
      <c r="D599" s="14" t="s">
        <v>1444</v>
      </c>
      <c r="E599" s="14" t="s">
        <v>1448</v>
      </c>
      <c r="F599" s="14" t="s">
        <v>150</v>
      </c>
      <c r="G599" s="14" t="s">
        <v>151</v>
      </c>
      <c r="H599" s="14">
        <v>4</v>
      </c>
      <c r="I599" s="14"/>
      <c r="J599" s="15"/>
    </row>
    <row r="600" spans="1:10" x14ac:dyDescent="0.25">
      <c r="A600" s="14">
        <f>IF(B600="","",COUNTA($B$4:B600))</f>
        <v>597</v>
      </c>
      <c r="B600" s="14" t="s">
        <v>1555</v>
      </c>
      <c r="C600" s="14" t="s">
        <v>1449</v>
      </c>
      <c r="D600" s="14" t="s">
        <v>1435</v>
      </c>
      <c r="E600" s="14" t="s">
        <v>1449</v>
      </c>
      <c r="F600" s="14" t="s">
        <v>150</v>
      </c>
      <c r="G600" s="14" t="s">
        <v>151</v>
      </c>
      <c r="H600" s="14">
        <v>1</v>
      </c>
      <c r="I600" s="14"/>
      <c r="J600" s="15"/>
    </row>
    <row r="601" spans="1:10" x14ac:dyDescent="0.25">
      <c r="A601" s="14">
        <f>IF(B601="","",COUNTA($B$4:B601))</f>
        <v>598</v>
      </c>
      <c r="B601" s="14" t="s">
        <v>1555</v>
      </c>
      <c r="C601" s="14" t="s">
        <v>441</v>
      </c>
      <c r="D601" s="14" t="s">
        <v>442</v>
      </c>
      <c r="E601" s="14" t="s">
        <v>441</v>
      </c>
      <c r="F601" s="14" t="s">
        <v>150</v>
      </c>
      <c r="G601" s="14" t="s">
        <v>151</v>
      </c>
      <c r="H601" s="14">
        <v>1</v>
      </c>
      <c r="I601" s="14" t="s">
        <v>244</v>
      </c>
      <c r="J601" s="15"/>
    </row>
    <row r="602" spans="1:10" x14ac:dyDescent="0.25">
      <c r="A602" s="14">
        <f>IF(B602="","",COUNTA($B$4:B602))</f>
        <v>599</v>
      </c>
      <c r="B602" s="14" t="s">
        <v>1555</v>
      </c>
      <c r="C602" s="14" t="s">
        <v>255</v>
      </c>
      <c r="D602" s="14" t="s">
        <v>256</v>
      </c>
      <c r="E602" s="14" t="s">
        <v>255</v>
      </c>
      <c r="F602" s="14" t="s">
        <v>150</v>
      </c>
      <c r="G602" s="14" t="s">
        <v>151</v>
      </c>
      <c r="H602" s="14">
        <v>10</v>
      </c>
      <c r="I602" s="14"/>
      <c r="J602" s="15"/>
    </row>
    <row r="603" spans="1:10" x14ac:dyDescent="0.25">
      <c r="A603" s="14">
        <f>IF(B603="","",COUNTA($B$4:B603))</f>
        <v>600</v>
      </c>
      <c r="B603" s="14" t="s">
        <v>1555</v>
      </c>
      <c r="C603" s="14" t="s">
        <v>257</v>
      </c>
      <c r="D603" s="14" t="s">
        <v>258</v>
      </c>
      <c r="E603" s="14" t="s">
        <v>257</v>
      </c>
      <c r="F603" s="14" t="s">
        <v>169</v>
      </c>
      <c r="G603" s="14" t="s">
        <v>243</v>
      </c>
      <c r="H603" s="14"/>
      <c r="I603" s="14"/>
      <c r="J603" s="15"/>
    </row>
    <row r="604" spans="1:10" x14ac:dyDescent="0.25">
      <c r="A604" s="14">
        <f>IF(B604="","",COUNTA($B$4:B604))</f>
        <v>601</v>
      </c>
      <c r="B604" s="14" t="s">
        <v>1555</v>
      </c>
      <c r="C604" s="14" t="s">
        <v>261</v>
      </c>
      <c r="D604" s="14" t="s">
        <v>262</v>
      </c>
      <c r="E604" s="14" t="s">
        <v>261</v>
      </c>
      <c r="F604" s="14" t="s">
        <v>150</v>
      </c>
      <c r="G604" s="14" t="s">
        <v>151</v>
      </c>
      <c r="H604" s="14">
        <v>10</v>
      </c>
      <c r="I604" s="14"/>
      <c r="J604" s="15"/>
    </row>
    <row r="605" spans="1:10" x14ac:dyDescent="0.25">
      <c r="A605" s="14">
        <f>IF(B605="","",COUNTA($B$4:B605))</f>
        <v>602</v>
      </c>
      <c r="B605" s="14" t="s">
        <v>1555</v>
      </c>
      <c r="C605" s="14" t="s">
        <v>263</v>
      </c>
      <c r="D605" s="14" t="s">
        <v>264</v>
      </c>
      <c r="E605" s="14" t="s">
        <v>263</v>
      </c>
      <c r="F605" s="14" t="s">
        <v>169</v>
      </c>
      <c r="G605" s="14" t="s">
        <v>243</v>
      </c>
      <c r="H605" s="14"/>
      <c r="I605" s="14"/>
      <c r="J605" s="15"/>
    </row>
    <row r="606" spans="1:10" x14ac:dyDescent="0.25">
      <c r="A606" s="14">
        <f>IF(B606="","",COUNTA($B$4:B606))</f>
        <v>603</v>
      </c>
      <c r="B606" s="14" t="s">
        <v>1556</v>
      </c>
      <c r="C606" s="14" t="s">
        <v>162</v>
      </c>
      <c r="D606" s="14" t="s">
        <v>163</v>
      </c>
      <c r="E606" s="14" t="s">
        <v>164</v>
      </c>
      <c r="F606" s="14" t="s">
        <v>150</v>
      </c>
      <c r="G606" s="14" t="s">
        <v>151</v>
      </c>
      <c r="H606" s="14">
        <v>4</v>
      </c>
      <c r="I606" s="14"/>
      <c r="J606" s="15"/>
    </row>
    <row r="607" spans="1:10" x14ac:dyDescent="0.25">
      <c r="A607" s="14">
        <f>IF(B607="","",COUNTA($B$4:B607))</f>
        <v>604</v>
      </c>
      <c r="B607" s="14" t="s">
        <v>1556</v>
      </c>
      <c r="C607" s="14" t="s">
        <v>1473</v>
      </c>
      <c r="D607" s="14" t="s">
        <v>1383</v>
      </c>
      <c r="E607" s="14" t="s">
        <v>1473</v>
      </c>
      <c r="F607" s="14" t="s">
        <v>150</v>
      </c>
      <c r="G607" s="14" t="s">
        <v>151</v>
      </c>
      <c r="H607" s="14">
        <v>10</v>
      </c>
      <c r="I607" s="14"/>
      <c r="J607" s="15"/>
    </row>
    <row r="608" spans="1:10" x14ac:dyDescent="0.25">
      <c r="A608" s="14">
        <f>IF(B608="","",COUNTA($B$4:B608))</f>
        <v>605</v>
      </c>
      <c r="B608" s="14" t="s">
        <v>1556</v>
      </c>
      <c r="C608" s="14" t="s">
        <v>523</v>
      </c>
      <c r="D608" s="14" t="s">
        <v>1480</v>
      </c>
      <c r="E608" s="14" t="s">
        <v>1474</v>
      </c>
      <c r="F608" s="14" t="s">
        <v>150</v>
      </c>
      <c r="G608" s="14" t="s">
        <v>151</v>
      </c>
      <c r="H608" s="14">
        <v>10</v>
      </c>
      <c r="I608" s="14"/>
      <c r="J608" s="15"/>
    </row>
    <row r="609" spans="1:10" x14ac:dyDescent="0.25">
      <c r="A609" s="14">
        <f>IF(B609="","",COUNTA($B$4:B609))</f>
        <v>606</v>
      </c>
      <c r="B609" s="14" t="s">
        <v>1556</v>
      </c>
      <c r="C609" s="14" t="s">
        <v>257</v>
      </c>
      <c r="D609" s="14" t="s">
        <v>258</v>
      </c>
      <c r="E609" s="14" t="s">
        <v>257</v>
      </c>
      <c r="F609" s="14" t="s">
        <v>169</v>
      </c>
      <c r="G609" s="14" t="s">
        <v>243</v>
      </c>
      <c r="H609" s="14"/>
      <c r="I609" s="14"/>
      <c r="J609" s="15"/>
    </row>
    <row r="610" spans="1:10" x14ac:dyDescent="0.25">
      <c r="A610" s="14">
        <f>IF(B610="","",COUNTA($B$4:B610))</f>
        <v>607</v>
      </c>
      <c r="B610" s="14" t="s">
        <v>1557</v>
      </c>
      <c r="C610" s="14" t="s">
        <v>1475</v>
      </c>
      <c r="D610" s="14" t="s">
        <v>1490</v>
      </c>
      <c r="E610" s="14" t="s">
        <v>1475</v>
      </c>
      <c r="F610" s="14" t="s">
        <v>150</v>
      </c>
      <c r="G610" s="14" t="s">
        <v>151</v>
      </c>
      <c r="H610" s="14">
        <v>4</v>
      </c>
      <c r="I610" s="14"/>
      <c r="J610" s="15"/>
    </row>
    <row r="611" spans="1:10" x14ac:dyDescent="0.25">
      <c r="A611" s="14">
        <f>IF(B611="","",COUNTA($B$4:B611))</f>
        <v>608</v>
      </c>
      <c r="B611" s="14" t="s">
        <v>1557</v>
      </c>
      <c r="C611" s="14" t="s">
        <v>162</v>
      </c>
      <c r="D611" s="14" t="s">
        <v>163</v>
      </c>
      <c r="E611" s="14" t="s">
        <v>162</v>
      </c>
      <c r="F611" s="14" t="s">
        <v>150</v>
      </c>
      <c r="G611" s="14" t="s">
        <v>151</v>
      </c>
      <c r="H611" s="14">
        <v>4</v>
      </c>
      <c r="I611" s="14"/>
      <c r="J611" s="15"/>
    </row>
    <row r="612" spans="1:10" x14ac:dyDescent="0.25">
      <c r="A612" s="14">
        <f>IF(B612="","",COUNTA($B$4:B612))</f>
        <v>609</v>
      </c>
      <c r="B612" s="14" t="s">
        <v>1557</v>
      </c>
      <c r="C612" s="14" t="s">
        <v>730</v>
      </c>
      <c r="D612" s="14" t="s">
        <v>1497</v>
      </c>
      <c r="E612" s="14" t="s">
        <v>730</v>
      </c>
      <c r="F612" s="14" t="s">
        <v>155</v>
      </c>
      <c r="G612" s="14" t="s">
        <v>156</v>
      </c>
      <c r="H612" s="14">
        <v>3</v>
      </c>
      <c r="I612" s="14"/>
      <c r="J612" s="15"/>
    </row>
    <row r="613" spans="1:10" x14ac:dyDescent="0.25">
      <c r="A613" s="14">
        <f>IF(B613="","",COUNTA($B$4:B613))</f>
        <v>610</v>
      </c>
      <c r="B613" s="14" t="s">
        <v>1557</v>
      </c>
      <c r="C613" s="14" t="s">
        <v>255</v>
      </c>
      <c r="D613" s="14" t="s">
        <v>256</v>
      </c>
      <c r="E613" s="14" t="s">
        <v>255</v>
      </c>
      <c r="F613" s="14" t="s">
        <v>150</v>
      </c>
      <c r="G613" s="14" t="s">
        <v>151</v>
      </c>
      <c r="H613" s="14">
        <v>10</v>
      </c>
      <c r="I613" s="14"/>
      <c r="J613" s="15"/>
    </row>
    <row r="614" spans="1:10" x14ac:dyDescent="0.25">
      <c r="A614" s="14">
        <f>IF(B614="","",COUNTA($B$4:B614))</f>
        <v>611</v>
      </c>
      <c r="B614" s="14" t="s">
        <v>1557</v>
      </c>
      <c r="C614" s="14" t="s">
        <v>257</v>
      </c>
      <c r="D614" s="14" t="s">
        <v>258</v>
      </c>
      <c r="E614" s="14" t="s">
        <v>257</v>
      </c>
      <c r="F614" s="14" t="s">
        <v>169</v>
      </c>
      <c r="G614" s="14" t="s">
        <v>243</v>
      </c>
      <c r="H614" s="14"/>
      <c r="I614" s="14"/>
      <c r="J614" s="15"/>
    </row>
    <row r="615" spans="1:10" x14ac:dyDescent="0.25">
      <c r="A615" s="14">
        <f>IF(B615="","",COUNTA($B$4:B615))</f>
        <v>612</v>
      </c>
      <c r="B615" s="14" t="s">
        <v>1557</v>
      </c>
      <c r="C615" s="14" t="s">
        <v>261</v>
      </c>
      <c r="D615" s="14" t="s">
        <v>262</v>
      </c>
      <c r="E615" s="14" t="s">
        <v>261</v>
      </c>
      <c r="F615" s="14" t="s">
        <v>150</v>
      </c>
      <c r="G615" s="14" t="s">
        <v>151</v>
      </c>
      <c r="H615" s="14">
        <v>10</v>
      </c>
      <c r="I615" s="14"/>
      <c r="J615" s="15"/>
    </row>
    <row r="616" spans="1:10" x14ac:dyDescent="0.25">
      <c r="A616" s="14">
        <f>IF(B616="","",COUNTA($B$4:B616))</f>
        <v>613</v>
      </c>
      <c r="B616" s="14" t="s">
        <v>1557</v>
      </c>
      <c r="C616" s="14" t="s">
        <v>263</v>
      </c>
      <c r="D616" s="14" t="s">
        <v>264</v>
      </c>
      <c r="E616" s="14" t="s">
        <v>263</v>
      </c>
      <c r="F616" s="14" t="s">
        <v>169</v>
      </c>
      <c r="G616" s="14" t="s">
        <v>243</v>
      </c>
      <c r="H616" s="14"/>
      <c r="I616" s="14"/>
      <c r="J616" s="15"/>
    </row>
    <row r="617" spans="1:10" x14ac:dyDescent="0.25">
      <c r="A617" s="14">
        <f>IF(B617="","",COUNTA($B$4:B617))</f>
        <v>614</v>
      </c>
      <c r="B617" s="14" t="s">
        <v>1557</v>
      </c>
      <c r="C617" s="14" t="s">
        <v>1520</v>
      </c>
      <c r="D617" s="14" t="s">
        <v>1521</v>
      </c>
      <c r="E617" s="14" t="s">
        <v>1520</v>
      </c>
      <c r="F617" s="14" t="s">
        <v>1516</v>
      </c>
      <c r="G617" s="14" t="s">
        <v>1481</v>
      </c>
      <c r="H617" s="14">
        <v>10</v>
      </c>
      <c r="I617" s="14"/>
      <c r="J617" s="15"/>
    </row>
    <row r="618" spans="1:10" x14ac:dyDescent="0.25">
      <c r="A618" s="14">
        <f>IF(B618="","",COUNTA($B$4:B618))</f>
        <v>615</v>
      </c>
      <c r="B618" s="14" t="s">
        <v>1557</v>
      </c>
      <c r="C618" s="14" t="s">
        <v>1522</v>
      </c>
      <c r="D618" s="14" t="s">
        <v>1523</v>
      </c>
      <c r="E618" s="14" t="s">
        <v>1522</v>
      </c>
      <c r="F618" s="14" t="s">
        <v>1517</v>
      </c>
      <c r="G618" s="14" t="s">
        <v>1519</v>
      </c>
      <c r="H618" s="14"/>
      <c r="I618" s="14"/>
      <c r="J618" s="15"/>
    </row>
    <row r="619" spans="1:10" x14ac:dyDescent="0.25">
      <c r="A619" s="14">
        <f>IF(B619="","",COUNTA($B$4:B619))</f>
        <v>616</v>
      </c>
      <c r="B619" s="14" t="s">
        <v>1557</v>
      </c>
      <c r="C619" s="14" t="s">
        <v>1524</v>
      </c>
      <c r="D619" s="14" t="s">
        <v>1525</v>
      </c>
      <c r="E619" s="14" t="s">
        <v>1524</v>
      </c>
      <c r="F619" s="14" t="s">
        <v>1516</v>
      </c>
      <c r="G619" s="14" t="s">
        <v>1481</v>
      </c>
      <c r="H619" s="14">
        <v>10</v>
      </c>
      <c r="I619" s="14"/>
      <c r="J619" s="15"/>
    </row>
    <row r="620" spans="1:10" x14ac:dyDescent="0.25">
      <c r="A620" s="14">
        <f>IF(B620="","",COUNTA($B$4:B620))</f>
        <v>617</v>
      </c>
      <c r="B620" s="14" t="s">
        <v>1557</v>
      </c>
      <c r="C620" s="14" t="s">
        <v>1526</v>
      </c>
      <c r="D620" s="14" t="s">
        <v>1527</v>
      </c>
      <c r="E620" s="14" t="s">
        <v>1526</v>
      </c>
      <c r="F620" s="14" t="s">
        <v>1517</v>
      </c>
      <c r="G620" s="14" t="s">
        <v>1519</v>
      </c>
      <c r="H620" s="14"/>
      <c r="I620" s="14"/>
      <c r="J620" s="15"/>
    </row>
    <row r="621" spans="1:10" x14ac:dyDescent="0.25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</row>
    <row r="622" spans="1:10" x14ac:dyDescent="0.25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</row>
    <row r="623" spans="1:10" x14ac:dyDescent="0.25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</row>
    <row r="624" spans="1:10" x14ac:dyDescent="0.25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</row>
    <row r="625" spans="1:10" x14ac:dyDescent="0.25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</row>
    <row r="626" spans="1:10" x14ac:dyDescent="0.25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</row>
    <row r="627" spans="1:10" x14ac:dyDescent="0.25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</row>
    <row r="628" spans="1:10" x14ac:dyDescent="0.25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</row>
    <row r="629" spans="1:10" x14ac:dyDescent="0.25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</row>
    <row r="630" spans="1:10" x14ac:dyDescent="0.25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</row>
    <row r="631" spans="1:10" x14ac:dyDescent="0.25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</row>
    <row r="632" spans="1:10" x14ac:dyDescent="0.25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</row>
    <row r="633" spans="1:10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  <col min="11" max="11" width="9.75" style="16" hidden="1" customWidth="1"/>
  </cols>
  <sheetData>
    <row r="1" spans="1:11" ht="19.5" x14ac:dyDescent="0.25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 x14ac:dyDescent="0.25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  <c r="K3" s="13" t="s">
        <v>455</v>
      </c>
    </row>
    <row r="4" spans="1:11" x14ac:dyDescent="0.25">
      <c r="A4" s="14">
        <f>IF(B4="","",COUNTA($B$4:B4))</f>
        <v>1</v>
      </c>
      <c r="B4" s="14" t="s">
        <v>1538</v>
      </c>
      <c r="C4" s="14" t="s">
        <v>1539</v>
      </c>
      <c r="D4" s="14" t="s">
        <v>1478</v>
      </c>
      <c r="E4" s="14" t="s">
        <v>1539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5"/>
    </row>
    <row r="5" spans="1:11" x14ac:dyDescent="0.25">
      <c r="A5" s="14">
        <f>IF(B5="","",COUNTA($B$4:B5))</f>
        <v>2</v>
      </c>
      <c r="B5" s="14" t="s">
        <v>1538</v>
      </c>
      <c r="C5" s="14" t="s">
        <v>1385</v>
      </c>
      <c r="D5" s="14" t="s">
        <v>1541</v>
      </c>
      <c r="E5" s="14" t="s">
        <v>1385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27"/>
    </row>
    <row r="6" spans="1:11" x14ac:dyDescent="0.25">
      <c r="A6" s="14">
        <f>IF(B6="","",COUNTA($B$4:B6))</f>
        <v>3</v>
      </c>
      <c r="B6" s="14" t="s">
        <v>1538</v>
      </c>
      <c r="C6" s="14" t="s">
        <v>1386</v>
      </c>
      <c r="D6" s="14" t="s">
        <v>1542</v>
      </c>
      <c r="E6" s="14" t="s">
        <v>1386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 x14ac:dyDescent="0.25">
      <c r="A7" s="14">
        <f>IF(B7="","",COUNTA($B$4:B7))</f>
        <v>4</v>
      </c>
      <c r="B7" s="14" t="s">
        <v>1538</v>
      </c>
      <c r="C7" s="14" t="s">
        <v>1424</v>
      </c>
      <c r="D7" s="14" t="s">
        <v>1540</v>
      </c>
      <c r="E7" s="14" t="s">
        <v>1424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27"/>
    </row>
    <row r="8" spans="1:11" x14ac:dyDescent="0.25">
      <c r="A8" s="14">
        <f>IF(B8="","",COUNTA($B$4:B8))</f>
        <v>5</v>
      </c>
      <c r="B8" s="14" t="s">
        <v>1538</v>
      </c>
      <c r="C8" s="14" t="s">
        <v>1543</v>
      </c>
      <c r="D8" s="14" t="s">
        <v>1544</v>
      </c>
      <c r="E8" s="14" t="s">
        <v>1543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5"/>
    </row>
    <row r="9" spans="1:11" x14ac:dyDescent="0.25">
      <c r="A9" s="14">
        <f>IF(B9="","",COUNTA($B$4:B9))</f>
        <v>6</v>
      </c>
      <c r="B9" s="14" t="s">
        <v>1534</v>
      </c>
      <c r="C9" s="14" t="s">
        <v>364</v>
      </c>
      <c r="D9" s="14" t="s">
        <v>365</v>
      </c>
      <c r="E9" s="14" t="s">
        <v>364</v>
      </c>
      <c r="F9" s="14" t="s">
        <v>155</v>
      </c>
      <c r="G9" s="14" t="s">
        <v>156</v>
      </c>
      <c r="H9" s="14">
        <v>3</v>
      </c>
      <c r="I9" s="14"/>
      <c r="J9" s="14"/>
      <c r="K9" s="15"/>
    </row>
    <row r="10" spans="1:11" x14ac:dyDescent="0.25">
      <c r="A10" s="14">
        <f>IF(B10="","",COUNTA($B$4:B10))</f>
        <v>7</v>
      </c>
      <c r="B10" s="14" t="s">
        <v>1533</v>
      </c>
      <c r="C10" s="14" t="s">
        <v>314</v>
      </c>
      <c r="D10" s="14" t="s">
        <v>315</v>
      </c>
      <c r="E10" s="14" t="s">
        <v>314</v>
      </c>
      <c r="F10" s="14" t="s">
        <v>150</v>
      </c>
      <c r="G10" s="14" t="s">
        <v>151</v>
      </c>
      <c r="H10" s="14">
        <v>5</v>
      </c>
      <c r="I10" s="14"/>
      <c r="J10" s="14"/>
      <c r="K10" s="127"/>
    </row>
    <row r="11" spans="1:11" x14ac:dyDescent="0.25">
      <c r="A11" s="14">
        <f>IF(B11="","",COUNTA($B$4:B11))</f>
        <v>8</v>
      </c>
      <c r="B11" s="14" t="s">
        <v>1534</v>
      </c>
      <c r="C11" s="14" t="s">
        <v>314</v>
      </c>
      <c r="D11" s="14" t="s">
        <v>315</v>
      </c>
      <c r="E11" s="14" t="s">
        <v>314</v>
      </c>
      <c r="F11" s="14" t="s">
        <v>150</v>
      </c>
      <c r="G11" s="14" t="s">
        <v>151</v>
      </c>
      <c r="H11" s="14">
        <v>5</v>
      </c>
      <c r="I11" s="14"/>
      <c r="J11" s="14"/>
      <c r="K11" s="127"/>
    </row>
    <row r="12" spans="1:11" x14ac:dyDescent="0.25">
      <c r="A12" s="14">
        <f>IF(B12="","",COUNTA($B$4:B12))</f>
        <v>9</v>
      </c>
      <c r="B12" s="14" t="s">
        <v>1533</v>
      </c>
      <c r="C12" s="14" t="s">
        <v>324</v>
      </c>
      <c r="D12" s="14" t="s">
        <v>325</v>
      </c>
      <c r="E12" s="14" t="s">
        <v>324</v>
      </c>
      <c r="F12" s="14" t="s">
        <v>155</v>
      </c>
      <c r="G12" s="14" t="s">
        <v>156</v>
      </c>
      <c r="H12" s="14">
        <v>5</v>
      </c>
      <c r="I12" s="14"/>
      <c r="J12" s="14"/>
      <c r="K12" s="15"/>
    </row>
    <row r="13" spans="1:11" x14ac:dyDescent="0.25">
      <c r="A13" s="14">
        <f>IF(B13="","",COUNTA($B$4:B13))</f>
        <v>10</v>
      </c>
      <c r="B13" s="14" t="s">
        <v>1534</v>
      </c>
      <c r="C13" s="14" t="s">
        <v>324</v>
      </c>
      <c r="D13" s="14" t="s">
        <v>325</v>
      </c>
      <c r="E13" s="14" t="s">
        <v>324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 x14ac:dyDescent="0.25">
      <c r="A14" s="14">
        <f>IF(B14="","",COUNTA($B$4:B14))</f>
        <v>11</v>
      </c>
      <c r="B14" s="14" t="s">
        <v>1533</v>
      </c>
      <c r="C14" s="14" t="s">
        <v>320</v>
      </c>
      <c r="D14" s="14" t="s">
        <v>321</v>
      </c>
      <c r="E14" s="14" t="s">
        <v>320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 x14ac:dyDescent="0.25">
      <c r="A15" s="14">
        <f>IF(B15="","",COUNTA($B$4:B15))</f>
        <v>12</v>
      </c>
      <c r="B15" s="14" t="s">
        <v>1534</v>
      </c>
      <c r="C15" s="14" t="s">
        <v>320</v>
      </c>
      <c r="D15" s="14" t="s">
        <v>321</v>
      </c>
      <c r="E15" s="14" t="s">
        <v>320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27"/>
    </row>
    <row r="16" spans="1:11" x14ac:dyDescent="0.25">
      <c r="A16" s="14">
        <f>IF(B16="","",COUNTA($B$4:B16))</f>
        <v>13</v>
      </c>
      <c r="B16" s="14" t="s">
        <v>1533</v>
      </c>
      <c r="C16" s="14" t="s">
        <v>328</v>
      </c>
      <c r="D16" s="14" t="s">
        <v>329</v>
      </c>
      <c r="E16" s="14" t="s">
        <v>328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 x14ac:dyDescent="0.25">
      <c r="A17" s="14">
        <f>IF(B17="","",COUNTA($B$4:B17))</f>
        <v>14</v>
      </c>
      <c r="B17" s="14" t="s">
        <v>1534</v>
      </c>
      <c r="C17" s="14" t="s">
        <v>328</v>
      </c>
      <c r="D17" s="14" t="s">
        <v>329</v>
      </c>
      <c r="E17" s="14" t="s">
        <v>328</v>
      </c>
      <c r="F17" s="14" t="s">
        <v>150</v>
      </c>
      <c r="G17" s="14" t="s">
        <v>151</v>
      </c>
      <c r="H17" s="14">
        <v>1000</v>
      </c>
      <c r="I17" s="14"/>
      <c r="J17" s="14"/>
      <c r="K17" s="127"/>
    </row>
    <row r="18" spans="1:11" x14ac:dyDescent="0.25">
      <c r="A18" s="14">
        <f>IF(B18="","",COUNTA($B$4:B18))</f>
        <v>15</v>
      </c>
      <c r="B18" s="14" t="s">
        <v>1533</v>
      </c>
      <c r="C18" s="14" t="s">
        <v>316</v>
      </c>
      <c r="D18" s="14" t="s">
        <v>317</v>
      </c>
      <c r="E18" s="14" t="s">
        <v>316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 x14ac:dyDescent="0.25">
      <c r="A19" s="14">
        <f>IF(B19="","",COUNTA($B$4:B19))</f>
        <v>16</v>
      </c>
      <c r="B19" s="14" t="s">
        <v>1534</v>
      </c>
      <c r="C19" s="14" t="s">
        <v>316</v>
      </c>
      <c r="D19" s="14" t="s">
        <v>317</v>
      </c>
      <c r="E19" s="14" t="s">
        <v>316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 x14ac:dyDescent="0.25">
      <c r="A20" s="14">
        <f>IF(B20="","",COUNTA($B$4:B20))</f>
        <v>17</v>
      </c>
      <c r="B20" s="14" t="s">
        <v>1533</v>
      </c>
      <c r="C20" s="14" t="s">
        <v>318</v>
      </c>
      <c r="D20" s="14" t="s">
        <v>319</v>
      </c>
      <c r="E20" s="14" t="s">
        <v>318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 x14ac:dyDescent="0.25">
      <c r="A21" s="14">
        <f>IF(B21="","",COUNTA($B$4:B21))</f>
        <v>18</v>
      </c>
      <c r="B21" s="14" t="s">
        <v>1534</v>
      </c>
      <c r="C21" s="14" t="s">
        <v>318</v>
      </c>
      <c r="D21" s="14" t="s">
        <v>319</v>
      </c>
      <c r="E21" s="14" t="s">
        <v>318</v>
      </c>
      <c r="F21" s="14" t="s">
        <v>150</v>
      </c>
      <c r="G21" s="14" t="s">
        <v>151</v>
      </c>
      <c r="H21" s="14">
        <v>30</v>
      </c>
      <c r="I21" s="14"/>
      <c r="J21" s="14"/>
      <c r="K21" s="127"/>
    </row>
    <row r="22" spans="1:11" x14ac:dyDescent="0.25">
      <c r="A22" s="14">
        <f>IF(B22="","",COUNTA($B$4:B22))</f>
        <v>19</v>
      </c>
      <c r="B22" s="14" t="s">
        <v>1533</v>
      </c>
      <c r="C22" s="14" t="s">
        <v>322</v>
      </c>
      <c r="D22" s="14" t="s">
        <v>323</v>
      </c>
      <c r="E22" s="14" t="s">
        <v>322</v>
      </c>
      <c r="F22" s="14" t="s">
        <v>155</v>
      </c>
      <c r="G22" s="14" t="s">
        <v>156</v>
      </c>
      <c r="H22" s="14">
        <v>4</v>
      </c>
      <c r="I22" s="14"/>
      <c r="J22" s="14"/>
      <c r="K22" s="127"/>
    </row>
    <row r="23" spans="1:11" x14ac:dyDescent="0.25">
      <c r="A23" s="14">
        <f>IF(B23="","",COUNTA($B$4:B23))</f>
        <v>20</v>
      </c>
      <c r="B23" s="14" t="s">
        <v>1534</v>
      </c>
      <c r="C23" s="14" t="s">
        <v>322</v>
      </c>
      <c r="D23" s="14" t="s">
        <v>323</v>
      </c>
      <c r="E23" s="14" t="s">
        <v>322</v>
      </c>
      <c r="F23" s="14" t="s">
        <v>155</v>
      </c>
      <c r="G23" s="14" t="s">
        <v>156</v>
      </c>
      <c r="H23" s="14">
        <v>4</v>
      </c>
      <c r="I23" s="14"/>
      <c r="J23" s="14"/>
      <c r="K23" s="127"/>
    </row>
    <row r="24" spans="1:11" x14ac:dyDescent="0.25">
      <c r="A24" s="14">
        <f>IF(B24="","",COUNTA($B$4:B24))</f>
        <v>21</v>
      </c>
      <c r="B24" s="14" t="s">
        <v>1533</v>
      </c>
      <c r="C24" s="14" t="s">
        <v>326</v>
      </c>
      <c r="D24" s="14" t="s">
        <v>327</v>
      </c>
      <c r="E24" s="14" t="s">
        <v>326</v>
      </c>
      <c r="F24" s="14" t="s">
        <v>155</v>
      </c>
      <c r="G24" s="14" t="s">
        <v>156</v>
      </c>
      <c r="H24" s="14">
        <v>5</v>
      </c>
      <c r="I24" s="14"/>
      <c r="J24" s="14"/>
      <c r="K24" s="127"/>
    </row>
    <row r="25" spans="1:11" x14ac:dyDescent="0.25">
      <c r="A25" s="14">
        <f>IF(B25="","",COUNTA($B$4:B25))</f>
        <v>22</v>
      </c>
      <c r="B25" s="14" t="s">
        <v>1534</v>
      </c>
      <c r="C25" s="14" t="s">
        <v>326</v>
      </c>
      <c r="D25" s="14" t="s">
        <v>327</v>
      </c>
      <c r="E25" s="14" t="s">
        <v>326</v>
      </c>
      <c r="F25" s="14" t="s">
        <v>155</v>
      </c>
      <c r="G25" s="14" t="s">
        <v>156</v>
      </c>
      <c r="H25" s="14">
        <v>5</v>
      </c>
      <c r="I25" s="14"/>
      <c r="J25" s="14"/>
      <c r="K25" s="127"/>
    </row>
    <row r="26" spans="1:11" x14ac:dyDescent="0.25">
      <c r="A26" s="14">
        <f>IF(B26="","",COUNTA($B$4:B26))</f>
        <v>23</v>
      </c>
      <c r="B26" s="14" t="s">
        <v>1533</v>
      </c>
      <c r="C26" s="14" t="s">
        <v>309</v>
      </c>
      <c r="D26" s="14" t="s">
        <v>310</v>
      </c>
      <c r="E26" s="14" t="s">
        <v>309</v>
      </c>
      <c r="F26" s="14" t="s">
        <v>155</v>
      </c>
      <c r="G26" s="14" t="s">
        <v>156</v>
      </c>
      <c r="H26" s="14">
        <v>5</v>
      </c>
      <c r="I26" s="14"/>
      <c r="J26" s="14"/>
      <c r="K26" s="127"/>
    </row>
    <row r="27" spans="1:11" x14ac:dyDescent="0.25">
      <c r="A27" s="14">
        <f>IF(B27="","",COUNTA($B$4:B27))</f>
        <v>24</v>
      </c>
      <c r="B27" s="14" t="s">
        <v>1534</v>
      </c>
      <c r="C27" s="14" t="s">
        <v>309</v>
      </c>
      <c r="D27" s="14" t="s">
        <v>310</v>
      </c>
      <c r="E27" s="14" t="s">
        <v>309</v>
      </c>
      <c r="F27" s="14" t="s">
        <v>155</v>
      </c>
      <c r="G27" s="14" t="s">
        <v>156</v>
      </c>
      <c r="H27" s="14">
        <v>5</v>
      </c>
      <c r="I27" s="14"/>
      <c r="J27" s="14"/>
      <c r="K27" s="15"/>
    </row>
    <row r="28" spans="1:11" x14ac:dyDescent="0.25">
      <c r="A28" s="14">
        <f>IF(B28="","",COUNTA($B$4:B28))</f>
        <v>25</v>
      </c>
      <c r="B28" s="14" t="s">
        <v>1530</v>
      </c>
      <c r="C28" s="14" t="s">
        <v>278</v>
      </c>
      <c r="D28" s="14" t="s">
        <v>279</v>
      </c>
      <c r="E28" s="14" t="s">
        <v>278</v>
      </c>
      <c r="F28" s="14" t="s">
        <v>155</v>
      </c>
      <c r="G28" s="14" t="s">
        <v>156</v>
      </c>
      <c r="H28" s="14">
        <v>1</v>
      </c>
      <c r="I28" s="14"/>
      <c r="J28" s="14"/>
      <c r="K28" s="127"/>
    </row>
    <row r="29" spans="1:11" x14ac:dyDescent="0.25">
      <c r="A29" s="14">
        <f>IF(B29="","",COUNTA($B$4:B29))</f>
        <v>26</v>
      </c>
      <c r="B29" s="14" t="s">
        <v>1530</v>
      </c>
      <c r="C29" s="14" t="s">
        <v>281</v>
      </c>
      <c r="D29" s="14" t="s">
        <v>282</v>
      </c>
      <c r="E29" s="14" t="s">
        <v>281</v>
      </c>
      <c r="F29" s="14" t="s">
        <v>155</v>
      </c>
      <c r="G29" s="14" t="s">
        <v>156</v>
      </c>
      <c r="H29" s="14">
        <v>1</v>
      </c>
      <c r="I29" s="14"/>
      <c r="J29" s="14"/>
      <c r="K29" s="127"/>
    </row>
    <row r="30" spans="1:11" x14ac:dyDescent="0.25">
      <c r="A30" s="14">
        <f>IF(B30="","",COUNTA($B$4:B30))</f>
        <v>27</v>
      </c>
      <c r="B30" s="14" t="s">
        <v>1530</v>
      </c>
      <c r="C30" s="14" t="s">
        <v>284</v>
      </c>
      <c r="D30" s="14" t="s">
        <v>285</v>
      </c>
      <c r="E30" s="14" t="s">
        <v>284</v>
      </c>
      <c r="F30" s="14" t="s">
        <v>155</v>
      </c>
      <c r="G30" s="14" t="s">
        <v>156</v>
      </c>
      <c r="H30" s="14">
        <v>1</v>
      </c>
      <c r="I30" s="14"/>
      <c r="J30" s="14"/>
      <c r="K30" s="15"/>
    </row>
    <row r="31" spans="1:11" x14ac:dyDescent="0.25">
      <c r="A31" s="14">
        <f>IF(B31="","",COUNTA($B$4:B31))</f>
        <v>28</v>
      </c>
      <c r="B31" s="14" t="s">
        <v>1531</v>
      </c>
      <c r="C31" s="14" t="s">
        <v>290</v>
      </c>
      <c r="D31" s="14" t="s">
        <v>291</v>
      </c>
      <c r="E31" s="14" t="s">
        <v>290</v>
      </c>
      <c r="F31" s="14" t="s">
        <v>155</v>
      </c>
      <c r="G31" s="14" t="s">
        <v>156</v>
      </c>
      <c r="H31" s="14">
        <v>5</v>
      </c>
      <c r="I31" s="14"/>
      <c r="J31" s="14"/>
      <c r="K31" s="127"/>
    </row>
    <row r="32" spans="1:11" x14ac:dyDescent="0.25">
      <c r="A32" s="14">
        <f>IF(B32="","",COUNTA($B$4:B32))</f>
        <v>29</v>
      </c>
      <c r="B32" s="14" t="s">
        <v>1531</v>
      </c>
      <c r="C32" s="14" t="s">
        <v>298</v>
      </c>
      <c r="D32" s="14" t="s">
        <v>299</v>
      </c>
      <c r="E32" s="14" t="s">
        <v>298</v>
      </c>
      <c r="F32" s="14" t="s">
        <v>155</v>
      </c>
      <c r="G32" s="14" t="s">
        <v>156</v>
      </c>
      <c r="H32" s="14">
        <v>5</v>
      </c>
      <c r="I32" s="14"/>
      <c r="J32" s="14"/>
      <c r="K32" s="15"/>
    </row>
    <row r="33" spans="1:11" x14ac:dyDescent="0.25">
      <c r="A33" s="14">
        <f>IF(B33="","",COUNTA($B$4:B33))</f>
        <v>30</v>
      </c>
      <c r="B33" s="14" t="s">
        <v>1532</v>
      </c>
      <c r="C33" s="14" t="s">
        <v>298</v>
      </c>
      <c r="D33" s="14" t="s">
        <v>299</v>
      </c>
      <c r="E33" s="14" t="s">
        <v>298</v>
      </c>
      <c r="F33" s="14" t="s">
        <v>155</v>
      </c>
      <c r="G33" s="14" t="s">
        <v>156</v>
      </c>
      <c r="H33" s="14">
        <v>5</v>
      </c>
      <c r="I33" s="14"/>
      <c r="J33" s="14"/>
      <c r="K33" s="15"/>
    </row>
    <row r="34" spans="1:11" x14ac:dyDescent="0.25">
      <c r="A34" s="14">
        <f>IF(B34="","",COUNTA($B$4:B34))</f>
        <v>31</v>
      </c>
      <c r="B34" s="14" t="s">
        <v>1555</v>
      </c>
      <c r="C34" s="14" t="s">
        <v>420</v>
      </c>
      <c r="D34" s="14" t="s">
        <v>421</v>
      </c>
      <c r="E34" s="14" t="s">
        <v>420</v>
      </c>
      <c r="F34" s="14" t="s">
        <v>150</v>
      </c>
      <c r="G34" s="14" t="s">
        <v>151</v>
      </c>
      <c r="H34" s="14">
        <v>30</v>
      </c>
      <c r="I34" s="14"/>
      <c r="J34" s="15"/>
      <c r="K34" s="15"/>
    </row>
    <row r="35" spans="1:11" x14ac:dyDescent="0.25">
      <c r="A35" s="14">
        <f>IF(B35="","",COUNTA($B$4:B35))</f>
        <v>32</v>
      </c>
      <c r="B35" s="14" t="s">
        <v>1529</v>
      </c>
      <c r="C35" s="14" t="s">
        <v>276</v>
      </c>
      <c r="D35" s="14" t="s">
        <v>277</v>
      </c>
      <c r="E35" s="14" t="s">
        <v>276</v>
      </c>
      <c r="F35" s="14" t="s">
        <v>150</v>
      </c>
      <c r="G35" s="14" t="s">
        <v>151</v>
      </c>
      <c r="H35" s="14">
        <v>4</v>
      </c>
      <c r="I35" s="14"/>
      <c r="J35" s="14"/>
      <c r="K35" s="127"/>
    </row>
    <row r="36" spans="1:11" x14ac:dyDescent="0.25">
      <c r="A36" s="14">
        <f>IF(B36="","",COUNTA($B$4:B36))</f>
        <v>33</v>
      </c>
      <c r="B36" s="14" t="s">
        <v>1531</v>
      </c>
      <c r="C36" s="14" t="s">
        <v>296</v>
      </c>
      <c r="D36" s="14" t="s">
        <v>297</v>
      </c>
      <c r="E36" s="14" t="s">
        <v>296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 x14ac:dyDescent="0.25">
      <c r="A37" s="14">
        <f>IF(B37="","",COUNTA($B$4:B37))</f>
        <v>34</v>
      </c>
      <c r="B37" s="14" t="s">
        <v>1533</v>
      </c>
      <c r="C37" s="14" t="s">
        <v>335</v>
      </c>
      <c r="D37" s="14" t="s">
        <v>336</v>
      </c>
      <c r="E37" s="14" t="s">
        <v>335</v>
      </c>
      <c r="F37" s="14" t="s">
        <v>155</v>
      </c>
      <c r="G37" s="14" t="s">
        <v>156</v>
      </c>
      <c r="H37" s="14">
        <v>1</v>
      </c>
      <c r="I37" s="14"/>
      <c r="J37" s="14"/>
      <c r="K37" s="15"/>
    </row>
    <row r="38" spans="1:11" x14ac:dyDescent="0.25">
      <c r="A38" s="14">
        <f>IF(B38="","",COUNTA($B$4:B38))</f>
        <v>35</v>
      </c>
      <c r="B38" s="14" t="s">
        <v>1534</v>
      </c>
      <c r="C38" s="14" t="s">
        <v>335</v>
      </c>
      <c r="D38" s="14" t="s">
        <v>336</v>
      </c>
      <c r="E38" s="14" t="s">
        <v>335</v>
      </c>
      <c r="F38" s="14" t="s">
        <v>155</v>
      </c>
      <c r="G38" s="14" t="s">
        <v>156</v>
      </c>
      <c r="H38" s="14">
        <v>1</v>
      </c>
      <c r="I38" s="14"/>
      <c r="J38" s="14"/>
      <c r="K38" s="15"/>
    </row>
    <row r="39" spans="1:11" x14ac:dyDescent="0.25">
      <c r="A39" s="14">
        <f>IF(B39="","",COUNTA($B$4:B39))</f>
        <v>36</v>
      </c>
      <c r="B39" s="14" t="s">
        <v>1531</v>
      </c>
      <c r="C39" s="14" t="s">
        <v>294</v>
      </c>
      <c r="D39" s="14" t="s">
        <v>295</v>
      </c>
      <c r="E39" s="14" t="s">
        <v>294</v>
      </c>
      <c r="F39" s="14" t="s">
        <v>155</v>
      </c>
      <c r="G39" s="14" t="s">
        <v>156</v>
      </c>
      <c r="H39" s="14">
        <v>5</v>
      </c>
      <c r="I39" s="14"/>
      <c r="J39" s="14"/>
      <c r="K39" s="127"/>
    </row>
    <row r="40" spans="1:11" x14ac:dyDescent="0.25">
      <c r="A40" s="14">
        <f>IF(B40="","",COUNTA($B$4:B40))</f>
        <v>37</v>
      </c>
      <c r="B40" s="14" t="s">
        <v>1533</v>
      </c>
      <c r="C40" s="14" t="s">
        <v>294</v>
      </c>
      <c r="D40" s="14" t="s">
        <v>295</v>
      </c>
      <c r="E40" s="14" t="s">
        <v>294</v>
      </c>
      <c r="F40" s="14" t="s">
        <v>155</v>
      </c>
      <c r="G40" s="14" t="s">
        <v>156</v>
      </c>
      <c r="H40" s="14">
        <v>5</v>
      </c>
      <c r="I40" s="14"/>
      <c r="J40" s="14"/>
      <c r="K40" s="15"/>
    </row>
    <row r="41" spans="1:11" x14ac:dyDescent="0.25">
      <c r="A41" s="14">
        <f>IF(B41="","",COUNTA($B$4:B41))</f>
        <v>38</v>
      </c>
      <c r="B41" s="14" t="s">
        <v>1534</v>
      </c>
      <c r="C41" s="14" t="s">
        <v>294</v>
      </c>
      <c r="D41" s="14" t="s">
        <v>295</v>
      </c>
      <c r="E41" s="14" t="s">
        <v>294</v>
      </c>
      <c r="F41" s="14" t="s">
        <v>155</v>
      </c>
      <c r="G41" s="14" t="s">
        <v>156</v>
      </c>
      <c r="H41" s="14">
        <v>5</v>
      </c>
      <c r="I41" s="14"/>
      <c r="J41" s="14"/>
      <c r="K41" s="15"/>
    </row>
    <row r="42" spans="1:11" x14ac:dyDescent="0.25">
      <c r="A42" s="14">
        <f>IF(B42="","",COUNTA($B$4:B42))</f>
        <v>39</v>
      </c>
      <c r="B42" s="14" t="s">
        <v>1555</v>
      </c>
      <c r="C42" s="14" t="s">
        <v>434</v>
      </c>
      <c r="D42" s="14" t="s">
        <v>433</v>
      </c>
      <c r="E42" s="14" t="s">
        <v>434</v>
      </c>
      <c r="F42" s="14" t="s">
        <v>150</v>
      </c>
      <c r="G42" s="14" t="s">
        <v>151</v>
      </c>
      <c r="H42" s="14">
        <v>1</v>
      </c>
      <c r="I42" s="14"/>
      <c r="J42" s="15"/>
      <c r="K42" s="127"/>
    </row>
    <row r="43" spans="1:11" x14ac:dyDescent="0.25">
      <c r="A43" s="14">
        <f>IF(B43="","",COUNTA($B$4:B43))</f>
        <v>40</v>
      </c>
      <c r="B43" s="14" t="s">
        <v>1533</v>
      </c>
      <c r="C43" s="14" t="s">
        <v>332</v>
      </c>
      <c r="D43" s="14" t="s">
        <v>333</v>
      </c>
      <c r="E43" s="14" t="s">
        <v>332</v>
      </c>
      <c r="F43" s="14" t="s">
        <v>155</v>
      </c>
      <c r="G43" s="14" t="s">
        <v>156</v>
      </c>
      <c r="H43" s="14">
        <v>1</v>
      </c>
      <c r="I43" s="14"/>
      <c r="J43" s="14"/>
      <c r="K43" s="15"/>
    </row>
    <row r="44" spans="1:11" x14ac:dyDescent="0.25">
      <c r="A44" s="14">
        <f>IF(B44="","",COUNTA($B$4:B44))</f>
        <v>41</v>
      </c>
      <c r="B44" s="14" t="s">
        <v>1534</v>
      </c>
      <c r="C44" s="14" t="s">
        <v>332</v>
      </c>
      <c r="D44" s="14" t="s">
        <v>333</v>
      </c>
      <c r="E44" s="14" t="s">
        <v>332</v>
      </c>
      <c r="F44" s="14" t="s">
        <v>155</v>
      </c>
      <c r="G44" s="14" t="s">
        <v>156</v>
      </c>
      <c r="H44" s="14">
        <v>1</v>
      </c>
      <c r="I44" s="14"/>
      <c r="J44" s="14"/>
      <c r="K44" s="127"/>
    </row>
    <row r="45" spans="1:11" x14ac:dyDescent="0.25">
      <c r="A45" s="14">
        <f>IF(B45="","",COUNTA($B$4:B45))</f>
        <v>42</v>
      </c>
      <c r="B45" s="14" t="s">
        <v>1553</v>
      </c>
      <c r="C45" s="14" t="s">
        <v>1432</v>
      </c>
      <c r="D45" s="14" t="s">
        <v>1559</v>
      </c>
      <c r="E45" s="14" t="s">
        <v>1432</v>
      </c>
      <c r="F45" s="14" t="s">
        <v>150</v>
      </c>
      <c r="G45" s="14" t="s">
        <v>151</v>
      </c>
      <c r="H45" s="14">
        <v>2</v>
      </c>
      <c r="I45" s="14"/>
      <c r="J45" s="15"/>
      <c r="K45" s="15"/>
    </row>
    <row r="46" spans="1:11" x14ac:dyDescent="0.25">
      <c r="A46" s="14">
        <f>IF(B46="","",COUNTA($B$4:B46))</f>
        <v>43</v>
      </c>
      <c r="B46" s="14" t="s">
        <v>1533</v>
      </c>
      <c r="C46" s="14" t="s">
        <v>305</v>
      </c>
      <c r="D46" s="14" t="s">
        <v>306</v>
      </c>
      <c r="E46" s="14" t="s">
        <v>305</v>
      </c>
      <c r="F46" s="14" t="s">
        <v>150</v>
      </c>
      <c r="G46" s="14" t="s">
        <v>151</v>
      </c>
      <c r="H46" s="14">
        <v>10</v>
      </c>
      <c r="I46" s="14" t="s">
        <v>244</v>
      </c>
      <c r="J46" s="14"/>
      <c r="K46" s="127"/>
    </row>
    <row r="47" spans="1:11" x14ac:dyDescent="0.25">
      <c r="A47" s="14">
        <f>IF(B47="","",COUNTA($B$4:B47))</f>
        <v>44</v>
      </c>
      <c r="B47" s="14" t="s">
        <v>1534</v>
      </c>
      <c r="C47" s="14" t="s">
        <v>305</v>
      </c>
      <c r="D47" s="14" t="s">
        <v>306</v>
      </c>
      <c r="E47" s="14" t="s">
        <v>305</v>
      </c>
      <c r="F47" s="14" t="s">
        <v>150</v>
      </c>
      <c r="G47" s="14" t="s">
        <v>151</v>
      </c>
      <c r="H47" s="14">
        <v>10</v>
      </c>
      <c r="I47" s="14" t="s">
        <v>244</v>
      </c>
      <c r="J47" s="14"/>
      <c r="K47" s="127"/>
    </row>
    <row r="48" spans="1:11" x14ac:dyDescent="0.25">
      <c r="A48" s="14">
        <f>IF(B48="","",COUNTA($B$4:B48))</f>
        <v>45</v>
      </c>
      <c r="B48" s="14" t="s">
        <v>1534</v>
      </c>
      <c r="C48" s="14" t="s">
        <v>300</v>
      </c>
      <c r="D48" s="14" t="s">
        <v>301</v>
      </c>
      <c r="E48" s="14" t="s">
        <v>300</v>
      </c>
      <c r="F48" s="14" t="s">
        <v>169</v>
      </c>
      <c r="G48" s="14" t="s">
        <v>170</v>
      </c>
      <c r="H48" s="14"/>
      <c r="I48" s="14"/>
      <c r="J48" s="14"/>
      <c r="K48" s="127"/>
    </row>
    <row r="49" spans="1:11" x14ac:dyDescent="0.25">
      <c r="A49" s="14">
        <f>IF(B49="","",COUNTA($B$4:B49))</f>
        <v>46</v>
      </c>
      <c r="B49" s="14" t="s">
        <v>1515</v>
      </c>
      <c r="C49" s="14" t="s">
        <v>226</v>
      </c>
      <c r="D49" s="14" t="s">
        <v>227</v>
      </c>
      <c r="E49" s="14" t="s">
        <v>226</v>
      </c>
      <c r="F49" s="14" t="s">
        <v>150</v>
      </c>
      <c r="G49" s="14" t="s">
        <v>151</v>
      </c>
      <c r="H49" s="14">
        <v>3</v>
      </c>
      <c r="I49" s="14"/>
      <c r="J49" s="14"/>
      <c r="K49" s="127"/>
    </row>
    <row r="50" spans="1:11" x14ac:dyDescent="0.25">
      <c r="A50" s="14">
        <f>IF(B50="","",COUNTA($B$4:B50))</f>
        <v>47</v>
      </c>
      <c r="B50" s="14" t="s">
        <v>1528</v>
      </c>
      <c r="C50" s="14" t="s">
        <v>226</v>
      </c>
      <c r="D50" s="14" t="s">
        <v>227</v>
      </c>
      <c r="E50" s="14" t="s">
        <v>226</v>
      </c>
      <c r="F50" s="14" t="s">
        <v>150</v>
      </c>
      <c r="G50" s="14" t="s">
        <v>151</v>
      </c>
      <c r="H50" s="14">
        <v>3</v>
      </c>
      <c r="I50" s="14"/>
      <c r="J50" s="14"/>
      <c r="K50" s="15"/>
    </row>
    <row r="51" spans="1:11" x14ac:dyDescent="0.25">
      <c r="A51" s="14">
        <f>IF(B51="","",COUNTA($B$4:B51))</f>
        <v>48</v>
      </c>
      <c r="B51" s="14" t="s">
        <v>1529</v>
      </c>
      <c r="C51" s="14" t="s">
        <v>226</v>
      </c>
      <c r="D51" s="14" t="s">
        <v>227</v>
      </c>
      <c r="E51" s="14" t="s">
        <v>226</v>
      </c>
      <c r="F51" s="14" t="s">
        <v>150</v>
      </c>
      <c r="G51" s="14" t="s">
        <v>151</v>
      </c>
      <c r="H51" s="14">
        <v>3</v>
      </c>
      <c r="I51" s="14"/>
      <c r="J51" s="14"/>
      <c r="K51" s="15"/>
    </row>
    <row r="52" spans="1:11" x14ac:dyDescent="0.25">
      <c r="A52" s="14">
        <f>IF(B52="","",COUNTA($B$4:B52))</f>
        <v>49</v>
      </c>
      <c r="B52" s="14" t="s">
        <v>1530</v>
      </c>
      <c r="C52" s="14" t="s">
        <v>226</v>
      </c>
      <c r="D52" s="14" t="s">
        <v>227</v>
      </c>
      <c r="E52" s="14" t="s">
        <v>226</v>
      </c>
      <c r="F52" s="14" t="s">
        <v>150</v>
      </c>
      <c r="G52" s="14" t="s">
        <v>151</v>
      </c>
      <c r="H52" s="14">
        <v>3</v>
      </c>
      <c r="I52" s="14"/>
      <c r="J52" s="14"/>
      <c r="K52" s="127"/>
    </row>
    <row r="53" spans="1:11" x14ac:dyDescent="0.25">
      <c r="A53" s="14">
        <f>IF(B53="","",COUNTA($B$4:B53))</f>
        <v>50</v>
      </c>
      <c r="B53" s="14" t="s">
        <v>1531</v>
      </c>
      <c r="C53" s="14" t="s">
        <v>226</v>
      </c>
      <c r="D53" s="14" t="s">
        <v>227</v>
      </c>
      <c r="E53" s="14" t="s">
        <v>226</v>
      </c>
      <c r="F53" s="14" t="s">
        <v>150</v>
      </c>
      <c r="G53" s="14" t="s">
        <v>151</v>
      </c>
      <c r="H53" s="14">
        <v>3</v>
      </c>
      <c r="I53" s="14"/>
      <c r="J53" s="14"/>
      <c r="K53" s="15"/>
    </row>
    <row r="54" spans="1:11" x14ac:dyDescent="0.25">
      <c r="A54" s="14">
        <f>IF(B54="","",COUNTA($B$4:B54))</f>
        <v>51</v>
      </c>
      <c r="B54" s="14" t="s">
        <v>1532</v>
      </c>
      <c r="C54" s="14" t="s">
        <v>226</v>
      </c>
      <c r="D54" s="14" t="s">
        <v>227</v>
      </c>
      <c r="E54" s="14" t="s">
        <v>226</v>
      </c>
      <c r="F54" s="14" t="s">
        <v>150</v>
      </c>
      <c r="G54" s="14" t="s">
        <v>151</v>
      </c>
      <c r="H54" s="14">
        <v>3</v>
      </c>
      <c r="I54" s="14"/>
      <c r="J54" s="14"/>
      <c r="K54" s="15"/>
    </row>
    <row r="55" spans="1:11" x14ac:dyDescent="0.25">
      <c r="A55" s="14">
        <f>IF(B55="","",COUNTA($B$4:B55))</f>
        <v>52</v>
      </c>
      <c r="B55" s="14" t="s">
        <v>1533</v>
      </c>
      <c r="C55" s="14" t="s">
        <v>226</v>
      </c>
      <c r="D55" s="14" t="s">
        <v>227</v>
      </c>
      <c r="E55" s="14" t="s">
        <v>226</v>
      </c>
      <c r="F55" s="14" t="s">
        <v>150</v>
      </c>
      <c r="G55" s="14" t="s">
        <v>151</v>
      </c>
      <c r="H55" s="14">
        <v>3</v>
      </c>
      <c r="I55" s="14"/>
      <c r="J55" s="14"/>
      <c r="K55" s="127"/>
    </row>
    <row r="56" spans="1:11" x14ac:dyDescent="0.25">
      <c r="A56" s="14">
        <f>IF(B56="","",COUNTA($B$4:B56))</f>
        <v>53</v>
      </c>
      <c r="B56" s="14" t="s">
        <v>1515</v>
      </c>
      <c r="C56" s="14" t="s">
        <v>211</v>
      </c>
      <c r="D56" s="14" t="s">
        <v>212</v>
      </c>
      <c r="E56" s="14" t="s">
        <v>211</v>
      </c>
      <c r="F56" s="14" t="s">
        <v>155</v>
      </c>
      <c r="G56" s="14" t="s">
        <v>156</v>
      </c>
      <c r="H56" s="14">
        <v>5</v>
      </c>
      <c r="I56" s="14"/>
      <c r="J56" s="14"/>
      <c r="K56" s="127"/>
    </row>
    <row r="57" spans="1:11" x14ac:dyDescent="0.25">
      <c r="A57" s="14">
        <f>IF(B57="","",COUNTA($B$4:B57))</f>
        <v>54</v>
      </c>
      <c r="B57" s="14" t="s">
        <v>1528</v>
      </c>
      <c r="C57" s="14" t="s">
        <v>211</v>
      </c>
      <c r="D57" s="14" t="s">
        <v>212</v>
      </c>
      <c r="E57" s="14" t="s">
        <v>211</v>
      </c>
      <c r="F57" s="14" t="s">
        <v>155</v>
      </c>
      <c r="G57" s="14" t="s">
        <v>156</v>
      </c>
      <c r="H57" s="14">
        <v>5</v>
      </c>
      <c r="I57" s="14"/>
      <c r="J57" s="14"/>
      <c r="K57" s="15"/>
    </row>
    <row r="58" spans="1:11" x14ac:dyDescent="0.25">
      <c r="A58" s="14">
        <f>IF(B58="","",COUNTA($B$4:B58))</f>
        <v>55</v>
      </c>
      <c r="B58" s="14" t="s">
        <v>1529</v>
      </c>
      <c r="C58" s="14" t="s">
        <v>211</v>
      </c>
      <c r="D58" s="14" t="s">
        <v>212</v>
      </c>
      <c r="E58" s="14" t="s">
        <v>211</v>
      </c>
      <c r="F58" s="14" t="s">
        <v>155</v>
      </c>
      <c r="G58" s="14" t="s">
        <v>156</v>
      </c>
      <c r="H58" s="14">
        <v>5</v>
      </c>
      <c r="I58" s="14"/>
      <c r="J58" s="14"/>
      <c r="K58" s="127"/>
    </row>
    <row r="59" spans="1:11" x14ac:dyDescent="0.25">
      <c r="A59" s="14">
        <f>IF(B59="","",COUNTA($B$4:B59))</f>
        <v>56</v>
      </c>
      <c r="B59" s="14" t="s">
        <v>1530</v>
      </c>
      <c r="C59" s="14" t="s">
        <v>211</v>
      </c>
      <c r="D59" s="14" t="s">
        <v>212</v>
      </c>
      <c r="E59" s="14" t="s">
        <v>211</v>
      </c>
      <c r="F59" s="14" t="s">
        <v>155</v>
      </c>
      <c r="G59" s="14" t="s">
        <v>156</v>
      </c>
      <c r="H59" s="14">
        <v>5</v>
      </c>
      <c r="I59" s="14"/>
      <c r="J59" s="14"/>
      <c r="K59" s="127"/>
    </row>
    <row r="60" spans="1:11" x14ac:dyDescent="0.25">
      <c r="A60" s="14">
        <f>IF(B60="","",COUNTA($B$4:B60))</f>
        <v>57</v>
      </c>
      <c r="B60" s="14" t="s">
        <v>1533</v>
      </c>
      <c r="C60" s="14" t="s">
        <v>211</v>
      </c>
      <c r="D60" s="14" t="s">
        <v>212</v>
      </c>
      <c r="E60" s="14" t="s">
        <v>211</v>
      </c>
      <c r="F60" s="14" t="s">
        <v>155</v>
      </c>
      <c r="G60" s="14" t="s">
        <v>156</v>
      </c>
      <c r="H60" s="14">
        <v>5</v>
      </c>
      <c r="I60" s="14"/>
      <c r="J60" s="14"/>
      <c r="K60" s="127"/>
    </row>
    <row r="61" spans="1:11" x14ac:dyDescent="0.25">
      <c r="A61" s="14">
        <f>IF(B61="","",COUNTA($B$4:B61))</f>
        <v>58</v>
      </c>
      <c r="B61" s="14" t="s">
        <v>1534</v>
      </c>
      <c r="C61" s="14" t="s">
        <v>211</v>
      </c>
      <c r="D61" s="14" t="s">
        <v>212</v>
      </c>
      <c r="E61" s="14" t="s">
        <v>211</v>
      </c>
      <c r="F61" s="14" t="s">
        <v>155</v>
      </c>
      <c r="G61" s="14" t="s">
        <v>156</v>
      </c>
      <c r="H61" s="14">
        <v>5</v>
      </c>
      <c r="I61" s="14"/>
      <c r="J61" s="14"/>
      <c r="K61" s="127"/>
    </row>
    <row r="62" spans="1:11" x14ac:dyDescent="0.25">
      <c r="A62" s="14">
        <f>IF(B62="","",COUNTA($B$4:B62))</f>
        <v>59</v>
      </c>
      <c r="B62" s="14" t="s">
        <v>1534</v>
      </c>
      <c r="C62" s="14" t="s">
        <v>370</v>
      </c>
      <c r="D62" s="14" t="s">
        <v>371</v>
      </c>
      <c r="E62" s="14" t="s">
        <v>370</v>
      </c>
      <c r="F62" s="14" t="s">
        <v>169</v>
      </c>
      <c r="G62" s="14" t="s">
        <v>170</v>
      </c>
      <c r="H62" s="14"/>
      <c r="I62" s="14"/>
      <c r="J62" s="14"/>
      <c r="K62" s="127"/>
    </row>
    <row r="63" spans="1:11" x14ac:dyDescent="0.25">
      <c r="A63" s="14">
        <f>IF(B63="","",COUNTA($B$4:B63))</f>
        <v>60</v>
      </c>
      <c r="B63" s="14" t="s">
        <v>1534</v>
      </c>
      <c r="C63" s="14" t="s">
        <v>368</v>
      </c>
      <c r="D63" s="14" t="s">
        <v>369</v>
      </c>
      <c r="E63" s="14" t="s">
        <v>368</v>
      </c>
      <c r="F63" s="14" t="s">
        <v>155</v>
      </c>
      <c r="G63" s="14" t="s">
        <v>156</v>
      </c>
      <c r="H63" s="14">
        <v>1</v>
      </c>
      <c r="I63" s="14"/>
      <c r="J63" s="14"/>
      <c r="K63" s="15"/>
    </row>
    <row r="64" spans="1:11" x14ac:dyDescent="0.25">
      <c r="A64" s="14">
        <f>IF(B64="","",COUNTA($B$4:B64))</f>
        <v>61</v>
      </c>
      <c r="B64" s="14" t="s">
        <v>1534</v>
      </c>
      <c r="C64" s="14" t="s">
        <v>366</v>
      </c>
      <c r="D64" s="14" t="s">
        <v>367</v>
      </c>
      <c r="E64" s="14" t="s">
        <v>366</v>
      </c>
      <c r="F64" s="14" t="s">
        <v>169</v>
      </c>
      <c r="G64" s="14" t="s">
        <v>170</v>
      </c>
      <c r="H64" s="14"/>
      <c r="I64" s="14"/>
      <c r="J64" s="14"/>
      <c r="K64" s="127"/>
    </row>
    <row r="65" spans="1:11" x14ac:dyDescent="0.25">
      <c r="A65" s="14">
        <f>IF(B65="","",COUNTA($B$4:B65))</f>
        <v>62</v>
      </c>
      <c r="B65" s="14" t="s">
        <v>1515</v>
      </c>
      <c r="C65" s="14" t="s">
        <v>166</v>
      </c>
      <c r="D65" s="14" t="s">
        <v>167</v>
      </c>
      <c r="E65" s="14" t="s">
        <v>168</v>
      </c>
      <c r="F65" s="14" t="s">
        <v>169</v>
      </c>
      <c r="G65" s="14" t="s">
        <v>170</v>
      </c>
      <c r="H65" s="14"/>
      <c r="I65" s="14"/>
      <c r="J65" s="14"/>
      <c r="K65" s="15"/>
    </row>
    <row r="66" spans="1:11" x14ac:dyDescent="0.25">
      <c r="A66" s="14">
        <f>IF(B66="","",COUNTA($B$4:B66))</f>
        <v>63</v>
      </c>
      <c r="B66" s="14" t="s">
        <v>1528</v>
      </c>
      <c r="C66" s="14" t="s">
        <v>166</v>
      </c>
      <c r="D66" s="14" t="s">
        <v>167</v>
      </c>
      <c r="E66" s="14" t="s">
        <v>168</v>
      </c>
      <c r="F66" s="14" t="s">
        <v>169</v>
      </c>
      <c r="G66" s="14" t="s">
        <v>170</v>
      </c>
      <c r="H66" s="14"/>
      <c r="I66" s="14"/>
      <c r="J66" s="14"/>
      <c r="K66" s="127"/>
    </row>
    <row r="67" spans="1:11" x14ac:dyDescent="0.25">
      <c r="A67" s="14">
        <f>IF(B67="","",COUNTA($B$4:B67))</f>
        <v>64</v>
      </c>
      <c r="B67" s="14" t="s">
        <v>1529</v>
      </c>
      <c r="C67" s="14" t="s">
        <v>166</v>
      </c>
      <c r="D67" s="14" t="s">
        <v>167</v>
      </c>
      <c r="E67" s="14" t="s">
        <v>168</v>
      </c>
      <c r="F67" s="14" t="s">
        <v>169</v>
      </c>
      <c r="G67" s="14" t="s">
        <v>170</v>
      </c>
      <c r="H67" s="14"/>
      <c r="I67" s="14"/>
      <c r="J67" s="14"/>
      <c r="K67" s="127"/>
    </row>
    <row r="68" spans="1:11" x14ac:dyDescent="0.25">
      <c r="A68" s="14">
        <f>IF(B68="","",COUNTA($B$4:B68))</f>
        <v>65</v>
      </c>
      <c r="B68" s="14" t="s">
        <v>1530</v>
      </c>
      <c r="C68" s="14" t="s">
        <v>166</v>
      </c>
      <c r="D68" s="14" t="s">
        <v>167</v>
      </c>
      <c r="E68" s="14" t="s">
        <v>168</v>
      </c>
      <c r="F68" s="14" t="s">
        <v>169</v>
      </c>
      <c r="G68" s="14" t="s">
        <v>170</v>
      </c>
      <c r="H68" s="14"/>
      <c r="I68" s="14"/>
      <c r="J68" s="14"/>
      <c r="K68" s="127"/>
    </row>
    <row r="69" spans="1:11" x14ac:dyDescent="0.25">
      <c r="A69" s="14">
        <f>IF(B69="","",COUNTA($B$4:B69))</f>
        <v>66</v>
      </c>
      <c r="B69" s="14" t="s">
        <v>1531</v>
      </c>
      <c r="C69" s="14" t="s">
        <v>166</v>
      </c>
      <c r="D69" s="14" t="s">
        <v>167</v>
      </c>
      <c r="E69" s="14" t="s">
        <v>168</v>
      </c>
      <c r="F69" s="14" t="s">
        <v>169</v>
      </c>
      <c r="G69" s="14" t="s">
        <v>170</v>
      </c>
      <c r="H69" s="14"/>
      <c r="I69" s="14"/>
      <c r="J69" s="14"/>
      <c r="K69" s="15"/>
    </row>
    <row r="70" spans="1:11" x14ac:dyDescent="0.25">
      <c r="A70" s="14">
        <f>IF(B70="","",COUNTA($B$4:B70))</f>
        <v>67</v>
      </c>
      <c r="B70" s="14" t="s">
        <v>1532</v>
      </c>
      <c r="C70" s="14" t="s">
        <v>166</v>
      </c>
      <c r="D70" s="14" t="s">
        <v>167</v>
      </c>
      <c r="E70" s="14" t="s">
        <v>168</v>
      </c>
      <c r="F70" s="14" t="s">
        <v>169</v>
      </c>
      <c r="G70" s="14" t="s">
        <v>170</v>
      </c>
      <c r="H70" s="14"/>
      <c r="I70" s="14"/>
      <c r="J70" s="14"/>
      <c r="K70" s="15"/>
    </row>
    <row r="71" spans="1:11" x14ac:dyDescent="0.25">
      <c r="A71" s="14">
        <f>IF(B71="","",COUNTA($B$4:B71))</f>
        <v>68</v>
      </c>
      <c r="B71" s="14" t="s">
        <v>1533</v>
      </c>
      <c r="C71" s="14" t="s">
        <v>166</v>
      </c>
      <c r="D71" s="14" t="s">
        <v>167</v>
      </c>
      <c r="E71" s="14" t="s">
        <v>1561</v>
      </c>
      <c r="F71" s="14" t="s">
        <v>169</v>
      </c>
      <c r="G71" s="14" t="s">
        <v>170</v>
      </c>
      <c r="H71" s="14"/>
      <c r="I71" s="14"/>
      <c r="J71" s="14"/>
      <c r="K71" s="15"/>
    </row>
    <row r="72" spans="1:11" x14ac:dyDescent="0.25">
      <c r="A72" s="14">
        <f>IF(B72="","",COUNTA($B$4:B72))</f>
        <v>69</v>
      </c>
      <c r="B72" s="14" t="s">
        <v>1534</v>
      </c>
      <c r="C72" s="14" t="s">
        <v>356</v>
      </c>
      <c r="D72" s="14" t="s">
        <v>357</v>
      </c>
      <c r="E72" s="14" t="s">
        <v>356</v>
      </c>
      <c r="F72" s="14" t="s">
        <v>150</v>
      </c>
      <c r="G72" s="14" t="s">
        <v>151</v>
      </c>
      <c r="H72" s="14">
        <v>30</v>
      </c>
      <c r="I72" s="14"/>
      <c r="J72" s="14"/>
      <c r="K72" s="15"/>
    </row>
    <row r="73" spans="1:11" x14ac:dyDescent="0.25">
      <c r="A73" s="14">
        <f>IF(B73="","",COUNTA($B$4:B73))</f>
        <v>70</v>
      </c>
      <c r="B73" s="14" t="s">
        <v>1556</v>
      </c>
      <c r="C73" s="14" t="s">
        <v>523</v>
      </c>
      <c r="D73" s="14" t="s">
        <v>1480</v>
      </c>
      <c r="E73" s="14" t="s">
        <v>1474</v>
      </c>
      <c r="F73" s="14" t="s">
        <v>150</v>
      </c>
      <c r="G73" s="14" t="s">
        <v>151</v>
      </c>
      <c r="H73" s="14">
        <v>10</v>
      </c>
      <c r="I73" s="14"/>
      <c r="J73" s="15"/>
      <c r="K73" s="127"/>
    </row>
    <row r="74" spans="1:11" x14ac:dyDescent="0.25">
      <c r="A74" s="14">
        <f>IF(B74="","",COUNTA($B$4:B74))</f>
        <v>71</v>
      </c>
      <c r="B74" s="14" t="s">
        <v>1534</v>
      </c>
      <c r="C74" s="14" t="s">
        <v>342</v>
      </c>
      <c r="D74" s="14" t="s">
        <v>343</v>
      </c>
      <c r="E74" s="14" t="s">
        <v>342</v>
      </c>
      <c r="F74" s="14" t="s">
        <v>150</v>
      </c>
      <c r="G74" s="14" t="s">
        <v>151</v>
      </c>
      <c r="H74" s="14">
        <v>5</v>
      </c>
      <c r="I74" s="14"/>
      <c r="J74" s="14"/>
      <c r="K74" s="15"/>
    </row>
    <row r="75" spans="1:11" x14ac:dyDescent="0.25">
      <c r="A75" s="14">
        <f>IF(B75="","",COUNTA($B$4:B75))</f>
        <v>72</v>
      </c>
      <c r="B75" s="14" t="s">
        <v>1515</v>
      </c>
      <c r="C75" s="14" t="s">
        <v>241</v>
      </c>
      <c r="D75" s="14" t="s">
        <v>242</v>
      </c>
      <c r="E75" s="14" t="s">
        <v>241</v>
      </c>
      <c r="F75" s="14" t="s">
        <v>150</v>
      </c>
      <c r="G75" s="14" t="s">
        <v>243</v>
      </c>
      <c r="H75" s="14"/>
      <c r="I75" s="14" t="s">
        <v>244</v>
      </c>
      <c r="J75" s="14"/>
      <c r="K75" s="15"/>
    </row>
    <row r="76" spans="1:11" x14ac:dyDescent="0.25">
      <c r="A76" s="14">
        <f>IF(B76="","",COUNTA($B$4:B76))</f>
        <v>73</v>
      </c>
      <c r="B76" s="14" t="s">
        <v>1528</v>
      </c>
      <c r="C76" s="14" t="s">
        <v>241</v>
      </c>
      <c r="D76" s="14" t="s">
        <v>242</v>
      </c>
      <c r="E76" s="14" t="s">
        <v>241</v>
      </c>
      <c r="F76" s="14" t="s">
        <v>150</v>
      </c>
      <c r="G76" s="14" t="s">
        <v>243</v>
      </c>
      <c r="H76" s="14"/>
      <c r="I76" s="14" t="s">
        <v>244</v>
      </c>
      <c r="J76" s="14"/>
      <c r="K76" s="15"/>
    </row>
    <row r="77" spans="1:11" x14ac:dyDescent="0.25">
      <c r="A77" s="14">
        <f>IF(B77="","",COUNTA($B$4:B77))</f>
        <v>74</v>
      </c>
      <c r="B77" s="14" t="s">
        <v>1529</v>
      </c>
      <c r="C77" s="14" t="s">
        <v>241</v>
      </c>
      <c r="D77" s="14" t="s">
        <v>242</v>
      </c>
      <c r="E77" s="14" t="s">
        <v>241</v>
      </c>
      <c r="F77" s="14" t="s">
        <v>150</v>
      </c>
      <c r="G77" s="14" t="s">
        <v>243</v>
      </c>
      <c r="H77" s="14"/>
      <c r="I77" s="14" t="s">
        <v>244</v>
      </c>
      <c r="J77" s="14"/>
      <c r="K77" s="127"/>
    </row>
    <row r="78" spans="1:11" x14ac:dyDescent="0.25">
      <c r="A78" s="14">
        <f>IF(B78="","",COUNTA($B$4:B78))</f>
        <v>75</v>
      </c>
      <c r="B78" s="14" t="s">
        <v>1531</v>
      </c>
      <c r="C78" s="14" t="s">
        <v>241</v>
      </c>
      <c r="D78" s="14" t="s">
        <v>242</v>
      </c>
      <c r="E78" s="14" t="s">
        <v>241</v>
      </c>
      <c r="F78" s="14" t="s">
        <v>150</v>
      </c>
      <c r="G78" s="14" t="s">
        <v>243</v>
      </c>
      <c r="H78" s="14"/>
      <c r="I78" s="14" t="s">
        <v>244</v>
      </c>
      <c r="J78" s="14"/>
      <c r="K78" s="15"/>
    </row>
    <row r="79" spans="1:11" x14ac:dyDescent="0.25">
      <c r="A79" s="14">
        <f>IF(B79="","",COUNTA($B$4:B79))</f>
        <v>76</v>
      </c>
      <c r="B79" s="14" t="s">
        <v>1532</v>
      </c>
      <c r="C79" s="14" t="s">
        <v>241</v>
      </c>
      <c r="D79" s="14" t="s">
        <v>242</v>
      </c>
      <c r="E79" s="14" t="s">
        <v>241</v>
      </c>
      <c r="F79" s="14" t="s">
        <v>150</v>
      </c>
      <c r="G79" s="14" t="s">
        <v>243</v>
      </c>
      <c r="H79" s="14"/>
      <c r="I79" s="14" t="s">
        <v>244</v>
      </c>
      <c r="J79" s="14"/>
      <c r="K79" s="15"/>
    </row>
    <row r="80" spans="1:11" x14ac:dyDescent="0.25">
      <c r="A80" s="14">
        <f>IF(B80="","",COUNTA($B$4:B80))</f>
        <v>77</v>
      </c>
      <c r="B80" s="14" t="s">
        <v>1533</v>
      </c>
      <c r="C80" s="14" t="s">
        <v>241</v>
      </c>
      <c r="D80" s="14" t="s">
        <v>242</v>
      </c>
      <c r="E80" s="14" t="s">
        <v>241</v>
      </c>
      <c r="F80" s="14" t="s">
        <v>150</v>
      </c>
      <c r="G80" s="14" t="s">
        <v>243</v>
      </c>
      <c r="H80" s="14"/>
      <c r="I80" s="14" t="s">
        <v>244</v>
      </c>
      <c r="J80" s="14"/>
      <c r="K80" s="127"/>
    </row>
    <row r="81" spans="1:11" x14ac:dyDescent="0.25">
      <c r="A81" s="14">
        <f>IF(B81="","",COUNTA($B$4:B81))</f>
        <v>78</v>
      </c>
      <c r="B81" s="14" t="s">
        <v>1515</v>
      </c>
      <c r="C81" s="14" t="s">
        <v>246</v>
      </c>
      <c r="D81" s="14" t="s">
        <v>247</v>
      </c>
      <c r="E81" s="14" t="s">
        <v>246</v>
      </c>
      <c r="F81" s="14" t="s">
        <v>150</v>
      </c>
      <c r="G81" s="14" t="s">
        <v>243</v>
      </c>
      <c r="H81" s="14"/>
      <c r="I81" s="14" t="s">
        <v>244</v>
      </c>
      <c r="J81" s="14"/>
      <c r="K81" s="15"/>
    </row>
    <row r="82" spans="1:11" x14ac:dyDescent="0.25">
      <c r="A82" s="14">
        <f>IF(B82="","",COUNTA($B$4:B82))</f>
        <v>79</v>
      </c>
      <c r="B82" s="14" t="s">
        <v>1528</v>
      </c>
      <c r="C82" s="14" t="s">
        <v>246</v>
      </c>
      <c r="D82" s="14" t="s">
        <v>247</v>
      </c>
      <c r="E82" s="14" t="s">
        <v>246</v>
      </c>
      <c r="F82" s="14" t="s">
        <v>150</v>
      </c>
      <c r="G82" s="14" t="s">
        <v>243</v>
      </c>
      <c r="H82" s="14"/>
      <c r="I82" s="14" t="s">
        <v>244</v>
      </c>
      <c r="J82" s="14"/>
      <c r="K82" s="127"/>
    </row>
    <row r="83" spans="1:11" x14ac:dyDescent="0.25">
      <c r="A83" s="14">
        <f>IF(B83="","",COUNTA($B$4:B83))</f>
        <v>80</v>
      </c>
      <c r="B83" s="14" t="s">
        <v>1529</v>
      </c>
      <c r="C83" s="14" t="s">
        <v>246</v>
      </c>
      <c r="D83" s="14" t="s">
        <v>247</v>
      </c>
      <c r="E83" s="14" t="s">
        <v>246</v>
      </c>
      <c r="F83" s="14" t="s">
        <v>150</v>
      </c>
      <c r="G83" s="14" t="s">
        <v>243</v>
      </c>
      <c r="H83" s="14"/>
      <c r="I83" s="14" t="s">
        <v>244</v>
      </c>
      <c r="J83" s="14"/>
      <c r="K83" s="15"/>
    </row>
    <row r="84" spans="1:11" x14ac:dyDescent="0.25">
      <c r="A84" s="14">
        <f>IF(B84="","",COUNTA($B$4:B84))</f>
        <v>81</v>
      </c>
      <c r="B84" s="14" t="s">
        <v>1531</v>
      </c>
      <c r="C84" s="14" t="s">
        <v>246</v>
      </c>
      <c r="D84" s="14" t="s">
        <v>247</v>
      </c>
      <c r="E84" s="14" t="s">
        <v>246</v>
      </c>
      <c r="F84" s="14" t="s">
        <v>150</v>
      </c>
      <c r="G84" s="14" t="s">
        <v>243</v>
      </c>
      <c r="H84" s="14"/>
      <c r="I84" s="14" t="s">
        <v>244</v>
      </c>
      <c r="J84" s="14"/>
      <c r="K84" s="127"/>
    </row>
    <row r="85" spans="1:11" x14ac:dyDescent="0.25">
      <c r="A85" s="14">
        <f>IF(B85="","",COUNTA($B$4:B85))</f>
        <v>82</v>
      </c>
      <c r="B85" s="14" t="s">
        <v>1532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  <c r="K85" s="127"/>
    </row>
    <row r="86" spans="1:11" x14ac:dyDescent="0.25">
      <c r="A86" s="14">
        <f>IF(B86="","",COUNTA($B$4:B86))</f>
        <v>83</v>
      </c>
      <c r="B86" s="14" t="s">
        <v>1533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  <c r="K86" s="15"/>
    </row>
    <row r="87" spans="1:11" x14ac:dyDescent="0.25">
      <c r="A87" s="14">
        <f>IF(B87="","",COUNTA($B$4:B87))</f>
        <v>84</v>
      </c>
      <c r="B87" s="14" t="s">
        <v>1555</v>
      </c>
      <c r="C87" s="14" t="s">
        <v>418</v>
      </c>
      <c r="D87" s="14" t="s">
        <v>419</v>
      </c>
      <c r="E87" s="14" t="s">
        <v>418</v>
      </c>
      <c r="F87" s="14" t="s">
        <v>150</v>
      </c>
      <c r="G87" s="14" t="s">
        <v>151</v>
      </c>
      <c r="H87" s="14">
        <v>8</v>
      </c>
      <c r="I87" s="14"/>
      <c r="J87" s="15"/>
      <c r="K87" s="15"/>
    </row>
    <row r="88" spans="1:11" x14ac:dyDescent="0.25">
      <c r="A88" s="14">
        <f>IF(B88="","",COUNTA($B$4:B88))</f>
        <v>85</v>
      </c>
      <c r="B88" s="14" t="s">
        <v>1515</v>
      </c>
      <c r="C88" s="14" t="s">
        <v>236</v>
      </c>
      <c r="D88" s="14" t="s">
        <v>237</v>
      </c>
      <c r="E88" s="14" t="s">
        <v>236</v>
      </c>
      <c r="F88" s="14" t="s">
        <v>155</v>
      </c>
      <c r="G88" s="14" t="s">
        <v>156</v>
      </c>
      <c r="H88" s="14">
        <v>1</v>
      </c>
      <c r="I88" s="14"/>
      <c r="J88" s="14"/>
      <c r="K88" s="127"/>
    </row>
    <row r="89" spans="1:11" x14ac:dyDescent="0.25">
      <c r="A89" s="14">
        <f>IF(B89="","",COUNTA($B$4:B89))</f>
        <v>86</v>
      </c>
      <c r="B89" s="14" t="s">
        <v>1528</v>
      </c>
      <c r="C89" s="14" t="s">
        <v>236</v>
      </c>
      <c r="D89" s="14" t="s">
        <v>237</v>
      </c>
      <c r="E89" s="14" t="s">
        <v>236</v>
      </c>
      <c r="F89" s="14" t="s">
        <v>155</v>
      </c>
      <c r="G89" s="14" t="s">
        <v>156</v>
      </c>
      <c r="H89" s="14">
        <v>1</v>
      </c>
      <c r="I89" s="14"/>
      <c r="J89" s="14"/>
      <c r="K89" s="127"/>
    </row>
    <row r="90" spans="1:11" x14ac:dyDescent="0.25">
      <c r="A90" s="14">
        <f>IF(B90="","",COUNTA($B$4:B90))</f>
        <v>87</v>
      </c>
      <c r="B90" s="14" t="s">
        <v>1529</v>
      </c>
      <c r="C90" s="14" t="s">
        <v>236</v>
      </c>
      <c r="D90" s="14" t="s">
        <v>237</v>
      </c>
      <c r="E90" s="14" t="s">
        <v>236</v>
      </c>
      <c r="F90" s="14" t="s">
        <v>155</v>
      </c>
      <c r="G90" s="14" t="s">
        <v>156</v>
      </c>
      <c r="H90" s="14">
        <v>1</v>
      </c>
      <c r="I90" s="14"/>
      <c r="J90" s="14"/>
      <c r="K90" s="127"/>
    </row>
    <row r="91" spans="1:11" x14ac:dyDescent="0.25">
      <c r="A91" s="14">
        <f>IF(B91="","",COUNTA($B$4:B91))</f>
        <v>88</v>
      </c>
      <c r="B91" s="14" t="s">
        <v>1530</v>
      </c>
      <c r="C91" s="14" t="s">
        <v>236</v>
      </c>
      <c r="D91" s="14" t="s">
        <v>237</v>
      </c>
      <c r="E91" s="14" t="s">
        <v>236</v>
      </c>
      <c r="F91" s="14" t="s">
        <v>155</v>
      </c>
      <c r="G91" s="14" t="s">
        <v>156</v>
      </c>
      <c r="H91" s="14">
        <v>1</v>
      </c>
      <c r="I91" s="14"/>
      <c r="J91" s="14"/>
      <c r="K91" s="15"/>
    </row>
    <row r="92" spans="1:11" x14ac:dyDescent="0.25">
      <c r="A92" s="14">
        <f>IF(B92="","",COUNTA($B$4:B92))</f>
        <v>89</v>
      </c>
      <c r="B92" s="14" t="s">
        <v>1531</v>
      </c>
      <c r="C92" s="14" t="s">
        <v>236</v>
      </c>
      <c r="D92" s="14" t="s">
        <v>237</v>
      </c>
      <c r="E92" s="14" t="s">
        <v>236</v>
      </c>
      <c r="F92" s="14" t="s">
        <v>155</v>
      </c>
      <c r="G92" s="14" t="s">
        <v>156</v>
      </c>
      <c r="H92" s="14">
        <v>1</v>
      </c>
      <c r="I92" s="14"/>
      <c r="J92" s="14"/>
      <c r="K92" s="127"/>
    </row>
    <row r="93" spans="1:11" x14ac:dyDescent="0.25">
      <c r="A93" s="14">
        <f>IF(B93="","",COUNTA($B$4:B93))</f>
        <v>90</v>
      </c>
      <c r="B93" s="14" t="s">
        <v>1533</v>
      </c>
      <c r="C93" s="14" t="s">
        <v>236</v>
      </c>
      <c r="D93" s="14" t="s">
        <v>237</v>
      </c>
      <c r="E93" s="14" t="s">
        <v>236</v>
      </c>
      <c r="F93" s="14" t="s">
        <v>155</v>
      </c>
      <c r="G93" s="14" t="s">
        <v>156</v>
      </c>
      <c r="H93" s="14">
        <v>1</v>
      </c>
      <c r="I93" s="14"/>
      <c r="J93" s="14"/>
      <c r="K93" s="15"/>
    </row>
    <row r="94" spans="1:11" x14ac:dyDescent="0.25">
      <c r="A94" s="14">
        <f>IF(B94="","",COUNTA($B$4:B94))</f>
        <v>91</v>
      </c>
      <c r="B94" s="14" t="s">
        <v>1555</v>
      </c>
      <c r="C94" s="14" t="s">
        <v>1453</v>
      </c>
      <c r="D94" s="14" t="s">
        <v>1483</v>
      </c>
      <c r="E94" s="14" t="s">
        <v>1453</v>
      </c>
      <c r="F94" s="14" t="s">
        <v>150</v>
      </c>
      <c r="G94" s="14" t="s">
        <v>151</v>
      </c>
      <c r="H94" s="14">
        <v>1</v>
      </c>
      <c r="I94" s="14"/>
      <c r="J94" s="15"/>
      <c r="K94" s="15"/>
    </row>
    <row r="95" spans="1:11" x14ac:dyDescent="0.25">
      <c r="A95" s="14">
        <f>IF(B95="","",COUNTA($B$4:B95))</f>
        <v>92</v>
      </c>
      <c r="B95" s="14" t="s">
        <v>1555</v>
      </c>
      <c r="C95" s="14" t="s">
        <v>1450</v>
      </c>
      <c r="D95" s="14" t="s">
        <v>1485</v>
      </c>
      <c r="E95" s="14" t="s">
        <v>1450</v>
      </c>
      <c r="F95" s="14" t="s">
        <v>150</v>
      </c>
      <c r="G95" s="14" t="s">
        <v>151</v>
      </c>
      <c r="H95" s="14">
        <v>1</v>
      </c>
      <c r="I95" s="14"/>
      <c r="J95" s="15"/>
      <c r="K95" s="15"/>
    </row>
    <row r="96" spans="1:11" x14ac:dyDescent="0.25">
      <c r="A96" s="14">
        <f>IF(B96="","",COUNTA($B$4:B96))</f>
        <v>93</v>
      </c>
      <c r="B96" s="14" t="s">
        <v>1515</v>
      </c>
      <c r="C96" s="14" t="s">
        <v>239</v>
      </c>
      <c r="D96" s="14" t="s">
        <v>240</v>
      </c>
      <c r="E96" s="14" t="s">
        <v>239</v>
      </c>
      <c r="F96" s="14" t="s">
        <v>169</v>
      </c>
      <c r="G96" s="14" t="s">
        <v>170</v>
      </c>
      <c r="H96" s="14"/>
      <c r="I96" s="14"/>
      <c r="J96" s="14"/>
      <c r="K96" s="127"/>
    </row>
    <row r="97" spans="1:11" x14ac:dyDescent="0.25">
      <c r="A97" s="14">
        <f>IF(B97="","",COUNTA($B$4:B97))</f>
        <v>94</v>
      </c>
      <c r="B97" s="14" t="s">
        <v>1528</v>
      </c>
      <c r="C97" s="14" t="s">
        <v>239</v>
      </c>
      <c r="D97" s="14" t="s">
        <v>240</v>
      </c>
      <c r="E97" s="14" t="s">
        <v>239</v>
      </c>
      <c r="F97" s="14" t="s">
        <v>169</v>
      </c>
      <c r="G97" s="14" t="s">
        <v>170</v>
      </c>
      <c r="H97" s="14"/>
      <c r="I97" s="14"/>
      <c r="J97" s="14"/>
      <c r="K97" s="15"/>
    </row>
    <row r="98" spans="1:11" x14ac:dyDescent="0.25">
      <c r="A98" s="14">
        <f>IF(B98="","",COUNTA($B$4:B98))</f>
        <v>95</v>
      </c>
      <c r="B98" s="14" t="s">
        <v>1529</v>
      </c>
      <c r="C98" s="14" t="s">
        <v>239</v>
      </c>
      <c r="D98" s="14" t="s">
        <v>240</v>
      </c>
      <c r="E98" s="14" t="s">
        <v>239</v>
      </c>
      <c r="F98" s="14" t="s">
        <v>169</v>
      </c>
      <c r="G98" s="14" t="s">
        <v>170</v>
      </c>
      <c r="H98" s="14"/>
      <c r="I98" s="14"/>
      <c r="J98" s="14"/>
      <c r="K98" s="15"/>
    </row>
    <row r="99" spans="1:11" x14ac:dyDescent="0.25">
      <c r="A99" s="14">
        <f>IF(B99="","",COUNTA($B$4:B99))</f>
        <v>96</v>
      </c>
      <c r="B99" s="14" t="s">
        <v>1530</v>
      </c>
      <c r="C99" s="14" t="s">
        <v>239</v>
      </c>
      <c r="D99" s="14" t="s">
        <v>240</v>
      </c>
      <c r="E99" s="14" t="s">
        <v>239</v>
      </c>
      <c r="F99" s="14" t="s">
        <v>169</v>
      </c>
      <c r="G99" s="14" t="s">
        <v>170</v>
      </c>
      <c r="H99" s="14"/>
      <c r="I99" s="14"/>
      <c r="J99" s="14"/>
      <c r="K99" s="127"/>
    </row>
    <row r="100" spans="1:11" x14ac:dyDescent="0.25">
      <c r="A100" s="14">
        <f>IF(B100="","",COUNTA($B$4:B100))</f>
        <v>97</v>
      </c>
      <c r="B100" s="14" t="s">
        <v>1531</v>
      </c>
      <c r="C100" s="14" t="s">
        <v>239</v>
      </c>
      <c r="D100" s="14" t="s">
        <v>240</v>
      </c>
      <c r="E100" s="14" t="s">
        <v>239</v>
      </c>
      <c r="F100" s="14" t="s">
        <v>169</v>
      </c>
      <c r="G100" s="14" t="s">
        <v>170</v>
      </c>
      <c r="H100" s="14"/>
      <c r="I100" s="14"/>
      <c r="J100" s="14"/>
      <c r="K100" s="127"/>
    </row>
    <row r="101" spans="1:11" x14ac:dyDescent="0.25">
      <c r="A101" s="14">
        <f>IF(B101="","",COUNTA($B$4:B101))</f>
        <v>98</v>
      </c>
      <c r="B101" s="14" t="s">
        <v>1532</v>
      </c>
      <c r="C101" s="14" t="s">
        <v>239</v>
      </c>
      <c r="D101" s="14" t="s">
        <v>240</v>
      </c>
      <c r="E101" s="14" t="s">
        <v>239</v>
      </c>
      <c r="F101" s="14" t="s">
        <v>169</v>
      </c>
      <c r="G101" s="14" t="s">
        <v>170</v>
      </c>
      <c r="H101" s="14"/>
      <c r="I101" s="14"/>
      <c r="J101" s="14"/>
      <c r="K101" s="127"/>
    </row>
    <row r="102" spans="1:11" x14ac:dyDescent="0.25">
      <c r="A102" s="14">
        <f>IF(B102="","",COUNTA($B$4:B102))</f>
        <v>99</v>
      </c>
      <c r="B102" s="14" t="s">
        <v>1533</v>
      </c>
      <c r="C102" s="14" t="s">
        <v>239</v>
      </c>
      <c r="D102" s="14" t="s">
        <v>240</v>
      </c>
      <c r="E102" s="14" t="s">
        <v>239</v>
      </c>
      <c r="F102" s="14" t="s">
        <v>169</v>
      </c>
      <c r="G102" s="14" t="s">
        <v>170</v>
      </c>
      <c r="H102" s="14"/>
      <c r="I102" s="14"/>
      <c r="J102" s="14"/>
      <c r="K102" s="127"/>
    </row>
    <row r="103" spans="1:11" x14ac:dyDescent="0.25">
      <c r="A103" s="14">
        <f>IF(B103="","",COUNTA($B$4:B103))</f>
        <v>100</v>
      </c>
      <c r="B103" s="14" t="s">
        <v>1534</v>
      </c>
      <c r="C103" s="14" t="s">
        <v>239</v>
      </c>
      <c r="D103" s="14" t="s">
        <v>240</v>
      </c>
      <c r="E103" s="14" t="s">
        <v>239</v>
      </c>
      <c r="F103" s="14" t="s">
        <v>169</v>
      </c>
      <c r="G103" s="14" t="s">
        <v>170</v>
      </c>
      <c r="H103" s="14"/>
      <c r="I103" s="14"/>
      <c r="J103" s="14"/>
      <c r="K103" s="15"/>
    </row>
    <row r="104" spans="1:11" x14ac:dyDescent="0.25">
      <c r="A104" s="14">
        <f>IF(B104="","",COUNTA($B$4:B104))</f>
        <v>101</v>
      </c>
      <c r="B104" s="14" t="s">
        <v>1545</v>
      </c>
      <c r="C104" s="14" t="s">
        <v>381</v>
      </c>
      <c r="D104" s="14" t="s">
        <v>382</v>
      </c>
      <c r="E104" s="14" t="s">
        <v>381</v>
      </c>
      <c r="F104" s="14" t="s">
        <v>150</v>
      </c>
      <c r="G104" s="14" t="s">
        <v>151</v>
      </c>
      <c r="H104" s="14">
        <v>30</v>
      </c>
      <c r="I104" s="14"/>
      <c r="J104" s="14"/>
      <c r="K104" s="15"/>
    </row>
    <row r="105" spans="1:11" x14ac:dyDescent="0.25">
      <c r="A105" s="14">
        <f>IF(B105="","",COUNTA($B$4:B105))</f>
        <v>102</v>
      </c>
      <c r="B105" s="14" t="s">
        <v>1547</v>
      </c>
      <c r="C105" s="14" t="s">
        <v>381</v>
      </c>
      <c r="D105" s="14" t="s">
        <v>382</v>
      </c>
      <c r="E105" s="14" t="s">
        <v>381</v>
      </c>
      <c r="F105" s="14" t="s">
        <v>150</v>
      </c>
      <c r="G105" s="14" t="s">
        <v>151</v>
      </c>
      <c r="H105" s="14">
        <v>30</v>
      </c>
      <c r="I105" s="14"/>
      <c r="J105" s="14"/>
      <c r="K105" s="127"/>
    </row>
    <row r="106" spans="1:11" x14ac:dyDescent="0.25">
      <c r="A106" s="14">
        <f>IF(B106="","",COUNTA($B$4:B106))</f>
        <v>103</v>
      </c>
      <c r="B106" s="14" t="s">
        <v>1549</v>
      </c>
      <c r="C106" s="14" t="s">
        <v>381</v>
      </c>
      <c r="D106" s="14" t="s">
        <v>382</v>
      </c>
      <c r="E106" s="14" t="s">
        <v>381</v>
      </c>
      <c r="F106" s="14" t="s">
        <v>150</v>
      </c>
      <c r="G106" s="14" t="s">
        <v>151</v>
      </c>
      <c r="H106" s="14">
        <v>30</v>
      </c>
      <c r="I106" s="14"/>
      <c r="J106" s="14"/>
      <c r="K106" s="15"/>
    </row>
    <row r="107" spans="1:11" x14ac:dyDescent="0.25">
      <c r="A107" s="14">
        <f>IF(B107="","",COUNTA($B$4:B107))</f>
        <v>104</v>
      </c>
      <c r="B107" s="14" t="s">
        <v>1534</v>
      </c>
      <c r="C107" s="14" t="s">
        <v>345</v>
      </c>
      <c r="D107" s="14" t="s">
        <v>346</v>
      </c>
      <c r="E107" s="14" t="s">
        <v>345</v>
      </c>
      <c r="F107" s="14" t="s">
        <v>169</v>
      </c>
      <c r="G107" s="14" t="s">
        <v>170</v>
      </c>
      <c r="H107" s="14"/>
      <c r="I107" s="14"/>
      <c r="J107" s="14"/>
      <c r="K107" s="15"/>
    </row>
    <row r="108" spans="1:11" x14ac:dyDescent="0.25">
      <c r="A108" s="14">
        <f>IF(B108="","",COUNTA($B$4:B108))</f>
        <v>105</v>
      </c>
      <c r="B108" s="14" t="s">
        <v>1534</v>
      </c>
      <c r="C108" s="14" t="s">
        <v>347</v>
      </c>
      <c r="D108" s="14" t="s">
        <v>348</v>
      </c>
      <c r="E108" s="14" t="s">
        <v>347</v>
      </c>
      <c r="F108" s="14" t="s">
        <v>150</v>
      </c>
      <c r="G108" s="14" t="s">
        <v>151</v>
      </c>
      <c r="H108" s="14">
        <v>30</v>
      </c>
      <c r="I108" s="14"/>
      <c r="J108" s="14"/>
      <c r="K108" s="15"/>
    </row>
    <row r="109" spans="1:11" x14ac:dyDescent="0.25">
      <c r="A109" s="14">
        <f>IF(B109="","",COUNTA($B$4:B109))</f>
        <v>106</v>
      </c>
      <c r="B109" s="14" t="s">
        <v>1534</v>
      </c>
      <c r="C109" s="14" t="s">
        <v>350</v>
      </c>
      <c r="D109" s="14" t="s">
        <v>351</v>
      </c>
      <c r="E109" s="14" t="s">
        <v>350</v>
      </c>
      <c r="F109" s="14" t="s">
        <v>155</v>
      </c>
      <c r="G109" s="14" t="s">
        <v>156</v>
      </c>
      <c r="H109" s="14">
        <v>3</v>
      </c>
      <c r="I109" s="14"/>
      <c r="J109" s="14"/>
      <c r="K109" s="15"/>
    </row>
    <row r="110" spans="1:11" x14ac:dyDescent="0.25">
      <c r="A110" s="14">
        <f>IF(B110="","",COUNTA($B$4:B110))</f>
        <v>107</v>
      </c>
      <c r="B110" s="14" t="s">
        <v>1551</v>
      </c>
      <c r="C110" s="14" t="s">
        <v>1429</v>
      </c>
      <c r="D110" s="14" t="s">
        <v>327</v>
      </c>
      <c r="E110" s="14" t="s">
        <v>1429</v>
      </c>
      <c r="F110" s="14" t="s">
        <v>155</v>
      </c>
      <c r="G110" s="14" t="s">
        <v>156</v>
      </c>
      <c r="H110" s="14">
        <v>5</v>
      </c>
      <c r="I110" s="14"/>
      <c r="J110" s="15"/>
      <c r="K110" s="15"/>
    </row>
    <row r="111" spans="1:11" x14ac:dyDescent="0.25">
      <c r="A111" s="14">
        <f>IF(B111="","",COUNTA($B$4:B111))</f>
        <v>108</v>
      </c>
      <c r="B111" s="14" t="s">
        <v>1555</v>
      </c>
      <c r="C111" s="14" t="s">
        <v>426</v>
      </c>
      <c r="D111" s="14" t="s">
        <v>427</v>
      </c>
      <c r="E111" s="14" t="s">
        <v>426</v>
      </c>
      <c r="F111" s="14" t="s">
        <v>150</v>
      </c>
      <c r="G111" s="14" t="s">
        <v>151</v>
      </c>
      <c r="H111" s="14">
        <v>1</v>
      </c>
      <c r="I111" s="14"/>
      <c r="J111" s="15"/>
      <c r="K111" s="15"/>
    </row>
    <row r="112" spans="1:11" x14ac:dyDescent="0.25">
      <c r="A112" s="14">
        <f>IF(B112="","",COUNTA($B$4:B112))</f>
        <v>109</v>
      </c>
      <c r="B112" s="14" t="s">
        <v>1515</v>
      </c>
      <c r="C112" s="14" t="s">
        <v>195</v>
      </c>
      <c r="D112" s="14" t="s">
        <v>196</v>
      </c>
      <c r="E112" s="14" t="s">
        <v>195</v>
      </c>
      <c r="F112" s="14" t="s">
        <v>150</v>
      </c>
      <c r="G112" s="14" t="s">
        <v>151</v>
      </c>
      <c r="H112" s="14">
        <v>400</v>
      </c>
      <c r="I112" s="14"/>
      <c r="J112" s="14"/>
      <c r="K112" s="15"/>
    </row>
    <row r="113" spans="1:11" x14ac:dyDescent="0.25">
      <c r="A113" s="14">
        <f>IF(B113="","",COUNTA($B$4:B113))</f>
        <v>110</v>
      </c>
      <c r="B113" s="14" t="s">
        <v>1528</v>
      </c>
      <c r="C113" s="14" t="s">
        <v>195</v>
      </c>
      <c r="D113" s="14" t="s">
        <v>196</v>
      </c>
      <c r="E113" s="14" t="s">
        <v>195</v>
      </c>
      <c r="F113" s="14" t="s">
        <v>150</v>
      </c>
      <c r="G113" s="14" t="s">
        <v>151</v>
      </c>
      <c r="H113" s="14">
        <v>400</v>
      </c>
      <c r="I113" s="14"/>
      <c r="J113" s="14"/>
      <c r="K113" s="127"/>
    </row>
    <row r="114" spans="1:11" x14ac:dyDescent="0.25">
      <c r="A114" s="14">
        <f>IF(B114="","",COUNTA($B$4:B114))</f>
        <v>111</v>
      </c>
      <c r="B114" s="14" t="s">
        <v>1529</v>
      </c>
      <c r="C114" s="14" t="s">
        <v>195</v>
      </c>
      <c r="D114" s="14" t="s">
        <v>196</v>
      </c>
      <c r="E114" s="14" t="s">
        <v>195</v>
      </c>
      <c r="F114" s="14" t="s">
        <v>150</v>
      </c>
      <c r="G114" s="14" t="s">
        <v>151</v>
      </c>
      <c r="H114" s="14">
        <v>400</v>
      </c>
      <c r="I114" s="14"/>
      <c r="J114" s="14"/>
      <c r="K114" s="15"/>
    </row>
    <row r="115" spans="1:11" x14ac:dyDescent="0.25">
      <c r="A115" s="14">
        <f>IF(B115="","",COUNTA($B$4:B115))</f>
        <v>112</v>
      </c>
      <c r="B115" s="14" t="s">
        <v>1530</v>
      </c>
      <c r="C115" s="14" t="s">
        <v>195</v>
      </c>
      <c r="D115" s="14" t="s">
        <v>196</v>
      </c>
      <c r="E115" s="14" t="s">
        <v>195</v>
      </c>
      <c r="F115" s="14" t="s">
        <v>150</v>
      </c>
      <c r="G115" s="14" t="s">
        <v>151</v>
      </c>
      <c r="H115" s="14">
        <v>400</v>
      </c>
      <c r="I115" s="14"/>
      <c r="J115" s="14"/>
      <c r="K115" s="127"/>
    </row>
    <row r="116" spans="1:11" x14ac:dyDescent="0.25">
      <c r="A116" s="14">
        <f>IF(B116="","",COUNTA($B$4:B116))</f>
        <v>113</v>
      </c>
      <c r="B116" s="14" t="s">
        <v>1531</v>
      </c>
      <c r="C116" s="14" t="s">
        <v>195</v>
      </c>
      <c r="D116" s="14" t="s">
        <v>196</v>
      </c>
      <c r="E116" s="14" t="s">
        <v>195</v>
      </c>
      <c r="F116" s="14" t="s">
        <v>150</v>
      </c>
      <c r="G116" s="14" t="s">
        <v>151</v>
      </c>
      <c r="H116" s="14">
        <v>400</v>
      </c>
      <c r="I116" s="14"/>
      <c r="J116" s="14"/>
      <c r="K116" s="15"/>
    </row>
    <row r="117" spans="1:11" x14ac:dyDescent="0.25">
      <c r="A117" s="14">
        <f>IF(B117="","",COUNTA($B$4:B117))</f>
        <v>114</v>
      </c>
      <c r="B117" s="14" t="s">
        <v>1533</v>
      </c>
      <c r="C117" s="14" t="s">
        <v>195</v>
      </c>
      <c r="D117" s="14" t="s">
        <v>196</v>
      </c>
      <c r="E117" s="14" t="s">
        <v>195</v>
      </c>
      <c r="F117" s="14" t="s">
        <v>150</v>
      </c>
      <c r="G117" s="14" t="s">
        <v>151</v>
      </c>
      <c r="H117" s="14">
        <v>400</v>
      </c>
      <c r="I117" s="14"/>
      <c r="J117" s="14"/>
      <c r="K117" s="127"/>
    </row>
    <row r="118" spans="1:11" x14ac:dyDescent="0.25">
      <c r="A118" s="14">
        <f>IF(B118="","",COUNTA($B$4:B118))</f>
        <v>115</v>
      </c>
      <c r="B118" s="14" t="s">
        <v>1534</v>
      </c>
      <c r="C118" s="14" t="s">
        <v>195</v>
      </c>
      <c r="D118" s="14" t="s">
        <v>196</v>
      </c>
      <c r="E118" s="14" t="s">
        <v>195</v>
      </c>
      <c r="F118" s="14" t="s">
        <v>150</v>
      </c>
      <c r="G118" s="14" t="s">
        <v>151</v>
      </c>
      <c r="H118" s="14">
        <v>400</v>
      </c>
      <c r="I118" s="14"/>
      <c r="J118" s="14"/>
      <c r="K118" s="15"/>
    </row>
    <row r="119" spans="1:11" x14ac:dyDescent="0.25">
      <c r="A119" s="14">
        <f>IF(B119="","",COUNTA($B$4:B119))</f>
        <v>116</v>
      </c>
      <c r="B119" s="14" t="s">
        <v>1538</v>
      </c>
      <c r="C119" s="14" t="s">
        <v>195</v>
      </c>
      <c r="D119" s="14" t="s">
        <v>196</v>
      </c>
      <c r="E119" s="14" t="s">
        <v>195</v>
      </c>
      <c r="F119" s="14" t="s">
        <v>150</v>
      </c>
      <c r="G119" s="14" t="s">
        <v>151</v>
      </c>
      <c r="H119" s="14">
        <v>80</v>
      </c>
      <c r="I119" s="14"/>
      <c r="J119" s="14"/>
      <c r="K119" s="127"/>
    </row>
    <row r="120" spans="1:11" x14ac:dyDescent="0.25">
      <c r="A120" s="14">
        <f>IF(B120="","",COUNTA($B$4:B120))</f>
        <v>117</v>
      </c>
      <c r="B120" s="14" t="s">
        <v>1546</v>
      </c>
      <c r="C120" s="14" t="s">
        <v>195</v>
      </c>
      <c r="D120" s="14" t="s">
        <v>196</v>
      </c>
      <c r="E120" s="14" t="s">
        <v>195</v>
      </c>
      <c r="F120" s="14" t="s">
        <v>150</v>
      </c>
      <c r="G120" s="14" t="s">
        <v>151</v>
      </c>
      <c r="H120" s="14">
        <v>80</v>
      </c>
      <c r="I120" s="14"/>
      <c r="J120" s="14"/>
      <c r="K120" s="127"/>
    </row>
    <row r="121" spans="1:11" x14ac:dyDescent="0.25">
      <c r="A121" s="14">
        <f>IF(B121="","",COUNTA($B$4:B121))</f>
        <v>118</v>
      </c>
      <c r="B121" s="14" t="s">
        <v>1548</v>
      </c>
      <c r="C121" s="14" t="s">
        <v>195</v>
      </c>
      <c r="D121" s="14" t="s">
        <v>196</v>
      </c>
      <c r="E121" s="14" t="s">
        <v>195</v>
      </c>
      <c r="F121" s="14" t="s">
        <v>150</v>
      </c>
      <c r="G121" s="14" t="s">
        <v>151</v>
      </c>
      <c r="H121" s="14">
        <v>80</v>
      </c>
      <c r="I121" s="14"/>
      <c r="J121" s="14"/>
      <c r="K121" s="127"/>
    </row>
    <row r="122" spans="1:11" x14ac:dyDescent="0.25">
      <c r="A122" s="14">
        <f>IF(B122="","",COUNTA($B$4:B122))</f>
        <v>119</v>
      </c>
      <c r="B122" s="14" t="s">
        <v>1550</v>
      </c>
      <c r="C122" s="14" t="s">
        <v>195</v>
      </c>
      <c r="D122" s="14" t="s">
        <v>196</v>
      </c>
      <c r="E122" s="14" t="s">
        <v>195</v>
      </c>
      <c r="F122" s="14" t="s">
        <v>150</v>
      </c>
      <c r="G122" s="14" t="s">
        <v>151</v>
      </c>
      <c r="H122" s="14">
        <v>80</v>
      </c>
      <c r="I122" s="14"/>
      <c r="J122" s="15"/>
      <c r="K122" s="15"/>
    </row>
    <row r="123" spans="1:11" x14ac:dyDescent="0.25">
      <c r="A123" s="14">
        <f>IF(B123="","",COUNTA($B$4:B123))</f>
        <v>120</v>
      </c>
      <c r="B123" s="14" t="s">
        <v>1552</v>
      </c>
      <c r="C123" s="14" t="s">
        <v>195</v>
      </c>
      <c r="D123" s="14" t="s">
        <v>196</v>
      </c>
      <c r="E123" s="14" t="s">
        <v>195</v>
      </c>
      <c r="F123" s="14" t="s">
        <v>150</v>
      </c>
      <c r="G123" s="14" t="s">
        <v>151</v>
      </c>
      <c r="H123" s="14">
        <v>80</v>
      </c>
      <c r="I123" s="14"/>
      <c r="J123" s="15"/>
      <c r="K123" s="127"/>
    </row>
    <row r="124" spans="1:11" x14ac:dyDescent="0.25">
      <c r="A124" s="14">
        <f>IF(B124="","",COUNTA($B$4:B124))</f>
        <v>121</v>
      </c>
      <c r="B124" s="14" t="s">
        <v>1515</v>
      </c>
      <c r="C124" s="14" t="s">
        <v>193</v>
      </c>
      <c r="D124" s="14" t="s">
        <v>194</v>
      </c>
      <c r="E124" s="14" t="s">
        <v>193</v>
      </c>
      <c r="F124" s="14" t="s">
        <v>150</v>
      </c>
      <c r="G124" s="14" t="s">
        <v>151</v>
      </c>
      <c r="H124" s="14">
        <v>25</v>
      </c>
      <c r="I124" s="14"/>
      <c r="J124" s="14"/>
      <c r="K124" s="15"/>
    </row>
    <row r="125" spans="1:11" x14ac:dyDescent="0.25">
      <c r="A125" s="14">
        <f>IF(B125="","",COUNTA($B$4:B125))</f>
        <v>122</v>
      </c>
      <c r="B125" s="14" t="s">
        <v>1528</v>
      </c>
      <c r="C125" s="14" t="s">
        <v>193</v>
      </c>
      <c r="D125" s="14" t="s">
        <v>194</v>
      </c>
      <c r="E125" s="14" t="s">
        <v>193</v>
      </c>
      <c r="F125" s="14" t="s">
        <v>150</v>
      </c>
      <c r="G125" s="14" t="s">
        <v>151</v>
      </c>
      <c r="H125" s="14">
        <v>25</v>
      </c>
      <c r="I125" s="14"/>
      <c r="J125" s="14"/>
      <c r="K125" s="127"/>
    </row>
    <row r="126" spans="1:11" x14ac:dyDescent="0.25">
      <c r="A126" s="14">
        <f>IF(B126="","",COUNTA($B$4:B126))</f>
        <v>123</v>
      </c>
      <c r="B126" s="14" t="s">
        <v>1529</v>
      </c>
      <c r="C126" s="14" t="s">
        <v>193</v>
      </c>
      <c r="D126" s="14" t="s">
        <v>194</v>
      </c>
      <c r="E126" s="14" t="s">
        <v>193</v>
      </c>
      <c r="F126" s="14" t="s">
        <v>150</v>
      </c>
      <c r="G126" s="14" t="s">
        <v>151</v>
      </c>
      <c r="H126" s="14">
        <v>25</v>
      </c>
      <c r="I126" s="14"/>
      <c r="J126" s="14"/>
      <c r="K126" s="15"/>
    </row>
    <row r="127" spans="1:11" x14ac:dyDescent="0.25">
      <c r="A127" s="14">
        <f>IF(B127="","",COUNTA($B$4:B127))</f>
        <v>124</v>
      </c>
      <c r="B127" s="14" t="s">
        <v>1530</v>
      </c>
      <c r="C127" s="14" t="s">
        <v>193</v>
      </c>
      <c r="D127" s="14" t="s">
        <v>194</v>
      </c>
      <c r="E127" s="14" t="s">
        <v>193</v>
      </c>
      <c r="F127" s="14" t="s">
        <v>150</v>
      </c>
      <c r="G127" s="14" t="s">
        <v>151</v>
      </c>
      <c r="H127" s="14">
        <v>25</v>
      </c>
      <c r="I127" s="14"/>
      <c r="J127" s="14"/>
      <c r="K127" s="15"/>
    </row>
    <row r="128" spans="1:11" x14ac:dyDescent="0.25">
      <c r="A128" s="14">
        <f>IF(B128="","",COUNTA($B$4:B128))</f>
        <v>125</v>
      </c>
      <c r="B128" s="14" t="s">
        <v>1531</v>
      </c>
      <c r="C128" s="14" t="s">
        <v>193</v>
      </c>
      <c r="D128" s="14" t="s">
        <v>194</v>
      </c>
      <c r="E128" s="14" t="s">
        <v>193</v>
      </c>
      <c r="F128" s="14" t="s">
        <v>150</v>
      </c>
      <c r="G128" s="14" t="s">
        <v>151</v>
      </c>
      <c r="H128" s="14">
        <v>25</v>
      </c>
      <c r="I128" s="14"/>
      <c r="J128" s="14"/>
      <c r="K128" s="127"/>
    </row>
    <row r="129" spans="1:11" x14ac:dyDescent="0.25">
      <c r="A129" s="14">
        <f>IF(B129="","",COUNTA($B$4:B129))</f>
        <v>126</v>
      </c>
      <c r="B129" s="14" t="s">
        <v>1533</v>
      </c>
      <c r="C129" s="14" t="s">
        <v>193</v>
      </c>
      <c r="D129" s="14" t="s">
        <v>194</v>
      </c>
      <c r="E129" s="14" t="s">
        <v>193</v>
      </c>
      <c r="F129" s="14" t="s">
        <v>150</v>
      </c>
      <c r="G129" s="14" t="s">
        <v>151</v>
      </c>
      <c r="H129" s="14">
        <v>25</v>
      </c>
      <c r="I129" s="14"/>
      <c r="J129" s="14"/>
      <c r="K129" s="127"/>
    </row>
    <row r="130" spans="1:11" x14ac:dyDescent="0.25">
      <c r="A130" s="14">
        <f>IF(B130="","",COUNTA($B$4:B130))</f>
        <v>127</v>
      </c>
      <c r="B130" s="14" t="s">
        <v>1534</v>
      </c>
      <c r="C130" s="14" t="s">
        <v>193</v>
      </c>
      <c r="D130" s="14" t="s">
        <v>194</v>
      </c>
      <c r="E130" s="14" t="s">
        <v>193</v>
      </c>
      <c r="F130" s="14" t="s">
        <v>150</v>
      </c>
      <c r="G130" s="14" t="s">
        <v>151</v>
      </c>
      <c r="H130" s="14">
        <v>25</v>
      </c>
      <c r="I130" s="14"/>
      <c r="J130" s="14"/>
      <c r="K130" s="127"/>
    </row>
    <row r="131" spans="1:11" x14ac:dyDescent="0.25">
      <c r="A131" s="14">
        <f>IF(B131="","",COUNTA($B$4:B131))</f>
        <v>128</v>
      </c>
      <c r="B131" s="14" t="s">
        <v>1538</v>
      </c>
      <c r="C131" s="14" t="s">
        <v>193</v>
      </c>
      <c r="D131" s="14" t="s">
        <v>194</v>
      </c>
      <c r="E131" s="14" t="s">
        <v>193</v>
      </c>
      <c r="F131" s="14" t="s">
        <v>150</v>
      </c>
      <c r="G131" s="14" t="s">
        <v>151</v>
      </c>
      <c r="H131" s="14">
        <v>5</v>
      </c>
      <c r="I131" s="14"/>
      <c r="J131" s="14"/>
      <c r="K131" s="15"/>
    </row>
    <row r="132" spans="1:11" x14ac:dyDescent="0.25">
      <c r="A132" s="14">
        <f>IF(B132="","",COUNTA($B$4:B132))</f>
        <v>129</v>
      </c>
      <c r="B132" s="14" t="s">
        <v>1546</v>
      </c>
      <c r="C132" s="14" t="s">
        <v>193</v>
      </c>
      <c r="D132" s="14" t="s">
        <v>194</v>
      </c>
      <c r="E132" s="14" t="s">
        <v>193</v>
      </c>
      <c r="F132" s="14" t="s">
        <v>150</v>
      </c>
      <c r="G132" s="14" t="s">
        <v>151</v>
      </c>
      <c r="H132" s="14">
        <v>5</v>
      </c>
      <c r="I132" s="14"/>
      <c r="J132" s="14"/>
      <c r="K132" s="15"/>
    </row>
    <row r="133" spans="1:11" x14ac:dyDescent="0.25">
      <c r="A133" s="14">
        <f>IF(B133="","",COUNTA($B$4:B133))</f>
        <v>130</v>
      </c>
      <c r="B133" s="14" t="s">
        <v>1548</v>
      </c>
      <c r="C133" s="14" t="s">
        <v>193</v>
      </c>
      <c r="D133" s="14" t="s">
        <v>194</v>
      </c>
      <c r="E133" s="14" t="s">
        <v>193</v>
      </c>
      <c r="F133" s="14" t="s">
        <v>150</v>
      </c>
      <c r="G133" s="14" t="s">
        <v>151</v>
      </c>
      <c r="H133" s="14">
        <v>5</v>
      </c>
      <c r="I133" s="14"/>
      <c r="J133" s="14"/>
      <c r="K133" s="15"/>
    </row>
    <row r="134" spans="1:11" x14ac:dyDescent="0.25">
      <c r="A134" s="14">
        <f>IF(B134="","",COUNTA($B$4:B134))</f>
        <v>131</v>
      </c>
      <c r="B134" s="14" t="s">
        <v>1550</v>
      </c>
      <c r="C134" s="14" t="s">
        <v>193</v>
      </c>
      <c r="D134" s="14" t="s">
        <v>194</v>
      </c>
      <c r="E134" s="14" t="s">
        <v>193</v>
      </c>
      <c r="F134" s="14" t="s">
        <v>150</v>
      </c>
      <c r="G134" s="14" t="s">
        <v>151</v>
      </c>
      <c r="H134" s="14">
        <v>5</v>
      </c>
      <c r="I134" s="14"/>
      <c r="J134" s="15"/>
      <c r="K134" s="15"/>
    </row>
    <row r="135" spans="1:11" x14ac:dyDescent="0.25">
      <c r="A135" s="14">
        <f>IF(B135="","",COUNTA($B$4:B135))</f>
        <v>132</v>
      </c>
      <c r="B135" s="14" t="s">
        <v>1552</v>
      </c>
      <c r="C135" s="14" t="s">
        <v>193</v>
      </c>
      <c r="D135" s="14" t="s">
        <v>194</v>
      </c>
      <c r="E135" s="14" t="s">
        <v>193</v>
      </c>
      <c r="F135" s="14" t="s">
        <v>150</v>
      </c>
      <c r="G135" s="14" t="s">
        <v>151</v>
      </c>
      <c r="H135" s="14">
        <v>5</v>
      </c>
      <c r="I135" s="14"/>
      <c r="J135" s="15"/>
      <c r="K135" s="15"/>
    </row>
    <row r="136" spans="1:11" x14ac:dyDescent="0.25">
      <c r="A136" s="14">
        <f>IF(B136="","",COUNTA($B$4:B136))</f>
        <v>133</v>
      </c>
      <c r="B136" s="14" t="s">
        <v>1515</v>
      </c>
      <c r="C136" s="14" t="s">
        <v>230</v>
      </c>
      <c r="D136" s="14" t="s">
        <v>231</v>
      </c>
      <c r="E136" s="14" t="s">
        <v>230</v>
      </c>
      <c r="F136" s="14" t="s">
        <v>169</v>
      </c>
      <c r="G136" s="14" t="s">
        <v>170</v>
      </c>
      <c r="H136" s="14"/>
      <c r="I136" s="14"/>
      <c r="J136" s="14"/>
      <c r="K136" s="15"/>
    </row>
    <row r="137" spans="1:11" x14ac:dyDescent="0.25">
      <c r="A137" s="14">
        <f>IF(B137="","",COUNTA($B$4:B137))</f>
        <v>134</v>
      </c>
      <c r="B137" s="14" t="s">
        <v>1528</v>
      </c>
      <c r="C137" s="14" t="s">
        <v>230</v>
      </c>
      <c r="D137" s="14" t="s">
        <v>231</v>
      </c>
      <c r="E137" s="14" t="s">
        <v>230</v>
      </c>
      <c r="F137" s="14" t="s">
        <v>169</v>
      </c>
      <c r="G137" s="14" t="s">
        <v>170</v>
      </c>
      <c r="H137" s="14"/>
      <c r="I137" s="14"/>
      <c r="J137" s="14"/>
      <c r="K137" s="15"/>
    </row>
    <row r="138" spans="1:11" x14ac:dyDescent="0.25">
      <c r="A138" s="14">
        <f>IF(B138="","",COUNTA($B$4:B138))</f>
        <v>135</v>
      </c>
      <c r="B138" s="14" t="s">
        <v>1529</v>
      </c>
      <c r="C138" s="14" t="s">
        <v>230</v>
      </c>
      <c r="D138" s="14" t="s">
        <v>231</v>
      </c>
      <c r="E138" s="14" t="s">
        <v>230</v>
      </c>
      <c r="F138" s="14" t="s">
        <v>169</v>
      </c>
      <c r="G138" s="14" t="s">
        <v>170</v>
      </c>
      <c r="H138" s="14"/>
      <c r="I138" s="14"/>
      <c r="J138" s="14"/>
      <c r="K138" s="15"/>
    </row>
    <row r="139" spans="1:11" x14ac:dyDescent="0.25">
      <c r="A139" s="14">
        <f>IF(B139="","",COUNTA($B$4:B139))</f>
        <v>136</v>
      </c>
      <c r="B139" s="14" t="s">
        <v>1530</v>
      </c>
      <c r="C139" s="14" t="s">
        <v>230</v>
      </c>
      <c r="D139" s="14" t="s">
        <v>231</v>
      </c>
      <c r="E139" s="14" t="s">
        <v>230</v>
      </c>
      <c r="F139" s="14" t="s">
        <v>169</v>
      </c>
      <c r="G139" s="14" t="s">
        <v>170</v>
      </c>
      <c r="H139" s="14"/>
      <c r="I139" s="14"/>
      <c r="J139" s="14"/>
      <c r="K139" s="15"/>
    </row>
    <row r="140" spans="1:11" x14ac:dyDescent="0.25">
      <c r="A140" s="14">
        <f>IF(B140="","",COUNTA($B$4:B140))</f>
        <v>137</v>
      </c>
      <c r="B140" s="14" t="s">
        <v>1531</v>
      </c>
      <c r="C140" s="14" t="s">
        <v>230</v>
      </c>
      <c r="D140" s="14" t="s">
        <v>231</v>
      </c>
      <c r="E140" s="14" t="s">
        <v>230</v>
      </c>
      <c r="F140" s="14" t="s">
        <v>169</v>
      </c>
      <c r="G140" s="14" t="s">
        <v>170</v>
      </c>
      <c r="H140" s="14"/>
      <c r="I140" s="14"/>
      <c r="J140" s="14"/>
      <c r="K140" s="15"/>
    </row>
    <row r="141" spans="1:11" x14ac:dyDescent="0.25">
      <c r="A141" s="14">
        <f>IF(B141="","",COUNTA($B$4:B141))</f>
        <v>138</v>
      </c>
      <c r="B141" s="14" t="s">
        <v>1532</v>
      </c>
      <c r="C141" s="14" t="s">
        <v>230</v>
      </c>
      <c r="D141" s="14" t="s">
        <v>231</v>
      </c>
      <c r="E141" s="14" t="s">
        <v>230</v>
      </c>
      <c r="F141" s="14" t="s">
        <v>169</v>
      </c>
      <c r="G141" s="14" t="s">
        <v>170</v>
      </c>
      <c r="H141" s="14"/>
      <c r="I141" s="14"/>
      <c r="J141" s="14"/>
      <c r="K141" s="15"/>
    </row>
    <row r="142" spans="1:11" x14ac:dyDescent="0.25">
      <c r="A142" s="14">
        <f>IF(B142="","",COUNTA($B$4:B142))</f>
        <v>139</v>
      </c>
      <c r="B142" s="14" t="s">
        <v>1533</v>
      </c>
      <c r="C142" s="14" t="s">
        <v>230</v>
      </c>
      <c r="D142" s="14" t="s">
        <v>231</v>
      </c>
      <c r="E142" s="14" t="s">
        <v>230</v>
      </c>
      <c r="F142" s="14" t="s">
        <v>169</v>
      </c>
      <c r="G142" s="14" t="s">
        <v>170</v>
      </c>
      <c r="H142" s="14"/>
      <c r="I142" s="14"/>
      <c r="J142" s="14"/>
      <c r="K142" s="127"/>
    </row>
    <row r="143" spans="1:11" x14ac:dyDescent="0.25">
      <c r="A143" s="14">
        <f>IF(B143="","",COUNTA($B$4:B143))</f>
        <v>140</v>
      </c>
      <c r="B143" s="14" t="s">
        <v>1515</v>
      </c>
      <c r="C143" s="14" t="s">
        <v>233</v>
      </c>
      <c r="D143" s="14" t="s">
        <v>234</v>
      </c>
      <c r="E143" s="14" t="s">
        <v>233</v>
      </c>
      <c r="F143" s="14" t="s">
        <v>155</v>
      </c>
      <c r="G143" s="14" t="s">
        <v>156</v>
      </c>
      <c r="H143" s="14">
        <v>1</v>
      </c>
      <c r="I143" s="14"/>
      <c r="J143" s="14"/>
      <c r="K143" s="15"/>
    </row>
    <row r="144" spans="1:11" x14ac:dyDescent="0.25">
      <c r="A144" s="14">
        <f>IF(B144="","",COUNTA($B$4:B144))</f>
        <v>141</v>
      </c>
      <c r="B144" s="14" t="s">
        <v>1528</v>
      </c>
      <c r="C144" s="14" t="s">
        <v>233</v>
      </c>
      <c r="D144" s="14" t="s">
        <v>234</v>
      </c>
      <c r="E144" s="14" t="s">
        <v>233</v>
      </c>
      <c r="F144" s="14" t="s">
        <v>155</v>
      </c>
      <c r="G144" s="14" t="s">
        <v>156</v>
      </c>
      <c r="H144" s="14">
        <v>1</v>
      </c>
      <c r="I144" s="14"/>
      <c r="J144" s="14"/>
      <c r="K144" s="15"/>
    </row>
    <row r="145" spans="1:11" x14ac:dyDescent="0.25">
      <c r="A145" s="14">
        <f>IF(B145="","",COUNTA($B$4:B145))</f>
        <v>142</v>
      </c>
      <c r="B145" s="14" t="s">
        <v>1529</v>
      </c>
      <c r="C145" s="14" t="s">
        <v>233</v>
      </c>
      <c r="D145" s="14" t="s">
        <v>234</v>
      </c>
      <c r="E145" s="14" t="s">
        <v>233</v>
      </c>
      <c r="F145" s="14" t="s">
        <v>155</v>
      </c>
      <c r="G145" s="14" t="s">
        <v>156</v>
      </c>
      <c r="H145" s="14">
        <v>1</v>
      </c>
      <c r="I145" s="14"/>
      <c r="J145" s="14"/>
      <c r="K145" s="15"/>
    </row>
    <row r="146" spans="1:11" x14ac:dyDescent="0.25">
      <c r="A146" s="14">
        <f>IF(B146="","",COUNTA($B$4:B146))</f>
        <v>143</v>
      </c>
      <c r="B146" s="14" t="s">
        <v>1530</v>
      </c>
      <c r="C146" s="14" t="s">
        <v>233</v>
      </c>
      <c r="D146" s="14" t="s">
        <v>234</v>
      </c>
      <c r="E146" s="14" t="s">
        <v>233</v>
      </c>
      <c r="F146" s="14" t="s">
        <v>155</v>
      </c>
      <c r="G146" s="14" t="s">
        <v>156</v>
      </c>
      <c r="H146" s="14">
        <v>1</v>
      </c>
      <c r="I146" s="14"/>
      <c r="J146" s="14"/>
      <c r="K146" s="127"/>
    </row>
    <row r="147" spans="1:11" x14ac:dyDescent="0.25">
      <c r="A147" s="14">
        <f>IF(B147="","",COUNTA($B$4:B147))</f>
        <v>144</v>
      </c>
      <c r="B147" s="14" t="s">
        <v>1531</v>
      </c>
      <c r="C147" s="14" t="s">
        <v>233</v>
      </c>
      <c r="D147" s="14" t="s">
        <v>234</v>
      </c>
      <c r="E147" s="14" t="s">
        <v>233</v>
      </c>
      <c r="F147" s="14" t="s">
        <v>155</v>
      </c>
      <c r="G147" s="14" t="s">
        <v>156</v>
      </c>
      <c r="H147" s="14">
        <v>1</v>
      </c>
      <c r="I147" s="14"/>
      <c r="J147" s="14"/>
      <c r="K147" s="15"/>
    </row>
    <row r="148" spans="1:11" x14ac:dyDescent="0.25">
      <c r="A148" s="14">
        <f>IF(B148="","",COUNTA($B$4:B148))</f>
        <v>145</v>
      </c>
      <c r="B148" s="14" t="s">
        <v>1532</v>
      </c>
      <c r="C148" s="14" t="s">
        <v>233</v>
      </c>
      <c r="D148" s="14" t="s">
        <v>234</v>
      </c>
      <c r="E148" s="14" t="s">
        <v>233</v>
      </c>
      <c r="F148" s="14" t="s">
        <v>155</v>
      </c>
      <c r="G148" s="14" t="s">
        <v>156</v>
      </c>
      <c r="H148" s="14">
        <v>1</v>
      </c>
      <c r="I148" s="14"/>
      <c r="J148" s="14"/>
      <c r="K148" s="127"/>
    </row>
    <row r="149" spans="1:11" x14ac:dyDescent="0.25">
      <c r="A149" s="14">
        <f>IF(B149="","",COUNTA($B$4:B149))</f>
        <v>146</v>
      </c>
      <c r="B149" s="14" t="s">
        <v>1533</v>
      </c>
      <c r="C149" s="14" t="s">
        <v>233</v>
      </c>
      <c r="D149" s="14" t="s">
        <v>234</v>
      </c>
      <c r="E149" s="14" t="s">
        <v>233</v>
      </c>
      <c r="F149" s="14" t="s">
        <v>155</v>
      </c>
      <c r="G149" s="14" t="s">
        <v>156</v>
      </c>
      <c r="H149" s="14">
        <v>1</v>
      </c>
      <c r="I149" s="14"/>
      <c r="J149" s="14"/>
      <c r="K149" s="15"/>
    </row>
    <row r="150" spans="1:11" x14ac:dyDescent="0.25">
      <c r="A150" s="14">
        <f>IF(B150="","",COUNTA($B$4:B150))</f>
        <v>147</v>
      </c>
      <c r="B150" s="14" t="s">
        <v>1515</v>
      </c>
      <c r="C150" s="14" t="s">
        <v>159</v>
      </c>
      <c r="D150" s="14" t="s">
        <v>160</v>
      </c>
      <c r="E150" s="14" t="s">
        <v>159</v>
      </c>
      <c r="F150" s="14" t="s">
        <v>150</v>
      </c>
      <c r="G150" s="14" t="s">
        <v>151</v>
      </c>
      <c r="H150" s="14">
        <v>4</v>
      </c>
      <c r="I150" s="14"/>
      <c r="J150" s="14"/>
      <c r="K150" s="15"/>
    </row>
    <row r="151" spans="1:11" x14ac:dyDescent="0.25">
      <c r="A151" s="14">
        <f>IF(B151="","",COUNTA($B$4:B151))</f>
        <v>148</v>
      </c>
      <c r="B151" s="14" t="s">
        <v>1528</v>
      </c>
      <c r="C151" s="14" t="s">
        <v>159</v>
      </c>
      <c r="D151" s="14" t="s">
        <v>160</v>
      </c>
      <c r="E151" s="14" t="s">
        <v>159</v>
      </c>
      <c r="F151" s="14" t="s">
        <v>150</v>
      </c>
      <c r="G151" s="14" t="s">
        <v>151</v>
      </c>
      <c r="H151" s="14">
        <v>4</v>
      </c>
      <c r="I151" s="14"/>
      <c r="J151" s="14"/>
      <c r="K151" s="15"/>
    </row>
    <row r="152" spans="1:11" x14ac:dyDescent="0.25">
      <c r="A152" s="14">
        <f>IF(B152="","",COUNTA($B$4:B152))</f>
        <v>149</v>
      </c>
      <c r="B152" s="14" t="s">
        <v>1529</v>
      </c>
      <c r="C152" s="14" t="s">
        <v>159</v>
      </c>
      <c r="D152" s="14" t="s">
        <v>160</v>
      </c>
      <c r="E152" s="14" t="s">
        <v>159</v>
      </c>
      <c r="F152" s="14" t="s">
        <v>150</v>
      </c>
      <c r="G152" s="14" t="s">
        <v>151</v>
      </c>
      <c r="H152" s="14">
        <v>4</v>
      </c>
      <c r="I152" s="14"/>
      <c r="J152" s="14"/>
      <c r="K152" s="127"/>
    </row>
    <row r="153" spans="1:11" x14ac:dyDescent="0.25">
      <c r="A153" s="14">
        <f>IF(B153="","",COUNTA($B$4:B153))</f>
        <v>150</v>
      </c>
      <c r="B153" s="14" t="s">
        <v>1530</v>
      </c>
      <c r="C153" s="14" t="s">
        <v>159</v>
      </c>
      <c r="D153" s="14" t="s">
        <v>160</v>
      </c>
      <c r="E153" s="14" t="s">
        <v>159</v>
      </c>
      <c r="F153" s="14" t="s">
        <v>150</v>
      </c>
      <c r="G153" s="14" t="s">
        <v>151</v>
      </c>
      <c r="H153" s="14">
        <v>4</v>
      </c>
      <c r="I153" s="14"/>
      <c r="J153" s="14"/>
      <c r="K153" s="15"/>
    </row>
    <row r="154" spans="1:11" x14ac:dyDescent="0.25">
      <c r="A154" s="14">
        <f>IF(B154="","",COUNTA($B$4:B154))</f>
        <v>151</v>
      </c>
      <c r="B154" s="14" t="s">
        <v>1531</v>
      </c>
      <c r="C154" s="14" t="s">
        <v>159</v>
      </c>
      <c r="D154" s="14" t="s">
        <v>160</v>
      </c>
      <c r="E154" s="14" t="s">
        <v>159</v>
      </c>
      <c r="F154" s="14" t="s">
        <v>150</v>
      </c>
      <c r="G154" s="14" t="s">
        <v>151</v>
      </c>
      <c r="H154" s="14">
        <v>4</v>
      </c>
      <c r="I154" s="14"/>
      <c r="J154" s="14"/>
      <c r="K154" s="127"/>
    </row>
    <row r="155" spans="1:11" x14ac:dyDescent="0.25">
      <c r="A155" s="14">
        <f>IF(B155="","",COUNTA($B$4:B155))</f>
        <v>152</v>
      </c>
      <c r="B155" s="14" t="s">
        <v>1532</v>
      </c>
      <c r="C155" s="14" t="s">
        <v>159</v>
      </c>
      <c r="D155" s="14" t="s">
        <v>160</v>
      </c>
      <c r="E155" s="14" t="s">
        <v>159</v>
      </c>
      <c r="F155" s="14" t="s">
        <v>150</v>
      </c>
      <c r="G155" s="14" t="s">
        <v>151</v>
      </c>
      <c r="H155" s="14">
        <v>4</v>
      </c>
      <c r="I155" s="14"/>
      <c r="J155" s="14"/>
      <c r="K155" s="127"/>
    </row>
    <row r="156" spans="1:11" x14ac:dyDescent="0.25">
      <c r="A156" s="14">
        <f>IF(B156="","",COUNTA($B$4:B156))</f>
        <v>153</v>
      </c>
      <c r="B156" s="14" t="s">
        <v>1533</v>
      </c>
      <c r="C156" s="14" t="s">
        <v>159</v>
      </c>
      <c r="D156" s="14" t="s">
        <v>160</v>
      </c>
      <c r="E156" s="14" t="s">
        <v>159</v>
      </c>
      <c r="F156" s="14" t="s">
        <v>150</v>
      </c>
      <c r="G156" s="14" t="s">
        <v>151</v>
      </c>
      <c r="H156" s="14">
        <v>4</v>
      </c>
      <c r="I156" s="14"/>
      <c r="J156" s="14"/>
      <c r="K156" s="15"/>
    </row>
    <row r="157" spans="1:11" x14ac:dyDescent="0.25">
      <c r="A157" s="14">
        <f>IF(B157="","",COUNTA($B$4:B157))</f>
        <v>154</v>
      </c>
      <c r="B157" s="14" t="s">
        <v>1534</v>
      </c>
      <c r="C157" s="14" t="s">
        <v>159</v>
      </c>
      <c r="D157" s="14" t="s">
        <v>160</v>
      </c>
      <c r="E157" s="14" t="s">
        <v>159</v>
      </c>
      <c r="F157" s="14" t="s">
        <v>150</v>
      </c>
      <c r="G157" s="14" t="s">
        <v>151</v>
      </c>
      <c r="H157" s="14">
        <v>4</v>
      </c>
      <c r="I157" s="14"/>
      <c r="J157" s="14"/>
      <c r="K157" s="15"/>
    </row>
    <row r="158" spans="1:11" x14ac:dyDescent="0.25">
      <c r="A158" s="14">
        <f>IF(B158="","",COUNTA($B$4:B158))</f>
        <v>155</v>
      </c>
      <c r="B158" s="14" t="s">
        <v>1538</v>
      </c>
      <c r="C158" s="14" t="s">
        <v>159</v>
      </c>
      <c r="D158" s="14" t="s">
        <v>160</v>
      </c>
      <c r="E158" s="14" t="s">
        <v>159</v>
      </c>
      <c r="F158" s="14" t="s">
        <v>150</v>
      </c>
      <c r="G158" s="14" t="s">
        <v>151</v>
      </c>
      <c r="H158" s="14">
        <v>4</v>
      </c>
      <c r="I158" s="14"/>
      <c r="J158" s="14"/>
      <c r="K158" s="15"/>
    </row>
    <row r="159" spans="1:11" x14ac:dyDescent="0.25">
      <c r="A159" s="14">
        <f>IF(B159="","",COUNTA($B$4:B159))</f>
        <v>156</v>
      </c>
      <c r="B159" s="14" t="s">
        <v>1546</v>
      </c>
      <c r="C159" s="14" t="s">
        <v>159</v>
      </c>
      <c r="D159" s="14" t="s">
        <v>160</v>
      </c>
      <c r="E159" s="14" t="s">
        <v>159</v>
      </c>
      <c r="F159" s="14" t="s">
        <v>150</v>
      </c>
      <c r="G159" s="14" t="s">
        <v>151</v>
      </c>
      <c r="H159" s="14">
        <v>4</v>
      </c>
      <c r="I159" s="14"/>
      <c r="J159" s="14"/>
      <c r="K159" s="127"/>
    </row>
    <row r="160" spans="1:11" x14ac:dyDescent="0.25">
      <c r="A160" s="14">
        <f>IF(B160="","",COUNTA($B$4:B160))</f>
        <v>157</v>
      </c>
      <c r="B160" s="14" t="s">
        <v>1548</v>
      </c>
      <c r="C160" s="14" t="s">
        <v>159</v>
      </c>
      <c r="D160" s="14" t="s">
        <v>160</v>
      </c>
      <c r="E160" s="14" t="s">
        <v>159</v>
      </c>
      <c r="F160" s="14" t="s">
        <v>150</v>
      </c>
      <c r="G160" s="14" t="s">
        <v>151</v>
      </c>
      <c r="H160" s="14">
        <v>4</v>
      </c>
      <c r="I160" s="14"/>
      <c r="J160" s="14"/>
      <c r="K160" s="15"/>
    </row>
    <row r="161" spans="1:11" x14ac:dyDescent="0.25">
      <c r="A161" s="14">
        <f>IF(B161="","",COUNTA($B$4:B161))</f>
        <v>158</v>
      </c>
      <c r="B161" s="14" t="s">
        <v>1550</v>
      </c>
      <c r="C161" s="14" t="s">
        <v>159</v>
      </c>
      <c r="D161" s="14" t="s">
        <v>160</v>
      </c>
      <c r="E161" s="14" t="s">
        <v>159</v>
      </c>
      <c r="F161" s="14" t="s">
        <v>150</v>
      </c>
      <c r="G161" s="14" t="s">
        <v>151</v>
      </c>
      <c r="H161" s="14">
        <v>4</v>
      </c>
      <c r="I161" s="14"/>
      <c r="J161" s="14"/>
      <c r="K161" s="15"/>
    </row>
    <row r="162" spans="1:11" x14ac:dyDescent="0.25">
      <c r="A162" s="14">
        <f>IF(B162="","",COUNTA($B$4:B162))</f>
        <v>159</v>
      </c>
      <c r="B162" s="14" t="s">
        <v>1552</v>
      </c>
      <c r="C162" s="14" t="s">
        <v>159</v>
      </c>
      <c r="D162" s="14" t="s">
        <v>160</v>
      </c>
      <c r="E162" s="14" t="s">
        <v>159</v>
      </c>
      <c r="F162" s="14" t="s">
        <v>150</v>
      </c>
      <c r="G162" s="14" t="s">
        <v>151</v>
      </c>
      <c r="H162" s="14">
        <v>4</v>
      </c>
      <c r="I162" s="14"/>
      <c r="J162" s="15"/>
      <c r="K162" s="15"/>
    </row>
    <row r="163" spans="1:11" x14ac:dyDescent="0.25">
      <c r="A163" s="14">
        <f>IF(B163="","",COUNTA($B$4:B163))</f>
        <v>160</v>
      </c>
      <c r="B163" s="14" t="s">
        <v>1553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5"/>
      <c r="K163" s="15"/>
    </row>
    <row r="164" spans="1:11" x14ac:dyDescent="0.25">
      <c r="A164" s="14">
        <f>IF(B164="","",COUNTA($B$4:B164))</f>
        <v>161</v>
      </c>
      <c r="B164" s="14" t="s">
        <v>1554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5"/>
      <c r="K164" s="127"/>
    </row>
    <row r="165" spans="1:11" x14ac:dyDescent="0.25">
      <c r="A165" s="14">
        <f>IF(B165="","",COUNTA($B$4:B165))</f>
        <v>162</v>
      </c>
      <c r="B165" s="14" t="s">
        <v>1555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5"/>
      <c r="K165" s="15"/>
    </row>
    <row r="166" spans="1:11" x14ac:dyDescent="0.25">
      <c r="A166" s="14">
        <f>IF(B166="","",COUNTA($B$4:B166))</f>
        <v>163</v>
      </c>
      <c r="B166" s="14" t="s">
        <v>1515</v>
      </c>
      <c r="C166" s="14" t="s">
        <v>259</v>
      </c>
      <c r="D166" s="14" t="s">
        <v>260</v>
      </c>
      <c r="E166" s="14" t="s">
        <v>259</v>
      </c>
      <c r="F166" s="14" t="s">
        <v>150</v>
      </c>
      <c r="G166" s="14" t="s">
        <v>151</v>
      </c>
      <c r="H166" s="14">
        <v>10</v>
      </c>
      <c r="I166" s="14"/>
      <c r="J166" s="14"/>
      <c r="K166" s="15"/>
    </row>
    <row r="167" spans="1:11" x14ac:dyDescent="0.25">
      <c r="A167" s="14">
        <f>IF(B167="","",COUNTA($B$4:B167))</f>
        <v>164</v>
      </c>
      <c r="B167" s="14" t="s">
        <v>1528</v>
      </c>
      <c r="C167" s="14" t="s">
        <v>259</v>
      </c>
      <c r="D167" s="14" t="s">
        <v>260</v>
      </c>
      <c r="E167" s="14" t="s">
        <v>259</v>
      </c>
      <c r="F167" s="14" t="s">
        <v>150</v>
      </c>
      <c r="G167" s="14" t="s">
        <v>151</v>
      </c>
      <c r="H167" s="14">
        <v>10</v>
      </c>
      <c r="I167" s="14"/>
      <c r="J167" s="14"/>
      <c r="K167" s="15"/>
    </row>
    <row r="168" spans="1:11" x14ac:dyDescent="0.25">
      <c r="A168" s="14">
        <f>IF(B168="","",COUNTA($B$4:B168))</f>
        <v>165</v>
      </c>
      <c r="B168" s="14" t="s">
        <v>1529</v>
      </c>
      <c r="C168" s="14" t="s">
        <v>259</v>
      </c>
      <c r="D168" s="14" t="s">
        <v>260</v>
      </c>
      <c r="E168" s="14" t="s">
        <v>259</v>
      </c>
      <c r="F168" s="14" t="s">
        <v>150</v>
      </c>
      <c r="G168" s="14" t="s">
        <v>151</v>
      </c>
      <c r="H168" s="14">
        <v>10</v>
      </c>
      <c r="I168" s="14"/>
      <c r="J168" s="14"/>
      <c r="K168" s="15"/>
    </row>
    <row r="169" spans="1:11" x14ac:dyDescent="0.25">
      <c r="A169" s="14">
        <f>IF(B169="","",COUNTA($B$4:B169))</f>
        <v>166</v>
      </c>
      <c r="B169" s="14" t="s">
        <v>1530</v>
      </c>
      <c r="C169" s="14" t="s">
        <v>259</v>
      </c>
      <c r="D169" s="14" t="s">
        <v>260</v>
      </c>
      <c r="E169" s="14" t="s">
        <v>259</v>
      </c>
      <c r="F169" s="14" t="s">
        <v>150</v>
      </c>
      <c r="G169" s="14" t="s">
        <v>151</v>
      </c>
      <c r="H169" s="14">
        <v>10</v>
      </c>
      <c r="I169" s="14"/>
      <c r="J169" s="14"/>
      <c r="K169" s="127"/>
    </row>
    <row r="170" spans="1:11" x14ac:dyDescent="0.25">
      <c r="A170" s="14">
        <f>IF(B170="","",COUNTA($B$4:B170))</f>
        <v>167</v>
      </c>
      <c r="B170" s="14" t="s">
        <v>1531</v>
      </c>
      <c r="C170" s="14" t="s">
        <v>259</v>
      </c>
      <c r="D170" s="14" t="s">
        <v>260</v>
      </c>
      <c r="E170" s="14" t="s">
        <v>259</v>
      </c>
      <c r="F170" s="14" t="s">
        <v>150</v>
      </c>
      <c r="G170" s="14" t="s">
        <v>151</v>
      </c>
      <c r="H170" s="14">
        <v>10</v>
      </c>
      <c r="I170" s="14"/>
      <c r="J170" s="14"/>
      <c r="K170" s="15"/>
    </row>
    <row r="171" spans="1:11" x14ac:dyDescent="0.25">
      <c r="A171" s="14">
        <f>IF(B171="","",COUNTA($B$4:B171))</f>
        <v>168</v>
      </c>
      <c r="B171" s="14" t="s">
        <v>1532</v>
      </c>
      <c r="C171" s="14" t="s">
        <v>259</v>
      </c>
      <c r="D171" s="14" t="s">
        <v>260</v>
      </c>
      <c r="E171" s="14" t="s">
        <v>259</v>
      </c>
      <c r="F171" s="14" t="s">
        <v>150</v>
      </c>
      <c r="G171" s="14" t="s">
        <v>151</v>
      </c>
      <c r="H171" s="14">
        <v>10</v>
      </c>
      <c r="I171" s="14"/>
      <c r="J171" s="14"/>
      <c r="K171" s="15"/>
    </row>
    <row r="172" spans="1:11" x14ac:dyDescent="0.25">
      <c r="A172" s="14">
        <f>IF(B172="","",COUNTA($B$4:B172))</f>
        <v>169</v>
      </c>
      <c r="B172" s="14" t="s">
        <v>1533</v>
      </c>
      <c r="C172" s="14" t="s">
        <v>259</v>
      </c>
      <c r="D172" s="14" t="s">
        <v>260</v>
      </c>
      <c r="E172" s="14" t="s">
        <v>259</v>
      </c>
      <c r="F172" s="14" t="s">
        <v>150</v>
      </c>
      <c r="G172" s="14" t="s">
        <v>151</v>
      </c>
      <c r="H172" s="14">
        <v>10</v>
      </c>
      <c r="I172" s="14"/>
      <c r="J172" s="14"/>
      <c r="K172" s="127"/>
    </row>
    <row r="173" spans="1:11" x14ac:dyDescent="0.25">
      <c r="A173" s="14">
        <f>IF(B173="","",COUNTA($B$4:B173))</f>
        <v>170</v>
      </c>
      <c r="B173" s="14" t="s">
        <v>1534</v>
      </c>
      <c r="C173" s="14" t="s">
        <v>259</v>
      </c>
      <c r="D173" s="14" t="s">
        <v>260</v>
      </c>
      <c r="E173" s="14" t="s">
        <v>259</v>
      </c>
      <c r="F173" s="14" t="s">
        <v>150</v>
      </c>
      <c r="G173" s="14" t="s">
        <v>151</v>
      </c>
      <c r="H173" s="14">
        <v>10</v>
      </c>
      <c r="I173" s="14"/>
      <c r="J173" s="14"/>
      <c r="K173" s="127"/>
    </row>
    <row r="174" spans="1:11" x14ac:dyDescent="0.25">
      <c r="A174" s="14">
        <f>IF(B174="","",COUNTA($B$4:B174))</f>
        <v>171</v>
      </c>
      <c r="B174" s="14" t="s">
        <v>1538</v>
      </c>
      <c r="C174" s="14" t="s">
        <v>259</v>
      </c>
      <c r="D174" s="14" t="s">
        <v>260</v>
      </c>
      <c r="E174" s="14" t="s">
        <v>259</v>
      </c>
      <c r="F174" s="14" t="s">
        <v>150</v>
      </c>
      <c r="G174" s="14" t="s">
        <v>151</v>
      </c>
      <c r="H174" s="14">
        <v>10</v>
      </c>
      <c r="I174" s="14"/>
      <c r="J174" s="14"/>
      <c r="K174" s="15"/>
    </row>
    <row r="175" spans="1:11" x14ac:dyDescent="0.25">
      <c r="A175" s="14">
        <f>IF(B175="","",COUNTA($B$4:B175))</f>
        <v>172</v>
      </c>
      <c r="B175" s="14" t="s">
        <v>1545</v>
      </c>
      <c r="C175" s="14" t="s">
        <v>259</v>
      </c>
      <c r="D175" s="14" t="s">
        <v>260</v>
      </c>
      <c r="E175" s="14" t="s">
        <v>259</v>
      </c>
      <c r="F175" s="14" t="s">
        <v>150</v>
      </c>
      <c r="G175" s="14" t="s">
        <v>151</v>
      </c>
      <c r="H175" s="14">
        <v>10</v>
      </c>
      <c r="I175" s="14" t="s">
        <v>244</v>
      </c>
      <c r="J175" s="14"/>
      <c r="K175" s="127"/>
    </row>
    <row r="176" spans="1:11" x14ac:dyDescent="0.25">
      <c r="A176" s="14">
        <f>IF(B176="","",COUNTA($B$4:B176))</f>
        <v>173</v>
      </c>
      <c r="B176" s="14" t="s">
        <v>1546</v>
      </c>
      <c r="C176" s="14" t="s">
        <v>259</v>
      </c>
      <c r="D176" s="14" t="s">
        <v>260</v>
      </c>
      <c r="E176" s="14" t="s">
        <v>259</v>
      </c>
      <c r="F176" s="14" t="s">
        <v>150</v>
      </c>
      <c r="G176" s="14" t="s">
        <v>151</v>
      </c>
      <c r="H176" s="14">
        <v>10</v>
      </c>
      <c r="I176" s="14"/>
      <c r="J176" s="14"/>
      <c r="K176" s="15"/>
    </row>
    <row r="177" spans="1:11" x14ac:dyDescent="0.25">
      <c r="A177" s="14">
        <f>IF(B177="","",COUNTA($B$4:B177))</f>
        <v>174</v>
      </c>
      <c r="B177" s="14" t="s">
        <v>1547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  <c r="K177" s="127"/>
    </row>
    <row r="178" spans="1:11" x14ac:dyDescent="0.25">
      <c r="A178" s="14">
        <f>IF(B178="","",COUNTA($B$4:B178))</f>
        <v>175</v>
      </c>
      <c r="B178" s="14" t="s">
        <v>1548</v>
      </c>
      <c r="C178" s="14" t="s">
        <v>259</v>
      </c>
      <c r="D178" s="14" t="s">
        <v>260</v>
      </c>
      <c r="E178" s="14" t="s">
        <v>259</v>
      </c>
      <c r="F178" s="14" t="s">
        <v>150</v>
      </c>
      <c r="G178" s="14" t="s">
        <v>151</v>
      </c>
      <c r="H178" s="14">
        <v>10</v>
      </c>
      <c r="I178" s="14"/>
      <c r="J178" s="14"/>
      <c r="K178" s="15"/>
    </row>
    <row r="179" spans="1:11" x14ac:dyDescent="0.25">
      <c r="A179" s="14">
        <f>IF(B179="","",COUNTA($B$4:B179))</f>
        <v>176</v>
      </c>
      <c r="B179" s="14" t="s">
        <v>1549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5"/>
    </row>
    <row r="180" spans="1:11" x14ac:dyDescent="0.25">
      <c r="A180" s="14">
        <f>IF(B180="","",COUNTA($B$4:B180))</f>
        <v>177</v>
      </c>
      <c r="B180" s="14" t="s">
        <v>1550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5"/>
      <c r="K180" s="127"/>
    </row>
    <row r="181" spans="1:11" x14ac:dyDescent="0.25">
      <c r="A181" s="14">
        <f>IF(B181="","",COUNTA($B$4:B181))</f>
        <v>178</v>
      </c>
      <c r="B181" s="14" t="s">
        <v>1551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5"/>
      <c r="K181" s="15"/>
    </row>
    <row r="182" spans="1:11" x14ac:dyDescent="0.25">
      <c r="A182" s="14">
        <f>IF(B182="","",COUNTA($B$4:B182))</f>
        <v>179</v>
      </c>
      <c r="B182" s="14" t="s">
        <v>1552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5"/>
      <c r="K182" s="15"/>
    </row>
    <row r="183" spans="1:11" x14ac:dyDescent="0.25">
      <c r="A183" s="14">
        <f>IF(B183="","",COUNTA($B$4:B183))</f>
        <v>180</v>
      </c>
      <c r="B183" s="14" t="s">
        <v>1553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5"/>
      <c r="K183" s="15"/>
    </row>
    <row r="184" spans="1:11" x14ac:dyDescent="0.25">
      <c r="A184" s="14">
        <f>IF(B184="","",COUNTA($B$4:B184))</f>
        <v>181</v>
      </c>
      <c r="B184" s="14" t="s">
        <v>1554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5"/>
      <c r="K184" s="127"/>
    </row>
    <row r="185" spans="1:11" x14ac:dyDescent="0.25">
      <c r="A185" s="14">
        <f>IF(B185="","",COUNTA($B$4:B185))</f>
        <v>182</v>
      </c>
      <c r="B185" s="14" t="s">
        <v>1515</v>
      </c>
      <c r="C185" s="14" t="s">
        <v>261</v>
      </c>
      <c r="D185" s="14" t="s">
        <v>262</v>
      </c>
      <c r="E185" s="14" t="s">
        <v>261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 x14ac:dyDescent="0.25">
      <c r="A186" s="14">
        <f>IF(B186="","",COUNTA($B$4:B186))</f>
        <v>183</v>
      </c>
      <c r="B186" s="14" t="s">
        <v>1528</v>
      </c>
      <c r="C186" s="14" t="s">
        <v>261</v>
      </c>
      <c r="D186" s="14" t="s">
        <v>262</v>
      </c>
      <c r="E186" s="14" t="s">
        <v>261</v>
      </c>
      <c r="F186" s="14" t="s">
        <v>150</v>
      </c>
      <c r="G186" s="14" t="s">
        <v>151</v>
      </c>
      <c r="H186" s="14">
        <v>10</v>
      </c>
      <c r="I186" s="14"/>
      <c r="J186" s="14"/>
      <c r="K186" s="15"/>
    </row>
    <row r="187" spans="1:11" x14ac:dyDescent="0.25">
      <c r="A187" s="14">
        <f>IF(B187="","",COUNTA($B$4:B187))</f>
        <v>184</v>
      </c>
      <c r="B187" s="14" t="s">
        <v>1529</v>
      </c>
      <c r="C187" s="14" t="s">
        <v>261</v>
      </c>
      <c r="D187" s="14" t="s">
        <v>262</v>
      </c>
      <c r="E187" s="14" t="s">
        <v>261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 x14ac:dyDescent="0.25">
      <c r="A188" s="14">
        <f>IF(B188="","",COUNTA($B$4:B188))</f>
        <v>185</v>
      </c>
      <c r="B188" s="14" t="s">
        <v>1530</v>
      </c>
      <c r="C188" s="14" t="s">
        <v>261</v>
      </c>
      <c r="D188" s="14" t="s">
        <v>262</v>
      </c>
      <c r="E188" s="14" t="s">
        <v>261</v>
      </c>
      <c r="F188" s="14" t="s">
        <v>150</v>
      </c>
      <c r="G188" s="14" t="s">
        <v>151</v>
      </c>
      <c r="H188" s="14">
        <v>10</v>
      </c>
      <c r="I188" s="14"/>
      <c r="J188" s="14"/>
      <c r="K188" s="15"/>
    </row>
    <row r="189" spans="1:11" x14ac:dyDescent="0.25">
      <c r="A189" s="14">
        <f>IF(B189="","",COUNTA($B$4:B189))</f>
        <v>186</v>
      </c>
      <c r="B189" s="14" t="s">
        <v>1531</v>
      </c>
      <c r="C189" s="14" t="s">
        <v>261</v>
      </c>
      <c r="D189" s="14" t="s">
        <v>262</v>
      </c>
      <c r="E189" s="14" t="s">
        <v>261</v>
      </c>
      <c r="F189" s="14" t="s">
        <v>150</v>
      </c>
      <c r="G189" s="14" t="s">
        <v>151</v>
      </c>
      <c r="H189" s="14">
        <v>10</v>
      </c>
      <c r="I189" s="14"/>
      <c r="J189" s="14"/>
      <c r="K189" s="127"/>
    </row>
    <row r="190" spans="1:11" x14ac:dyDescent="0.25">
      <c r="A190" s="14">
        <f>IF(B190="","",COUNTA($B$4:B190))</f>
        <v>187</v>
      </c>
      <c r="B190" s="14" t="s">
        <v>1532</v>
      </c>
      <c r="C190" s="14" t="s">
        <v>261</v>
      </c>
      <c r="D190" s="14" t="s">
        <v>262</v>
      </c>
      <c r="E190" s="14" t="s">
        <v>261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 x14ac:dyDescent="0.25">
      <c r="A191" s="14">
        <f>IF(B191="","",COUNTA($B$4:B191))</f>
        <v>188</v>
      </c>
      <c r="B191" s="14" t="s">
        <v>1533</v>
      </c>
      <c r="C191" s="14" t="s">
        <v>261</v>
      </c>
      <c r="D191" s="14" t="s">
        <v>262</v>
      </c>
      <c r="E191" s="14" t="s">
        <v>261</v>
      </c>
      <c r="F191" s="14" t="s">
        <v>150</v>
      </c>
      <c r="G191" s="14" t="s">
        <v>151</v>
      </c>
      <c r="H191" s="14">
        <v>10</v>
      </c>
      <c r="I191" s="14"/>
      <c r="J191" s="14"/>
      <c r="K191" s="15"/>
    </row>
    <row r="192" spans="1:11" x14ac:dyDescent="0.25">
      <c r="A192" s="14">
        <f>IF(B192="","",COUNTA($B$4:B192))</f>
        <v>189</v>
      </c>
      <c r="B192" s="14" t="s">
        <v>1534</v>
      </c>
      <c r="C192" s="14" t="s">
        <v>261</v>
      </c>
      <c r="D192" s="14" t="s">
        <v>262</v>
      </c>
      <c r="E192" s="14" t="s">
        <v>261</v>
      </c>
      <c r="F192" s="14" t="s">
        <v>150</v>
      </c>
      <c r="G192" s="14" t="s">
        <v>151</v>
      </c>
      <c r="H192" s="14">
        <v>10</v>
      </c>
      <c r="I192" s="14"/>
      <c r="J192" s="14"/>
      <c r="K192" s="127"/>
    </row>
    <row r="193" spans="1:11" x14ac:dyDescent="0.25">
      <c r="A193" s="14">
        <f>IF(B193="","",COUNTA($B$4:B193))</f>
        <v>190</v>
      </c>
      <c r="B193" s="14" t="s">
        <v>1538</v>
      </c>
      <c r="C193" s="14" t="s">
        <v>261</v>
      </c>
      <c r="D193" s="14" t="s">
        <v>262</v>
      </c>
      <c r="E193" s="14" t="s">
        <v>261</v>
      </c>
      <c r="F193" s="14" t="s">
        <v>150</v>
      </c>
      <c r="G193" s="14" t="s">
        <v>151</v>
      </c>
      <c r="H193" s="14">
        <v>10</v>
      </c>
      <c r="I193" s="14"/>
      <c r="J193" s="14"/>
      <c r="K193" s="127"/>
    </row>
    <row r="194" spans="1:11" x14ac:dyDescent="0.25">
      <c r="A194" s="14">
        <f>IF(B194="","",COUNTA($B$4:B194))</f>
        <v>191</v>
      </c>
      <c r="B194" s="14" t="s">
        <v>1545</v>
      </c>
      <c r="C194" s="14" t="s">
        <v>261</v>
      </c>
      <c r="D194" s="14" t="s">
        <v>262</v>
      </c>
      <c r="E194" s="14" t="s">
        <v>261</v>
      </c>
      <c r="F194" s="14" t="s">
        <v>150</v>
      </c>
      <c r="G194" s="14" t="s">
        <v>151</v>
      </c>
      <c r="H194" s="14">
        <v>10</v>
      </c>
      <c r="I194" s="14" t="s">
        <v>244</v>
      </c>
      <c r="J194" s="14"/>
      <c r="K194" s="127"/>
    </row>
    <row r="195" spans="1:11" x14ac:dyDescent="0.25">
      <c r="A195" s="14">
        <f>IF(B195="","",COUNTA($B$4:B195))</f>
        <v>192</v>
      </c>
      <c r="B195" s="14" t="s">
        <v>1546</v>
      </c>
      <c r="C195" s="14" t="s">
        <v>261</v>
      </c>
      <c r="D195" s="14" t="s">
        <v>262</v>
      </c>
      <c r="E195" s="14" t="s">
        <v>261</v>
      </c>
      <c r="F195" s="14" t="s">
        <v>150</v>
      </c>
      <c r="G195" s="14" t="s">
        <v>151</v>
      </c>
      <c r="H195" s="14">
        <v>10</v>
      </c>
      <c r="I195" s="14"/>
      <c r="J195" s="14"/>
      <c r="K195" s="15"/>
    </row>
    <row r="196" spans="1:11" x14ac:dyDescent="0.25">
      <c r="A196" s="14">
        <f>IF(B196="","",COUNTA($B$4:B196))</f>
        <v>193</v>
      </c>
      <c r="B196" s="14" t="s">
        <v>1547</v>
      </c>
      <c r="C196" s="14" t="s">
        <v>261</v>
      </c>
      <c r="D196" s="14" t="s">
        <v>262</v>
      </c>
      <c r="E196" s="14" t="s">
        <v>261</v>
      </c>
      <c r="F196" s="14" t="s">
        <v>150</v>
      </c>
      <c r="G196" s="14" t="s">
        <v>151</v>
      </c>
      <c r="H196" s="14">
        <v>10</v>
      </c>
      <c r="I196" s="14"/>
      <c r="J196" s="14"/>
      <c r="K196" s="15"/>
    </row>
    <row r="197" spans="1:11" x14ac:dyDescent="0.25">
      <c r="A197" s="14">
        <f>IF(B197="","",COUNTA($B$4:B197))</f>
        <v>194</v>
      </c>
      <c r="B197" s="14" t="s">
        <v>1548</v>
      </c>
      <c r="C197" s="14" t="s">
        <v>261</v>
      </c>
      <c r="D197" s="14" t="s">
        <v>262</v>
      </c>
      <c r="E197" s="14" t="s">
        <v>261</v>
      </c>
      <c r="F197" s="14" t="s">
        <v>150</v>
      </c>
      <c r="G197" s="14" t="s">
        <v>151</v>
      </c>
      <c r="H197" s="14">
        <v>10</v>
      </c>
      <c r="I197" s="14"/>
      <c r="J197" s="14"/>
      <c r="K197" s="127"/>
    </row>
    <row r="198" spans="1:11" x14ac:dyDescent="0.25">
      <c r="A198" s="14">
        <f>IF(B198="","",COUNTA($B$4:B198))</f>
        <v>195</v>
      </c>
      <c r="B198" s="14" t="s">
        <v>1549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 x14ac:dyDescent="0.25">
      <c r="A199" s="14">
        <f>IF(B199="","",COUNTA($B$4:B199))</f>
        <v>196</v>
      </c>
      <c r="B199" s="14" t="s">
        <v>1550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5"/>
      <c r="K199" s="127"/>
    </row>
    <row r="200" spans="1:11" x14ac:dyDescent="0.25">
      <c r="A200" s="14">
        <f>IF(B200="","",COUNTA($B$4:B200))</f>
        <v>197</v>
      </c>
      <c r="B200" s="14" t="s">
        <v>1551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5"/>
      <c r="K200" s="127"/>
    </row>
    <row r="201" spans="1:11" x14ac:dyDescent="0.25">
      <c r="A201" s="14">
        <f>IF(B201="","",COUNTA($B$4:B201))</f>
        <v>198</v>
      </c>
      <c r="B201" s="14" t="s">
        <v>1552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5"/>
      <c r="K201" s="15"/>
    </row>
    <row r="202" spans="1:11" x14ac:dyDescent="0.25">
      <c r="A202" s="14">
        <f>IF(B202="","",COUNTA($B$4:B202))</f>
        <v>199</v>
      </c>
      <c r="B202" s="14" t="s">
        <v>1553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5"/>
      <c r="K202" s="15"/>
    </row>
    <row r="203" spans="1:11" x14ac:dyDescent="0.25">
      <c r="A203" s="14">
        <f>IF(B203="","",COUNTA($B$4:B203))</f>
        <v>200</v>
      </c>
      <c r="B203" s="14" t="s">
        <v>1554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5"/>
      <c r="K203" s="15"/>
    </row>
    <row r="204" spans="1:11" x14ac:dyDescent="0.25">
      <c r="A204" s="14">
        <f>IF(B204="","",COUNTA($B$4:B204))</f>
        <v>201</v>
      </c>
      <c r="B204" s="14" t="s">
        <v>1555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5"/>
      <c r="K204" s="15"/>
    </row>
    <row r="205" spans="1:11" x14ac:dyDescent="0.25">
      <c r="A205" s="14">
        <f>IF(B205="","",COUNTA($B$4:B205))</f>
        <v>202</v>
      </c>
      <c r="B205" s="14" t="s">
        <v>1557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5"/>
      <c r="K205" s="15"/>
    </row>
    <row r="206" spans="1:11" x14ac:dyDescent="0.25">
      <c r="A206" s="14">
        <f>IF(B206="","",COUNTA($B$4:B206))</f>
        <v>203</v>
      </c>
      <c r="B206" s="14" t="s">
        <v>1557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5"/>
      <c r="K206" s="15"/>
    </row>
    <row r="207" spans="1:11" x14ac:dyDescent="0.25">
      <c r="A207" s="14">
        <f>IF(B207="","",COUNTA($B$4:B207))</f>
        <v>204</v>
      </c>
      <c r="B207" s="14" t="s">
        <v>1515</v>
      </c>
      <c r="C207" s="14" t="s">
        <v>263</v>
      </c>
      <c r="D207" s="14" t="s">
        <v>264</v>
      </c>
      <c r="E207" s="14" t="s">
        <v>263</v>
      </c>
      <c r="F207" s="14" t="s">
        <v>169</v>
      </c>
      <c r="G207" s="14" t="s">
        <v>243</v>
      </c>
      <c r="H207" s="14"/>
      <c r="I207" s="14"/>
      <c r="J207" s="14"/>
      <c r="K207" s="15"/>
    </row>
    <row r="208" spans="1:11" x14ac:dyDescent="0.25">
      <c r="A208" s="14">
        <f>IF(B208="","",COUNTA($B$4:B208))</f>
        <v>205</v>
      </c>
      <c r="B208" s="14" t="s">
        <v>1528</v>
      </c>
      <c r="C208" s="14" t="s">
        <v>263</v>
      </c>
      <c r="D208" s="14" t="s">
        <v>264</v>
      </c>
      <c r="E208" s="14" t="s">
        <v>263</v>
      </c>
      <c r="F208" s="14" t="s">
        <v>169</v>
      </c>
      <c r="G208" s="14" t="s">
        <v>243</v>
      </c>
      <c r="H208" s="14"/>
      <c r="I208" s="14"/>
      <c r="J208" s="14"/>
      <c r="K208" s="15"/>
    </row>
    <row r="209" spans="1:11" x14ac:dyDescent="0.25">
      <c r="A209" s="14">
        <f>IF(B209="","",COUNTA($B$4:B209))</f>
        <v>206</v>
      </c>
      <c r="B209" s="14" t="s">
        <v>1529</v>
      </c>
      <c r="C209" s="14" t="s">
        <v>263</v>
      </c>
      <c r="D209" s="14" t="s">
        <v>264</v>
      </c>
      <c r="E209" s="14" t="s">
        <v>263</v>
      </c>
      <c r="F209" s="14" t="s">
        <v>169</v>
      </c>
      <c r="G209" s="14" t="s">
        <v>243</v>
      </c>
      <c r="H209" s="14"/>
      <c r="I209" s="14"/>
      <c r="J209" s="14"/>
      <c r="K209" s="15"/>
    </row>
    <row r="210" spans="1:11" x14ac:dyDescent="0.25">
      <c r="A210" s="14">
        <f>IF(B210="","",COUNTA($B$4:B210))</f>
        <v>207</v>
      </c>
      <c r="B210" s="14" t="s">
        <v>1530</v>
      </c>
      <c r="C210" s="14" t="s">
        <v>263</v>
      </c>
      <c r="D210" s="14" t="s">
        <v>264</v>
      </c>
      <c r="E210" s="14" t="s">
        <v>263</v>
      </c>
      <c r="F210" s="14" t="s">
        <v>169</v>
      </c>
      <c r="G210" s="14" t="s">
        <v>243</v>
      </c>
      <c r="H210" s="14"/>
      <c r="I210" s="14"/>
      <c r="J210" s="14"/>
      <c r="K210" s="15"/>
    </row>
    <row r="211" spans="1:11" x14ac:dyDescent="0.25">
      <c r="A211" s="14">
        <f>IF(B211="","",COUNTA($B$4:B211))</f>
        <v>208</v>
      </c>
      <c r="B211" s="14" t="s">
        <v>1531</v>
      </c>
      <c r="C211" s="14" t="s">
        <v>263</v>
      </c>
      <c r="D211" s="14" t="s">
        <v>264</v>
      </c>
      <c r="E211" s="14" t="s">
        <v>263</v>
      </c>
      <c r="F211" s="14" t="s">
        <v>169</v>
      </c>
      <c r="G211" s="14" t="s">
        <v>243</v>
      </c>
      <c r="H211" s="14"/>
      <c r="I211" s="14"/>
      <c r="J211" s="14"/>
      <c r="K211" s="15"/>
    </row>
    <row r="212" spans="1:11" x14ac:dyDescent="0.25">
      <c r="A212" s="14">
        <f>IF(B212="","",COUNTA($B$4:B212))</f>
        <v>209</v>
      </c>
      <c r="B212" s="14" t="s">
        <v>1532</v>
      </c>
      <c r="C212" s="14" t="s">
        <v>263</v>
      </c>
      <c r="D212" s="14" t="s">
        <v>264</v>
      </c>
      <c r="E212" s="14" t="s">
        <v>263</v>
      </c>
      <c r="F212" s="14" t="s">
        <v>169</v>
      </c>
      <c r="G212" s="14" t="s">
        <v>243</v>
      </c>
      <c r="H212" s="14"/>
      <c r="I212" s="14"/>
      <c r="J212" s="14"/>
      <c r="K212" s="15"/>
    </row>
    <row r="213" spans="1:11" x14ac:dyDescent="0.25">
      <c r="A213" s="14">
        <f>IF(B213="","",COUNTA($B$4:B213))</f>
        <v>210</v>
      </c>
      <c r="B213" s="14" t="s">
        <v>1533</v>
      </c>
      <c r="C213" s="14" t="s">
        <v>263</v>
      </c>
      <c r="D213" s="14" t="s">
        <v>264</v>
      </c>
      <c r="E213" s="14" t="s">
        <v>263</v>
      </c>
      <c r="F213" s="14" t="s">
        <v>169</v>
      </c>
      <c r="G213" s="14" t="s">
        <v>243</v>
      </c>
      <c r="H213" s="14"/>
      <c r="I213" s="14"/>
      <c r="J213" s="14"/>
      <c r="K213" s="15"/>
    </row>
    <row r="214" spans="1:11" x14ac:dyDescent="0.25">
      <c r="A214" s="14">
        <f>IF(B214="","",COUNTA($B$4:B214))</f>
        <v>211</v>
      </c>
      <c r="B214" s="14" t="s">
        <v>1534</v>
      </c>
      <c r="C214" s="14" t="s">
        <v>263</v>
      </c>
      <c r="D214" s="14" t="s">
        <v>264</v>
      </c>
      <c r="E214" s="14" t="s">
        <v>263</v>
      </c>
      <c r="F214" s="14" t="s">
        <v>169</v>
      </c>
      <c r="G214" s="14" t="s">
        <v>243</v>
      </c>
      <c r="H214" s="14"/>
      <c r="I214" s="14"/>
      <c r="J214" s="14"/>
      <c r="K214" s="127"/>
    </row>
    <row r="215" spans="1:11" x14ac:dyDescent="0.25">
      <c r="A215" s="14">
        <f>IF(B215="","",COUNTA($B$4:B215))</f>
        <v>212</v>
      </c>
      <c r="B215" s="14" t="s">
        <v>1538</v>
      </c>
      <c r="C215" s="14" t="s">
        <v>263</v>
      </c>
      <c r="D215" s="14" t="s">
        <v>264</v>
      </c>
      <c r="E215" s="14" t="s">
        <v>263</v>
      </c>
      <c r="F215" s="14" t="s">
        <v>169</v>
      </c>
      <c r="G215" s="14" t="s">
        <v>243</v>
      </c>
      <c r="H215" s="14"/>
      <c r="I215" s="14"/>
      <c r="J215" s="14"/>
      <c r="K215" s="15"/>
    </row>
    <row r="216" spans="1:11" x14ac:dyDescent="0.25">
      <c r="A216" s="14">
        <f>IF(B216="","",COUNTA($B$4:B216))</f>
        <v>213</v>
      </c>
      <c r="B216" s="14" t="s">
        <v>1545</v>
      </c>
      <c r="C216" s="14" t="s">
        <v>263</v>
      </c>
      <c r="D216" s="14" t="s">
        <v>264</v>
      </c>
      <c r="E216" s="14" t="s">
        <v>263</v>
      </c>
      <c r="F216" s="14" t="s">
        <v>169</v>
      </c>
      <c r="G216" s="14" t="s">
        <v>243</v>
      </c>
      <c r="H216" s="14"/>
      <c r="I216" s="14" t="s">
        <v>244</v>
      </c>
      <c r="J216" s="14"/>
      <c r="K216" s="15"/>
    </row>
    <row r="217" spans="1:11" x14ac:dyDescent="0.25">
      <c r="A217" s="14">
        <f>IF(B217="","",COUNTA($B$4:B217))</f>
        <v>214</v>
      </c>
      <c r="B217" s="14" t="s">
        <v>1546</v>
      </c>
      <c r="C217" s="14" t="s">
        <v>263</v>
      </c>
      <c r="D217" s="14" t="s">
        <v>264</v>
      </c>
      <c r="E217" s="14" t="s">
        <v>263</v>
      </c>
      <c r="F217" s="14" t="s">
        <v>169</v>
      </c>
      <c r="G217" s="14" t="s">
        <v>243</v>
      </c>
      <c r="H217" s="14"/>
      <c r="I217" s="14"/>
      <c r="J217" s="14"/>
      <c r="K217" s="15"/>
    </row>
    <row r="218" spans="1:11" x14ac:dyDescent="0.25">
      <c r="A218" s="14">
        <f>IF(B218="","",COUNTA($B$4:B218))</f>
        <v>215</v>
      </c>
      <c r="B218" s="14" t="s">
        <v>1547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  <c r="K218" s="15"/>
    </row>
    <row r="219" spans="1:11" x14ac:dyDescent="0.25">
      <c r="A219" s="14">
        <f>IF(B219="","",COUNTA($B$4:B219))</f>
        <v>216</v>
      </c>
      <c r="B219" s="14" t="s">
        <v>1548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 x14ac:dyDescent="0.25">
      <c r="A220" s="14">
        <f>IF(B220="","",COUNTA($B$4:B220))</f>
        <v>217</v>
      </c>
      <c r="B220" s="14" t="s">
        <v>1549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27"/>
    </row>
    <row r="221" spans="1:11" x14ac:dyDescent="0.25">
      <c r="A221" s="14">
        <f>IF(B221="","",COUNTA($B$4:B221))</f>
        <v>218</v>
      </c>
      <c r="B221" s="14" t="s">
        <v>1550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5"/>
      <c r="K221" s="15"/>
    </row>
    <row r="222" spans="1:11" x14ac:dyDescent="0.25">
      <c r="A222" s="14">
        <f>IF(B222="","",COUNTA($B$4:B222))</f>
        <v>219</v>
      </c>
      <c r="B222" s="14" t="s">
        <v>1551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5"/>
      <c r="K222" s="15"/>
    </row>
    <row r="223" spans="1:11" x14ac:dyDescent="0.25">
      <c r="A223" s="14">
        <f>IF(B223="","",COUNTA($B$4:B223))</f>
        <v>220</v>
      </c>
      <c r="B223" s="14" t="s">
        <v>1552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5"/>
      <c r="K223" s="15"/>
    </row>
    <row r="224" spans="1:11" x14ac:dyDescent="0.25">
      <c r="A224" s="14">
        <f>IF(B224="","",COUNTA($B$4:B224))</f>
        <v>221</v>
      </c>
      <c r="B224" s="14" t="s">
        <v>1553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5"/>
      <c r="K224" s="15"/>
    </row>
    <row r="225" spans="1:11" x14ac:dyDescent="0.25">
      <c r="A225" s="14">
        <f>IF(B225="","",COUNTA($B$4:B225))</f>
        <v>222</v>
      </c>
      <c r="B225" s="14" t="s">
        <v>1554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5"/>
      <c r="K225" s="15"/>
    </row>
    <row r="226" spans="1:11" x14ac:dyDescent="0.25">
      <c r="A226" s="14">
        <f>IF(B226="","",COUNTA($B$4:B226))</f>
        <v>223</v>
      </c>
      <c r="B226" s="14" t="s">
        <v>1555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5"/>
      <c r="K226" s="127"/>
    </row>
    <row r="227" spans="1:11" x14ac:dyDescent="0.25">
      <c r="A227" s="14">
        <f>IF(B227="","",COUNTA($B$4:B227))</f>
        <v>224</v>
      </c>
      <c r="B227" s="14" t="s">
        <v>1557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5"/>
      <c r="K227" s="127"/>
    </row>
    <row r="228" spans="1:11" x14ac:dyDescent="0.25">
      <c r="A228" s="14">
        <f>IF(B228="","",COUNTA($B$4:B228))</f>
        <v>225</v>
      </c>
      <c r="B228" s="14" t="s">
        <v>1557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/>
      <c r="J228" s="15"/>
      <c r="K228" s="15"/>
    </row>
    <row r="229" spans="1:11" x14ac:dyDescent="0.25">
      <c r="A229" s="14">
        <f>IF(B229="","",COUNTA($B$4:B229))</f>
        <v>226</v>
      </c>
      <c r="B229" s="14" t="s">
        <v>1553</v>
      </c>
      <c r="C229" s="14" t="s">
        <v>1430</v>
      </c>
      <c r="D229" s="14" t="s">
        <v>413</v>
      </c>
      <c r="E229" s="14" t="s">
        <v>1430</v>
      </c>
      <c r="F229" s="14" t="s">
        <v>155</v>
      </c>
      <c r="G229" s="14" t="s">
        <v>156</v>
      </c>
      <c r="H229" s="14">
        <v>1</v>
      </c>
      <c r="I229" s="14"/>
      <c r="J229" s="15"/>
      <c r="K229" s="127"/>
    </row>
    <row r="230" spans="1:11" x14ac:dyDescent="0.25">
      <c r="A230" s="14">
        <f>IF(B230="","",COUNTA($B$4:B230))</f>
        <v>227</v>
      </c>
      <c r="B230" s="14" t="s">
        <v>1554</v>
      </c>
      <c r="C230" s="14" t="s">
        <v>1430</v>
      </c>
      <c r="D230" s="14" t="s">
        <v>413</v>
      </c>
      <c r="E230" s="14" t="s">
        <v>1430</v>
      </c>
      <c r="F230" s="14" t="s">
        <v>155</v>
      </c>
      <c r="G230" s="14" t="s">
        <v>156</v>
      </c>
      <c r="H230" s="14">
        <v>1</v>
      </c>
      <c r="I230" s="14"/>
      <c r="J230" s="15"/>
      <c r="K230" s="15"/>
    </row>
    <row r="231" spans="1:11" x14ac:dyDescent="0.25">
      <c r="A231" s="14">
        <f>IF(B231="","",COUNTA($B$4:B231))</f>
        <v>228</v>
      </c>
      <c r="B231" s="14" t="s">
        <v>1534</v>
      </c>
      <c r="C231" s="14" t="s">
        <v>372</v>
      </c>
      <c r="D231" s="14" t="s">
        <v>373</v>
      </c>
      <c r="E231" s="14" t="s">
        <v>372</v>
      </c>
      <c r="F231" s="14" t="s">
        <v>169</v>
      </c>
      <c r="G231" s="14" t="s">
        <v>170</v>
      </c>
      <c r="H231" s="14"/>
      <c r="I231" s="14"/>
      <c r="J231" s="14"/>
      <c r="K231" s="127"/>
    </row>
    <row r="232" spans="1:11" x14ac:dyDescent="0.25">
      <c r="A232" s="14">
        <f>IF(B232="","",COUNTA($B$4:B232))</f>
        <v>229</v>
      </c>
      <c r="B232" s="14" t="s">
        <v>1515</v>
      </c>
      <c r="C232" s="14" t="s">
        <v>183</v>
      </c>
      <c r="D232" s="14" t="s">
        <v>184</v>
      </c>
      <c r="E232" s="14" t="s">
        <v>183</v>
      </c>
      <c r="F232" s="14" t="s">
        <v>150</v>
      </c>
      <c r="G232" s="14" t="s">
        <v>151</v>
      </c>
      <c r="H232" s="14">
        <v>1000</v>
      </c>
      <c r="I232" s="14"/>
      <c r="J232" s="14"/>
      <c r="K232" s="15"/>
    </row>
    <row r="233" spans="1:11" x14ac:dyDescent="0.25">
      <c r="A233" s="14">
        <f>IF(B233="","",COUNTA($B$4:B233))</f>
        <v>230</v>
      </c>
      <c r="B233" s="14" t="s">
        <v>1528</v>
      </c>
      <c r="C233" s="14" t="s">
        <v>183</v>
      </c>
      <c r="D233" s="14" t="s">
        <v>184</v>
      </c>
      <c r="E233" s="14" t="s">
        <v>183</v>
      </c>
      <c r="F233" s="14" t="s">
        <v>150</v>
      </c>
      <c r="G233" s="14" t="s">
        <v>151</v>
      </c>
      <c r="H233" s="14">
        <v>1000</v>
      </c>
      <c r="I233" s="14"/>
      <c r="J233" s="14"/>
      <c r="K233" s="127"/>
    </row>
    <row r="234" spans="1:11" x14ac:dyDescent="0.25">
      <c r="A234" s="14">
        <f>IF(B234="","",COUNTA($B$4:B234))</f>
        <v>231</v>
      </c>
      <c r="B234" s="14" t="s">
        <v>1529</v>
      </c>
      <c r="C234" s="14" t="s">
        <v>183</v>
      </c>
      <c r="D234" s="14" t="s">
        <v>184</v>
      </c>
      <c r="E234" s="14" t="s">
        <v>183</v>
      </c>
      <c r="F234" s="14" t="s">
        <v>150</v>
      </c>
      <c r="G234" s="14" t="s">
        <v>151</v>
      </c>
      <c r="H234" s="14">
        <v>1000</v>
      </c>
      <c r="I234" s="14"/>
      <c r="J234" s="14"/>
      <c r="K234" s="127"/>
    </row>
    <row r="235" spans="1:11" x14ac:dyDescent="0.25">
      <c r="A235" s="14">
        <f>IF(B235="","",COUNTA($B$4:B235))</f>
        <v>232</v>
      </c>
      <c r="B235" s="14" t="s">
        <v>1530</v>
      </c>
      <c r="C235" s="14" t="s">
        <v>183</v>
      </c>
      <c r="D235" s="14" t="s">
        <v>184</v>
      </c>
      <c r="E235" s="14" t="s">
        <v>183</v>
      </c>
      <c r="F235" s="14" t="s">
        <v>150</v>
      </c>
      <c r="G235" s="14" t="s">
        <v>151</v>
      </c>
      <c r="H235" s="14">
        <v>1000</v>
      </c>
      <c r="I235" s="14"/>
      <c r="J235" s="14"/>
      <c r="K235" s="127"/>
    </row>
    <row r="236" spans="1:11" x14ac:dyDescent="0.25">
      <c r="A236" s="14">
        <f>IF(B236="","",COUNTA($B$4:B236))</f>
        <v>233</v>
      </c>
      <c r="B236" s="14" t="s">
        <v>1531</v>
      </c>
      <c r="C236" s="14" t="s">
        <v>183</v>
      </c>
      <c r="D236" s="14" t="s">
        <v>184</v>
      </c>
      <c r="E236" s="14" t="s">
        <v>183</v>
      </c>
      <c r="F236" s="14" t="s">
        <v>150</v>
      </c>
      <c r="G236" s="14" t="s">
        <v>151</v>
      </c>
      <c r="H236" s="14">
        <v>1000</v>
      </c>
      <c r="I236" s="14"/>
      <c r="J236" s="14"/>
      <c r="K236" s="127"/>
    </row>
    <row r="237" spans="1:11" x14ac:dyDescent="0.25">
      <c r="A237" s="14">
        <f>IF(B237="","",COUNTA($B$4:B237))</f>
        <v>234</v>
      </c>
      <c r="B237" s="14" t="s">
        <v>1533</v>
      </c>
      <c r="C237" s="14" t="s">
        <v>183</v>
      </c>
      <c r="D237" s="14" t="s">
        <v>184</v>
      </c>
      <c r="E237" s="14" t="s">
        <v>183</v>
      </c>
      <c r="F237" s="14" t="s">
        <v>150</v>
      </c>
      <c r="G237" s="14" t="s">
        <v>151</v>
      </c>
      <c r="H237" s="14">
        <v>1000</v>
      </c>
      <c r="I237" s="14"/>
      <c r="J237" s="14"/>
      <c r="K237" s="15"/>
    </row>
    <row r="238" spans="1:11" x14ac:dyDescent="0.25">
      <c r="A238" s="14">
        <f>IF(B238="","",COUNTA($B$4:B238))</f>
        <v>235</v>
      </c>
      <c r="B238" s="14" t="s">
        <v>1515</v>
      </c>
      <c r="C238" s="14" t="s">
        <v>181</v>
      </c>
      <c r="D238" s="14" t="s">
        <v>182</v>
      </c>
      <c r="E238" s="14" t="s">
        <v>181</v>
      </c>
      <c r="F238" s="14" t="s">
        <v>150</v>
      </c>
      <c r="G238" s="14" t="s">
        <v>151</v>
      </c>
      <c r="H238" s="14">
        <v>30</v>
      </c>
      <c r="I238" s="14"/>
      <c r="J238" s="14"/>
      <c r="K238" s="15"/>
    </row>
    <row r="239" spans="1:11" x14ac:dyDescent="0.25">
      <c r="A239" s="14">
        <f>IF(B239="","",COUNTA($B$4:B239))</f>
        <v>236</v>
      </c>
      <c r="B239" s="14" t="s">
        <v>1528</v>
      </c>
      <c r="C239" s="14" t="s">
        <v>181</v>
      </c>
      <c r="D239" s="14" t="s">
        <v>182</v>
      </c>
      <c r="E239" s="14" t="s">
        <v>181</v>
      </c>
      <c r="F239" s="14" t="s">
        <v>150</v>
      </c>
      <c r="G239" s="14" t="s">
        <v>151</v>
      </c>
      <c r="H239" s="14">
        <v>30</v>
      </c>
      <c r="I239" s="14"/>
      <c r="J239" s="14"/>
      <c r="K239" s="15"/>
    </row>
    <row r="240" spans="1:11" x14ac:dyDescent="0.25">
      <c r="A240" s="14">
        <f>IF(B240="","",COUNTA($B$4:B240))</f>
        <v>237</v>
      </c>
      <c r="B240" s="14" t="s">
        <v>1529</v>
      </c>
      <c r="C240" s="14" t="s">
        <v>181</v>
      </c>
      <c r="D240" s="14" t="s">
        <v>182</v>
      </c>
      <c r="E240" s="14" t="s">
        <v>181</v>
      </c>
      <c r="F240" s="14" t="s">
        <v>150</v>
      </c>
      <c r="G240" s="14" t="s">
        <v>151</v>
      </c>
      <c r="H240" s="14">
        <v>30</v>
      </c>
      <c r="I240" s="14"/>
      <c r="J240" s="14"/>
      <c r="K240" s="15"/>
    </row>
    <row r="241" spans="1:11" x14ac:dyDescent="0.25">
      <c r="A241" s="14">
        <f>IF(B241="","",COUNTA($B$4:B241))</f>
        <v>238</v>
      </c>
      <c r="B241" s="14" t="s">
        <v>1530</v>
      </c>
      <c r="C241" s="14" t="s">
        <v>181</v>
      </c>
      <c r="D241" s="14" t="s">
        <v>182</v>
      </c>
      <c r="E241" s="14" t="s">
        <v>181</v>
      </c>
      <c r="F241" s="14" t="s">
        <v>150</v>
      </c>
      <c r="G241" s="14" t="s">
        <v>151</v>
      </c>
      <c r="H241" s="14">
        <v>30</v>
      </c>
      <c r="I241" s="14"/>
      <c r="J241" s="14"/>
      <c r="K241" s="15"/>
    </row>
    <row r="242" spans="1:11" x14ac:dyDescent="0.25">
      <c r="A242" s="14">
        <f>IF(B242="","",COUNTA($B$4:B242))</f>
        <v>239</v>
      </c>
      <c r="B242" s="14" t="s">
        <v>1531</v>
      </c>
      <c r="C242" s="14" t="s">
        <v>181</v>
      </c>
      <c r="D242" s="14" t="s">
        <v>182</v>
      </c>
      <c r="E242" s="14" t="s">
        <v>181</v>
      </c>
      <c r="F242" s="14" t="s">
        <v>150</v>
      </c>
      <c r="G242" s="14" t="s">
        <v>151</v>
      </c>
      <c r="H242" s="14">
        <v>30</v>
      </c>
      <c r="I242" s="14"/>
      <c r="J242" s="14"/>
      <c r="K242" s="127"/>
    </row>
    <row r="243" spans="1:11" x14ac:dyDescent="0.25">
      <c r="A243" s="14">
        <f>IF(B243="","",COUNTA($B$4:B243))</f>
        <v>240</v>
      </c>
      <c r="B243" s="14" t="s">
        <v>1533</v>
      </c>
      <c r="C243" s="14" t="s">
        <v>181</v>
      </c>
      <c r="D243" s="14" t="s">
        <v>182</v>
      </c>
      <c r="E243" s="14" t="s">
        <v>181</v>
      </c>
      <c r="F243" s="14" t="s">
        <v>150</v>
      </c>
      <c r="G243" s="14" t="s">
        <v>151</v>
      </c>
      <c r="H243" s="14">
        <v>30</v>
      </c>
      <c r="I243" s="14"/>
      <c r="J243" s="14"/>
      <c r="K243" s="15"/>
    </row>
    <row r="244" spans="1:11" x14ac:dyDescent="0.25">
      <c r="A244" s="14">
        <f>IF(B244="","",COUNTA($B$4:B244))</f>
        <v>241</v>
      </c>
      <c r="B244" s="14" t="s">
        <v>1555</v>
      </c>
      <c r="C244" s="14" t="s">
        <v>1448</v>
      </c>
      <c r="D244" s="14" t="s">
        <v>1444</v>
      </c>
      <c r="E244" s="14" t="s">
        <v>1448</v>
      </c>
      <c r="F244" s="14" t="s">
        <v>150</v>
      </c>
      <c r="G244" s="14" t="s">
        <v>151</v>
      </c>
      <c r="H244" s="14">
        <v>4</v>
      </c>
      <c r="I244" s="14"/>
      <c r="J244" s="15"/>
      <c r="K244" s="127"/>
    </row>
    <row r="245" spans="1:11" x14ac:dyDescent="0.25">
      <c r="A245" s="14">
        <f>IF(B245="","",COUNTA($B$4:B245))</f>
        <v>242</v>
      </c>
      <c r="B245" s="14" t="s">
        <v>1555</v>
      </c>
      <c r="C245" s="14" t="s">
        <v>1447</v>
      </c>
      <c r="D245" s="14" t="s">
        <v>1439</v>
      </c>
      <c r="E245" s="14" t="s">
        <v>1447</v>
      </c>
      <c r="F245" s="14" t="s">
        <v>150</v>
      </c>
      <c r="G245" s="14" t="s">
        <v>151</v>
      </c>
      <c r="H245" s="14">
        <v>4</v>
      </c>
      <c r="I245" s="14"/>
      <c r="J245" s="15"/>
      <c r="K245" s="127"/>
    </row>
    <row r="246" spans="1:11" x14ac:dyDescent="0.25">
      <c r="A246" s="14">
        <f>IF(B246="","",COUNTA($B$4:B246))</f>
        <v>243</v>
      </c>
      <c r="B246" s="14" t="s">
        <v>1555</v>
      </c>
      <c r="C246" s="14" t="s">
        <v>1449</v>
      </c>
      <c r="D246" s="14" t="s">
        <v>1435</v>
      </c>
      <c r="E246" s="14" t="s">
        <v>1449</v>
      </c>
      <c r="F246" s="14" t="s">
        <v>150</v>
      </c>
      <c r="G246" s="14" t="s">
        <v>151</v>
      </c>
      <c r="H246" s="14">
        <v>1</v>
      </c>
      <c r="I246" s="14"/>
      <c r="J246" s="15"/>
      <c r="K246" s="15"/>
    </row>
    <row r="247" spans="1:11" x14ac:dyDescent="0.25">
      <c r="A247" s="14">
        <f>IF(B247="","",COUNTA($B$4:B247))</f>
        <v>244</v>
      </c>
      <c r="B247" s="14" t="s">
        <v>1532</v>
      </c>
      <c r="C247" s="14" t="s">
        <v>1489</v>
      </c>
      <c r="D247" s="14" t="s">
        <v>1422</v>
      </c>
      <c r="E247" s="14" t="s">
        <v>1489</v>
      </c>
      <c r="F247" s="14" t="s">
        <v>150</v>
      </c>
      <c r="G247" s="14" t="s">
        <v>151</v>
      </c>
      <c r="H247" s="14">
        <v>30</v>
      </c>
      <c r="I247" s="14"/>
      <c r="J247" s="14"/>
      <c r="K247" s="127"/>
    </row>
    <row r="248" spans="1:11" x14ac:dyDescent="0.25">
      <c r="A248" s="14">
        <f>IF(B248="","",COUNTA($B$4:B248))</f>
        <v>245</v>
      </c>
      <c r="B248" s="14" t="s">
        <v>1532</v>
      </c>
      <c r="C248" s="14" t="s">
        <v>1394</v>
      </c>
      <c r="D248" s="14" t="s">
        <v>1395</v>
      </c>
      <c r="E248" s="14" t="s">
        <v>1394</v>
      </c>
      <c r="F248" s="14" t="s">
        <v>150</v>
      </c>
      <c r="G248" s="14" t="s">
        <v>151</v>
      </c>
      <c r="H248" s="14">
        <v>30</v>
      </c>
      <c r="I248" s="14"/>
      <c r="J248" s="14"/>
      <c r="K248" s="15"/>
    </row>
    <row r="249" spans="1:11" x14ac:dyDescent="0.25">
      <c r="A249" s="14">
        <f>IF(B249="","",COUNTA($B$4:B249))</f>
        <v>246</v>
      </c>
      <c r="B249" s="14" t="s">
        <v>1555</v>
      </c>
      <c r="C249" s="14" t="s">
        <v>441</v>
      </c>
      <c r="D249" s="14" t="s">
        <v>442</v>
      </c>
      <c r="E249" s="14" t="s">
        <v>441</v>
      </c>
      <c r="F249" s="14" t="s">
        <v>150</v>
      </c>
      <c r="G249" s="14" t="s">
        <v>151</v>
      </c>
      <c r="H249" s="14">
        <v>1</v>
      </c>
      <c r="I249" s="14" t="s">
        <v>244</v>
      </c>
      <c r="J249" s="15"/>
      <c r="K249" s="127"/>
    </row>
    <row r="250" spans="1:11" x14ac:dyDescent="0.25">
      <c r="A250" s="14">
        <f>IF(B250="","",COUNTA($B$4:B250))</f>
        <v>247</v>
      </c>
      <c r="B250" s="14" t="s">
        <v>1538</v>
      </c>
      <c r="C250" s="14" t="s">
        <v>1423</v>
      </c>
      <c r="D250" s="14" t="s">
        <v>1378</v>
      </c>
      <c r="E250" s="14" t="s">
        <v>1423</v>
      </c>
      <c r="F250" s="14" t="s">
        <v>150</v>
      </c>
      <c r="G250" s="14" t="s">
        <v>151</v>
      </c>
      <c r="H250" s="14">
        <v>15</v>
      </c>
      <c r="I250" s="14"/>
      <c r="J250" s="14"/>
      <c r="K250" s="127"/>
    </row>
    <row r="251" spans="1:11" x14ac:dyDescent="0.25">
      <c r="A251" s="14">
        <f>IF(B251="","",COUNTA($B$4:B251))</f>
        <v>248</v>
      </c>
      <c r="B251" s="14" t="s">
        <v>1546</v>
      </c>
      <c r="C251" s="14" t="s">
        <v>1423</v>
      </c>
      <c r="D251" s="14" t="s">
        <v>1378</v>
      </c>
      <c r="E251" s="14" t="s">
        <v>1423</v>
      </c>
      <c r="F251" s="14" t="s">
        <v>150</v>
      </c>
      <c r="G251" s="14" t="s">
        <v>151</v>
      </c>
      <c r="H251" s="14">
        <v>15</v>
      </c>
      <c r="I251" s="14"/>
      <c r="J251" s="14"/>
      <c r="K251" s="127"/>
    </row>
    <row r="252" spans="1:11" x14ac:dyDescent="0.25">
      <c r="A252" s="14">
        <f>IF(B252="","",COUNTA($B$4:B252))</f>
        <v>249</v>
      </c>
      <c r="B252" s="14" t="s">
        <v>1548</v>
      </c>
      <c r="C252" s="14" t="s">
        <v>1423</v>
      </c>
      <c r="D252" s="14" t="s">
        <v>1378</v>
      </c>
      <c r="E252" s="14" t="s">
        <v>1423</v>
      </c>
      <c r="F252" s="14" t="s">
        <v>150</v>
      </c>
      <c r="G252" s="14" t="s">
        <v>151</v>
      </c>
      <c r="H252" s="14">
        <v>15</v>
      </c>
      <c r="I252" s="14"/>
      <c r="J252" s="14"/>
      <c r="K252" s="15"/>
    </row>
    <row r="253" spans="1:11" x14ac:dyDescent="0.25">
      <c r="A253" s="14">
        <f>IF(B253="","",COUNTA($B$4:B253))</f>
        <v>250</v>
      </c>
      <c r="B253" s="14" t="s">
        <v>1550</v>
      </c>
      <c r="C253" s="14" t="s">
        <v>1423</v>
      </c>
      <c r="D253" s="14" t="s">
        <v>1378</v>
      </c>
      <c r="E253" s="14" t="s">
        <v>1423</v>
      </c>
      <c r="F253" s="14" t="s">
        <v>150</v>
      </c>
      <c r="G253" s="14" t="s">
        <v>151</v>
      </c>
      <c r="H253" s="14">
        <v>15</v>
      </c>
      <c r="I253" s="14"/>
      <c r="J253" s="15"/>
      <c r="K253" s="15"/>
    </row>
    <row r="254" spans="1:11" x14ac:dyDescent="0.25">
      <c r="A254" s="14">
        <f>IF(B254="","",COUNTA($B$4:B254))</f>
        <v>251</v>
      </c>
      <c r="B254" s="14" t="s">
        <v>1532</v>
      </c>
      <c r="C254" s="14" t="s">
        <v>1472</v>
      </c>
      <c r="D254" s="14" t="s">
        <v>1470</v>
      </c>
      <c r="E254" s="14" t="s">
        <v>1472</v>
      </c>
      <c r="F254" s="14" t="s">
        <v>150</v>
      </c>
      <c r="G254" s="14" t="s">
        <v>151</v>
      </c>
      <c r="H254" s="14">
        <v>30</v>
      </c>
      <c r="I254" s="14"/>
      <c r="J254" s="14"/>
      <c r="K254" s="127"/>
    </row>
    <row r="255" spans="1:11" x14ac:dyDescent="0.25">
      <c r="A255" s="14">
        <f>IF(B255="","",COUNTA($B$4:B255))</f>
        <v>252</v>
      </c>
      <c r="B255" s="14" t="s">
        <v>1538</v>
      </c>
      <c r="C255" s="14" t="s">
        <v>375</v>
      </c>
      <c r="D255" s="14" t="s">
        <v>376</v>
      </c>
      <c r="E255" s="14" t="s">
        <v>375</v>
      </c>
      <c r="F255" s="14" t="s">
        <v>169</v>
      </c>
      <c r="G255" s="14" t="s">
        <v>170</v>
      </c>
      <c r="H255" s="14"/>
      <c r="I255" s="14"/>
      <c r="J255" s="14"/>
      <c r="K255" s="15"/>
    </row>
    <row r="256" spans="1:11" x14ac:dyDescent="0.25">
      <c r="A256" s="14">
        <f>IF(B256="","",COUNTA($B$4:B256))</f>
        <v>253</v>
      </c>
      <c r="B256" s="14" t="s">
        <v>1546</v>
      </c>
      <c r="C256" s="14" t="s">
        <v>375</v>
      </c>
      <c r="D256" s="14" t="s">
        <v>376</v>
      </c>
      <c r="E256" s="14" t="s">
        <v>375</v>
      </c>
      <c r="F256" s="14" t="s">
        <v>169</v>
      </c>
      <c r="G256" s="14" t="s">
        <v>170</v>
      </c>
      <c r="H256" s="14"/>
      <c r="I256" s="14"/>
      <c r="J256" s="14"/>
      <c r="K256" s="127"/>
    </row>
    <row r="257" spans="1:11" x14ac:dyDescent="0.25">
      <c r="A257" s="14">
        <f>IF(B257="","",COUNTA($B$4:B257))</f>
        <v>254</v>
      </c>
      <c r="B257" s="14" t="s">
        <v>1548</v>
      </c>
      <c r="C257" s="14" t="s">
        <v>375</v>
      </c>
      <c r="D257" s="14" t="s">
        <v>376</v>
      </c>
      <c r="E257" s="14" t="s">
        <v>375</v>
      </c>
      <c r="F257" s="14" t="s">
        <v>169</v>
      </c>
      <c r="G257" s="14" t="s">
        <v>170</v>
      </c>
      <c r="H257" s="14"/>
      <c r="I257" s="14"/>
      <c r="J257" s="14"/>
      <c r="K257" s="127"/>
    </row>
    <row r="258" spans="1:11" x14ac:dyDescent="0.25">
      <c r="A258" s="14">
        <f>IF(B258="","",COUNTA($B$4:B258))</f>
        <v>255</v>
      </c>
      <c r="B258" s="14" t="s">
        <v>1550</v>
      </c>
      <c r="C258" s="14" t="s">
        <v>375</v>
      </c>
      <c r="D258" s="14" t="s">
        <v>376</v>
      </c>
      <c r="E258" s="14" t="s">
        <v>375</v>
      </c>
      <c r="F258" s="14" t="s">
        <v>169</v>
      </c>
      <c r="G258" s="14" t="s">
        <v>170</v>
      </c>
      <c r="H258" s="14"/>
      <c r="I258" s="14"/>
      <c r="J258" s="15"/>
      <c r="K258" s="15"/>
    </row>
    <row r="259" spans="1:11" x14ac:dyDescent="0.25">
      <c r="A259" s="14">
        <f>IF(B259="","",COUNTA($B$4:B259))</f>
        <v>256</v>
      </c>
      <c r="B259" s="14" t="s">
        <v>1552</v>
      </c>
      <c r="C259" s="14" t="s">
        <v>375</v>
      </c>
      <c r="D259" s="14" t="s">
        <v>376</v>
      </c>
      <c r="E259" s="14" t="s">
        <v>375</v>
      </c>
      <c r="F259" s="14" t="s">
        <v>169</v>
      </c>
      <c r="G259" s="14" t="s">
        <v>170</v>
      </c>
      <c r="H259" s="14"/>
      <c r="I259" s="14"/>
      <c r="J259" s="15"/>
      <c r="K259" s="127"/>
    </row>
    <row r="260" spans="1:11" x14ac:dyDescent="0.25">
      <c r="A260" s="14">
        <f>IF(B260="","",COUNTA($B$4:B260))</f>
        <v>257</v>
      </c>
      <c r="B260" s="14" t="s">
        <v>1554</v>
      </c>
      <c r="C260" s="14" t="s">
        <v>1433</v>
      </c>
      <c r="D260" s="14" t="s">
        <v>417</v>
      </c>
      <c r="E260" s="14" t="s">
        <v>1434</v>
      </c>
      <c r="F260" s="14" t="s">
        <v>150</v>
      </c>
      <c r="G260" s="14" t="s">
        <v>151</v>
      </c>
      <c r="H260" s="14">
        <v>15</v>
      </c>
      <c r="I260" s="14"/>
      <c r="J260" s="15"/>
      <c r="K260" s="127"/>
    </row>
    <row r="261" spans="1:11" x14ac:dyDescent="0.25">
      <c r="A261" s="14">
        <f>IF(B261="","",COUNTA($B$4:B261))</f>
        <v>258</v>
      </c>
      <c r="B261" s="14" t="s">
        <v>1553</v>
      </c>
      <c r="C261" s="14" t="s">
        <v>1279</v>
      </c>
      <c r="D261" s="14" t="s">
        <v>1280</v>
      </c>
      <c r="E261" s="14" t="s">
        <v>1279</v>
      </c>
      <c r="F261" s="14" t="s">
        <v>155</v>
      </c>
      <c r="G261" s="14" t="s">
        <v>156</v>
      </c>
      <c r="H261" s="14">
        <v>1</v>
      </c>
      <c r="I261" s="14"/>
      <c r="J261" s="15"/>
      <c r="K261" s="15"/>
    </row>
    <row r="262" spans="1:11" x14ac:dyDescent="0.25">
      <c r="A262" s="14">
        <f>IF(B262="","",COUNTA($B$4:B262))</f>
        <v>259</v>
      </c>
      <c r="B262" s="14" t="s">
        <v>1533</v>
      </c>
      <c r="C262" s="14" t="s">
        <v>330</v>
      </c>
      <c r="D262" s="14" t="s">
        <v>331</v>
      </c>
      <c r="E262" s="14" t="s">
        <v>330</v>
      </c>
      <c r="F262" s="14" t="s">
        <v>150</v>
      </c>
      <c r="G262" s="14" t="s">
        <v>151</v>
      </c>
      <c r="H262" s="14">
        <v>100</v>
      </c>
      <c r="I262" s="14"/>
      <c r="J262" s="14"/>
      <c r="K262" s="127"/>
    </row>
    <row r="263" spans="1:11" x14ac:dyDescent="0.25">
      <c r="A263" s="14">
        <f>IF(B263="","",COUNTA($B$4:B263))</f>
        <v>260</v>
      </c>
      <c r="B263" s="14" t="s">
        <v>1515</v>
      </c>
      <c r="C263" s="14" t="s">
        <v>172</v>
      </c>
      <c r="D263" s="14" t="s">
        <v>177</v>
      </c>
      <c r="E263" s="14" t="s">
        <v>172</v>
      </c>
      <c r="F263" s="14" t="s">
        <v>155</v>
      </c>
      <c r="G263" s="14" t="s">
        <v>156</v>
      </c>
      <c r="H263" s="14">
        <v>5</v>
      </c>
      <c r="I263" s="14">
        <v>1</v>
      </c>
      <c r="J263" s="14"/>
      <c r="K263" s="15"/>
    </row>
    <row r="264" spans="1:11" x14ac:dyDescent="0.25">
      <c r="A264" s="14">
        <f>IF(B264="","",COUNTA($B$4:B264))</f>
        <v>261</v>
      </c>
      <c r="B264" s="14" t="s">
        <v>1528</v>
      </c>
      <c r="C264" s="14" t="s">
        <v>172</v>
      </c>
      <c r="D264" s="14" t="s">
        <v>177</v>
      </c>
      <c r="E264" s="14" t="s">
        <v>172</v>
      </c>
      <c r="F264" s="14" t="s">
        <v>150</v>
      </c>
      <c r="G264" s="14" t="s">
        <v>151</v>
      </c>
      <c r="H264" s="14">
        <v>6</v>
      </c>
      <c r="I264" s="14"/>
      <c r="J264" s="14"/>
      <c r="K264" s="15"/>
    </row>
    <row r="265" spans="1:11" x14ac:dyDescent="0.25">
      <c r="A265" s="14">
        <f>IF(B265="","",COUNTA($B$4:B265))</f>
        <v>262</v>
      </c>
      <c r="B265" s="14" t="s">
        <v>1529</v>
      </c>
      <c r="C265" s="14" t="s">
        <v>172</v>
      </c>
      <c r="D265" s="14" t="s">
        <v>177</v>
      </c>
      <c r="E265" s="14" t="s">
        <v>172</v>
      </c>
      <c r="F265" s="14" t="s">
        <v>155</v>
      </c>
      <c r="G265" s="14" t="s">
        <v>156</v>
      </c>
      <c r="H265" s="14">
        <v>5</v>
      </c>
      <c r="I265" s="14">
        <v>1</v>
      </c>
      <c r="J265" s="14"/>
      <c r="K265" s="127"/>
    </row>
    <row r="266" spans="1:11" x14ac:dyDescent="0.25">
      <c r="A266" s="14">
        <f>IF(B266="","",COUNTA($B$4:B266))</f>
        <v>263</v>
      </c>
      <c r="B266" s="14" t="s">
        <v>1530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  <c r="K266" s="127"/>
    </row>
    <row r="267" spans="1:11" x14ac:dyDescent="0.25">
      <c r="A267" s="14">
        <f>IF(B267="","",COUNTA($B$4:B267))</f>
        <v>264</v>
      </c>
      <c r="B267" s="14" t="s">
        <v>1531</v>
      </c>
      <c r="C267" s="14" t="s">
        <v>172</v>
      </c>
      <c r="D267" s="14" t="s">
        <v>177</v>
      </c>
      <c r="E267" s="14" t="s">
        <v>172</v>
      </c>
      <c r="F267" s="14" t="s">
        <v>155</v>
      </c>
      <c r="G267" s="14" t="s">
        <v>156</v>
      </c>
      <c r="H267" s="14">
        <v>5</v>
      </c>
      <c r="I267" s="14">
        <v>1</v>
      </c>
      <c r="J267" s="14"/>
      <c r="K267" s="15"/>
    </row>
    <row r="268" spans="1:11" x14ac:dyDescent="0.25">
      <c r="A268" s="14">
        <f>IF(B268="","",COUNTA($B$4:B268))</f>
        <v>265</v>
      </c>
      <c r="B268" s="14" t="s">
        <v>1532</v>
      </c>
      <c r="C268" s="14" t="s">
        <v>172</v>
      </c>
      <c r="D268" s="14" t="s">
        <v>177</v>
      </c>
      <c r="E268" s="14" t="s">
        <v>172</v>
      </c>
      <c r="F268" s="14" t="s">
        <v>155</v>
      </c>
      <c r="G268" s="14" t="s">
        <v>156</v>
      </c>
      <c r="H268" s="14">
        <v>5</v>
      </c>
      <c r="I268" s="14">
        <v>1</v>
      </c>
      <c r="J268" s="14"/>
      <c r="K268" s="15"/>
    </row>
    <row r="269" spans="1:11" x14ac:dyDescent="0.25">
      <c r="A269" s="14">
        <f>IF(B269="","",COUNTA($B$4:B269))</f>
        <v>266</v>
      </c>
      <c r="B269" s="14" t="s">
        <v>1533</v>
      </c>
      <c r="C269" s="14" t="s">
        <v>172</v>
      </c>
      <c r="D269" s="14" t="s">
        <v>177</v>
      </c>
      <c r="E269" s="14" t="s">
        <v>172</v>
      </c>
      <c r="F269" s="14" t="s">
        <v>155</v>
      </c>
      <c r="G269" s="14" t="s">
        <v>156</v>
      </c>
      <c r="H269" s="14">
        <v>5</v>
      </c>
      <c r="I269" s="14">
        <v>1</v>
      </c>
      <c r="J269" s="14"/>
      <c r="K269" s="127"/>
    </row>
    <row r="270" spans="1:11" x14ac:dyDescent="0.25">
      <c r="A270" s="14">
        <f>IF(B270="","",COUNTA($B$4:B270))</f>
        <v>267</v>
      </c>
      <c r="B270" s="14" t="s">
        <v>1515</v>
      </c>
      <c r="C270" s="14" t="s">
        <v>251</v>
      </c>
      <c r="D270" s="14" t="s">
        <v>252</v>
      </c>
      <c r="E270" s="14" t="s">
        <v>251</v>
      </c>
      <c r="F270" s="14" t="s">
        <v>150</v>
      </c>
      <c r="G270" s="14" t="s">
        <v>151</v>
      </c>
      <c r="H270" s="14">
        <v>4</v>
      </c>
      <c r="I270" s="14"/>
      <c r="J270" s="14"/>
      <c r="K270" s="15"/>
    </row>
    <row r="271" spans="1:11" x14ac:dyDescent="0.25">
      <c r="A271" s="14">
        <f>IF(B271="","",COUNTA($B$4:B271))</f>
        <v>268</v>
      </c>
      <c r="B271" s="14" t="s">
        <v>1528</v>
      </c>
      <c r="C271" s="14" t="s">
        <v>251</v>
      </c>
      <c r="D271" s="14" t="s">
        <v>252</v>
      </c>
      <c r="E271" s="14" t="s">
        <v>251</v>
      </c>
      <c r="F271" s="14" t="s">
        <v>150</v>
      </c>
      <c r="G271" s="14" t="s">
        <v>151</v>
      </c>
      <c r="H271" s="14">
        <v>4</v>
      </c>
      <c r="I271" s="14"/>
      <c r="J271" s="14"/>
      <c r="K271" s="127"/>
    </row>
    <row r="272" spans="1:11" x14ac:dyDescent="0.25">
      <c r="A272" s="14">
        <f>IF(B272="","",COUNTA($B$4:B272))</f>
        <v>269</v>
      </c>
      <c r="B272" s="14" t="s">
        <v>1529</v>
      </c>
      <c r="C272" s="14" t="s">
        <v>251</v>
      </c>
      <c r="D272" s="14" t="s">
        <v>252</v>
      </c>
      <c r="E272" s="14" t="s">
        <v>251</v>
      </c>
      <c r="F272" s="14" t="s">
        <v>150</v>
      </c>
      <c r="G272" s="14" t="s">
        <v>151</v>
      </c>
      <c r="H272" s="14">
        <v>4</v>
      </c>
      <c r="I272" s="14"/>
      <c r="J272" s="14"/>
      <c r="K272" s="15"/>
    </row>
    <row r="273" spans="1:11" x14ac:dyDescent="0.25">
      <c r="A273" s="14">
        <f>IF(B273="","",COUNTA($B$4:B273))</f>
        <v>270</v>
      </c>
      <c r="B273" s="14" t="s">
        <v>1530</v>
      </c>
      <c r="C273" s="14" t="s">
        <v>251</v>
      </c>
      <c r="D273" s="14" t="s">
        <v>252</v>
      </c>
      <c r="E273" s="14" t="s">
        <v>251</v>
      </c>
      <c r="F273" s="14" t="s">
        <v>150</v>
      </c>
      <c r="G273" s="14" t="s">
        <v>151</v>
      </c>
      <c r="H273" s="14">
        <v>4</v>
      </c>
      <c r="I273" s="14"/>
      <c r="J273" s="14"/>
      <c r="K273" s="127"/>
    </row>
    <row r="274" spans="1:11" x14ac:dyDescent="0.25">
      <c r="A274" s="14">
        <f>IF(B274="","",COUNTA($B$4:B274))</f>
        <v>271</v>
      </c>
      <c r="B274" s="14" t="s">
        <v>1531</v>
      </c>
      <c r="C274" s="14" t="s">
        <v>251</v>
      </c>
      <c r="D274" s="14" t="s">
        <v>252</v>
      </c>
      <c r="E274" s="14" t="s">
        <v>251</v>
      </c>
      <c r="F274" s="14" t="s">
        <v>150</v>
      </c>
      <c r="G274" s="14" t="s">
        <v>151</v>
      </c>
      <c r="H274" s="14">
        <v>4</v>
      </c>
      <c r="I274" s="14"/>
      <c r="J274" s="14"/>
      <c r="K274" s="15"/>
    </row>
    <row r="275" spans="1:11" x14ac:dyDescent="0.25">
      <c r="A275" s="14">
        <f>IF(B275="","",COUNTA($B$4:B275))</f>
        <v>272</v>
      </c>
      <c r="B275" s="14" t="s">
        <v>1532</v>
      </c>
      <c r="C275" s="14" t="s">
        <v>251</v>
      </c>
      <c r="D275" s="14" t="s">
        <v>252</v>
      </c>
      <c r="E275" s="14" t="s">
        <v>251</v>
      </c>
      <c r="F275" s="14" t="s">
        <v>150</v>
      </c>
      <c r="G275" s="14" t="s">
        <v>151</v>
      </c>
      <c r="H275" s="14">
        <v>4</v>
      </c>
      <c r="I275" s="14"/>
      <c r="J275" s="14"/>
      <c r="K275" s="15"/>
    </row>
    <row r="276" spans="1:11" x14ac:dyDescent="0.25">
      <c r="A276" s="14">
        <f>IF(B276="","",COUNTA($B$4:B276))</f>
        <v>273</v>
      </c>
      <c r="B276" s="14" t="s">
        <v>1533</v>
      </c>
      <c r="C276" s="14" t="s">
        <v>251</v>
      </c>
      <c r="D276" s="14" t="s">
        <v>252</v>
      </c>
      <c r="E276" s="14" t="s">
        <v>251</v>
      </c>
      <c r="F276" s="14" t="s">
        <v>150</v>
      </c>
      <c r="G276" s="14" t="s">
        <v>151</v>
      </c>
      <c r="H276" s="14">
        <v>4</v>
      </c>
      <c r="I276" s="14"/>
      <c r="J276" s="14"/>
      <c r="K276" s="15"/>
    </row>
    <row r="277" spans="1:11" x14ac:dyDescent="0.25">
      <c r="A277" s="14">
        <f>IF(B277="","",COUNTA($B$4:B277))</f>
        <v>274</v>
      </c>
      <c r="B277" s="14" t="s">
        <v>1538</v>
      </c>
      <c r="C277" s="14" t="s">
        <v>251</v>
      </c>
      <c r="D277" s="14" t="s">
        <v>252</v>
      </c>
      <c r="E277" s="14" t="s">
        <v>251</v>
      </c>
      <c r="F277" s="14" t="s">
        <v>150</v>
      </c>
      <c r="G277" s="14" t="s">
        <v>151</v>
      </c>
      <c r="H277" s="14">
        <v>4</v>
      </c>
      <c r="I277" s="14"/>
      <c r="J277" s="14"/>
      <c r="K277" s="15"/>
    </row>
    <row r="278" spans="1:11" x14ac:dyDescent="0.25">
      <c r="A278" s="14">
        <f>IF(B278="","",COUNTA($B$4:B278))</f>
        <v>275</v>
      </c>
      <c r="B278" s="14" t="s">
        <v>1545</v>
      </c>
      <c r="C278" s="14" t="s">
        <v>251</v>
      </c>
      <c r="D278" s="14" t="s">
        <v>252</v>
      </c>
      <c r="E278" s="14" t="s">
        <v>251</v>
      </c>
      <c r="F278" s="14" t="s">
        <v>150</v>
      </c>
      <c r="G278" s="14" t="s">
        <v>151</v>
      </c>
      <c r="H278" s="14">
        <v>4</v>
      </c>
      <c r="I278" s="14" t="s">
        <v>244</v>
      </c>
      <c r="J278" s="14"/>
      <c r="K278" s="15"/>
    </row>
    <row r="279" spans="1:11" x14ac:dyDescent="0.25">
      <c r="A279" s="14">
        <f>IF(B279="","",COUNTA($B$4:B279))</f>
        <v>276</v>
      </c>
      <c r="B279" s="14" t="s">
        <v>1546</v>
      </c>
      <c r="C279" s="14" t="s">
        <v>251</v>
      </c>
      <c r="D279" s="14" t="s">
        <v>252</v>
      </c>
      <c r="E279" s="14" t="s">
        <v>251</v>
      </c>
      <c r="F279" s="14" t="s">
        <v>150</v>
      </c>
      <c r="G279" s="14" t="s">
        <v>151</v>
      </c>
      <c r="H279" s="14">
        <v>4</v>
      </c>
      <c r="I279" s="14"/>
      <c r="J279" s="14"/>
      <c r="K279" s="127"/>
    </row>
    <row r="280" spans="1:11" x14ac:dyDescent="0.25">
      <c r="A280" s="14">
        <f>IF(B280="","",COUNTA($B$4:B280))</f>
        <v>277</v>
      </c>
      <c r="B280" s="14" t="s">
        <v>1547</v>
      </c>
      <c r="C280" s="14" t="s">
        <v>251</v>
      </c>
      <c r="D280" s="14" t="s">
        <v>252</v>
      </c>
      <c r="E280" s="14" t="s">
        <v>251</v>
      </c>
      <c r="F280" s="14" t="s">
        <v>150</v>
      </c>
      <c r="G280" s="14" t="s">
        <v>151</v>
      </c>
      <c r="H280" s="14">
        <v>4</v>
      </c>
      <c r="I280" s="14"/>
      <c r="J280" s="14"/>
      <c r="K280" s="15"/>
    </row>
    <row r="281" spans="1:11" x14ac:dyDescent="0.25">
      <c r="A281" s="14">
        <f>IF(B281="","",COUNTA($B$4:B281))</f>
        <v>278</v>
      </c>
      <c r="B281" s="14" t="s">
        <v>1548</v>
      </c>
      <c r="C281" s="14" t="s">
        <v>251</v>
      </c>
      <c r="D281" s="14" t="s">
        <v>252</v>
      </c>
      <c r="E281" s="14" t="s">
        <v>251</v>
      </c>
      <c r="F281" s="14" t="s">
        <v>150</v>
      </c>
      <c r="G281" s="14" t="s">
        <v>151</v>
      </c>
      <c r="H281" s="14">
        <v>4</v>
      </c>
      <c r="I281" s="14"/>
      <c r="J281" s="14"/>
      <c r="K281" s="15"/>
    </row>
    <row r="282" spans="1:11" x14ac:dyDescent="0.25">
      <c r="A282" s="14">
        <f>IF(B282="","",COUNTA($B$4:B282))</f>
        <v>279</v>
      </c>
      <c r="B282" s="14" t="s">
        <v>1549</v>
      </c>
      <c r="C282" s="14" t="s">
        <v>251</v>
      </c>
      <c r="D282" s="14" t="s">
        <v>252</v>
      </c>
      <c r="E282" s="14" t="s">
        <v>251</v>
      </c>
      <c r="F282" s="14" t="s">
        <v>150</v>
      </c>
      <c r="G282" s="14" t="s">
        <v>151</v>
      </c>
      <c r="H282" s="14">
        <v>4</v>
      </c>
      <c r="I282" s="14"/>
      <c r="J282" s="14"/>
      <c r="K282" s="127"/>
    </row>
    <row r="283" spans="1:11" x14ac:dyDescent="0.25">
      <c r="A283" s="14">
        <f>IF(B283="","",COUNTA($B$4:B283))</f>
        <v>280</v>
      </c>
      <c r="B283" s="14" t="s">
        <v>1550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5"/>
      <c r="K283" s="15"/>
    </row>
    <row r="284" spans="1:11" x14ac:dyDescent="0.25">
      <c r="A284" s="14">
        <f>IF(B284="","",COUNTA($B$4:B284))</f>
        <v>281</v>
      </c>
      <c r="B284" s="14" t="s">
        <v>1551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5"/>
      <c r="K284" s="15"/>
    </row>
    <row r="285" spans="1:11" x14ac:dyDescent="0.25">
      <c r="A285" s="14">
        <f>IF(B285="","",COUNTA($B$4:B285))</f>
        <v>282</v>
      </c>
      <c r="B285" s="14" t="s">
        <v>1552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5"/>
      <c r="K285" s="15"/>
    </row>
    <row r="286" spans="1:11" x14ac:dyDescent="0.25">
      <c r="A286" s="14">
        <f>IF(B286="","",COUNTA($B$4:B286))</f>
        <v>283</v>
      </c>
      <c r="B286" s="14" t="s">
        <v>1553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5"/>
      <c r="K286" s="15"/>
    </row>
    <row r="287" spans="1:11" x14ac:dyDescent="0.25">
      <c r="A287" s="14">
        <f>IF(B287="","",COUNTA($B$4:B287))</f>
        <v>284</v>
      </c>
      <c r="B287" s="14" t="s">
        <v>1554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5"/>
      <c r="K287" s="15"/>
    </row>
    <row r="288" spans="1:11" x14ac:dyDescent="0.25">
      <c r="A288" s="14">
        <f>IF(B288="","",COUNTA($B$4:B288))</f>
        <v>285</v>
      </c>
      <c r="B288" s="14" t="s">
        <v>1515</v>
      </c>
      <c r="C288" s="14" t="s">
        <v>249</v>
      </c>
      <c r="D288" s="14" t="s">
        <v>250</v>
      </c>
      <c r="E288" s="14" t="s">
        <v>249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 x14ac:dyDescent="0.25">
      <c r="A289" s="14">
        <f>IF(B289="","",COUNTA($B$4:B289))</f>
        <v>286</v>
      </c>
      <c r="B289" s="14" t="s">
        <v>1528</v>
      </c>
      <c r="C289" s="14" t="s">
        <v>249</v>
      </c>
      <c r="D289" s="14" t="s">
        <v>250</v>
      </c>
      <c r="E289" s="14" t="s">
        <v>249</v>
      </c>
      <c r="F289" s="14" t="s">
        <v>150</v>
      </c>
      <c r="G289" s="14" t="s">
        <v>151</v>
      </c>
      <c r="H289" s="14">
        <v>4</v>
      </c>
      <c r="I289" s="14"/>
      <c r="J289" s="14"/>
      <c r="K289" s="127"/>
    </row>
    <row r="290" spans="1:11" x14ac:dyDescent="0.25">
      <c r="A290" s="14">
        <f>IF(B290="","",COUNTA($B$4:B290))</f>
        <v>287</v>
      </c>
      <c r="B290" s="14" t="s">
        <v>1529</v>
      </c>
      <c r="C290" s="14" t="s">
        <v>249</v>
      </c>
      <c r="D290" s="14" t="s">
        <v>250</v>
      </c>
      <c r="E290" s="14" t="s">
        <v>249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 x14ac:dyDescent="0.25">
      <c r="A291" s="14">
        <f>IF(B291="","",COUNTA($B$4:B291))</f>
        <v>288</v>
      </c>
      <c r="B291" s="14" t="s">
        <v>1530</v>
      </c>
      <c r="C291" s="14" t="s">
        <v>249</v>
      </c>
      <c r="D291" s="14" t="s">
        <v>250</v>
      </c>
      <c r="E291" s="14" t="s">
        <v>249</v>
      </c>
      <c r="F291" s="14" t="s">
        <v>150</v>
      </c>
      <c r="G291" s="14" t="s">
        <v>151</v>
      </c>
      <c r="H291" s="14">
        <v>4</v>
      </c>
      <c r="I291" s="14"/>
      <c r="J291" s="14"/>
      <c r="K291" s="15"/>
    </row>
    <row r="292" spans="1:11" x14ac:dyDescent="0.25">
      <c r="A292" s="14">
        <f>IF(B292="","",COUNTA($B$4:B292))</f>
        <v>289</v>
      </c>
      <c r="B292" s="14" t="s">
        <v>1531</v>
      </c>
      <c r="C292" s="14" t="s">
        <v>249</v>
      </c>
      <c r="D292" s="14" t="s">
        <v>250</v>
      </c>
      <c r="E292" s="14" t="s">
        <v>249</v>
      </c>
      <c r="F292" s="14" t="s">
        <v>150</v>
      </c>
      <c r="G292" s="14" t="s">
        <v>151</v>
      </c>
      <c r="H292" s="14">
        <v>4</v>
      </c>
      <c r="I292" s="14"/>
      <c r="J292" s="14"/>
      <c r="K292" s="15"/>
    </row>
    <row r="293" spans="1:11" x14ac:dyDescent="0.25">
      <c r="A293" s="14">
        <f>IF(B293="","",COUNTA($B$4:B293))</f>
        <v>290</v>
      </c>
      <c r="B293" s="14" t="s">
        <v>1532</v>
      </c>
      <c r="C293" s="14" t="s">
        <v>249</v>
      </c>
      <c r="D293" s="14" t="s">
        <v>250</v>
      </c>
      <c r="E293" s="14" t="s">
        <v>249</v>
      </c>
      <c r="F293" s="14" t="s">
        <v>150</v>
      </c>
      <c r="G293" s="14" t="s">
        <v>151</v>
      </c>
      <c r="H293" s="14">
        <v>4</v>
      </c>
      <c r="I293" s="14"/>
      <c r="J293" s="14"/>
      <c r="K293" s="127"/>
    </row>
    <row r="294" spans="1:11" x14ac:dyDescent="0.25">
      <c r="A294" s="14">
        <f>IF(B294="","",COUNTA($B$4:B294))</f>
        <v>291</v>
      </c>
      <c r="B294" s="14" t="s">
        <v>1533</v>
      </c>
      <c r="C294" s="14" t="s">
        <v>249</v>
      </c>
      <c r="D294" s="14" t="s">
        <v>250</v>
      </c>
      <c r="E294" s="14" t="s">
        <v>249</v>
      </c>
      <c r="F294" s="14" t="s">
        <v>150</v>
      </c>
      <c r="G294" s="14" t="s">
        <v>151</v>
      </c>
      <c r="H294" s="14">
        <v>4</v>
      </c>
      <c r="I294" s="14"/>
      <c r="J294" s="14"/>
      <c r="K294" s="15"/>
    </row>
    <row r="295" spans="1:11" x14ac:dyDescent="0.25">
      <c r="A295" s="14">
        <f>IF(B295="","",COUNTA($B$4:B295))</f>
        <v>292</v>
      </c>
      <c r="B295" s="14" t="s">
        <v>1538</v>
      </c>
      <c r="C295" s="14" t="s">
        <v>249</v>
      </c>
      <c r="D295" s="14" t="s">
        <v>250</v>
      </c>
      <c r="E295" s="14" t="s">
        <v>249</v>
      </c>
      <c r="F295" s="14" t="s">
        <v>150</v>
      </c>
      <c r="G295" s="14" t="s">
        <v>151</v>
      </c>
      <c r="H295" s="14">
        <v>4</v>
      </c>
      <c r="I295" s="14"/>
      <c r="J295" s="14"/>
      <c r="K295" s="127"/>
    </row>
    <row r="296" spans="1:11" x14ac:dyDescent="0.25">
      <c r="A296" s="14">
        <f>IF(B296="","",COUNTA($B$4:B296))</f>
        <v>293</v>
      </c>
      <c r="B296" s="14" t="s">
        <v>1545</v>
      </c>
      <c r="C296" s="14" t="s">
        <v>249</v>
      </c>
      <c r="D296" s="14" t="s">
        <v>250</v>
      </c>
      <c r="E296" s="14" t="s">
        <v>249</v>
      </c>
      <c r="F296" s="14" t="s">
        <v>150</v>
      </c>
      <c r="G296" s="14" t="s">
        <v>151</v>
      </c>
      <c r="H296" s="14">
        <v>4</v>
      </c>
      <c r="I296" s="14" t="s">
        <v>244</v>
      </c>
      <c r="J296" s="14"/>
      <c r="K296" s="15"/>
    </row>
    <row r="297" spans="1:11" x14ac:dyDescent="0.25">
      <c r="A297" s="14">
        <f>IF(B297="","",COUNTA($B$4:B297))</f>
        <v>294</v>
      </c>
      <c r="B297" s="14" t="s">
        <v>1546</v>
      </c>
      <c r="C297" s="14" t="s">
        <v>249</v>
      </c>
      <c r="D297" s="14" t="s">
        <v>250</v>
      </c>
      <c r="E297" s="14" t="s">
        <v>249</v>
      </c>
      <c r="F297" s="14" t="s">
        <v>150</v>
      </c>
      <c r="G297" s="14" t="s">
        <v>151</v>
      </c>
      <c r="H297" s="14">
        <v>4</v>
      </c>
      <c r="I297" s="14"/>
      <c r="J297" s="14"/>
      <c r="K297" s="15"/>
    </row>
    <row r="298" spans="1:11" x14ac:dyDescent="0.25">
      <c r="A298" s="14">
        <f>IF(B298="","",COUNTA($B$4:B298))</f>
        <v>295</v>
      </c>
      <c r="B298" s="14" t="s">
        <v>1547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  <c r="K298" s="127"/>
    </row>
    <row r="299" spans="1:11" x14ac:dyDescent="0.25">
      <c r="A299" s="14">
        <f>IF(B299="","",COUNTA($B$4:B299))</f>
        <v>296</v>
      </c>
      <c r="B299" s="14" t="s">
        <v>1548</v>
      </c>
      <c r="C299" s="14" t="s">
        <v>249</v>
      </c>
      <c r="D299" s="14" t="s">
        <v>250</v>
      </c>
      <c r="E299" s="14" t="s">
        <v>249</v>
      </c>
      <c r="F299" s="14" t="s">
        <v>150</v>
      </c>
      <c r="G299" s="14" t="s">
        <v>151</v>
      </c>
      <c r="H299" s="14">
        <v>4</v>
      </c>
      <c r="I299" s="14"/>
      <c r="J299" s="14"/>
      <c r="K299" s="127"/>
    </row>
    <row r="300" spans="1:11" x14ac:dyDescent="0.25">
      <c r="A300" s="14">
        <f>IF(B300="","",COUNTA($B$4:B300))</f>
        <v>297</v>
      </c>
      <c r="B300" s="14" t="s">
        <v>1549</v>
      </c>
      <c r="C300" s="14" t="s">
        <v>249</v>
      </c>
      <c r="D300" s="14" t="s">
        <v>250</v>
      </c>
      <c r="E300" s="14" t="s">
        <v>249</v>
      </c>
      <c r="F300" s="14" t="s">
        <v>150</v>
      </c>
      <c r="G300" s="14" t="s">
        <v>151</v>
      </c>
      <c r="H300" s="14">
        <v>4</v>
      </c>
      <c r="I300" s="14"/>
      <c r="J300" s="14"/>
      <c r="K300" s="127"/>
    </row>
    <row r="301" spans="1:11" x14ac:dyDescent="0.25">
      <c r="A301" s="14">
        <f>IF(B301="","",COUNTA($B$4:B301))</f>
        <v>298</v>
      </c>
      <c r="B301" s="14" t="s">
        <v>1550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5"/>
      <c r="K301" s="15"/>
    </row>
    <row r="302" spans="1:11" x14ac:dyDescent="0.25">
      <c r="A302" s="14">
        <f>IF(B302="","",COUNTA($B$4:B302))</f>
        <v>299</v>
      </c>
      <c r="B302" s="14" t="s">
        <v>1551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5"/>
      <c r="K302" s="127"/>
    </row>
    <row r="303" spans="1:11" x14ac:dyDescent="0.25">
      <c r="A303" s="14">
        <f>IF(B303="","",COUNTA($B$4:B303))</f>
        <v>300</v>
      </c>
      <c r="B303" s="14" t="s">
        <v>1552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5"/>
      <c r="K303" s="15"/>
    </row>
    <row r="304" spans="1:11" x14ac:dyDescent="0.25">
      <c r="A304" s="14">
        <f>IF(B304="","",COUNTA($B$4:B304))</f>
        <v>301</v>
      </c>
      <c r="B304" s="14" t="s">
        <v>1553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5"/>
      <c r="K304" s="15"/>
    </row>
    <row r="305" spans="1:11" x14ac:dyDescent="0.25">
      <c r="A305" s="14">
        <f>IF(B305="","",COUNTA($B$4:B305))</f>
        <v>302</v>
      </c>
      <c r="B305" s="14" t="s">
        <v>1554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5"/>
      <c r="K305" s="15"/>
    </row>
    <row r="306" spans="1:11" x14ac:dyDescent="0.25">
      <c r="A306" s="14">
        <f>IF(B306="","",COUNTA($B$4:B306))</f>
        <v>303</v>
      </c>
      <c r="B306" s="14" t="s">
        <v>1515</v>
      </c>
      <c r="C306" s="14" t="s">
        <v>185</v>
      </c>
      <c r="D306" s="14" t="s">
        <v>186</v>
      </c>
      <c r="E306" s="14" t="s">
        <v>185</v>
      </c>
      <c r="F306" s="14" t="s">
        <v>150</v>
      </c>
      <c r="G306" s="14" t="s">
        <v>151</v>
      </c>
      <c r="H306" s="14">
        <v>75</v>
      </c>
      <c r="I306" s="14"/>
      <c r="J306" s="14"/>
      <c r="K306" s="15"/>
    </row>
    <row r="307" spans="1:11" x14ac:dyDescent="0.25">
      <c r="A307" s="14">
        <f>IF(B307="","",COUNTA($B$4:B307))</f>
        <v>304</v>
      </c>
      <c r="B307" s="14" t="s">
        <v>1528</v>
      </c>
      <c r="C307" s="14" t="s">
        <v>185</v>
      </c>
      <c r="D307" s="14" t="s">
        <v>186</v>
      </c>
      <c r="E307" s="14" t="s">
        <v>185</v>
      </c>
      <c r="F307" s="14" t="s">
        <v>150</v>
      </c>
      <c r="G307" s="14" t="s">
        <v>151</v>
      </c>
      <c r="H307" s="14">
        <v>75</v>
      </c>
      <c r="I307" s="14"/>
      <c r="J307" s="14"/>
      <c r="K307" s="15"/>
    </row>
    <row r="308" spans="1:11" x14ac:dyDescent="0.25">
      <c r="A308" s="14">
        <f>IF(B308="","",COUNTA($B$4:B308))</f>
        <v>305</v>
      </c>
      <c r="B308" s="14" t="s">
        <v>1529</v>
      </c>
      <c r="C308" s="14" t="s">
        <v>185</v>
      </c>
      <c r="D308" s="14" t="s">
        <v>186</v>
      </c>
      <c r="E308" s="14" t="s">
        <v>185</v>
      </c>
      <c r="F308" s="14" t="s">
        <v>150</v>
      </c>
      <c r="G308" s="14" t="s">
        <v>151</v>
      </c>
      <c r="H308" s="14">
        <v>75</v>
      </c>
      <c r="I308" s="14"/>
      <c r="J308" s="14"/>
      <c r="K308" s="15"/>
    </row>
    <row r="309" spans="1:11" x14ac:dyDescent="0.25">
      <c r="A309" s="14">
        <f>IF(B309="","",COUNTA($B$4:B309))</f>
        <v>306</v>
      </c>
      <c r="B309" s="14" t="s">
        <v>1530</v>
      </c>
      <c r="C309" s="14" t="s">
        <v>185</v>
      </c>
      <c r="D309" s="14" t="s">
        <v>186</v>
      </c>
      <c r="E309" s="14" t="s">
        <v>185</v>
      </c>
      <c r="F309" s="14" t="s">
        <v>150</v>
      </c>
      <c r="G309" s="14" t="s">
        <v>151</v>
      </c>
      <c r="H309" s="14">
        <v>75</v>
      </c>
      <c r="I309" s="14"/>
      <c r="J309" s="14"/>
      <c r="K309" s="127"/>
    </row>
    <row r="310" spans="1:11" x14ac:dyDescent="0.25">
      <c r="A310" s="14">
        <f>IF(B310="","",COUNTA($B$4:B310))</f>
        <v>307</v>
      </c>
      <c r="B310" s="14" t="s">
        <v>1531</v>
      </c>
      <c r="C310" s="14" t="s">
        <v>185</v>
      </c>
      <c r="D310" s="14" t="s">
        <v>186</v>
      </c>
      <c r="E310" s="14" t="s">
        <v>185</v>
      </c>
      <c r="F310" s="14" t="s">
        <v>150</v>
      </c>
      <c r="G310" s="14" t="s">
        <v>151</v>
      </c>
      <c r="H310" s="14">
        <v>75</v>
      </c>
      <c r="I310" s="14"/>
      <c r="J310" s="14"/>
      <c r="K310" s="127"/>
    </row>
    <row r="311" spans="1:11" x14ac:dyDescent="0.25">
      <c r="A311" s="14">
        <f>IF(B311="","",COUNTA($B$4:B311))</f>
        <v>308</v>
      </c>
      <c r="B311" s="14" t="s">
        <v>1515</v>
      </c>
      <c r="C311" s="14" t="s">
        <v>174</v>
      </c>
      <c r="D311" s="14" t="s">
        <v>175</v>
      </c>
      <c r="E311" s="14" t="s">
        <v>176</v>
      </c>
      <c r="F311" s="14" t="s">
        <v>169</v>
      </c>
      <c r="G311" s="14" t="s">
        <v>170</v>
      </c>
      <c r="H311" s="14"/>
      <c r="I311" s="14"/>
      <c r="J311" s="14"/>
      <c r="K311" s="15"/>
    </row>
    <row r="312" spans="1:11" x14ac:dyDescent="0.25">
      <c r="A312" s="14">
        <f>IF(B312="","",COUNTA($B$4:B312))</f>
        <v>309</v>
      </c>
      <c r="B312" s="14" t="s">
        <v>1528</v>
      </c>
      <c r="C312" s="14" t="s">
        <v>174</v>
      </c>
      <c r="D312" s="14" t="s">
        <v>175</v>
      </c>
      <c r="E312" s="14" t="s">
        <v>176</v>
      </c>
      <c r="F312" s="14" t="s">
        <v>169</v>
      </c>
      <c r="G312" s="14" t="s">
        <v>170</v>
      </c>
      <c r="H312" s="14"/>
      <c r="I312" s="14"/>
      <c r="J312" s="14"/>
      <c r="K312" s="127"/>
    </row>
    <row r="313" spans="1:11" x14ac:dyDescent="0.25">
      <c r="A313" s="14">
        <f>IF(B313="","",COUNTA($B$4:B313))</f>
        <v>310</v>
      </c>
      <c r="B313" s="14" t="s">
        <v>1529</v>
      </c>
      <c r="C313" s="14" t="s">
        <v>174</v>
      </c>
      <c r="D313" s="14" t="s">
        <v>175</v>
      </c>
      <c r="E313" s="14" t="s">
        <v>176</v>
      </c>
      <c r="F313" s="14" t="s">
        <v>169</v>
      </c>
      <c r="G313" s="14" t="s">
        <v>170</v>
      </c>
      <c r="H313" s="14"/>
      <c r="I313" s="14"/>
      <c r="J313" s="14"/>
      <c r="K313" s="15"/>
    </row>
    <row r="314" spans="1:11" x14ac:dyDescent="0.25">
      <c r="A314" s="14">
        <f>IF(B314="","",COUNTA($B$4:B314))</f>
        <v>311</v>
      </c>
      <c r="B314" s="14" t="s">
        <v>1530</v>
      </c>
      <c r="C314" s="14" t="s">
        <v>174</v>
      </c>
      <c r="D314" s="14" t="s">
        <v>175</v>
      </c>
      <c r="E314" s="14" t="s">
        <v>176</v>
      </c>
      <c r="F314" s="14" t="s">
        <v>169</v>
      </c>
      <c r="G314" s="14" t="s">
        <v>170</v>
      </c>
      <c r="H314" s="14"/>
      <c r="I314" s="14"/>
      <c r="J314" s="14"/>
      <c r="K314" s="15"/>
    </row>
    <row r="315" spans="1:11" x14ac:dyDescent="0.25">
      <c r="A315" s="14">
        <f>IF(B315="","",COUNTA($B$4:B315))</f>
        <v>312</v>
      </c>
      <c r="B315" s="14" t="s">
        <v>1531</v>
      </c>
      <c r="C315" s="14" t="s">
        <v>174</v>
      </c>
      <c r="D315" s="14" t="s">
        <v>175</v>
      </c>
      <c r="E315" s="14" t="s">
        <v>176</v>
      </c>
      <c r="F315" s="14" t="s">
        <v>169</v>
      </c>
      <c r="G315" s="14" t="s">
        <v>170</v>
      </c>
      <c r="H315" s="14"/>
      <c r="I315" s="14"/>
      <c r="J315" s="14"/>
      <c r="K315" s="127"/>
    </row>
    <row r="316" spans="1:11" x14ac:dyDescent="0.25">
      <c r="A316" s="14">
        <f>IF(B316="","",COUNTA($B$4:B316))</f>
        <v>313</v>
      </c>
      <c r="B316" s="14" t="s">
        <v>1532</v>
      </c>
      <c r="C316" s="14" t="s">
        <v>174</v>
      </c>
      <c r="D316" s="14" t="s">
        <v>175</v>
      </c>
      <c r="E316" s="14" t="s">
        <v>176</v>
      </c>
      <c r="F316" s="14" t="s">
        <v>169</v>
      </c>
      <c r="G316" s="14" t="s">
        <v>170</v>
      </c>
      <c r="H316" s="14"/>
      <c r="I316" s="14"/>
      <c r="J316" s="14"/>
      <c r="K316" s="127"/>
    </row>
    <row r="317" spans="1:11" x14ac:dyDescent="0.25">
      <c r="A317" s="14">
        <f>IF(B317="","",COUNTA($B$4:B317))</f>
        <v>314</v>
      </c>
      <c r="B317" s="14" t="s">
        <v>1533</v>
      </c>
      <c r="C317" s="14" t="s">
        <v>174</v>
      </c>
      <c r="D317" s="14" t="s">
        <v>175</v>
      </c>
      <c r="E317" s="14" t="s">
        <v>176</v>
      </c>
      <c r="F317" s="14" t="s">
        <v>169</v>
      </c>
      <c r="G317" s="14" t="s">
        <v>170</v>
      </c>
      <c r="H317" s="14"/>
      <c r="I317" s="14"/>
      <c r="J317" s="14"/>
      <c r="K317" s="127"/>
    </row>
    <row r="318" spans="1:11" x14ac:dyDescent="0.25">
      <c r="A318" s="14">
        <f>IF(B318="","",COUNTA($B$4:B318))</f>
        <v>315</v>
      </c>
      <c r="B318" s="14" t="s">
        <v>1556</v>
      </c>
      <c r="C318" s="14" t="s">
        <v>1473</v>
      </c>
      <c r="D318" s="14" t="s">
        <v>1383</v>
      </c>
      <c r="E318" s="14" t="s">
        <v>1473</v>
      </c>
      <c r="F318" s="14" t="s">
        <v>150</v>
      </c>
      <c r="G318" s="14" t="s">
        <v>151</v>
      </c>
      <c r="H318" s="14">
        <v>10</v>
      </c>
      <c r="I318" s="14"/>
      <c r="J318" s="15"/>
      <c r="K318" s="127"/>
    </row>
    <row r="319" spans="1:11" x14ac:dyDescent="0.25">
      <c r="A319" s="14">
        <f>IF(B319="","",COUNTA($B$4:B319))</f>
        <v>316</v>
      </c>
      <c r="B319" s="14" t="s">
        <v>1515</v>
      </c>
      <c r="C319" s="14" t="s">
        <v>220</v>
      </c>
      <c r="D319" s="14" t="s">
        <v>221</v>
      </c>
      <c r="E319" s="14" t="s">
        <v>220</v>
      </c>
      <c r="F319" s="14" t="s">
        <v>155</v>
      </c>
      <c r="G319" s="14" t="s">
        <v>156</v>
      </c>
      <c r="H319" s="14">
        <v>5</v>
      </c>
      <c r="I319" s="14"/>
      <c r="J319" s="14"/>
      <c r="K319" s="15"/>
    </row>
    <row r="320" spans="1:11" x14ac:dyDescent="0.25">
      <c r="A320" s="14">
        <f>IF(B320="","",COUNTA($B$4:B320))</f>
        <v>317</v>
      </c>
      <c r="B320" s="14" t="s">
        <v>1515</v>
      </c>
      <c r="C320" s="14" t="s">
        <v>178</v>
      </c>
      <c r="D320" s="14" t="s">
        <v>179</v>
      </c>
      <c r="E320" s="14" t="s">
        <v>178</v>
      </c>
      <c r="F320" s="14" t="s">
        <v>150</v>
      </c>
      <c r="G320" s="14" t="s">
        <v>151</v>
      </c>
      <c r="H320" s="14">
        <v>20</v>
      </c>
      <c r="I320" s="14"/>
      <c r="J320" s="14"/>
      <c r="K320" s="15"/>
    </row>
    <row r="321" spans="1:11" x14ac:dyDescent="0.25">
      <c r="A321" s="14">
        <f>IF(B321="","",COUNTA($B$4:B321))</f>
        <v>318</v>
      </c>
      <c r="B321" s="14" t="s">
        <v>1528</v>
      </c>
      <c r="C321" s="14" t="s">
        <v>178</v>
      </c>
      <c r="D321" s="14" t="s">
        <v>179</v>
      </c>
      <c r="E321" s="14" t="s">
        <v>178</v>
      </c>
      <c r="F321" s="14" t="s">
        <v>150</v>
      </c>
      <c r="G321" s="14" t="s">
        <v>151</v>
      </c>
      <c r="H321" s="14">
        <v>20</v>
      </c>
      <c r="I321" s="14"/>
      <c r="J321" s="14"/>
      <c r="K321" s="127"/>
    </row>
    <row r="322" spans="1:11" x14ac:dyDescent="0.25">
      <c r="A322" s="14">
        <f>IF(B322="","",COUNTA($B$4:B322))</f>
        <v>319</v>
      </c>
      <c r="B322" s="14" t="s">
        <v>1529</v>
      </c>
      <c r="C322" s="14" t="s">
        <v>178</v>
      </c>
      <c r="D322" s="14" t="s">
        <v>179</v>
      </c>
      <c r="E322" s="14" t="s">
        <v>178</v>
      </c>
      <c r="F322" s="14" t="s">
        <v>150</v>
      </c>
      <c r="G322" s="14" t="s">
        <v>151</v>
      </c>
      <c r="H322" s="14">
        <v>20</v>
      </c>
      <c r="I322" s="14"/>
      <c r="J322" s="14"/>
      <c r="K322" s="127"/>
    </row>
    <row r="323" spans="1:11" x14ac:dyDescent="0.25">
      <c r="A323" s="14">
        <f>IF(B323="","",COUNTA($B$4:B323))</f>
        <v>320</v>
      </c>
      <c r="B323" s="14" t="s">
        <v>1530</v>
      </c>
      <c r="C323" s="14" t="s">
        <v>178</v>
      </c>
      <c r="D323" s="14" t="s">
        <v>179</v>
      </c>
      <c r="E323" s="14" t="s">
        <v>178</v>
      </c>
      <c r="F323" s="14" t="s">
        <v>150</v>
      </c>
      <c r="G323" s="14" t="s">
        <v>151</v>
      </c>
      <c r="H323" s="14">
        <v>20</v>
      </c>
      <c r="I323" s="14"/>
      <c r="J323" s="14"/>
      <c r="K323" s="15"/>
    </row>
    <row r="324" spans="1:11" x14ac:dyDescent="0.25">
      <c r="A324" s="14">
        <f>IF(B324="","",COUNTA($B$4:B324))</f>
        <v>321</v>
      </c>
      <c r="B324" s="14" t="s">
        <v>1531</v>
      </c>
      <c r="C324" s="14" t="s">
        <v>178</v>
      </c>
      <c r="D324" s="14" t="s">
        <v>179</v>
      </c>
      <c r="E324" s="14" t="s">
        <v>178</v>
      </c>
      <c r="F324" s="14" t="s">
        <v>150</v>
      </c>
      <c r="G324" s="14" t="s">
        <v>151</v>
      </c>
      <c r="H324" s="14">
        <v>20</v>
      </c>
      <c r="I324" s="14"/>
      <c r="J324" s="14"/>
      <c r="K324" s="15"/>
    </row>
    <row r="325" spans="1:11" x14ac:dyDescent="0.25">
      <c r="A325" s="14">
        <f>IF(B325="","",COUNTA($B$4:B325))</f>
        <v>322</v>
      </c>
      <c r="B325" s="14" t="s">
        <v>1532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  <c r="K325" s="15"/>
    </row>
    <row r="326" spans="1:11" x14ac:dyDescent="0.25">
      <c r="A326" s="14">
        <f>IF(B326="","",COUNTA($B$4:B326))</f>
        <v>323</v>
      </c>
      <c r="B326" s="14" t="s">
        <v>1533</v>
      </c>
      <c r="C326" s="14" t="s">
        <v>178</v>
      </c>
      <c r="D326" s="14" t="s">
        <v>179</v>
      </c>
      <c r="E326" s="14" t="s">
        <v>178</v>
      </c>
      <c r="F326" s="14" t="s">
        <v>150</v>
      </c>
      <c r="G326" s="14" t="s">
        <v>151</v>
      </c>
      <c r="H326" s="14">
        <v>20</v>
      </c>
      <c r="I326" s="14"/>
      <c r="J326" s="14"/>
      <c r="K326" s="127"/>
    </row>
    <row r="327" spans="1:11" x14ac:dyDescent="0.25">
      <c r="A327" s="14">
        <f>IF(B327="","",COUNTA($B$4:B327))</f>
        <v>324</v>
      </c>
      <c r="B327" s="14" t="s">
        <v>1534</v>
      </c>
      <c r="C327" s="14" t="s">
        <v>178</v>
      </c>
      <c r="D327" s="14" t="s">
        <v>179</v>
      </c>
      <c r="E327" s="14" t="s">
        <v>178</v>
      </c>
      <c r="F327" s="14" t="s">
        <v>150</v>
      </c>
      <c r="G327" s="14" t="s">
        <v>151</v>
      </c>
      <c r="H327" s="14">
        <v>20</v>
      </c>
      <c r="I327" s="14"/>
      <c r="J327" s="14"/>
      <c r="K327" s="15"/>
    </row>
    <row r="328" spans="1:11" x14ac:dyDescent="0.25">
      <c r="A328" s="14">
        <f>IF(B328="","",COUNTA($B$4:B328))</f>
        <v>325</v>
      </c>
      <c r="B328" s="14" t="s">
        <v>1545</v>
      </c>
      <c r="C328" s="14" t="s">
        <v>386</v>
      </c>
      <c r="D328" s="14" t="s">
        <v>387</v>
      </c>
      <c r="E328" s="14" t="s">
        <v>386</v>
      </c>
      <c r="F328" s="14" t="s">
        <v>155</v>
      </c>
      <c r="G328" s="14" t="s">
        <v>156</v>
      </c>
      <c r="H328" s="14">
        <v>5</v>
      </c>
      <c r="I328" s="14">
        <v>1</v>
      </c>
      <c r="J328" s="14"/>
      <c r="K328" s="15"/>
    </row>
    <row r="329" spans="1:11" x14ac:dyDescent="0.25">
      <c r="A329" s="14">
        <f>IF(B329="","",COUNTA($B$4:B329))</f>
        <v>326</v>
      </c>
      <c r="B329" s="14" t="s">
        <v>1515</v>
      </c>
      <c r="C329" s="14" t="s">
        <v>157</v>
      </c>
      <c r="D329" s="14" t="s">
        <v>158</v>
      </c>
      <c r="E329" s="14" t="s">
        <v>157</v>
      </c>
      <c r="F329" s="14" t="s">
        <v>150</v>
      </c>
      <c r="G329" s="14" t="s">
        <v>151</v>
      </c>
      <c r="H329" s="14">
        <v>10</v>
      </c>
      <c r="I329" s="14"/>
      <c r="J329" s="14"/>
      <c r="K329" s="15"/>
    </row>
    <row r="330" spans="1:11" x14ac:dyDescent="0.25">
      <c r="A330" s="14">
        <f>IF(B330="","",COUNTA($B$4:B330))</f>
        <v>327</v>
      </c>
      <c r="B330" s="14" t="s">
        <v>1528</v>
      </c>
      <c r="C330" s="14" t="s">
        <v>157</v>
      </c>
      <c r="D330" s="14" t="s">
        <v>158</v>
      </c>
      <c r="E330" s="14" t="s">
        <v>157</v>
      </c>
      <c r="F330" s="14" t="s">
        <v>150</v>
      </c>
      <c r="G330" s="14" t="s">
        <v>151</v>
      </c>
      <c r="H330" s="14">
        <v>10</v>
      </c>
      <c r="I330" s="14"/>
      <c r="J330" s="14"/>
      <c r="K330" s="127"/>
    </row>
    <row r="331" spans="1:11" x14ac:dyDescent="0.25">
      <c r="A331" s="14">
        <f>IF(B331="","",COUNTA($B$4:B331))</f>
        <v>328</v>
      </c>
      <c r="B331" s="14" t="s">
        <v>1529</v>
      </c>
      <c r="C331" s="14" t="s">
        <v>157</v>
      </c>
      <c r="D331" s="14" t="s">
        <v>158</v>
      </c>
      <c r="E331" s="14" t="s">
        <v>157</v>
      </c>
      <c r="F331" s="14" t="s">
        <v>150</v>
      </c>
      <c r="G331" s="14" t="s">
        <v>151</v>
      </c>
      <c r="H331" s="14">
        <v>10</v>
      </c>
      <c r="I331" s="14"/>
      <c r="J331" s="14"/>
      <c r="K331" s="127"/>
    </row>
    <row r="332" spans="1:11" x14ac:dyDescent="0.25">
      <c r="A332" s="14">
        <f>IF(B332="","",COUNTA($B$4:B332))</f>
        <v>329</v>
      </c>
      <c r="B332" s="14" t="s">
        <v>1530</v>
      </c>
      <c r="C332" s="14" t="s">
        <v>157</v>
      </c>
      <c r="D332" s="14" t="s">
        <v>158</v>
      </c>
      <c r="E332" s="14" t="s">
        <v>157</v>
      </c>
      <c r="F332" s="14" t="s">
        <v>150</v>
      </c>
      <c r="G332" s="14" t="s">
        <v>151</v>
      </c>
      <c r="H332" s="14">
        <v>10</v>
      </c>
      <c r="I332" s="14"/>
      <c r="J332" s="14"/>
      <c r="K332" s="15"/>
    </row>
    <row r="333" spans="1:11" x14ac:dyDescent="0.25">
      <c r="A333" s="14">
        <f>IF(B333="","",COUNTA($B$4:B333))</f>
        <v>330</v>
      </c>
      <c r="B333" s="14" t="s">
        <v>1531</v>
      </c>
      <c r="C333" s="14" t="s">
        <v>157</v>
      </c>
      <c r="D333" s="14" t="s">
        <v>158</v>
      </c>
      <c r="E333" s="14" t="s">
        <v>157</v>
      </c>
      <c r="F333" s="14" t="s">
        <v>150</v>
      </c>
      <c r="G333" s="14" t="s">
        <v>151</v>
      </c>
      <c r="H333" s="14">
        <v>10</v>
      </c>
      <c r="I333" s="14"/>
      <c r="J333" s="14"/>
      <c r="K333" s="127"/>
    </row>
    <row r="334" spans="1:11" x14ac:dyDescent="0.25">
      <c r="A334" s="14">
        <f>IF(B334="","",COUNTA($B$4:B334))</f>
        <v>331</v>
      </c>
      <c r="B334" s="14" t="s">
        <v>1532</v>
      </c>
      <c r="C334" s="14" t="s">
        <v>157</v>
      </c>
      <c r="D334" s="14" t="s">
        <v>158</v>
      </c>
      <c r="E334" s="14" t="s">
        <v>157</v>
      </c>
      <c r="F334" s="14" t="s">
        <v>150</v>
      </c>
      <c r="G334" s="14" t="s">
        <v>151</v>
      </c>
      <c r="H334" s="14">
        <v>10</v>
      </c>
      <c r="I334" s="14"/>
      <c r="J334" s="14"/>
      <c r="K334" s="127"/>
    </row>
    <row r="335" spans="1:11" x14ac:dyDescent="0.25">
      <c r="A335" s="14">
        <f>IF(B335="","",COUNTA($B$4:B335))</f>
        <v>332</v>
      </c>
      <c r="B335" s="14" t="s">
        <v>1533</v>
      </c>
      <c r="C335" s="14" t="s">
        <v>157</v>
      </c>
      <c r="D335" s="14" t="s">
        <v>158</v>
      </c>
      <c r="E335" s="14" t="s">
        <v>157</v>
      </c>
      <c r="F335" s="14" t="s">
        <v>150</v>
      </c>
      <c r="G335" s="14" t="s">
        <v>151</v>
      </c>
      <c r="H335" s="14">
        <v>10</v>
      </c>
      <c r="I335" s="14"/>
      <c r="J335" s="14"/>
      <c r="K335" s="15"/>
    </row>
    <row r="336" spans="1:11" x14ac:dyDescent="0.25">
      <c r="A336" s="14">
        <f>IF(B336="","",COUNTA($B$4:B336))</f>
        <v>333</v>
      </c>
      <c r="B336" s="14" t="s">
        <v>1534</v>
      </c>
      <c r="C336" s="14" t="s">
        <v>157</v>
      </c>
      <c r="D336" s="14" t="s">
        <v>158</v>
      </c>
      <c r="E336" s="14" t="s">
        <v>157</v>
      </c>
      <c r="F336" s="14" t="s">
        <v>150</v>
      </c>
      <c r="G336" s="14" t="s">
        <v>151</v>
      </c>
      <c r="H336" s="14">
        <v>10</v>
      </c>
      <c r="I336" s="14"/>
      <c r="J336" s="14"/>
      <c r="K336" s="15"/>
    </row>
    <row r="337" spans="1:11" x14ac:dyDescent="0.25">
      <c r="A337" s="14">
        <f>IF(B337="","",COUNTA($B$4:B337))</f>
        <v>334</v>
      </c>
      <c r="B337" s="14" t="s">
        <v>1515</v>
      </c>
      <c r="C337" s="14" t="s">
        <v>148</v>
      </c>
      <c r="D337" s="14" t="s">
        <v>149</v>
      </c>
      <c r="E337" s="14" t="s">
        <v>148</v>
      </c>
      <c r="F337" s="14" t="s">
        <v>150</v>
      </c>
      <c r="G337" s="14" t="s">
        <v>151</v>
      </c>
      <c r="H337" s="14">
        <v>15</v>
      </c>
      <c r="I337" s="14"/>
      <c r="J337" s="14"/>
      <c r="K337" s="15"/>
    </row>
    <row r="338" spans="1:11" x14ac:dyDescent="0.25">
      <c r="A338" s="14">
        <f>IF(B338="","",COUNTA($B$4:B338))</f>
        <v>335</v>
      </c>
      <c r="B338" s="14" t="s">
        <v>1528</v>
      </c>
      <c r="C338" s="14" t="s">
        <v>148</v>
      </c>
      <c r="D338" s="14" t="s">
        <v>149</v>
      </c>
      <c r="E338" s="14" t="s">
        <v>148</v>
      </c>
      <c r="F338" s="14" t="s">
        <v>150</v>
      </c>
      <c r="G338" s="14" t="s">
        <v>151</v>
      </c>
      <c r="H338" s="14">
        <v>15</v>
      </c>
      <c r="I338" s="14"/>
      <c r="J338" s="14"/>
      <c r="K338" s="127"/>
    </row>
    <row r="339" spans="1:11" x14ac:dyDescent="0.25">
      <c r="A339" s="14">
        <f>IF(B339="","",COUNTA($B$4:B339))</f>
        <v>336</v>
      </c>
      <c r="B339" s="14" t="s">
        <v>1529</v>
      </c>
      <c r="C339" s="14" t="s">
        <v>148</v>
      </c>
      <c r="D339" s="14" t="s">
        <v>149</v>
      </c>
      <c r="E339" s="14" t="s">
        <v>148</v>
      </c>
      <c r="F339" s="14" t="s">
        <v>150</v>
      </c>
      <c r="G339" s="14" t="s">
        <v>151</v>
      </c>
      <c r="H339" s="14">
        <v>15</v>
      </c>
      <c r="I339" s="14"/>
      <c r="J339" s="14"/>
      <c r="K339" s="127"/>
    </row>
    <row r="340" spans="1:11" x14ac:dyDescent="0.25">
      <c r="A340" s="14">
        <f>IF(B340="","",COUNTA($B$4:B340))</f>
        <v>337</v>
      </c>
      <c r="B340" s="14" t="s">
        <v>1530</v>
      </c>
      <c r="C340" s="14" t="s">
        <v>148</v>
      </c>
      <c r="D340" s="14" t="s">
        <v>149</v>
      </c>
      <c r="E340" s="14" t="s">
        <v>148</v>
      </c>
      <c r="F340" s="14" t="s">
        <v>150</v>
      </c>
      <c r="G340" s="14" t="s">
        <v>151</v>
      </c>
      <c r="H340" s="14">
        <v>15</v>
      </c>
      <c r="I340" s="14"/>
      <c r="J340" s="14"/>
      <c r="K340" s="15"/>
    </row>
    <row r="341" spans="1:11" x14ac:dyDescent="0.25">
      <c r="A341" s="14">
        <f>IF(B341="","",COUNTA($B$4:B341))</f>
        <v>338</v>
      </c>
      <c r="B341" s="14" t="s">
        <v>1531</v>
      </c>
      <c r="C341" s="14" t="s">
        <v>148</v>
      </c>
      <c r="D341" s="14" t="s">
        <v>149</v>
      </c>
      <c r="E341" s="14" t="s">
        <v>148</v>
      </c>
      <c r="F341" s="14" t="s">
        <v>150</v>
      </c>
      <c r="G341" s="14" t="s">
        <v>151</v>
      </c>
      <c r="H341" s="14">
        <v>15</v>
      </c>
      <c r="I341" s="14"/>
      <c r="J341" s="14"/>
      <c r="K341" s="15"/>
    </row>
    <row r="342" spans="1:11" x14ac:dyDescent="0.25">
      <c r="A342" s="14">
        <f>IF(B342="","",COUNTA($B$4:B342))</f>
        <v>339</v>
      </c>
      <c r="B342" s="14" t="s">
        <v>1532</v>
      </c>
      <c r="C342" s="14" t="s">
        <v>148</v>
      </c>
      <c r="D342" s="14" t="s">
        <v>149</v>
      </c>
      <c r="E342" s="14" t="s">
        <v>148</v>
      </c>
      <c r="F342" s="14" t="s">
        <v>150</v>
      </c>
      <c r="G342" s="14" t="s">
        <v>151</v>
      </c>
      <c r="H342" s="14">
        <v>15</v>
      </c>
      <c r="I342" s="14"/>
      <c r="J342" s="14"/>
      <c r="K342" s="127"/>
    </row>
    <row r="343" spans="1:11" x14ac:dyDescent="0.25">
      <c r="A343" s="14">
        <f>IF(B343="","",COUNTA($B$4:B343))</f>
        <v>340</v>
      </c>
      <c r="B343" s="14" t="s">
        <v>1533</v>
      </c>
      <c r="C343" s="14" t="s">
        <v>148</v>
      </c>
      <c r="D343" s="14" t="s">
        <v>149</v>
      </c>
      <c r="E343" s="14" t="s">
        <v>148</v>
      </c>
      <c r="F343" s="14" t="s">
        <v>150</v>
      </c>
      <c r="G343" s="14" t="s">
        <v>151</v>
      </c>
      <c r="H343" s="14">
        <v>15</v>
      </c>
      <c r="I343" s="14"/>
      <c r="J343" s="14"/>
      <c r="K343" s="127"/>
    </row>
    <row r="344" spans="1:11" x14ac:dyDescent="0.25">
      <c r="A344" s="14">
        <f>IF(B344="","",COUNTA($B$4:B344))</f>
        <v>341</v>
      </c>
      <c r="B344" s="14" t="s">
        <v>1534</v>
      </c>
      <c r="C344" s="14" t="s">
        <v>148</v>
      </c>
      <c r="D344" s="14" t="s">
        <v>149</v>
      </c>
      <c r="E344" s="14" t="s">
        <v>148</v>
      </c>
      <c r="F344" s="14" t="s">
        <v>150</v>
      </c>
      <c r="G344" s="14" t="s">
        <v>151</v>
      </c>
      <c r="H344" s="14">
        <v>15</v>
      </c>
      <c r="I344" s="14"/>
      <c r="J344" s="14"/>
      <c r="K344" s="127"/>
    </row>
    <row r="345" spans="1:11" x14ac:dyDescent="0.25">
      <c r="A345" s="14">
        <f>IF(B345="","",COUNTA($B$4:B345))</f>
        <v>342</v>
      </c>
      <c r="B345" s="14" t="s">
        <v>1538</v>
      </c>
      <c r="C345" s="14" t="s">
        <v>148</v>
      </c>
      <c r="D345" s="14" t="s">
        <v>149</v>
      </c>
      <c r="E345" s="14" t="s">
        <v>148</v>
      </c>
      <c r="F345" s="14" t="s">
        <v>150</v>
      </c>
      <c r="G345" s="14" t="s">
        <v>151</v>
      </c>
      <c r="H345" s="14">
        <v>15</v>
      </c>
      <c r="I345" s="14"/>
      <c r="J345" s="14"/>
      <c r="K345" s="15"/>
    </row>
    <row r="346" spans="1:11" x14ac:dyDescent="0.25">
      <c r="A346" s="14">
        <f>IF(B346="","",COUNTA($B$4:B346))</f>
        <v>343</v>
      </c>
      <c r="B346" s="14" t="s">
        <v>1545</v>
      </c>
      <c r="C346" s="14" t="s">
        <v>148</v>
      </c>
      <c r="D346" s="14" t="s">
        <v>149</v>
      </c>
      <c r="E346" s="14" t="s">
        <v>148</v>
      </c>
      <c r="F346" s="14" t="s">
        <v>150</v>
      </c>
      <c r="G346" s="14" t="s">
        <v>151</v>
      </c>
      <c r="H346" s="14">
        <v>15</v>
      </c>
      <c r="I346" s="14"/>
      <c r="J346" s="14"/>
      <c r="K346" s="127"/>
    </row>
    <row r="347" spans="1:11" x14ac:dyDescent="0.25">
      <c r="A347" s="14">
        <f>IF(B347="","",COUNTA($B$4:B347))</f>
        <v>344</v>
      </c>
      <c r="B347" s="14" t="s">
        <v>1546</v>
      </c>
      <c r="C347" s="14" t="s">
        <v>148</v>
      </c>
      <c r="D347" s="14" t="s">
        <v>149</v>
      </c>
      <c r="E347" s="14" t="s">
        <v>148</v>
      </c>
      <c r="F347" s="14" t="s">
        <v>150</v>
      </c>
      <c r="G347" s="14" t="s">
        <v>151</v>
      </c>
      <c r="H347" s="14">
        <v>15</v>
      </c>
      <c r="I347" s="14"/>
      <c r="J347" s="14"/>
      <c r="K347" s="15"/>
    </row>
    <row r="348" spans="1:11" x14ac:dyDescent="0.25">
      <c r="A348" s="14">
        <f>IF(B348="","",COUNTA($B$4:B348))</f>
        <v>345</v>
      </c>
      <c r="B348" s="14" t="s">
        <v>1547</v>
      </c>
      <c r="C348" s="14" t="s">
        <v>148</v>
      </c>
      <c r="D348" s="14" t="s">
        <v>149</v>
      </c>
      <c r="E348" s="14" t="s">
        <v>148</v>
      </c>
      <c r="F348" s="14" t="s">
        <v>150</v>
      </c>
      <c r="G348" s="14" t="s">
        <v>151</v>
      </c>
      <c r="H348" s="14">
        <v>15</v>
      </c>
      <c r="I348" s="14"/>
      <c r="J348" s="14"/>
      <c r="K348" s="127"/>
    </row>
    <row r="349" spans="1:11" x14ac:dyDescent="0.25">
      <c r="A349" s="14">
        <f>IF(B349="","",COUNTA($B$4:B349))</f>
        <v>346</v>
      </c>
      <c r="B349" s="14" t="s">
        <v>1548</v>
      </c>
      <c r="C349" s="14" t="s">
        <v>148</v>
      </c>
      <c r="D349" s="14" t="s">
        <v>149</v>
      </c>
      <c r="E349" s="14" t="s">
        <v>148</v>
      </c>
      <c r="F349" s="14" t="s">
        <v>150</v>
      </c>
      <c r="G349" s="14" t="s">
        <v>151</v>
      </c>
      <c r="H349" s="14">
        <v>15</v>
      </c>
      <c r="I349" s="14"/>
      <c r="J349" s="14"/>
      <c r="K349" s="127"/>
    </row>
    <row r="350" spans="1:11" x14ac:dyDescent="0.25">
      <c r="A350" s="14">
        <f>IF(B350="","",COUNTA($B$4:B350))</f>
        <v>347</v>
      </c>
      <c r="B350" s="14" t="s">
        <v>1549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5"/>
    </row>
    <row r="351" spans="1:11" x14ac:dyDescent="0.25">
      <c r="A351" s="14">
        <f>IF(B351="","",COUNTA($B$4:B351))</f>
        <v>348</v>
      </c>
      <c r="B351" s="14" t="s">
        <v>1550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27"/>
    </row>
    <row r="352" spans="1:11" x14ac:dyDescent="0.25">
      <c r="A352" s="14">
        <f>IF(B352="","",COUNTA($B$4:B352))</f>
        <v>349</v>
      </c>
      <c r="B352" s="14" t="s">
        <v>1551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5"/>
      <c r="K352" s="127"/>
    </row>
    <row r="353" spans="1:11" x14ac:dyDescent="0.25">
      <c r="A353" s="14">
        <f>IF(B353="","",COUNTA($B$4:B353))</f>
        <v>350</v>
      </c>
      <c r="B353" s="14" t="s">
        <v>1552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5"/>
      <c r="K353" s="15"/>
    </row>
    <row r="354" spans="1:11" x14ac:dyDescent="0.25">
      <c r="A354" s="14">
        <f>IF(B354="","",COUNTA($B$4:B354))</f>
        <v>351</v>
      </c>
      <c r="B354" s="14" t="s">
        <v>1553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5"/>
      <c r="K354" s="15"/>
    </row>
    <row r="355" spans="1:11" x14ac:dyDescent="0.25">
      <c r="A355" s="14">
        <f>IF(B355="","",COUNTA($B$4:B355))</f>
        <v>352</v>
      </c>
      <c r="B355" s="14" t="s">
        <v>1554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5"/>
      <c r="K355" s="127"/>
    </row>
    <row r="356" spans="1:11" x14ac:dyDescent="0.25">
      <c r="A356" s="14">
        <f>IF(B356="","",COUNTA($B$4:B356))</f>
        <v>353</v>
      </c>
      <c r="B356" s="14" t="s">
        <v>1533</v>
      </c>
      <c r="C356" s="14" t="s">
        <v>1460</v>
      </c>
      <c r="D356" s="14" t="s">
        <v>1397</v>
      </c>
      <c r="E356" s="14" t="s">
        <v>1460</v>
      </c>
      <c r="F356" s="14" t="s">
        <v>155</v>
      </c>
      <c r="G356" s="14" t="s">
        <v>156</v>
      </c>
      <c r="H356" s="14">
        <v>5</v>
      </c>
      <c r="I356" s="14"/>
      <c r="J356" s="14"/>
      <c r="K356" s="15"/>
    </row>
    <row r="357" spans="1:11" x14ac:dyDescent="0.25">
      <c r="A357" s="14">
        <f>IF(B357="","",COUNTA($B$4:B357))</f>
        <v>354</v>
      </c>
      <c r="B357" s="14" t="s">
        <v>1552</v>
      </c>
      <c r="C357" s="14" t="s">
        <v>1460</v>
      </c>
      <c r="D357" s="14" t="s">
        <v>1397</v>
      </c>
      <c r="E357" s="14" t="s">
        <v>1460</v>
      </c>
      <c r="F357" s="14" t="s">
        <v>155</v>
      </c>
      <c r="G357" s="14" t="s">
        <v>156</v>
      </c>
      <c r="H357" s="14">
        <v>5</v>
      </c>
      <c r="I357" s="14"/>
      <c r="J357" s="15"/>
      <c r="K357" s="127"/>
    </row>
    <row r="358" spans="1:11" x14ac:dyDescent="0.25">
      <c r="A358" s="14">
        <f>IF(B358="","",COUNTA($B$4:B358))</f>
        <v>355</v>
      </c>
      <c r="B358" s="14" t="s">
        <v>1553</v>
      </c>
      <c r="C358" s="14" t="s">
        <v>1460</v>
      </c>
      <c r="D358" s="14" t="s">
        <v>1397</v>
      </c>
      <c r="E358" s="14" t="s">
        <v>1460</v>
      </c>
      <c r="F358" s="14" t="s">
        <v>155</v>
      </c>
      <c r="G358" s="14" t="s">
        <v>156</v>
      </c>
      <c r="H358" s="14">
        <v>5</v>
      </c>
      <c r="I358" s="14"/>
      <c r="J358" s="15"/>
      <c r="K358" s="15"/>
    </row>
    <row r="359" spans="1:11" x14ac:dyDescent="0.25">
      <c r="A359" s="14">
        <f>IF(B359="","",COUNTA($B$4:B359))</f>
        <v>356</v>
      </c>
      <c r="B359" s="14" t="s">
        <v>1528</v>
      </c>
      <c r="C359" s="14" t="s">
        <v>270</v>
      </c>
      <c r="D359" s="14" t="s">
        <v>271</v>
      </c>
      <c r="E359" s="14" t="s">
        <v>270</v>
      </c>
      <c r="F359" s="14" t="s">
        <v>150</v>
      </c>
      <c r="G359" s="14" t="s">
        <v>151</v>
      </c>
      <c r="H359" s="14">
        <v>1000</v>
      </c>
      <c r="I359" s="14"/>
      <c r="J359" s="14"/>
      <c r="K359" s="15"/>
    </row>
    <row r="360" spans="1:11" x14ac:dyDescent="0.25">
      <c r="A360" s="14">
        <f>IF(B360="","",COUNTA($B$4:B360))</f>
        <v>357</v>
      </c>
      <c r="B360" s="14" t="s">
        <v>1533</v>
      </c>
      <c r="C360" s="14" t="s">
        <v>303</v>
      </c>
      <c r="D360" s="14" t="s">
        <v>304</v>
      </c>
      <c r="E360" s="14" t="s">
        <v>303</v>
      </c>
      <c r="F360" s="14" t="s">
        <v>169</v>
      </c>
      <c r="G360" s="14" t="s">
        <v>170</v>
      </c>
      <c r="H360" s="14"/>
      <c r="I360" s="14"/>
      <c r="J360" s="14"/>
      <c r="K360" s="127"/>
    </row>
    <row r="361" spans="1:11" x14ac:dyDescent="0.25">
      <c r="A361" s="14">
        <f>IF(B361="","",COUNTA($B$4:B361))</f>
        <v>358</v>
      </c>
      <c r="B361" s="14" t="s">
        <v>1557</v>
      </c>
      <c r="C361" s="14" t="s">
        <v>1475</v>
      </c>
      <c r="D361" s="14" t="s">
        <v>1490</v>
      </c>
      <c r="E361" s="14" t="s">
        <v>1475</v>
      </c>
      <c r="F361" s="14" t="s">
        <v>150</v>
      </c>
      <c r="G361" s="14" t="s">
        <v>151</v>
      </c>
      <c r="H361" s="14">
        <v>4</v>
      </c>
      <c r="I361" s="14"/>
      <c r="J361" s="15"/>
      <c r="K361" s="127"/>
    </row>
    <row r="362" spans="1:11" x14ac:dyDescent="0.25">
      <c r="A362" s="14">
        <f>IF(B362="","",COUNTA($B$4:B362))</f>
        <v>359</v>
      </c>
      <c r="B362" s="14" t="s">
        <v>1555</v>
      </c>
      <c r="C362" s="14" t="s">
        <v>430</v>
      </c>
      <c r="D362" s="14" t="s">
        <v>431</v>
      </c>
      <c r="E362" s="14" t="s">
        <v>430</v>
      </c>
      <c r="F362" s="14" t="s">
        <v>150</v>
      </c>
      <c r="G362" s="14" t="s">
        <v>151</v>
      </c>
      <c r="H362" s="14">
        <v>1</v>
      </c>
      <c r="I362" s="14"/>
      <c r="J362" s="15"/>
      <c r="K362" s="15"/>
    </row>
    <row r="363" spans="1:11" x14ac:dyDescent="0.25">
      <c r="A363" s="14">
        <f>IF(B363="","",COUNTA($B$4:B363))</f>
        <v>360</v>
      </c>
      <c r="B363" s="14" t="s">
        <v>1534</v>
      </c>
      <c r="C363" s="14" t="s">
        <v>353</v>
      </c>
      <c r="D363" s="14" t="s">
        <v>354</v>
      </c>
      <c r="E363" s="14" t="s">
        <v>353</v>
      </c>
      <c r="F363" s="14" t="s">
        <v>155</v>
      </c>
      <c r="G363" s="14" t="s">
        <v>156</v>
      </c>
      <c r="H363" s="14">
        <v>3</v>
      </c>
      <c r="I363" s="14"/>
      <c r="J363" s="14"/>
      <c r="K363" s="15"/>
    </row>
    <row r="364" spans="1:11" x14ac:dyDescent="0.25">
      <c r="A364" s="14">
        <f>IF(B364="","",COUNTA($B$4:B364))</f>
        <v>361</v>
      </c>
      <c r="B364" s="14" t="s">
        <v>1553</v>
      </c>
      <c r="C364" s="14" t="s">
        <v>1431</v>
      </c>
      <c r="D364" s="14" t="s">
        <v>337</v>
      </c>
      <c r="E364" s="14" t="s">
        <v>1431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 x14ac:dyDescent="0.25">
      <c r="A365" s="14">
        <f>IF(B365="","",COUNTA($B$4:B365))</f>
        <v>362</v>
      </c>
      <c r="B365" s="14" t="s">
        <v>1554</v>
      </c>
      <c r="C365" s="14" t="s">
        <v>1431</v>
      </c>
      <c r="D365" s="14" t="s">
        <v>337</v>
      </c>
      <c r="E365" s="14" t="s">
        <v>1431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 x14ac:dyDescent="0.25">
      <c r="A366" s="14">
        <f>IF(B366="","",COUNTA($B$4:B366))</f>
        <v>363</v>
      </c>
      <c r="B366" s="14" t="s">
        <v>1531</v>
      </c>
      <c r="C366" s="14" t="s">
        <v>621</v>
      </c>
      <c r="D366" s="14" t="s">
        <v>1399</v>
      </c>
      <c r="E366" s="14" t="s">
        <v>621</v>
      </c>
      <c r="F366" s="14" t="s">
        <v>150</v>
      </c>
      <c r="G366" s="14" t="s">
        <v>151</v>
      </c>
      <c r="H366" s="14">
        <v>30</v>
      </c>
      <c r="I366" s="14"/>
      <c r="J366" s="14"/>
      <c r="K366" s="15"/>
    </row>
    <row r="367" spans="1:11" x14ac:dyDescent="0.25">
      <c r="A367" s="14">
        <f>IF(B367="","",COUNTA($B$4:B367))</f>
        <v>364</v>
      </c>
      <c r="B367" s="14" t="s">
        <v>1534</v>
      </c>
      <c r="C367" s="14" t="s">
        <v>621</v>
      </c>
      <c r="D367" s="14" t="s">
        <v>1399</v>
      </c>
      <c r="E367" s="14" t="s">
        <v>621</v>
      </c>
      <c r="F367" s="14" t="s">
        <v>150</v>
      </c>
      <c r="G367" s="14" t="s">
        <v>151</v>
      </c>
      <c r="H367" s="14">
        <v>30</v>
      </c>
      <c r="I367" s="14"/>
      <c r="J367" s="14"/>
      <c r="K367" s="15"/>
    </row>
    <row r="368" spans="1:11" x14ac:dyDescent="0.25">
      <c r="A368" s="14">
        <f>IF(B368="","",COUNTA($B$4:B368))</f>
        <v>365</v>
      </c>
      <c r="B368" s="14" t="s">
        <v>1515</v>
      </c>
      <c r="C368" s="14" t="s">
        <v>197</v>
      </c>
      <c r="D368" s="14" t="s">
        <v>198</v>
      </c>
      <c r="E368" s="14" t="s">
        <v>197</v>
      </c>
      <c r="F368" s="14" t="s">
        <v>150</v>
      </c>
      <c r="G368" s="14" t="s">
        <v>151</v>
      </c>
      <c r="H368" s="14">
        <v>5</v>
      </c>
      <c r="I368" s="14"/>
      <c r="J368" s="14"/>
      <c r="K368" s="15"/>
    </row>
    <row r="369" spans="1:11" x14ac:dyDescent="0.25">
      <c r="A369" s="14">
        <f>IF(B369="","",COUNTA($B$4:B369))</f>
        <v>366</v>
      </c>
      <c r="B369" s="14" t="s">
        <v>1528</v>
      </c>
      <c r="C369" s="14" t="s">
        <v>197</v>
      </c>
      <c r="D369" s="14" t="s">
        <v>198</v>
      </c>
      <c r="E369" s="14" t="s">
        <v>197</v>
      </c>
      <c r="F369" s="14" t="s">
        <v>150</v>
      </c>
      <c r="G369" s="14" t="s">
        <v>151</v>
      </c>
      <c r="H369" s="14">
        <v>5</v>
      </c>
      <c r="I369" s="14"/>
      <c r="J369" s="14"/>
      <c r="K369" s="15"/>
    </row>
    <row r="370" spans="1:11" x14ac:dyDescent="0.25">
      <c r="A370" s="14">
        <f>IF(B370="","",COUNTA($B$4:B370))</f>
        <v>367</v>
      </c>
      <c r="B370" s="14" t="s">
        <v>1529</v>
      </c>
      <c r="C370" s="14" t="s">
        <v>197</v>
      </c>
      <c r="D370" s="14" t="s">
        <v>198</v>
      </c>
      <c r="E370" s="14" t="s">
        <v>197</v>
      </c>
      <c r="F370" s="14" t="s">
        <v>150</v>
      </c>
      <c r="G370" s="14" t="s">
        <v>151</v>
      </c>
      <c r="H370" s="14">
        <v>25</v>
      </c>
      <c r="I370" s="14"/>
      <c r="J370" s="14"/>
      <c r="K370" s="15"/>
    </row>
    <row r="371" spans="1:11" x14ac:dyDescent="0.25">
      <c r="A371" s="14">
        <f>IF(B371="","",COUNTA($B$4:B371))</f>
        <v>368</v>
      </c>
      <c r="B371" s="14" t="s">
        <v>1530</v>
      </c>
      <c r="C371" s="14" t="s">
        <v>197</v>
      </c>
      <c r="D371" s="14" t="s">
        <v>198</v>
      </c>
      <c r="E371" s="14" t="s">
        <v>197</v>
      </c>
      <c r="F371" s="14" t="s">
        <v>150</v>
      </c>
      <c r="G371" s="14" t="s">
        <v>151</v>
      </c>
      <c r="H371" s="14">
        <v>5</v>
      </c>
      <c r="I371" s="14"/>
      <c r="J371" s="14"/>
      <c r="K371" s="127"/>
    </row>
    <row r="372" spans="1:11" x14ac:dyDescent="0.25">
      <c r="A372" s="14">
        <f>IF(B372="","",COUNTA($B$4:B372))</f>
        <v>369</v>
      </c>
      <c r="B372" s="14" t="s">
        <v>1531</v>
      </c>
      <c r="C372" s="14" t="s">
        <v>197</v>
      </c>
      <c r="D372" s="14" t="s">
        <v>198</v>
      </c>
      <c r="E372" s="14" t="s">
        <v>197</v>
      </c>
      <c r="F372" s="14" t="s">
        <v>150</v>
      </c>
      <c r="G372" s="14" t="s">
        <v>151</v>
      </c>
      <c r="H372" s="14">
        <v>5</v>
      </c>
      <c r="I372" s="14"/>
      <c r="J372" s="14"/>
      <c r="K372" s="15"/>
    </row>
    <row r="373" spans="1:11" x14ac:dyDescent="0.25">
      <c r="A373" s="14">
        <f>IF(B373="","",COUNTA($B$4:B373))</f>
        <v>370</v>
      </c>
      <c r="B373" s="14" t="s">
        <v>1532</v>
      </c>
      <c r="C373" s="14" t="s">
        <v>197</v>
      </c>
      <c r="D373" s="14" t="s">
        <v>198</v>
      </c>
      <c r="E373" s="14" t="s">
        <v>197</v>
      </c>
      <c r="F373" s="14" t="s">
        <v>150</v>
      </c>
      <c r="G373" s="14" t="s">
        <v>151</v>
      </c>
      <c r="H373" s="14">
        <v>5</v>
      </c>
      <c r="I373" s="14"/>
      <c r="J373" s="14"/>
      <c r="K373" s="127"/>
    </row>
    <row r="374" spans="1:11" x14ac:dyDescent="0.25">
      <c r="A374" s="14">
        <f>IF(B374="","",COUNTA($B$4:B374))</f>
        <v>371</v>
      </c>
      <c r="B374" s="14" t="s">
        <v>1533</v>
      </c>
      <c r="C374" s="14" t="s">
        <v>197</v>
      </c>
      <c r="D374" s="14" t="s">
        <v>198</v>
      </c>
      <c r="E374" s="14" t="s">
        <v>197</v>
      </c>
      <c r="F374" s="14" t="s">
        <v>150</v>
      </c>
      <c r="G374" s="14" t="s">
        <v>151</v>
      </c>
      <c r="H374" s="14">
        <v>5</v>
      </c>
      <c r="I374" s="14"/>
      <c r="J374" s="14"/>
      <c r="K374" s="127"/>
    </row>
    <row r="375" spans="1:11" x14ac:dyDescent="0.25">
      <c r="A375" s="14">
        <f>IF(B375="","",COUNTA($B$4:B375))</f>
        <v>372</v>
      </c>
      <c r="B375" s="14" t="s">
        <v>1534</v>
      </c>
      <c r="C375" s="14" t="s">
        <v>197</v>
      </c>
      <c r="D375" s="14" t="s">
        <v>198</v>
      </c>
      <c r="E375" s="14" t="s">
        <v>197</v>
      </c>
      <c r="F375" s="14" t="s">
        <v>150</v>
      </c>
      <c r="G375" s="14" t="s">
        <v>151</v>
      </c>
      <c r="H375" s="14">
        <v>5</v>
      </c>
      <c r="I375" s="14"/>
      <c r="J375" s="14"/>
      <c r="K375" s="127"/>
    </row>
    <row r="376" spans="1:11" x14ac:dyDescent="0.25">
      <c r="A376" s="14">
        <f>IF(B376="","",COUNTA($B$4:B376))</f>
        <v>373</v>
      </c>
      <c r="B376" s="14" t="s">
        <v>1538</v>
      </c>
      <c r="C376" s="14" t="s">
        <v>197</v>
      </c>
      <c r="D376" s="14" t="s">
        <v>198</v>
      </c>
      <c r="E376" s="14" t="s">
        <v>197</v>
      </c>
      <c r="F376" s="14" t="s">
        <v>150</v>
      </c>
      <c r="G376" s="14" t="s">
        <v>151</v>
      </c>
      <c r="H376" s="14">
        <v>5</v>
      </c>
      <c r="I376" s="14"/>
      <c r="J376" s="14"/>
      <c r="K376" s="15"/>
    </row>
    <row r="377" spans="1:11" x14ac:dyDescent="0.25">
      <c r="A377" s="14">
        <f>IF(B377="","",COUNTA($B$4:B377))</f>
        <v>374</v>
      </c>
      <c r="B377" s="14" t="s">
        <v>1545</v>
      </c>
      <c r="C377" s="14" t="s">
        <v>197</v>
      </c>
      <c r="D377" s="14" t="s">
        <v>198</v>
      </c>
      <c r="E377" s="14" t="s">
        <v>197</v>
      </c>
      <c r="F377" s="14" t="s">
        <v>150</v>
      </c>
      <c r="G377" s="14" t="s">
        <v>151</v>
      </c>
      <c r="H377" s="14">
        <v>5</v>
      </c>
      <c r="I377" s="14"/>
      <c r="J377" s="14"/>
      <c r="K377" s="15"/>
    </row>
    <row r="378" spans="1:11" x14ac:dyDescent="0.25">
      <c r="A378" s="14">
        <f>IF(B378="","",COUNTA($B$4:B378))</f>
        <v>375</v>
      </c>
      <c r="B378" s="14" t="s">
        <v>1546</v>
      </c>
      <c r="C378" s="14" t="s">
        <v>197</v>
      </c>
      <c r="D378" s="14" t="s">
        <v>198</v>
      </c>
      <c r="E378" s="14" t="s">
        <v>197</v>
      </c>
      <c r="F378" s="14" t="s">
        <v>150</v>
      </c>
      <c r="G378" s="14" t="s">
        <v>151</v>
      </c>
      <c r="H378" s="14">
        <v>5</v>
      </c>
      <c r="I378" s="14"/>
      <c r="J378" s="14"/>
      <c r="K378" s="127"/>
    </row>
    <row r="379" spans="1:11" x14ac:dyDescent="0.25">
      <c r="A379" s="14">
        <f>IF(B379="","",COUNTA($B$4:B379))</f>
        <v>376</v>
      </c>
      <c r="B379" s="14" t="s">
        <v>1547</v>
      </c>
      <c r="C379" s="14" t="s">
        <v>197</v>
      </c>
      <c r="D379" s="14" t="s">
        <v>198</v>
      </c>
      <c r="E379" s="14" t="s">
        <v>197</v>
      </c>
      <c r="F379" s="14" t="s">
        <v>150</v>
      </c>
      <c r="G379" s="14" t="s">
        <v>151</v>
      </c>
      <c r="H379" s="14">
        <v>5</v>
      </c>
      <c r="I379" s="14"/>
      <c r="J379" s="14"/>
      <c r="K379" s="127"/>
    </row>
    <row r="380" spans="1:11" x14ac:dyDescent="0.25">
      <c r="A380" s="14">
        <f>IF(B380="","",COUNTA($B$4:B380))</f>
        <v>377</v>
      </c>
      <c r="B380" s="14" t="s">
        <v>1548</v>
      </c>
      <c r="C380" s="14" t="s">
        <v>197</v>
      </c>
      <c r="D380" s="14" t="s">
        <v>198</v>
      </c>
      <c r="E380" s="14" t="s">
        <v>197</v>
      </c>
      <c r="F380" s="14" t="s">
        <v>150</v>
      </c>
      <c r="G380" s="14" t="s">
        <v>151</v>
      </c>
      <c r="H380" s="14">
        <v>5</v>
      </c>
      <c r="I380" s="14"/>
      <c r="J380" s="14"/>
      <c r="K380" s="15"/>
    </row>
    <row r="381" spans="1:11" x14ac:dyDescent="0.25">
      <c r="A381" s="14">
        <f>IF(B381="","",COUNTA($B$4:B381))</f>
        <v>378</v>
      </c>
      <c r="B381" s="14" t="s">
        <v>1549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  <c r="K381" s="127"/>
    </row>
    <row r="382" spans="1:11" x14ac:dyDescent="0.25">
      <c r="A382" s="14">
        <f>IF(B382="","",COUNTA($B$4:B382))</f>
        <v>379</v>
      </c>
      <c r="B382" s="14" t="s">
        <v>1550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5"/>
      <c r="K382" s="15"/>
    </row>
    <row r="383" spans="1:11" x14ac:dyDescent="0.25">
      <c r="A383" s="14">
        <f>IF(B383="","",COUNTA($B$4:B383))</f>
        <v>380</v>
      </c>
      <c r="B383" s="14" t="s">
        <v>1551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5"/>
      <c r="K383" s="15"/>
    </row>
    <row r="384" spans="1:11" x14ac:dyDescent="0.25">
      <c r="A384" s="14">
        <f>IF(B384="","",COUNTA($B$4:B384))</f>
        <v>381</v>
      </c>
      <c r="B384" s="14" t="s">
        <v>1552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5</v>
      </c>
      <c r="I384" s="14"/>
      <c r="J384" s="15"/>
      <c r="K384" s="15"/>
    </row>
    <row r="385" spans="1:11" x14ac:dyDescent="0.25">
      <c r="A385" s="14">
        <f>IF(B385="","",COUNTA($B$4:B385))</f>
        <v>382</v>
      </c>
      <c r="B385" s="14" t="s">
        <v>1553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5"/>
      <c r="K385" s="15"/>
    </row>
    <row r="386" spans="1:11" x14ac:dyDescent="0.25">
      <c r="A386" s="14">
        <f>IF(B386="","",COUNTA($B$4:B386))</f>
        <v>383</v>
      </c>
      <c r="B386" s="14" t="s">
        <v>1515</v>
      </c>
      <c r="C386" s="14" t="s">
        <v>162</v>
      </c>
      <c r="D386" s="14" t="s">
        <v>163</v>
      </c>
      <c r="E386" s="14" t="s">
        <v>164</v>
      </c>
      <c r="F386" s="14" t="s">
        <v>150</v>
      </c>
      <c r="G386" s="14" t="s">
        <v>151</v>
      </c>
      <c r="H386" s="14">
        <v>4</v>
      </c>
      <c r="I386" s="14"/>
      <c r="J386" s="14"/>
      <c r="K386" s="15"/>
    </row>
    <row r="387" spans="1:11" x14ac:dyDescent="0.25">
      <c r="A387" s="14">
        <f>IF(B387="","",COUNTA($B$4:B387))</f>
        <v>384</v>
      </c>
      <c r="B387" s="14" t="s">
        <v>1528</v>
      </c>
      <c r="C387" s="14" t="s">
        <v>162</v>
      </c>
      <c r="D387" s="14" t="s">
        <v>163</v>
      </c>
      <c r="E387" s="14" t="s">
        <v>164</v>
      </c>
      <c r="F387" s="14" t="s">
        <v>150</v>
      </c>
      <c r="G387" s="14" t="s">
        <v>151</v>
      </c>
      <c r="H387" s="14">
        <v>4</v>
      </c>
      <c r="I387" s="14"/>
      <c r="J387" s="14"/>
      <c r="K387" s="127"/>
    </row>
    <row r="388" spans="1:11" x14ac:dyDescent="0.25">
      <c r="A388" s="14">
        <f>IF(B388="","",COUNTA($B$4:B388))</f>
        <v>385</v>
      </c>
      <c r="B388" s="14" t="s">
        <v>1529</v>
      </c>
      <c r="C388" s="14" t="s">
        <v>162</v>
      </c>
      <c r="D388" s="14" t="s">
        <v>163</v>
      </c>
      <c r="E388" s="14" t="s">
        <v>164</v>
      </c>
      <c r="F388" s="14" t="s">
        <v>150</v>
      </c>
      <c r="G388" s="14" t="s">
        <v>151</v>
      </c>
      <c r="H388" s="14">
        <v>4</v>
      </c>
      <c r="I388" s="14"/>
      <c r="J388" s="14"/>
      <c r="K388" s="15"/>
    </row>
    <row r="389" spans="1:11" x14ac:dyDescent="0.25">
      <c r="A389" s="14">
        <f>IF(B389="","",COUNTA($B$4:B389))</f>
        <v>386</v>
      </c>
      <c r="B389" s="14" t="s">
        <v>1530</v>
      </c>
      <c r="C389" s="14" t="s">
        <v>162</v>
      </c>
      <c r="D389" s="14" t="s">
        <v>163</v>
      </c>
      <c r="E389" s="14" t="s">
        <v>164</v>
      </c>
      <c r="F389" s="14" t="s">
        <v>150</v>
      </c>
      <c r="G389" s="14" t="s">
        <v>151</v>
      </c>
      <c r="H389" s="14">
        <v>4</v>
      </c>
      <c r="I389" s="14"/>
      <c r="J389" s="14"/>
      <c r="K389" s="15"/>
    </row>
    <row r="390" spans="1:11" x14ac:dyDescent="0.25">
      <c r="A390" s="14">
        <f>IF(B390="","",COUNTA($B$4:B390))</f>
        <v>387</v>
      </c>
      <c r="B390" s="14" t="s">
        <v>1531</v>
      </c>
      <c r="C390" s="14" t="s">
        <v>162</v>
      </c>
      <c r="D390" s="14" t="s">
        <v>163</v>
      </c>
      <c r="E390" s="14" t="s">
        <v>164</v>
      </c>
      <c r="F390" s="14" t="s">
        <v>150</v>
      </c>
      <c r="G390" s="14" t="s">
        <v>151</v>
      </c>
      <c r="H390" s="14">
        <v>4</v>
      </c>
      <c r="I390" s="14"/>
      <c r="J390" s="14"/>
      <c r="K390" s="127"/>
    </row>
    <row r="391" spans="1:11" x14ac:dyDescent="0.25">
      <c r="A391" s="14">
        <f>IF(B391="","",COUNTA($B$4:B391))</f>
        <v>388</v>
      </c>
      <c r="B391" s="14" t="s">
        <v>1532</v>
      </c>
      <c r="C391" s="14" t="s">
        <v>162</v>
      </c>
      <c r="D391" s="14" t="s">
        <v>163</v>
      </c>
      <c r="E391" s="14" t="s">
        <v>164</v>
      </c>
      <c r="F391" s="14" t="s">
        <v>150</v>
      </c>
      <c r="G391" s="14" t="s">
        <v>151</v>
      </c>
      <c r="H391" s="14">
        <v>4</v>
      </c>
      <c r="I391" s="14"/>
      <c r="J391" s="14"/>
      <c r="K391" s="15"/>
    </row>
    <row r="392" spans="1:11" x14ac:dyDescent="0.25">
      <c r="A392" s="14">
        <f>IF(B392="","",COUNTA($B$4:B392))</f>
        <v>389</v>
      </c>
      <c r="B392" s="14" t="s">
        <v>1533</v>
      </c>
      <c r="C392" s="14" t="s">
        <v>162</v>
      </c>
      <c r="D392" s="14" t="s">
        <v>163</v>
      </c>
      <c r="E392" s="14" t="s">
        <v>164</v>
      </c>
      <c r="F392" s="14" t="s">
        <v>150</v>
      </c>
      <c r="G392" s="14" t="s">
        <v>151</v>
      </c>
      <c r="H392" s="14">
        <v>4</v>
      </c>
      <c r="I392" s="14"/>
      <c r="J392" s="14"/>
      <c r="K392" s="127"/>
    </row>
    <row r="393" spans="1:11" x14ac:dyDescent="0.25">
      <c r="A393" s="14">
        <f>IF(B393="","",COUNTA($B$4:B393))</f>
        <v>390</v>
      </c>
      <c r="B393" s="14" t="s">
        <v>1538</v>
      </c>
      <c r="C393" s="14" t="s">
        <v>162</v>
      </c>
      <c r="D393" s="14" t="s">
        <v>163</v>
      </c>
      <c r="E393" s="14" t="s">
        <v>164</v>
      </c>
      <c r="F393" s="14" t="s">
        <v>150</v>
      </c>
      <c r="G393" s="14" t="s">
        <v>151</v>
      </c>
      <c r="H393" s="14">
        <v>4</v>
      </c>
      <c r="I393" s="14"/>
      <c r="J393" s="14"/>
      <c r="K393" s="127"/>
    </row>
    <row r="394" spans="1:11" x14ac:dyDescent="0.25">
      <c r="A394" s="14">
        <f>IF(B394="","",COUNTA($B$4:B394))</f>
        <v>391</v>
      </c>
      <c r="B394" s="14" t="s">
        <v>1546</v>
      </c>
      <c r="C394" s="14" t="s">
        <v>162</v>
      </c>
      <c r="D394" s="14" t="s">
        <v>163</v>
      </c>
      <c r="E394" s="14" t="s">
        <v>164</v>
      </c>
      <c r="F394" s="14" t="s">
        <v>150</v>
      </c>
      <c r="G394" s="14" t="s">
        <v>151</v>
      </c>
      <c r="H394" s="14">
        <v>4</v>
      </c>
      <c r="I394" s="14"/>
      <c r="J394" s="14"/>
      <c r="K394" s="127"/>
    </row>
    <row r="395" spans="1:11" x14ac:dyDescent="0.25">
      <c r="A395" s="14">
        <f>IF(B395="","",COUNTA($B$4:B395))</f>
        <v>392</v>
      </c>
      <c r="B395" s="14" t="s">
        <v>1548</v>
      </c>
      <c r="C395" s="14" t="s">
        <v>162</v>
      </c>
      <c r="D395" s="14" t="s">
        <v>163</v>
      </c>
      <c r="E395" s="14" t="s">
        <v>164</v>
      </c>
      <c r="F395" s="14" t="s">
        <v>150</v>
      </c>
      <c r="G395" s="14" t="s">
        <v>151</v>
      </c>
      <c r="H395" s="14">
        <v>4</v>
      </c>
      <c r="I395" s="14"/>
      <c r="J395" s="14"/>
      <c r="K395" s="15"/>
    </row>
    <row r="396" spans="1:11" x14ac:dyDescent="0.25">
      <c r="A396" s="14">
        <f>IF(B396="","",COUNTA($B$4:B396))</f>
        <v>393</v>
      </c>
      <c r="B396" s="14" t="s">
        <v>1550</v>
      </c>
      <c r="C396" s="14" t="s">
        <v>162</v>
      </c>
      <c r="D396" s="14" t="s">
        <v>163</v>
      </c>
      <c r="E396" s="14" t="s">
        <v>164</v>
      </c>
      <c r="F396" s="14" t="s">
        <v>150</v>
      </c>
      <c r="G396" s="14" t="s">
        <v>151</v>
      </c>
      <c r="H396" s="14">
        <v>4</v>
      </c>
      <c r="I396" s="14"/>
      <c r="J396" s="14"/>
      <c r="K396" s="127"/>
    </row>
    <row r="397" spans="1:11" x14ac:dyDescent="0.25">
      <c r="A397" s="14">
        <f>IF(B397="","",COUNTA($B$4:B397))</f>
        <v>394</v>
      </c>
      <c r="B397" s="14" t="s">
        <v>1551</v>
      </c>
      <c r="C397" s="14" t="s">
        <v>162</v>
      </c>
      <c r="D397" s="14" t="s">
        <v>163</v>
      </c>
      <c r="E397" s="14" t="s">
        <v>164</v>
      </c>
      <c r="F397" s="14" t="s">
        <v>150</v>
      </c>
      <c r="G397" s="14" t="s">
        <v>151</v>
      </c>
      <c r="H397" s="14">
        <v>4</v>
      </c>
      <c r="I397" s="14"/>
      <c r="J397" s="15"/>
      <c r="K397" s="127"/>
    </row>
    <row r="398" spans="1:11" x14ac:dyDescent="0.25">
      <c r="A398" s="14">
        <f>IF(B398="","",COUNTA($B$4:B398))</f>
        <v>395</v>
      </c>
      <c r="B398" s="14" t="s">
        <v>1552</v>
      </c>
      <c r="C398" s="14" t="s">
        <v>162</v>
      </c>
      <c r="D398" s="14" t="s">
        <v>163</v>
      </c>
      <c r="E398" s="14" t="s">
        <v>164</v>
      </c>
      <c r="F398" s="14" t="s">
        <v>150</v>
      </c>
      <c r="G398" s="14" t="s">
        <v>151</v>
      </c>
      <c r="H398" s="14">
        <v>4</v>
      </c>
      <c r="I398" s="14"/>
      <c r="J398" s="15"/>
      <c r="K398" s="127"/>
    </row>
    <row r="399" spans="1:11" x14ac:dyDescent="0.25">
      <c r="A399" s="14">
        <f>IF(B399="","",COUNTA($B$4:B399))</f>
        <v>396</v>
      </c>
      <c r="B399" s="14" t="s">
        <v>1553</v>
      </c>
      <c r="C399" s="14" t="s">
        <v>162</v>
      </c>
      <c r="D399" s="14" t="s">
        <v>163</v>
      </c>
      <c r="E399" s="14" t="s">
        <v>164</v>
      </c>
      <c r="F399" s="14" t="s">
        <v>150</v>
      </c>
      <c r="G399" s="14" t="s">
        <v>151</v>
      </c>
      <c r="H399" s="14">
        <v>4</v>
      </c>
      <c r="I399" s="14"/>
      <c r="J399" s="15"/>
      <c r="K399" s="15"/>
    </row>
    <row r="400" spans="1:11" x14ac:dyDescent="0.25">
      <c r="A400" s="14">
        <f>IF(B400="","",COUNTA($B$4:B400))</f>
        <v>397</v>
      </c>
      <c r="B400" s="14" t="s">
        <v>1554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5"/>
      <c r="K400" s="127"/>
    </row>
    <row r="401" spans="1:11" x14ac:dyDescent="0.25">
      <c r="A401" s="14">
        <f>IF(B401="","",COUNTA($B$4:B401))</f>
        <v>398</v>
      </c>
      <c r="B401" s="14" t="s">
        <v>1556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5"/>
      <c r="K401" s="15"/>
    </row>
    <row r="402" spans="1:11" x14ac:dyDescent="0.25">
      <c r="A402" s="14">
        <f>IF(B402="","",COUNTA($B$4:B402))</f>
        <v>399</v>
      </c>
      <c r="B402" s="14" t="s">
        <v>1557</v>
      </c>
      <c r="C402" s="14" t="s">
        <v>162</v>
      </c>
      <c r="D402" s="14" t="s">
        <v>163</v>
      </c>
      <c r="E402" s="14" t="s">
        <v>162</v>
      </c>
      <c r="F402" s="14" t="s">
        <v>150</v>
      </c>
      <c r="G402" s="14" t="s">
        <v>151</v>
      </c>
      <c r="H402" s="14">
        <v>4</v>
      </c>
      <c r="I402" s="14"/>
      <c r="J402" s="15"/>
      <c r="K402" s="15"/>
    </row>
    <row r="403" spans="1:11" x14ac:dyDescent="0.25">
      <c r="A403" s="14">
        <f>IF(B403="","",COUNTA($B$4:B403))</f>
        <v>400</v>
      </c>
      <c r="B403" s="14" t="s">
        <v>1528</v>
      </c>
      <c r="C403" s="14" t="s">
        <v>266</v>
      </c>
      <c r="D403" s="14" t="s">
        <v>267</v>
      </c>
      <c r="E403" s="14" t="s">
        <v>266</v>
      </c>
      <c r="F403" s="14" t="s">
        <v>155</v>
      </c>
      <c r="G403" s="14" t="s">
        <v>156</v>
      </c>
      <c r="H403" s="14">
        <v>5</v>
      </c>
      <c r="I403" s="14"/>
      <c r="J403" s="14"/>
      <c r="K403" s="127"/>
    </row>
    <row r="404" spans="1:11" x14ac:dyDescent="0.25">
      <c r="A404" s="14">
        <f>IF(B404="","",COUNTA($B$4:B404))</f>
        <v>401</v>
      </c>
      <c r="B404" s="14" t="s">
        <v>1529</v>
      </c>
      <c r="C404" s="14" t="s">
        <v>266</v>
      </c>
      <c r="D404" s="14" t="s">
        <v>267</v>
      </c>
      <c r="E404" s="14" t="s">
        <v>266</v>
      </c>
      <c r="F404" s="14" t="s">
        <v>155</v>
      </c>
      <c r="G404" s="14" t="s">
        <v>156</v>
      </c>
      <c r="H404" s="14">
        <v>5</v>
      </c>
      <c r="I404" s="14"/>
      <c r="J404" s="14"/>
      <c r="K404" s="127"/>
    </row>
    <row r="405" spans="1:11" x14ac:dyDescent="0.25">
      <c r="A405" s="14">
        <f>IF(B405="","",COUNTA($B$4:B405))</f>
        <v>402</v>
      </c>
      <c r="B405" s="14" t="s">
        <v>1530</v>
      </c>
      <c r="C405" s="14" t="s">
        <v>266</v>
      </c>
      <c r="D405" s="14" t="s">
        <v>267</v>
      </c>
      <c r="E405" s="14" t="s">
        <v>266</v>
      </c>
      <c r="F405" s="14" t="s">
        <v>155</v>
      </c>
      <c r="G405" s="14" t="s">
        <v>156</v>
      </c>
      <c r="H405" s="14">
        <v>5</v>
      </c>
      <c r="I405" s="14"/>
      <c r="J405" s="14"/>
      <c r="K405" s="127"/>
    </row>
    <row r="406" spans="1:11" x14ac:dyDescent="0.25">
      <c r="A406" s="14">
        <f>IF(B406="","",COUNTA($B$4:B406))</f>
        <v>403</v>
      </c>
      <c r="B406" s="14" t="s">
        <v>1546</v>
      </c>
      <c r="C406" s="14" t="s">
        <v>397</v>
      </c>
      <c r="D406" s="14" t="s">
        <v>398</v>
      </c>
      <c r="E406" s="14" t="s">
        <v>397</v>
      </c>
      <c r="F406" s="14" t="s">
        <v>150</v>
      </c>
      <c r="G406" s="14" t="s">
        <v>151</v>
      </c>
      <c r="H406" s="14">
        <v>100</v>
      </c>
      <c r="I406" s="14"/>
      <c r="J406" s="14"/>
      <c r="K406" s="15"/>
    </row>
    <row r="407" spans="1:11" x14ac:dyDescent="0.25">
      <c r="A407" s="14">
        <f>IF(B407="","",COUNTA($B$4:B407))</f>
        <v>404</v>
      </c>
      <c r="B407" s="14" t="s">
        <v>1533</v>
      </c>
      <c r="C407" s="14" t="s">
        <v>673</v>
      </c>
      <c r="D407" s="14" t="s">
        <v>1402</v>
      </c>
      <c r="E407" s="14" t="s">
        <v>673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 x14ac:dyDescent="0.25">
      <c r="A408" s="14">
        <f>IF(B408="","",COUNTA($B$4:B408))</f>
        <v>405</v>
      </c>
      <c r="B408" s="14" t="s">
        <v>1534</v>
      </c>
      <c r="C408" s="14" t="s">
        <v>673</v>
      </c>
      <c r="D408" s="14" t="s">
        <v>1402</v>
      </c>
      <c r="E408" s="14" t="s">
        <v>673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 x14ac:dyDescent="0.25">
      <c r="A409" s="14">
        <f>IF(B409="","",COUNTA($B$4:B409))</f>
        <v>406</v>
      </c>
      <c r="B409" s="14" t="s">
        <v>1545</v>
      </c>
      <c r="C409" s="14" t="s">
        <v>673</v>
      </c>
      <c r="D409" s="14" t="s">
        <v>1402</v>
      </c>
      <c r="E409" s="14" t="s">
        <v>673</v>
      </c>
      <c r="F409" s="14" t="s">
        <v>150</v>
      </c>
      <c r="G409" s="14" t="s">
        <v>151</v>
      </c>
      <c r="H409" s="14">
        <v>4</v>
      </c>
      <c r="I409" s="14" t="s">
        <v>244</v>
      </c>
      <c r="J409" s="14"/>
      <c r="K409" s="15"/>
    </row>
    <row r="410" spans="1:11" x14ac:dyDescent="0.25">
      <c r="A410" s="14">
        <f>IF(B410="","",COUNTA($B$4:B410))</f>
        <v>407</v>
      </c>
      <c r="B410" s="14" t="s">
        <v>1528</v>
      </c>
      <c r="C410" s="14" t="s">
        <v>272</v>
      </c>
      <c r="D410" s="14" t="s">
        <v>273</v>
      </c>
      <c r="E410" s="14" t="s">
        <v>272</v>
      </c>
      <c r="F410" s="14" t="s">
        <v>150</v>
      </c>
      <c r="G410" s="14" t="s">
        <v>151</v>
      </c>
      <c r="H410" s="14">
        <v>1000</v>
      </c>
      <c r="I410" s="14"/>
      <c r="J410" s="14"/>
      <c r="K410" s="15"/>
    </row>
    <row r="411" spans="1:11" x14ac:dyDescent="0.25">
      <c r="A411" s="14">
        <f>IF(B411="","",COUNTA($B$4:B411))</f>
        <v>408</v>
      </c>
      <c r="B411" s="14" t="s">
        <v>1515</v>
      </c>
      <c r="C411" s="14" t="s">
        <v>153</v>
      </c>
      <c r="D411" s="14" t="s">
        <v>154</v>
      </c>
      <c r="E411" s="14" t="s">
        <v>153</v>
      </c>
      <c r="F411" s="14" t="s">
        <v>155</v>
      </c>
      <c r="G411" s="14" t="s">
        <v>156</v>
      </c>
      <c r="H411" s="14">
        <v>3</v>
      </c>
      <c r="I411" s="14"/>
      <c r="J411" s="14"/>
      <c r="K411" s="127"/>
    </row>
    <row r="412" spans="1:11" x14ac:dyDescent="0.25">
      <c r="A412" s="14">
        <f>IF(B412="","",COUNTA($B$4:B412))</f>
        <v>409</v>
      </c>
      <c r="B412" s="14" t="s">
        <v>1528</v>
      </c>
      <c r="C412" s="14" t="s">
        <v>153</v>
      </c>
      <c r="D412" s="14" t="s">
        <v>154</v>
      </c>
      <c r="E412" s="14" t="s">
        <v>153</v>
      </c>
      <c r="F412" s="14" t="s">
        <v>155</v>
      </c>
      <c r="G412" s="14" t="s">
        <v>156</v>
      </c>
      <c r="H412" s="14">
        <v>3</v>
      </c>
      <c r="I412" s="14"/>
      <c r="J412" s="14"/>
      <c r="K412" s="127"/>
    </row>
    <row r="413" spans="1:11" x14ac:dyDescent="0.25">
      <c r="A413" s="14">
        <f>IF(B413="","",COUNTA($B$4:B413))</f>
        <v>410</v>
      </c>
      <c r="B413" s="14" t="s">
        <v>1529</v>
      </c>
      <c r="C413" s="14" t="s">
        <v>153</v>
      </c>
      <c r="D413" s="14" t="s">
        <v>154</v>
      </c>
      <c r="E413" s="14" t="s">
        <v>153</v>
      </c>
      <c r="F413" s="14" t="s">
        <v>155</v>
      </c>
      <c r="G413" s="14" t="s">
        <v>156</v>
      </c>
      <c r="H413" s="14">
        <v>3</v>
      </c>
      <c r="I413" s="14"/>
      <c r="J413" s="14"/>
      <c r="K413" s="15"/>
    </row>
    <row r="414" spans="1:11" x14ac:dyDescent="0.25">
      <c r="A414" s="14">
        <f>IF(B414="","",COUNTA($B$4:B414))</f>
        <v>411</v>
      </c>
      <c r="B414" s="14" t="s">
        <v>1530</v>
      </c>
      <c r="C414" s="14" t="s">
        <v>153</v>
      </c>
      <c r="D414" s="14" t="s">
        <v>154</v>
      </c>
      <c r="E414" s="14" t="s">
        <v>153</v>
      </c>
      <c r="F414" s="14" t="s">
        <v>155</v>
      </c>
      <c r="G414" s="14" t="s">
        <v>156</v>
      </c>
      <c r="H414" s="14">
        <v>3</v>
      </c>
      <c r="I414" s="14"/>
      <c r="J414" s="14"/>
      <c r="K414" s="127"/>
    </row>
    <row r="415" spans="1:11" x14ac:dyDescent="0.25">
      <c r="A415" s="14">
        <f>IF(B415="","",COUNTA($B$4:B415))</f>
        <v>412</v>
      </c>
      <c r="B415" s="14" t="s">
        <v>1533</v>
      </c>
      <c r="C415" s="14" t="s">
        <v>153</v>
      </c>
      <c r="D415" s="14" t="s">
        <v>154</v>
      </c>
      <c r="E415" s="14" t="s">
        <v>153</v>
      </c>
      <c r="F415" s="14" t="s">
        <v>155</v>
      </c>
      <c r="G415" s="14" t="s">
        <v>156</v>
      </c>
      <c r="H415" s="14">
        <v>3</v>
      </c>
      <c r="I415" s="14"/>
      <c r="J415" s="14"/>
      <c r="K415" s="15"/>
    </row>
    <row r="416" spans="1:11" x14ac:dyDescent="0.25">
      <c r="A416" s="14">
        <f>IF(B416="","",COUNTA($B$4:B416))</f>
        <v>413</v>
      </c>
      <c r="B416" s="14" t="s">
        <v>1534</v>
      </c>
      <c r="C416" s="14" t="s">
        <v>153</v>
      </c>
      <c r="D416" s="14" t="s">
        <v>154</v>
      </c>
      <c r="E416" s="14" t="s">
        <v>153</v>
      </c>
      <c r="F416" s="14" t="s">
        <v>155</v>
      </c>
      <c r="G416" s="14" t="s">
        <v>156</v>
      </c>
      <c r="H416" s="14">
        <v>3</v>
      </c>
      <c r="I416" s="14"/>
      <c r="J416" s="14"/>
      <c r="K416" s="15"/>
    </row>
    <row r="417" spans="1:11" x14ac:dyDescent="0.25">
      <c r="A417" s="14">
        <f>IF(B417="","",COUNTA($B$4:B417))</f>
        <v>414</v>
      </c>
      <c r="B417" s="14" t="s">
        <v>1515</v>
      </c>
      <c r="C417" s="14" t="s">
        <v>189</v>
      </c>
      <c r="D417" s="14" t="s">
        <v>190</v>
      </c>
      <c r="E417" s="14" t="s">
        <v>189</v>
      </c>
      <c r="F417" s="14" t="s">
        <v>155</v>
      </c>
      <c r="G417" s="14" t="s">
        <v>156</v>
      </c>
      <c r="H417" s="14">
        <v>3</v>
      </c>
      <c r="I417" s="14"/>
      <c r="J417" s="14"/>
      <c r="K417" s="127"/>
    </row>
    <row r="418" spans="1:11" x14ac:dyDescent="0.25">
      <c r="A418" s="14">
        <f>IF(B418="","",COUNTA($B$4:B418))</f>
        <v>415</v>
      </c>
      <c r="B418" s="14" t="s">
        <v>1528</v>
      </c>
      <c r="C418" s="14" t="s">
        <v>189</v>
      </c>
      <c r="D418" s="14" t="s">
        <v>190</v>
      </c>
      <c r="E418" s="14" t="s">
        <v>189</v>
      </c>
      <c r="F418" s="14" t="s">
        <v>155</v>
      </c>
      <c r="G418" s="14" t="s">
        <v>156</v>
      </c>
      <c r="H418" s="14">
        <v>3</v>
      </c>
      <c r="I418" s="14"/>
      <c r="J418" s="14"/>
      <c r="K418" s="15"/>
    </row>
    <row r="419" spans="1:11" x14ac:dyDescent="0.25">
      <c r="A419" s="14">
        <f>IF(B419="","",COUNTA($B$4:B419))</f>
        <v>416</v>
      </c>
      <c r="B419" s="14" t="s">
        <v>1529</v>
      </c>
      <c r="C419" s="14" t="s">
        <v>189</v>
      </c>
      <c r="D419" s="14" t="s">
        <v>190</v>
      </c>
      <c r="E419" s="14" t="s">
        <v>189</v>
      </c>
      <c r="F419" s="14" t="s">
        <v>155</v>
      </c>
      <c r="G419" s="14" t="s">
        <v>156</v>
      </c>
      <c r="H419" s="14">
        <v>3</v>
      </c>
      <c r="I419" s="14"/>
      <c r="J419" s="14"/>
      <c r="K419" s="15"/>
    </row>
    <row r="420" spans="1:11" x14ac:dyDescent="0.25">
      <c r="A420" s="14">
        <f>IF(B420="","",COUNTA($B$4:B420))</f>
        <v>417</v>
      </c>
      <c r="B420" s="14" t="s">
        <v>1530</v>
      </c>
      <c r="C420" s="14" t="s">
        <v>189</v>
      </c>
      <c r="D420" s="14" t="s">
        <v>190</v>
      </c>
      <c r="E420" s="14" t="s">
        <v>189</v>
      </c>
      <c r="F420" s="14" t="s">
        <v>155</v>
      </c>
      <c r="G420" s="14" t="s">
        <v>156</v>
      </c>
      <c r="H420" s="14">
        <v>3</v>
      </c>
      <c r="I420" s="14"/>
      <c r="J420" s="14"/>
      <c r="K420" s="15"/>
    </row>
    <row r="421" spans="1:11" x14ac:dyDescent="0.25">
      <c r="A421" s="14">
        <f>IF(B421="","",COUNTA($B$4:B421))</f>
        <v>418</v>
      </c>
      <c r="B421" s="14" t="s">
        <v>1533</v>
      </c>
      <c r="C421" s="14" t="s">
        <v>189</v>
      </c>
      <c r="D421" s="14" t="s">
        <v>190</v>
      </c>
      <c r="E421" s="14" t="s">
        <v>189</v>
      </c>
      <c r="F421" s="14" t="s">
        <v>155</v>
      </c>
      <c r="G421" s="14" t="s">
        <v>156</v>
      </c>
      <c r="H421" s="14">
        <v>3</v>
      </c>
      <c r="I421" s="14"/>
      <c r="J421" s="14"/>
      <c r="K421" s="15"/>
    </row>
    <row r="422" spans="1:11" x14ac:dyDescent="0.25">
      <c r="A422" s="14">
        <f>IF(B422="","",COUNTA($B$4:B422))</f>
        <v>419</v>
      </c>
      <c r="B422" s="14" t="s">
        <v>1515</v>
      </c>
      <c r="C422" s="14" t="s">
        <v>187</v>
      </c>
      <c r="D422" s="14" t="s">
        <v>188</v>
      </c>
      <c r="E422" s="14" t="s">
        <v>187</v>
      </c>
      <c r="F422" s="14" t="s">
        <v>155</v>
      </c>
      <c r="G422" s="14" t="s">
        <v>156</v>
      </c>
      <c r="H422" s="14">
        <v>3</v>
      </c>
      <c r="I422" s="14"/>
      <c r="J422" s="14"/>
      <c r="K422" s="127"/>
    </row>
    <row r="423" spans="1:11" x14ac:dyDescent="0.25">
      <c r="A423" s="14">
        <f>IF(B423="","",COUNTA($B$4:B423))</f>
        <v>420</v>
      </c>
      <c r="B423" s="14" t="s">
        <v>1528</v>
      </c>
      <c r="C423" s="14" t="s">
        <v>187</v>
      </c>
      <c r="D423" s="14" t="s">
        <v>188</v>
      </c>
      <c r="E423" s="14" t="s">
        <v>187</v>
      </c>
      <c r="F423" s="14" t="s">
        <v>155</v>
      </c>
      <c r="G423" s="14" t="s">
        <v>156</v>
      </c>
      <c r="H423" s="14">
        <v>3</v>
      </c>
      <c r="I423" s="14"/>
      <c r="J423" s="14"/>
      <c r="K423" s="15"/>
    </row>
    <row r="424" spans="1:11" x14ac:dyDescent="0.25">
      <c r="A424" s="14">
        <f>IF(B424="","",COUNTA($B$4:B424))</f>
        <v>421</v>
      </c>
      <c r="B424" s="14" t="s">
        <v>1529</v>
      </c>
      <c r="C424" s="14" t="s">
        <v>187</v>
      </c>
      <c r="D424" s="14" t="s">
        <v>188</v>
      </c>
      <c r="E424" s="14" t="s">
        <v>187</v>
      </c>
      <c r="F424" s="14" t="s">
        <v>155</v>
      </c>
      <c r="G424" s="14" t="s">
        <v>156</v>
      </c>
      <c r="H424" s="14">
        <v>3</v>
      </c>
      <c r="I424" s="14"/>
      <c r="J424" s="14"/>
      <c r="K424" s="15"/>
    </row>
    <row r="425" spans="1:11" x14ac:dyDescent="0.25">
      <c r="A425" s="14">
        <f>IF(B425="","",COUNTA($B$4:B425))</f>
        <v>422</v>
      </c>
      <c r="B425" s="14" t="s">
        <v>1530</v>
      </c>
      <c r="C425" s="14" t="s">
        <v>187</v>
      </c>
      <c r="D425" s="14" t="s">
        <v>188</v>
      </c>
      <c r="E425" s="14" t="s">
        <v>187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 x14ac:dyDescent="0.25">
      <c r="A426" s="14">
        <f>IF(B426="","",COUNTA($B$4:B426))</f>
        <v>423</v>
      </c>
      <c r="B426" s="14" t="s">
        <v>1533</v>
      </c>
      <c r="C426" s="14" t="s">
        <v>187</v>
      </c>
      <c r="D426" s="14" t="s">
        <v>188</v>
      </c>
      <c r="E426" s="14" t="s">
        <v>187</v>
      </c>
      <c r="F426" s="14" t="s">
        <v>155</v>
      </c>
      <c r="G426" s="14" t="s">
        <v>156</v>
      </c>
      <c r="H426" s="14">
        <v>3</v>
      </c>
      <c r="I426" s="14"/>
      <c r="J426" s="14"/>
      <c r="K426" s="127"/>
    </row>
    <row r="427" spans="1:11" x14ac:dyDescent="0.25">
      <c r="A427" s="14">
        <f>IF(B427="","",COUNTA($B$4:B427))</f>
        <v>424</v>
      </c>
      <c r="B427" s="14" t="s">
        <v>1534</v>
      </c>
      <c r="C427" s="14" t="s">
        <v>187</v>
      </c>
      <c r="D427" s="14" t="s">
        <v>188</v>
      </c>
      <c r="E427" s="14" t="s">
        <v>187</v>
      </c>
      <c r="F427" s="14" t="s">
        <v>155</v>
      </c>
      <c r="G427" s="14" t="s">
        <v>156</v>
      </c>
      <c r="H427" s="14">
        <v>3</v>
      </c>
      <c r="I427" s="14"/>
      <c r="J427" s="14"/>
      <c r="K427" s="127"/>
    </row>
    <row r="428" spans="1:11" x14ac:dyDescent="0.25">
      <c r="A428" s="14">
        <f>IF(B428="","",COUNTA($B$4:B428))</f>
        <v>425</v>
      </c>
      <c r="B428" s="14" t="s">
        <v>1515</v>
      </c>
      <c r="C428" s="14" t="s">
        <v>208</v>
      </c>
      <c r="D428" s="14" t="s">
        <v>209</v>
      </c>
      <c r="E428" s="14" t="s">
        <v>208</v>
      </c>
      <c r="F428" s="14" t="s">
        <v>155</v>
      </c>
      <c r="G428" s="14" t="s">
        <v>156</v>
      </c>
      <c r="H428" s="14">
        <v>5</v>
      </c>
      <c r="I428" s="14"/>
      <c r="J428" s="14"/>
      <c r="K428" s="127"/>
    </row>
    <row r="429" spans="1:11" x14ac:dyDescent="0.25">
      <c r="A429" s="14">
        <f>IF(B429="","",COUNTA($B$4:B429))</f>
        <v>426</v>
      </c>
      <c r="B429" s="14" t="s">
        <v>1528</v>
      </c>
      <c r="C429" s="14" t="s">
        <v>208</v>
      </c>
      <c r="D429" s="14" t="s">
        <v>209</v>
      </c>
      <c r="E429" s="14" t="s">
        <v>208</v>
      </c>
      <c r="F429" s="14" t="s">
        <v>155</v>
      </c>
      <c r="G429" s="14" t="s">
        <v>156</v>
      </c>
      <c r="H429" s="14">
        <v>5</v>
      </c>
      <c r="I429" s="14"/>
      <c r="J429" s="14"/>
      <c r="K429" s="15"/>
    </row>
    <row r="430" spans="1:11" x14ac:dyDescent="0.25">
      <c r="A430" s="14">
        <f>IF(B430="","",COUNTA($B$4:B430))</f>
        <v>427</v>
      </c>
      <c r="B430" s="14" t="s">
        <v>1529</v>
      </c>
      <c r="C430" s="14" t="s">
        <v>208</v>
      </c>
      <c r="D430" s="14" t="s">
        <v>209</v>
      </c>
      <c r="E430" s="14" t="s">
        <v>208</v>
      </c>
      <c r="F430" s="14" t="s">
        <v>155</v>
      </c>
      <c r="G430" s="14" t="s">
        <v>156</v>
      </c>
      <c r="H430" s="14">
        <v>5</v>
      </c>
      <c r="I430" s="14"/>
      <c r="J430" s="14"/>
      <c r="K430" s="127"/>
    </row>
    <row r="431" spans="1:11" x14ac:dyDescent="0.25">
      <c r="A431" s="14">
        <f>IF(B431="","",COUNTA($B$4:B431))</f>
        <v>428</v>
      </c>
      <c r="B431" s="14" t="s">
        <v>1530</v>
      </c>
      <c r="C431" s="14" t="s">
        <v>208</v>
      </c>
      <c r="D431" s="14" t="s">
        <v>209</v>
      </c>
      <c r="E431" s="14" t="s">
        <v>208</v>
      </c>
      <c r="F431" s="14" t="s">
        <v>155</v>
      </c>
      <c r="G431" s="14" t="s">
        <v>156</v>
      </c>
      <c r="H431" s="14">
        <v>5</v>
      </c>
      <c r="I431" s="14"/>
      <c r="J431" s="14"/>
      <c r="K431" s="127"/>
    </row>
    <row r="432" spans="1:11" x14ac:dyDescent="0.25">
      <c r="A432" s="14">
        <f>IF(B432="","",COUNTA($B$4:B432))</f>
        <v>429</v>
      </c>
      <c r="B432" s="14" t="s">
        <v>1533</v>
      </c>
      <c r="C432" s="14" t="s">
        <v>208</v>
      </c>
      <c r="D432" s="14" t="s">
        <v>209</v>
      </c>
      <c r="E432" s="14" t="s">
        <v>208</v>
      </c>
      <c r="F432" s="14" t="s">
        <v>155</v>
      </c>
      <c r="G432" s="14" t="s">
        <v>156</v>
      </c>
      <c r="H432" s="14">
        <v>5</v>
      </c>
      <c r="I432" s="14"/>
      <c r="J432" s="14"/>
      <c r="K432" s="15"/>
    </row>
    <row r="433" spans="1:11" x14ac:dyDescent="0.25">
      <c r="A433" s="14">
        <f>IF(B433="","",COUNTA($B$4:B433))</f>
        <v>430</v>
      </c>
      <c r="B433" s="14" t="s">
        <v>1534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  <c r="K433" s="15"/>
    </row>
    <row r="434" spans="1:11" x14ac:dyDescent="0.25">
      <c r="A434" s="14">
        <f>IF(B434="","",COUNTA($B$4:B434))</f>
        <v>431</v>
      </c>
      <c r="B434" s="14" t="s">
        <v>1538</v>
      </c>
      <c r="C434" s="14" t="s">
        <v>208</v>
      </c>
      <c r="D434" s="14" t="s">
        <v>209</v>
      </c>
      <c r="E434" s="14" t="s">
        <v>208</v>
      </c>
      <c r="F434" s="14" t="s">
        <v>155</v>
      </c>
      <c r="G434" s="14" t="s">
        <v>156</v>
      </c>
      <c r="H434" s="14">
        <v>5</v>
      </c>
      <c r="I434" s="14"/>
      <c r="J434" s="14"/>
      <c r="K434" s="15"/>
    </row>
    <row r="435" spans="1:11" x14ac:dyDescent="0.25">
      <c r="A435" s="14">
        <f>IF(B435="","",COUNTA($B$4:B435))</f>
        <v>432</v>
      </c>
      <c r="B435" s="14" t="s">
        <v>1546</v>
      </c>
      <c r="C435" s="14" t="s">
        <v>208</v>
      </c>
      <c r="D435" s="14" t="s">
        <v>209</v>
      </c>
      <c r="E435" s="14" t="s">
        <v>208</v>
      </c>
      <c r="F435" s="14" t="s">
        <v>155</v>
      </c>
      <c r="G435" s="14" t="s">
        <v>156</v>
      </c>
      <c r="H435" s="14">
        <v>5</v>
      </c>
      <c r="I435" s="14"/>
      <c r="J435" s="14"/>
      <c r="K435" s="15"/>
    </row>
    <row r="436" spans="1:11" x14ac:dyDescent="0.25">
      <c r="A436" s="14">
        <f>IF(B436="","",COUNTA($B$4:B436))</f>
        <v>433</v>
      </c>
      <c r="B436" s="14" t="s">
        <v>1548</v>
      </c>
      <c r="C436" s="14" t="s">
        <v>208</v>
      </c>
      <c r="D436" s="14" t="s">
        <v>209</v>
      </c>
      <c r="E436" s="14" t="s">
        <v>208</v>
      </c>
      <c r="F436" s="14" t="s">
        <v>155</v>
      </c>
      <c r="G436" s="14" t="s">
        <v>156</v>
      </c>
      <c r="H436" s="14">
        <v>5</v>
      </c>
      <c r="I436" s="14"/>
      <c r="J436" s="14"/>
      <c r="K436" s="127"/>
    </row>
    <row r="437" spans="1:11" x14ac:dyDescent="0.25">
      <c r="A437" s="14">
        <f>IF(B437="","",COUNTA($B$4:B437))</f>
        <v>434</v>
      </c>
      <c r="B437" s="14" t="s">
        <v>1550</v>
      </c>
      <c r="C437" s="14" t="s">
        <v>208</v>
      </c>
      <c r="D437" s="14" t="s">
        <v>209</v>
      </c>
      <c r="E437" s="14" t="s">
        <v>208</v>
      </c>
      <c r="F437" s="14" t="s">
        <v>155</v>
      </c>
      <c r="G437" s="14" t="s">
        <v>156</v>
      </c>
      <c r="H437" s="14">
        <v>5</v>
      </c>
      <c r="I437" s="14"/>
      <c r="J437" s="15"/>
      <c r="K437" s="127"/>
    </row>
    <row r="438" spans="1:11" x14ac:dyDescent="0.25">
      <c r="A438" s="14">
        <f>IF(B438="","",COUNTA($B$4:B438))</f>
        <v>435</v>
      </c>
      <c r="B438" s="14" t="s">
        <v>1551</v>
      </c>
      <c r="C438" s="14" t="s">
        <v>208</v>
      </c>
      <c r="D438" s="14" t="s">
        <v>209</v>
      </c>
      <c r="E438" s="14" t="s">
        <v>208</v>
      </c>
      <c r="F438" s="14" t="s">
        <v>155</v>
      </c>
      <c r="G438" s="14" t="s">
        <v>156</v>
      </c>
      <c r="H438" s="14">
        <v>5</v>
      </c>
      <c r="I438" s="14"/>
      <c r="J438" s="15"/>
      <c r="K438" s="127"/>
    </row>
    <row r="439" spans="1:11" x14ac:dyDescent="0.25">
      <c r="A439" s="14">
        <f>IF(B439="","",COUNTA($B$4:B439))</f>
        <v>436</v>
      </c>
      <c r="B439" s="14" t="s">
        <v>1552</v>
      </c>
      <c r="C439" s="14" t="s">
        <v>208</v>
      </c>
      <c r="D439" s="14" t="s">
        <v>209</v>
      </c>
      <c r="E439" s="14" t="s">
        <v>208</v>
      </c>
      <c r="F439" s="14" t="s">
        <v>155</v>
      </c>
      <c r="G439" s="14" t="s">
        <v>156</v>
      </c>
      <c r="H439" s="14">
        <v>5</v>
      </c>
      <c r="I439" s="14"/>
      <c r="J439" s="15"/>
      <c r="K439" s="15"/>
    </row>
    <row r="440" spans="1:11" x14ac:dyDescent="0.25">
      <c r="A440" s="14">
        <f>IF(B440="","",COUNTA($B$4:B440))</f>
        <v>437</v>
      </c>
      <c r="B440" s="14" t="s">
        <v>1553</v>
      </c>
      <c r="C440" s="14" t="s">
        <v>208</v>
      </c>
      <c r="D440" s="14" t="s">
        <v>209</v>
      </c>
      <c r="E440" s="14" t="s">
        <v>208</v>
      </c>
      <c r="F440" s="14" t="s">
        <v>155</v>
      </c>
      <c r="G440" s="14" t="s">
        <v>156</v>
      </c>
      <c r="H440" s="14">
        <v>5</v>
      </c>
      <c r="I440" s="14"/>
      <c r="J440" s="15"/>
      <c r="K440" s="127"/>
    </row>
    <row r="441" spans="1:11" x14ac:dyDescent="0.25">
      <c r="A441" s="14">
        <f>IF(B441="","",COUNTA($B$4:B441))</f>
        <v>438</v>
      </c>
      <c r="B441" s="14" t="s">
        <v>1515</v>
      </c>
      <c r="C441" s="14" t="s">
        <v>203</v>
      </c>
      <c r="D441" s="14" t="s">
        <v>204</v>
      </c>
      <c r="E441" s="14" t="s">
        <v>203</v>
      </c>
      <c r="F441" s="14" t="s">
        <v>155</v>
      </c>
      <c r="G441" s="14" t="s">
        <v>156</v>
      </c>
      <c r="H441" s="14">
        <v>5</v>
      </c>
      <c r="I441" s="14">
        <v>2</v>
      </c>
      <c r="J441" s="14"/>
      <c r="K441" s="127"/>
    </row>
    <row r="442" spans="1:11" x14ac:dyDescent="0.25">
      <c r="A442" s="14">
        <f>IF(B442="","",COUNTA($B$4:B442))</f>
        <v>439</v>
      </c>
      <c r="B442" s="14" t="s">
        <v>1528</v>
      </c>
      <c r="C442" s="14" t="s">
        <v>203</v>
      </c>
      <c r="D442" s="14" t="s">
        <v>204</v>
      </c>
      <c r="E442" s="14" t="s">
        <v>203</v>
      </c>
      <c r="F442" s="14" t="s">
        <v>155</v>
      </c>
      <c r="G442" s="14" t="s">
        <v>156</v>
      </c>
      <c r="H442" s="14">
        <v>5</v>
      </c>
      <c r="I442" s="14">
        <v>2</v>
      </c>
      <c r="J442" s="14"/>
      <c r="K442" s="127"/>
    </row>
    <row r="443" spans="1:11" x14ac:dyDescent="0.25">
      <c r="A443" s="14">
        <f>IF(B443="","",COUNTA($B$4:B443))</f>
        <v>440</v>
      </c>
      <c r="B443" s="14" t="s">
        <v>1529</v>
      </c>
      <c r="C443" s="14" t="s">
        <v>203</v>
      </c>
      <c r="D443" s="14" t="s">
        <v>204</v>
      </c>
      <c r="E443" s="14" t="s">
        <v>203</v>
      </c>
      <c r="F443" s="14" t="s">
        <v>155</v>
      </c>
      <c r="G443" s="14" t="s">
        <v>156</v>
      </c>
      <c r="H443" s="14">
        <v>5</v>
      </c>
      <c r="I443" s="14">
        <v>2</v>
      </c>
      <c r="J443" s="14"/>
      <c r="K443" s="15"/>
    </row>
    <row r="444" spans="1:11" x14ac:dyDescent="0.25">
      <c r="A444" s="14">
        <f>IF(B444="","",COUNTA($B$4:B444))</f>
        <v>441</v>
      </c>
      <c r="B444" s="14" t="s">
        <v>1530</v>
      </c>
      <c r="C444" s="14" t="s">
        <v>203</v>
      </c>
      <c r="D444" s="14" t="s">
        <v>204</v>
      </c>
      <c r="E444" s="14" t="s">
        <v>203</v>
      </c>
      <c r="F444" s="14" t="s">
        <v>155</v>
      </c>
      <c r="G444" s="14" t="s">
        <v>156</v>
      </c>
      <c r="H444" s="14">
        <v>5</v>
      </c>
      <c r="I444" s="14">
        <v>2</v>
      </c>
      <c r="J444" s="14"/>
      <c r="K444" s="15"/>
    </row>
    <row r="445" spans="1:11" x14ac:dyDescent="0.25">
      <c r="A445" s="14">
        <f>IF(B445="","",COUNTA($B$4:B445))</f>
        <v>442</v>
      </c>
      <c r="B445" s="14" t="s">
        <v>1533</v>
      </c>
      <c r="C445" s="14" t="s">
        <v>203</v>
      </c>
      <c r="D445" s="14" t="s">
        <v>204</v>
      </c>
      <c r="E445" s="14" t="s">
        <v>203</v>
      </c>
      <c r="F445" s="14" t="s">
        <v>155</v>
      </c>
      <c r="G445" s="14" t="s">
        <v>156</v>
      </c>
      <c r="H445" s="14">
        <v>5</v>
      </c>
      <c r="I445" s="14">
        <v>2</v>
      </c>
      <c r="J445" s="14"/>
      <c r="K445" s="15"/>
    </row>
    <row r="446" spans="1:11" x14ac:dyDescent="0.25">
      <c r="A446" s="14">
        <f>IF(B446="","",COUNTA($B$4:B446))</f>
        <v>443</v>
      </c>
      <c r="B446" s="14" t="s">
        <v>1534</v>
      </c>
      <c r="C446" s="14" t="s">
        <v>203</v>
      </c>
      <c r="D446" s="14" t="s">
        <v>204</v>
      </c>
      <c r="E446" s="14" t="s">
        <v>203</v>
      </c>
      <c r="F446" s="14" t="s">
        <v>155</v>
      </c>
      <c r="G446" s="14" t="s">
        <v>156</v>
      </c>
      <c r="H446" s="14">
        <v>5</v>
      </c>
      <c r="I446" s="14">
        <v>2</v>
      </c>
      <c r="J446" s="14"/>
      <c r="K446" s="15"/>
    </row>
    <row r="447" spans="1:11" x14ac:dyDescent="0.25">
      <c r="A447" s="14">
        <f>IF(B447="","",COUNTA($B$4:B447))</f>
        <v>444</v>
      </c>
      <c r="B447" s="14" t="s">
        <v>1538</v>
      </c>
      <c r="C447" s="14" t="s">
        <v>203</v>
      </c>
      <c r="D447" s="14" t="s">
        <v>204</v>
      </c>
      <c r="E447" s="14" t="s">
        <v>203</v>
      </c>
      <c r="F447" s="14" t="s">
        <v>155</v>
      </c>
      <c r="G447" s="14" t="s">
        <v>156</v>
      </c>
      <c r="H447" s="14">
        <v>5</v>
      </c>
      <c r="I447" s="14">
        <v>2</v>
      </c>
      <c r="J447" s="14"/>
      <c r="K447" s="127"/>
    </row>
    <row r="448" spans="1:11" x14ac:dyDescent="0.25">
      <c r="A448" s="14">
        <f>IF(B448="","",COUNTA($B$4:B448))</f>
        <v>445</v>
      </c>
      <c r="B448" s="14" t="s">
        <v>1546</v>
      </c>
      <c r="C448" s="14" t="s">
        <v>203</v>
      </c>
      <c r="D448" s="14" t="s">
        <v>204</v>
      </c>
      <c r="E448" s="14" t="s">
        <v>203</v>
      </c>
      <c r="F448" s="14" t="s">
        <v>155</v>
      </c>
      <c r="G448" s="14" t="s">
        <v>156</v>
      </c>
      <c r="H448" s="14">
        <v>5</v>
      </c>
      <c r="I448" s="14">
        <v>2</v>
      </c>
      <c r="J448" s="14"/>
      <c r="K448" s="15"/>
    </row>
    <row r="449" spans="1:11" x14ac:dyDescent="0.25">
      <c r="A449" s="14">
        <f>IF(B449="","",COUNTA($B$4:B449))</f>
        <v>446</v>
      </c>
      <c r="B449" s="14" t="s">
        <v>1548</v>
      </c>
      <c r="C449" s="14" t="s">
        <v>203</v>
      </c>
      <c r="D449" s="14" t="s">
        <v>204</v>
      </c>
      <c r="E449" s="14" t="s">
        <v>203</v>
      </c>
      <c r="F449" s="14" t="s">
        <v>155</v>
      </c>
      <c r="G449" s="14" t="s">
        <v>156</v>
      </c>
      <c r="H449" s="14">
        <v>5</v>
      </c>
      <c r="I449" s="14">
        <v>2</v>
      </c>
      <c r="J449" s="14"/>
      <c r="K449" s="15"/>
    </row>
    <row r="450" spans="1:11" x14ac:dyDescent="0.25">
      <c r="A450" s="14">
        <f>IF(B450="","",COUNTA($B$4:B450))</f>
        <v>447</v>
      </c>
      <c r="B450" s="14" t="s">
        <v>1550</v>
      </c>
      <c r="C450" s="14" t="s">
        <v>203</v>
      </c>
      <c r="D450" s="14" t="s">
        <v>204</v>
      </c>
      <c r="E450" s="14" t="s">
        <v>203</v>
      </c>
      <c r="F450" s="14" t="s">
        <v>155</v>
      </c>
      <c r="G450" s="14" t="s">
        <v>156</v>
      </c>
      <c r="H450" s="14">
        <v>5</v>
      </c>
      <c r="I450" s="14">
        <v>2</v>
      </c>
      <c r="J450" s="15"/>
      <c r="K450" s="15"/>
    </row>
    <row r="451" spans="1:11" x14ac:dyDescent="0.25">
      <c r="A451" s="14">
        <f>IF(B451="","",COUNTA($B$4:B451))</f>
        <v>448</v>
      </c>
      <c r="B451" s="14" t="s">
        <v>1551</v>
      </c>
      <c r="C451" s="14" t="s">
        <v>203</v>
      </c>
      <c r="D451" s="14" t="s">
        <v>204</v>
      </c>
      <c r="E451" s="14" t="s">
        <v>203</v>
      </c>
      <c r="F451" s="14" t="s">
        <v>155</v>
      </c>
      <c r="G451" s="14" t="s">
        <v>156</v>
      </c>
      <c r="H451" s="14">
        <v>5</v>
      </c>
      <c r="I451" s="14">
        <v>2</v>
      </c>
      <c r="J451" s="15"/>
      <c r="K451" s="15"/>
    </row>
    <row r="452" spans="1:11" x14ac:dyDescent="0.25">
      <c r="A452" s="14">
        <f>IF(B452="","",COUNTA($B$4:B452))</f>
        <v>449</v>
      </c>
      <c r="B452" s="14" t="s">
        <v>1552</v>
      </c>
      <c r="C452" s="14" t="s">
        <v>203</v>
      </c>
      <c r="D452" s="14" t="s">
        <v>204</v>
      </c>
      <c r="E452" s="14" t="s">
        <v>203</v>
      </c>
      <c r="F452" s="14" t="s">
        <v>155</v>
      </c>
      <c r="G452" s="14" t="s">
        <v>156</v>
      </c>
      <c r="H452" s="14">
        <v>5</v>
      </c>
      <c r="I452" s="14">
        <v>2</v>
      </c>
      <c r="J452" s="15"/>
      <c r="K452" s="15"/>
    </row>
    <row r="453" spans="1:11" x14ac:dyDescent="0.25">
      <c r="A453" s="14">
        <f>IF(B453="","",COUNTA($B$4:B453))</f>
        <v>450</v>
      </c>
      <c r="B453" s="14" t="s">
        <v>1553</v>
      </c>
      <c r="C453" s="14" t="s">
        <v>203</v>
      </c>
      <c r="D453" s="14" t="s">
        <v>204</v>
      </c>
      <c r="E453" s="14" t="s">
        <v>203</v>
      </c>
      <c r="F453" s="14" t="s">
        <v>155</v>
      </c>
      <c r="G453" s="14" t="s">
        <v>156</v>
      </c>
      <c r="H453" s="14">
        <v>5</v>
      </c>
      <c r="I453" s="14">
        <v>2</v>
      </c>
      <c r="J453" s="15"/>
      <c r="K453" s="127"/>
    </row>
    <row r="454" spans="1:11" x14ac:dyDescent="0.25">
      <c r="A454" s="14">
        <f>IF(B454="","",COUNTA($B$4:B454))</f>
        <v>451</v>
      </c>
      <c r="B454" s="14" t="s">
        <v>1547</v>
      </c>
      <c r="C454" s="14" t="s">
        <v>399</v>
      </c>
      <c r="D454" s="14" t="s">
        <v>400</v>
      </c>
      <c r="E454" s="14" t="s">
        <v>399</v>
      </c>
      <c r="F454" s="14" t="s">
        <v>150</v>
      </c>
      <c r="G454" s="14" t="s">
        <v>151</v>
      </c>
      <c r="H454" s="14">
        <v>30</v>
      </c>
      <c r="I454" s="14"/>
      <c r="J454" s="14"/>
      <c r="K454" s="15"/>
    </row>
    <row r="455" spans="1:11" x14ac:dyDescent="0.25">
      <c r="A455" s="14">
        <f>IF(B455="","",COUNTA($B$4:B455))</f>
        <v>452</v>
      </c>
      <c r="B455" s="14" t="s">
        <v>1515</v>
      </c>
      <c r="C455" s="14" t="s">
        <v>253</v>
      </c>
      <c r="D455" s="14" t="s">
        <v>254</v>
      </c>
      <c r="E455" s="14" t="s">
        <v>253</v>
      </c>
      <c r="F455" s="14" t="s">
        <v>150</v>
      </c>
      <c r="G455" s="14" t="s">
        <v>151</v>
      </c>
      <c r="H455" s="14">
        <v>10</v>
      </c>
      <c r="I455" s="14"/>
      <c r="J455" s="14"/>
      <c r="K455" s="15"/>
    </row>
    <row r="456" spans="1:11" x14ac:dyDescent="0.25">
      <c r="A456" s="14">
        <f>IF(B456="","",COUNTA($B$4:B456))</f>
        <v>453</v>
      </c>
      <c r="B456" s="14" t="s">
        <v>1528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  <c r="K456" s="15"/>
    </row>
    <row r="457" spans="1:11" x14ac:dyDescent="0.25">
      <c r="A457" s="14">
        <f>IF(B457="","",COUNTA($B$4:B457))</f>
        <v>454</v>
      </c>
      <c r="B457" s="14" t="s">
        <v>1529</v>
      </c>
      <c r="C457" s="14" t="s">
        <v>253</v>
      </c>
      <c r="D457" s="14" t="s">
        <v>254</v>
      </c>
      <c r="E457" s="14" t="s">
        <v>253</v>
      </c>
      <c r="F457" s="14" t="s">
        <v>150</v>
      </c>
      <c r="G457" s="14" t="s">
        <v>151</v>
      </c>
      <c r="H457" s="14">
        <v>10</v>
      </c>
      <c r="I457" s="14"/>
      <c r="J457" s="14"/>
      <c r="K457" s="127"/>
    </row>
    <row r="458" spans="1:11" x14ac:dyDescent="0.25">
      <c r="A458" s="14">
        <f>IF(B458="","",COUNTA($B$4:B458))</f>
        <v>455</v>
      </c>
      <c r="B458" s="14" t="s">
        <v>1530</v>
      </c>
      <c r="C458" s="14" t="s">
        <v>253</v>
      </c>
      <c r="D458" s="14" t="s">
        <v>254</v>
      </c>
      <c r="E458" s="14" t="s">
        <v>253</v>
      </c>
      <c r="F458" s="14" t="s">
        <v>150</v>
      </c>
      <c r="G458" s="14" t="s">
        <v>151</v>
      </c>
      <c r="H458" s="14">
        <v>10</v>
      </c>
      <c r="I458" s="14"/>
      <c r="J458" s="14"/>
      <c r="K458" s="127"/>
    </row>
    <row r="459" spans="1:11" x14ac:dyDescent="0.25">
      <c r="A459" s="14">
        <f>IF(B459="","",COUNTA($B$4:B459))</f>
        <v>456</v>
      </c>
      <c r="B459" s="14" t="s">
        <v>1531</v>
      </c>
      <c r="C459" s="14" t="s">
        <v>253</v>
      </c>
      <c r="D459" s="14" t="s">
        <v>254</v>
      </c>
      <c r="E459" s="14" t="s">
        <v>253</v>
      </c>
      <c r="F459" s="14" t="s">
        <v>150</v>
      </c>
      <c r="G459" s="14" t="s">
        <v>151</v>
      </c>
      <c r="H459" s="14">
        <v>10</v>
      </c>
      <c r="I459" s="14"/>
      <c r="J459" s="14"/>
      <c r="K459" s="15"/>
    </row>
    <row r="460" spans="1:11" x14ac:dyDescent="0.25">
      <c r="A460" s="14">
        <f>IF(B460="","",COUNTA($B$4:B460))</f>
        <v>457</v>
      </c>
      <c r="B460" s="14" t="s">
        <v>1532</v>
      </c>
      <c r="C460" s="14" t="s">
        <v>253</v>
      </c>
      <c r="D460" s="14" t="s">
        <v>254</v>
      </c>
      <c r="E460" s="14" t="s">
        <v>253</v>
      </c>
      <c r="F460" s="14" t="s">
        <v>150</v>
      </c>
      <c r="G460" s="14" t="s">
        <v>151</v>
      </c>
      <c r="H460" s="14">
        <v>10</v>
      </c>
      <c r="I460" s="14"/>
      <c r="J460" s="14"/>
      <c r="K460" s="15"/>
    </row>
    <row r="461" spans="1:11" x14ac:dyDescent="0.25">
      <c r="A461" s="14">
        <f>IF(B461="","",COUNTA($B$4:B461))</f>
        <v>458</v>
      </c>
      <c r="B461" s="14" t="s">
        <v>1533</v>
      </c>
      <c r="C461" s="14" t="s">
        <v>253</v>
      </c>
      <c r="D461" s="14" t="s">
        <v>254</v>
      </c>
      <c r="E461" s="14" t="s">
        <v>253</v>
      </c>
      <c r="F461" s="14" t="s">
        <v>150</v>
      </c>
      <c r="G461" s="14" t="s">
        <v>151</v>
      </c>
      <c r="H461" s="14">
        <v>10</v>
      </c>
      <c r="I461" s="14"/>
      <c r="J461" s="14"/>
      <c r="K461" s="127"/>
    </row>
    <row r="462" spans="1:11" x14ac:dyDescent="0.25">
      <c r="A462" s="14">
        <f>IF(B462="","",COUNTA($B$4:B462))</f>
        <v>459</v>
      </c>
      <c r="B462" s="14" t="s">
        <v>1534</v>
      </c>
      <c r="C462" s="14" t="s">
        <v>253</v>
      </c>
      <c r="D462" s="14" t="s">
        <v>254</v>
      </c>
      <c r="E462" s="14" t="s">
        <v>253</v>
      </c>
      <c r="F462" s="14" t="s">
        <v>150</v>
      </c>
      <c r="G462" s="14" t="s">
        <v>151</v>
      </c>
      <c r="H462" s="14">
        <v>10</v>
      </c>
      <c r="I462" s="14"/>
      <c r="J462" s="14"/>
      <c r="K462" s="127"/>
    </row>
    <row r="463" spans="1:11" x14ac:dyDescent="0.25">
      <c r="A463" s="14">
        <f>IF(B463="","",COUNTA($B$4:B463))</f>
        <v>460</v>
      </c>
      <c r="B463" s="14" t="s">
        <v>1538</v>
      </c>
      <c r="C463" s="14" t="s">
        <v>253</v>
      </c>
      <c r="D463" s="14" t="s">
        <v>254</v>
      </c>
      <c r="E463" s="14" t="s">
        <v>253</v>
      </c>
      <c r="F463" s="14" t="s">
        <v>150</v>
      </c>
      <c r="G463" s="14" t="s">
        <v>151</v>
      </c>
      <c r="H463" s="14">
        <v>10</v>
      </c>
      <c r="I463" s="14"/>
      <c r="J463" s="14"/>
      <c r="K463" s="15"/>
    </row>
    <row r="464" spans="1:11" x14ac:dyDescent="0.25">
      <c r="A464" s="14">
        <f>IF(B464="","",COUNTA($B$4:B464))</f>
        <v>461</v>
      </c>
      <c r="B464" s="14" t="s">
        <v>1545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 t="s">
        <v>244</v>
      </c>
      <c r="J464" s="14"/>
      <c r="K464" s="15"/>
    </row>
    <row r="465" spans="1:11" x14ac:dyDescent="0.25">
      <c r="A465" s="14">
        <f>IF(B465="","",COUNTA($B$4:B465))</f>
        <v>462</v>
      </c>
      <c r="B465" s="14" t="s">
        <v>1546</v>
      </c>
      <c r="C465" s="14" t="s">
        <v>253</v>
      </c>
      <c r="D465" s="14" t="s">
        <v>254</v>
      </c>
      <c r="E465" s="14" t="s">
        <v>253</v>
      </c>
      <c r="F465" s="14" t="s">
        <v>150</v>
      </c>
      <c r="G465" s="14" t="s">
        <v>151</v>
      </c>
      <c r="H465" s="14">
        <v>10</v>
      </c>
      <c r="I465" s="14"/>
      <c r="J465" s="14"/>
      <c r="K465" s="127"/>
    </row>
    <row r="466" spans="1:11" x14ac:dyDescent="0.25">
      <c r="A466" s="14">
        <f>IF(B466="","",COUNTA($B$4:B466))</f>
        <v>463</v>
      </c>
      <c r="B466" s="14" t="s">
        <v>1547</v>
      </c>
      <c r="C466" s="14" t="s">
        <v>253</v>
      </c>
      <c r="D466" s="14" t="s">
        <v>254</v>
      </c>
      <c r="E466" s="14" t="s">
        <v>253</v>
      </c>
      <c r="F466" s="14" t="s">
        <v>150</v>
      </c>
      <c r="G466" s="14" t="s">
        <v>151</v>
      </c>
      <c r="H466" s="14">
        <v>10</v>
      </c>
      <c r="I466" s="14"/>
      <c r="J466" s="14"/>
      <c r="K466" s="127"/>
    </row>
    <row r="467" spans="1:11" x14ac:dyDescent="0.25">
      <c r="A467" s="14">
        <f>IF(B467="","",COUNTA($B$4:B467))</f>
        <v>464</v>
      </c>
      <c r="B467" s="14" t="s">
        <v>1548</v>
      </c>
      <c r="C467" s="14" t="s">
        <v>253</v>
      </c>
      <c r="D467" s="14" t="s">
        <v>254</v>
      </c>
      <c r="E467" s="14" t="s">
        <v>253</v>
      </c>
      <c r="F467" s="14" t="s">
        <v>150</v>
      </c>
      <c r="G467" s="14" t="s">
        <v>151</v>
      </c>
      <c r="H467" s="14">
        <v>10</v>
      </c>
      <c r="I467" s="14"/>
      <c r="J467" s="14"/>
      <c r="K467" s="15"/>
    </row>
    <row r="468" spans="1:11" x14ac:dyDescent="0.25">
      <c r="A468" s="14">
        <f>IF(B468="","",COUNTA($B$4:B468))</f>
        <v>465</v>
      </c>
      <c r="B468" s="14" t="s">
        <v>1549</v>
      </c>
      <c r="C468" s="14" t="s">
        <v>253</v>
      </c>
      <c r="D468" s="14" t="s">
        <v>254</v>
      </c>
      <c r="E468" s="14" t="s">
        <v>253</v>
      </c>
      <c r="F468" s="14" t="s">
        <v>150</v>
      </c>
      <c r="G468" s="14" t="s">
        <v>151</v>
      </c>
      <c r="H468" s="14">
        <v>10</v>
      </c>
      <c r="I468" s="14"/>
      <c r="J468" s="14"/>
      <c r="K468" s="15"/>
    </row>
    <row r="469" spans="1:11" x14ac:dyDescent="0.25">
      <c r="A469" s="14">
        <f>IF(B469="","",COUNTA($B$4:B469))</f>
        <v>466</v>
      </c>
      <c r="B469" s="14" t="s">
        <v>1550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5"/>
      <c r="K469" s="15"/>
    </row>
    <row r="470" spans="1:11" x14ac:dyDescent="0.25">
      <c r="A470" s="14">
        <f>IF(B470="","",COUNTA($B$4:B470))</f>
        <v>467</v>
      </c>
      <c r="B470" s="14" t="s">
        <v>1551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5"/>
      <c r="K470" s="15"/>
    </row>
    <row r="471" spans="1:11" x14ac:dyDescent="0.25">
      <c r="A471" s="14">
        <f>IF(B471="","",COUNTA($B$4:B471))</f>
        <v>468</v>
      </c>
      <c r="B471" s="14" t="s">
        <v>1552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5"/>
      <c r="K471" s="127"/>
    </row>
    <row r="472" spans="1:11" x14ac:dyDescent="0.25">
      <c r="A472" s="14">
        <f>IF(B472="","",COUNTA($B$4:B472))</f>
        <v>469</v>
      </c>
      <c r="B472" s="14" t="s">
        <v>1553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5"/>
      <c r="K472" s="15"/>
    </row>
    <row r="473" spans="1:11" x14ac:dyDescent="0.25">
      <c r="A473" s="14">
        <f>IF(B473="","",COUNTA($B$4:B473))</f>
        <v>470</v>
      </c>
      <c r="B473" s="14" t="s">
        <v>1554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5"/>
      <c r="K473" s="127"/>
    </row>
    <row r="474" spans="1:11" x14ac:dyDescent="0.25">
      <c r="A474" s="14">
        <f>IF(B474="","",COUNTA($B$4:B474))</f>
        <v>471</v>
      </c>
      <c r="B474" s="14" t="s">
        <v>1515</v>
      </c>
      <c r="C474" s="14" t="s">
        <v>255</v>
      </c>
      <c r="D474" s="14" t="s">
        <v>256</v>
      </c>
      <c r="E474" s="14" t="s">
        <v>255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 x14ac:dyDescent="0.25">
      <c r="A475" s="14">
        <f>IF(B475="","",COUNTA($B$4:B475))</f>
        <v>472</v>
      </c>
      <c r="B475" s="14" t="s">
        <v>1528</v>
      </c>
      <c r="C475" s="14" t="s">
        <v>255</v>
      </c>
      <c r="D475" s="14" t="s">
        <v>256</v>
      </c>
      <c r="E475" s="14" t="s">
        <v>255</v>
      </c>
      <c r="F475" s="14" t="s">
        <v>150</v>
      </c>
      <c r="G475" s="14" t="s">
        <v>151</v>
      </c>
      <c r="H475" s="14">
        <v>10</v>
      </c>
      <c r="I475" s="14"/>
      <c r="J475" s="14"/>
      <c r="K475" s="15"/>
    </row>
    <row r="476" spans="1:11" x14ac:dyDescent="0.25">
      <c r="A476" s="14">
        <f>IF(B476="","",COUNTA($B$4:B476))</f>
        <v>473</v>
      </c>
      <c r="B476" s="14" t="s">
        <v>1529</v>
      </c>
      <c r="C476" s="14" t="s">
        <v>255</v>
      </c>
      <c r="D476" s="14" t="s">
        <v>256</v>
      </c>
      <c r="E476" s="14" t="s">
        <v>255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 x14ac:dyDescent="0.25">
      <c r="A477" s="14">
        <f>IF(B477="","",COUNTA($B$4:B477))</f>
        <v>474</v>
      </c>
      <c r="B477" s="14" t="s">
        <v>1530</v>
      </c>
      <c r="C477" s="14" t="s">
        <v>255</v>
      </c>
      <c r="D477" s="14" t="s">
        <v>256</v>
      </c>
      <c r="E477" s="14" t="s">
        <v>255</v>
      </c>
      <c r="F477" s="14" t="s">
        <v>150</v>
      </c>
      <c r="G477" s="14" t="s">
        <v>151</v>
      </c>
      <c r="H477" s="14">
        <v>10</v>
      </c>
      <c r="I477" s="14"/>
      <c r="J477" s="14"/>
      <c r="K477" s="15"/>
    </row>
    <row r="478" spans="1:11" x14ac:dyDescent="0.25">
      <c r="A478" s="14">
        <f>IF(B478="","",COUNTA($B$4:B478))</f>
        <v>475</v>
      </c>
      <c r="B478" s="14" t="s">
        <v>1531</v>
      </c>
      <c r="C478" s="14" t="s">
        <v>255</v>
      </c>
      <c r="D478" s="14" t="s">
        <v>256</v>
      </c>
      <c r="E478" s="14" t="s">
        <v>255</v>
      </c>
      <c r="F478" s="14" t="s">
        <v>150</v>
      </c>
      <c r="G478" s="14" t="s">
        <v>151</v>
      </c>
      <c r="H478" s="14">
        <v>10</v>
      </c>
      <c r="I478" s="14"/>
      <c r="J478" s="14"/>
      <c r="K478" s="127"/>
    </row>
    <row r="479" spans="1:11" x14ac:dyDescent="0.25">
      <c r="A479" s="14">
        <f>IF(B479="","",COUNTA($B$4:B479))</f>
        <v>476</v>
      </c>
      <c r="B479" s="14" t="s">
        <v>1532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 x14ac:dyDescent="0.25">
      <c r="A480" s="14">
        <f>IF(B480="","",COUNTA($B$4:B480))</f>
        <v>477</v>
      </c>
      <c r="B480" s="14" t="s">
        <v>1533</v>
      </c>
      <c r="C480" s="14" t="s">
        <v>255</v>
      </c>
      <c r="D480" s="14" t="s">
        <v>256</v>
      </c>
      <c r="E480" s="14" t="s">
        <v>255</v>
      </c>
      <c r="F480" s="14" t="s">
        <v>150</v>
      </c>
      <c r="G480" s="14" t="s">
        <v>151</v>
      </c>
      <c r="H480" s="14">
        <v>10</v>
      </c>
      <c r="I480" s="14"/>
      <c r="J480" s="14"/>
      <c r="K480" s="127"/>
    </row>
    <row r="481" spans="1:11" x14ac:dyDescent="0.25">
      <c r="A481" s="14">
        <f>IF(B481="","",COUNTA($B$4:B481))</f>
        <v>478</v>
      </c>
      <c r="B481" s="14" t="s">
        <v>1534</v>
      </c>
      <c r="C481" s="14" t="s">
        <v>255</v>
      </c>
      <c r="D481" s="14" t="s">
        <v>256</v>
      </c>
      <c r="E481" s="14" t="s">
        <v>255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 x14ac:dyDescent="0.25">
      <c r="A482" s="14">
        <f>IF(B482="","",COUNTA($B$4:B482))</f>
        <v>479</v>
      </c>
      <c r="B482" s="14" t="s">
        <v>1538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  <c r="K482" s="127"/>
    </row>
    <row r="483" spans="1:11" x14ac:dyDescent="0.25">
      <c r="A483" s="14">
        <f>IF(B483="","",COUNTA($B$4:B483))</f>
        <v>480</v>
      </c>
      <c r="B483" s="14" t="s">
        <v>1545</v>
      </c>
      <c r="C483" s="14" t="s">
        <v>255</v>
      </c>
      <c r="D483" s="14" t="s">
        <v>256</v>
      </c>
      <c r="E483" s="14" t="s">
        <v>255</v>
      </c>
      <c r="F483" s="14" t="s">
        <v>150</v>
      </c>
      <c r="G483" s="14" t="s">
        <v>151</v>
      </c>
      <c r="H483" s="14">
        <v>10</v>
      </c>
      <c r="I483" s="14" t="s">
        <v>244</v>
      </c>
      <c r="J483" s="14"/>
      <c r="K483" s="15"/>
    </row>
    <row r="484" spans="1:11" x14ac:dyDescent="0.25">
      <c r="A484" s="14">
        <f>IF(B484="","",COUNTA($B$4:B484))</f>
        <v>481</v>
      </c>
      <c r="B484" s="14" t="s">
        <v>1546</v>
      </c>
      <c r="C484" s="14" t="s">
        <v>255</v>
      </c>
      <c r="D484" s="14" t="s">
        <v>256</v>
      </c>
      <c r="E484" s="14" t="s">
        <v>255</v>
      </c>
      <c r="F484" s="14" t="s">
        <v>150</v>
      </c>
      <c r="G484" s="14" t="s">
        <v>151</v>
      </c>
      <c r="H484" s="14">
        <v>10</v>
      </c>
      <c r="I484" s="14"/>
      <c r="J484" s="14"/>
      <c r="K484" s="127"/>
    </row>
    <row r="485" spans="1:11" x14ac:dyDescent="0.25">
      <c r="A485" s="14">
        <f>IF(B485="","",COUNTA($B$4:B485))</f>
        <v>482</v>
      </c>
      <c r="B485" s="14" t="s">
        <v>1547</v>
      </c>
      <c r="C485" s="14" t="s">
        <v>255</v>
      </c>
      <c r="D485" s="14" t="s">
        <v>256</v>
      </c>
      <c r="E485" s="14" t="s">
        <v>255</v>
      </c>
      <c r="F485" s="14" t="s">
        <v>150</v>
      </c>
      <c r="G485" s="14" t="s">
        <v>151</v>
      </c>
      <c r="H485" s="14">
        <v>10</v>
      </c>
      <c r="I485" s="14"/>
      <c r="J485" s="14"/>
      <c r="K485" s="127"/>
    </row>
    <row r="486" spans="1:11" x14ac:dyDescent="0.25">
      <c r="A486" s="14">
        <f>IF(B486="","",COUNTA($B$4:B486))</f>
        <v>483</v>
      </c>
      <c r="B486" s="14" t="s">
        <v>1548</v>
      </c>
      <c r="C486" s="14" t="s">
        <v>255</v>
      </c>
      <c r="D486" s="14" t="s">
        <v>256</v>
      </c>
      <c r="E486" s="14" t="s">
        <v>255</v>
      </c>
      <c r="F486" s="14" t="s">
        <v>150</v>
      </c>
      <c r="G486" s="14" t="s">
        <v>151</v>
      </c>
      <c r="H486" s="14">
        <v>10</v>
      </c>
      <c r="I486" s="14"/>
      <c r="J486" s="14"/>
      <c r="K486" s="15"/>
    </row>
    <row r="487" spans="1:11" x14ac:dyDescent="0.25">
      <c r="A487" s="14">
        <f>IF(B487="","",COUNTA($B$4:B487))</f>
        <v>484</v>
      </c>
      <c r="B487" s="14" t="s">
        <v>1549</v>
      </c>
      <c r="C487" s="14" t="s">
        <v>255</v>
      </c>
      <c r="D487" s="14" t="s">
        <v>256</v>
      </c>
      <c r="E487" s="14" t="s">
        <v>255</v>
      </c>
      <c r="F487" s="14" t="s">
        <v>150</v>
      </c>
      <c r="G487" s="14" t="s">
        <v>151</v>
      </c>
      <c r="H487" s="14">
        <v>10</v>
      </c>
      <c r="I487" s="14"/>
      <c r="J487" s="14"/>
      <c r="K487" s="15"/>
    </row>
    <row r="488" spans="1:11" x14ac:dyDescent="0.25">
      <c r="A488" s="14">
        <f>IF(B488="","",COUNTA($B$4:B488))</f>
        <v>485</v>
      </c>
      <c r="B488" s="14" t="s">
        <v>1550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5"/>
      <c r="K488" s="127"/>
    </row>
    <row r="489" spans="1:11" x14ac:dyDescent="0.25">
      <c r="A489" s="14">
        <f>IF(B489="","",COUNTA($B$4:B489))</f>
        <v>486</v>
      </c>
      <c r="B489" s="14" t="s">
        <v>1551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5"/>
      <c r="K489" s="15"/>
    </row>
    <row r="490" spans="1:11" x14ac:dyDescent="0.25">
      <c r="A490" s="14">
        <f>IF(B490="","",COUNTA($B$4:B490))</f>
        <v>487</v>
      </c>
      <c r="B490" s="14" t="s">
        <v>1552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5"/>
      <c r="K490" s="15"/>
    </row>
    <row r="491" spans="1:11" x14ac:dyDescent="0.25">
      <c r="A491" s="14">
        <f>IF(B491="","",COUNTA($B$4:B491))</f>
        <v>488</v>
      </c>
      <c r="B491" s="14" t="s">
        <v>1553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5"/>
      <c r="K491" s="15"/>
    </row>
    <row r="492" spans="1:11" x14ac:dyDescent="0.25">
      <c r="A492" s="14">
        <f>IF(B492="","",COUNTA($B$4:B492))</f>
        <v>489</v>
      </c>
      <c r="B492" s="14" t="s">
        <v>1554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5"/>
      <c r="K492" s="15"/>
    </row>
    <row r="493" spans="1:11" x14ac:dyDescent="0.25">
      <c r="A493" s="14">
        <f>IF(B493="","",COUNTA($B$4:B493))</f>
        <v>490</v>
      </c>
      <c r="B493" s="14" t="s">
        <v>1555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5"/>
      <c r="K493" s="127"/>
    </row>
    <row r="494" spans="1:11" x14ac:dyDescent="0.25">
      <c r="A494" s="14">
        <f>IF(B494="","",COUNTA($B$4:B494))</f>
        <v>491</v>
      </c>
      <c r="B494" s="14" t="s">
        <v>1557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5"/>
      <c r="K494" s="15"/>
    </row>
    <row r="495" spans="1:11" x14ac:dyDescent="0.25">
      <c r="A495" s="14">
        <f>IF(B495="","",COUNTA($B$4:B495))</f>
        <v>492</v>
      </c>
      <c r="B495" s="14" t="s">
        <v>1557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5"/>
      <c r="K495" s="15"/>
    </row>
    <row r="496" spans="1:11" x14ac:dyDescent="0.25">
      <c r="A496" s="14">
        <f>IF(B496="","",COUNTA($B$4:B496))</f>
        <v>493</v>
      </c>
      <c r="B496" s="14" t="s">
        <v>1515</v>
      </c>
      <c r="C496" s="14" t="s">
        <v>257</v>
      </c>
      <c r="D496" s="14" t="s">
        <v>258</v>
      </c>
      <c r="E496" s="14" t="s">
        <v>257</v>
      </c>
      <c r="F496" s="14" t="s">
        <v>169</v>
      </c>
      <c r="G496" s="14" t="s">
        <v>243</v>
      </c>
      <c r="H496" s="14"/>
      <c r="I496" s="14"/>
      <c r="J496" s="14"/>
      <c r="K496" s="15"/>
    </row>
    <row r="497" spans="1:11" x14ac:dyDescent="0.25">
      <c r="A497" s="14">
        <f>IF(B497="","",COUNTA($B$4:B497))</f>
        <v>494</v>
      </c>
      <c r="B497" s="14" t="s">
        <v>1528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4"/>
      <c r="K497" s="127"/>
    </row>
    <row r="498" spans="1:11" x14ac:dyDescent="0.25">
      <c r="A498" s="14">
        <f>IF(B498="","",COUNTA($B$4:B498))</f>
        <v>495</v>
      </c>
      <c r="B498" s="14" t="s">
        <v>1529</v>
      </c>
      <c r="C498" s="14" t="s">
        <v>257</v>
      </c>
      <c r="D498" s="14" t="s">
        <v>258</v>
      </c>
      <c r="E498" s="14" t="s">
        <v>257</v>
      </c>
      <c r="F498" s="14" t="s">
        <v>169</v>
      </c>
      <c r="G498" s="14" t="s">
        <v>243</v>
      </c>
      <c r="H498" s="14"/>
      <c r="I498" s="14"/>
      <c r="J498" s="14"/>
      <c r="K498" s="15"/>
    </row>
    <row r="499" spans="1:11" x14ac:dyDescent="0.25">
      <c r="A499" s="14">
        <f>IF(B499="","",COUNTA($B$4:B499))</f>
        <v>496</v>
      </c>
      <c r="B499" s="14" t="s">
        <v>1530</v>
      </c>
      <c r="C499" s="14" t="s">
        <v>257</v>
      </c>
      <c r="D499" s="14" t="s">
        <v>258</v>
      </c>
      <c r="E499" s="14" t="s">
        <v>257</v>
      </c>
      <c r="F499" s="14" t="s">
        <v>169</v>
      </c>
      <c r="G499" s="14" t="s">
        <v>243</v>
      </c>
      <c r="H499" s="14"/>
      <c r="I499" s="14"/>
      <c r="J499" s="14"/>
      <c r="K499" s="127"/>
    </row>
    <row r="500" spans="1:11" x14ac:dyDescent="0.25">
      <c r="A500" s="14">
        <f>IF(B500="","",COUNTA($B$4:B500))</f>
        <v>497</v>
      </c>
      <c r="B500" s="14" t="s">
        <v>1531</v>
      </c>
      <c r="C500" s="14" t="s">
        <v>257</v>
      </c>
      <c r="D500" s="14" t="s">
        <v>258</v>
      </c>
      <c r="E500" s="14" t="s">
        <v>257</v>
      </c>
      <c r="F500" s="14" t="s">
        <v>169</v>
      </c>
      <c r="G500" s="14" t="s">
        <v>243</v>
      </c>
      <c r="H500" s="14"/>
      <c r="I500" s="14"/>
      <c r="J500" s="14"/>
      <c r="K500" s="15"/>
    </row>
    <row r="501" spans="1:11" x14ac:dyDescent="0.25">
      <c r="A501" s="14">
        <f>IF(B501="","",COUNTA($B$4:B501))</f>
        <v>498</v>
      </c>
      <c r="B501" s="14" t="s">
        <v>1532</v>
      </c>
      <c r="C501" s="14" t="s">
        <v>257</v>
      </c>
      <c r="D501" s="14" t="s">
        <v>258</v>
      </c>
      <c r="E501" s="14" t="s">
        <v>257</v>
      </c>
      <c r="F501" s="14" t="s">
        <v>169</v>
      </c>
      <c r="G501" s="14" t="s">
        <v>243</v>
      </c>
      <c r="H501" s="14"/>
      <c r="I501" s="14"/>
      <c r="J501" s="14"/>
      <c r="K501" s="127"/>
    </row>
    <row r="502" spans="1:11" x14ac:dyDescent="0.25">
      <c r="A502" s="14">
        <f>IF(B502="","",COUNTA($B$4:B502))</f>
        <v>499</v>
      </c>
      <c r="B502" s="14" t="s">
        <v>1533</v>
      </c>
      <c r="C502" s="14" t="s">
        <v>257</v>
      </c>
      <c r="D502" s="14" t="s">
        <v>258</v>
      </c>
      <c r="E502" s="14" t="s">
        <v>257</v>
      </c>
      <c r="F502" s="14" t="s">
        <v>169</v>
      </c>
      <c r="G502" s="14" t="s">
        <v>243</v>
      </c>
      <c r="H502" s="14"/>
      <c r="I502" s="14"/>
      <c r="J502" s="14"/>
      <c r="K502" s="15"/>
    </row>
    <row r="503" spans="1:11" x14ac:dyDescent="0.25">
      <c r="A503" s="14">
        <f>IF(B503="","",COUNTA($B$4:B503))</f>
        <v>500</v>
      </c>
      <c r="B503" s="14" t="s">
        <v>1534</v>
      </c>
      <c r="C503" s="14" t="s">
        <v>257</v>
      </c>
      <c r="D503" s="14" t="s">
        <v>258</v>
      </c>
      <c r="E503" s="14" t="s">
        <v>257</v>
      </c>
      <c r="F503" s="14" t="s">
        <v>169</v>
      </c>
      <c r="G503" s="14" t="s">
        <v>243</v>
      </c>
      <c r="H503" s="14"/>
      <c r="I503" s="14"/>
      <c r="J503" s="14"/>
      <c r="K503" s="15"/>
    </row>
    <row r="504" spans="1:11" x14ac:dyDescent="0.25">
      <c r="A504" s="14">
        <f>IF(B504="","",COUNTA($B$4:B504))</f>
        <v>501</v>
      </c>
      <c r="B504" s="14" t="s">
        <v>1538</v>
      </c>
      <c r="C504" s="14" t="s">
        <v>257</v>
      </c>
      <c r="D504" s="14" t="s">
        <v>258</v>
      </c>
      <c r="E504" s="14" t="s">
        <v>257</v>
      </c>
      <c r="F504" s="14" t="s">
        <v>169</v>
      </c>
      <c r="G504" s="14" t="s">
        <v>243</v>
      </c>
      <c r="H504" s="14"/>
      <c r="I504" s="14"/>
      <c r="J504" s="14"/>
      <c r="K504" s="15"/>
    </row>
    <row r="505" spans="1:11" x14ac:dyDescent="0.25">
      <c r="A505" s="14">
        <f>IF(B505="","",COUNTA($B$4:B505))</f>
        <v>502</v>
      </c>
      <c r="B505" s="14" t="s">
        <v>1545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 t="s">
        <v>244</v>
      </c>
      <c r="J505" s="14"/>
      <c r="K505" s="127"/>
    </row>
    <row r="506" spans="1:11" x14ac:dyDescent="0.25">
      <c r="A506" s="14">
        <f>IF(B506="","",COUNTA($B$4:B506))</f>
        <v>503</v>
      </c>
      <c r="B506" s="14" t="s">
        <v>1546</v>
      </c>
      <c r="C506" s="14" t="s">
        <v>257</v>
      </c>
      <c r="D506" s="14" t="s">
        <v>258</v>
      </c>
      <c r="E506" s="14" t="s">
        <v>257</v>
      </c>
      <c r="F506" s="14" t="s">
        <v>169</v>
      </c>
      <c r="G506" s="14" t="s">
        <v>243</v>
      </c>
      <c r="H506" s="14"/>
      <c r="I506" s="14"/>
      <c r="J506" s="14"/>
      <c r="K506" s="15"/>
    </row>
    <row r="507" spans="1:11" x14ac:dyDescent="0.25">
      <c r="A507" s="14">
        <f>IF(B507="","",COUNTA($B$4:B507))</f>
        <v>504</v>
      </c>
      <c r="B507" s="14" t="s">
        <v>1547</v>
      </c>
      <c r="C507" s="14" t="s">
        <v>257</v>
      </c>
      <c r="D507" s="14" t="s">
        <v>258</v>
      </c>
      <c r="E507" s="14" t="s">
        <v>257</v>
      </c>
      <c r="F507" s="14" t="s">
        <v>169</v>
      </c>
      <c r="G507" s="14" t="s">
        <v>243</v>
      </c>
      <c r="H507" s="14"/>
      <c r="I507" s="14"/>
      <c r="J507" s="14"/>
      <c r="K507" s="127"/>
    </row>
    <row r="508" spans="1:11" x14ac:dyDescent="0.25">
      <c r="A508" s="14">
        <f>IF(B508="","",COUNTA($B$4:B508))</f>
        <v>505</v>
      </c>
      <c r="B508" s="14" t="s">
        <v>1548</v>
      </c>
      <c r="C508" s="14" t="s">
        <v>257</v>
      </c>
      <c r="D508" s="14" t="s">
        <v>258</v>
      </c>
      <c r="E508" s="14" t="s">
        <v>257</v>
      </c>
      <c r="F508" s="14" t="s">
        <v>169</v>
      </c>
      <c r="G508" s="14" t="s">
        <v>243</v>
      </c>
      <c r="H508" s="14"/>
      <c r="I508" s="14"/>
      <c r="J508" s="14"/>
      <c r="K508" s="15"/>
    </row>
    <row r="509" spans="1:11" x14ac:dyDescent="0.25">
      <c r="A509" s="14">
        <f>IF(B509="","",COUNTA($B$4:B509))</f>
        <v>506</v>
      </c>
      <c r="B509" s="14" t="s">
        <v>1549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27"/>
    </row>
    <row r="510" spans="1:11" x14ac:dyDescent="0.25">
      <c r="A510" s="14">
        <f>IF(B510="","",COUNTA($B$4:B510))</f>
        <v>507</v>
      </c>
      <c r="B510" s="14" t="s">
        <v>1550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5"/>
      <c r="K510" s="15"/>
    </row>
    <row r="511" spans="1:11" x14ac:dyDescent="0.25">
      <c r="A511" s="14">
        <f>IF(B511="","",COUNTA($B$4:B511))</f>
        <v>508</v>
      </c>
      <c r="B511" s="14" t="s">
        <v>1551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5"/>
      <c r="K511" s="15"/>
    </row>
    <row r="512" spans="1:11" x14ac:dyDescent="0.25">
      <c r="A512" s="14">
        <f>IF(B512="","",COUNTA($B$4:B512))</f>
        <v>509</v>
      </c>
      <c r="B512" s="14" t="s">
        <v>1552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5"/>
      <c r="K512" s="15"/>
    </row>
    <row r="513" spans="1:11" x14ac:dyDescent="0.25">
      <c r="A513" s="14">
        <f>IF(B513="","",COUNTA($B$4:B513))</f>
        <v>510</v>
      </c>
      <c r="B513" s="14" t="s">
        <v>1553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5"/>
      <c r="K513" s="15"/>
    </row>
    <row r="514" spans="1:11" x14ac:dyDescent="0.25">
      <c r="A514" s="14">
        <f>IF(B514="","",COUNTA($B$4:B514))</f>
        <v>511</v>
      </c>
      <c r="B514" s="14" t="s">
        <v>1554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5"/>
      <c r="K514" s="15"/>
    </row>
    <row r="515" spans="1:11" x14ac:dyDescent="0.25">
      <c r="A515" s="14">
        <f>IF(B515="","",COUNTA($B$4:B515))</f>
        <v>512</v>
      </c>
      <c r="B515" s="14" t="s">
        <v>1555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5"/>
      <c r="K515" s="15"/>
    </row>
    <row r="516" spans="1:11" x14ac:dyDescent="0.25">
      <c r="A516" s="14">
        <f>IF(B516="","",COUNTA($B$4:B516))</f>
        <v>513</v>
      </c>
      <c r="B516" s="14" t="s">
        <v>1556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5"/>
      <c r="K516" s="127"/>
    </row>
    <row r="517" spans="1:11" x14ac:dyDescent="0.25">
      <c r="A517" s="14">
        <f>IF(B517="","",COUNTA($B$4:B517))</f>
        <v>514</v>
      </c>
      <c r="B517" s="14" t="s">
        <v>1557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5"/>
      <c r="K517" s="15"/>
    </row>
    <row r="518" spans="1:11" x14ac:dyDescent="0.25">
      <c r="A518" s="14">
        <f>IF(B518="","",COUNTA($B$4:B518))</f>
        <v>515</v>
      </c>
      <c r="B518" s="14" t="s">
        <v>1557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/>
      <c r="J518" s="15"/>
      <c r="K518" s="15"/>
    </row>
    <row r="519" spans="1:11" x14ac:dyDescent="0.25">
      <c r="A519" s="14">
        <f>IF(B519="","",COUNTA($B$4:B519))</f>
        <v>516</v>
      </c>
      <c r="B519" s="14" t="s">
        <v>1549</v>
      </c>
      <c r="C519" s="14" t="s">
        <v>1428</v>
      </c>
      <c r="D519" s="14" t="s">
        <v>1505</v>
      </c>
      <c r="E519" s="14" t="s">
        <v>1428</v>
      </c>
      <c r="F519" s="14" t="s">
        <v>155</v>
      </c>
      <c r="G519" s="14" t="s">
        <v>156</v>
      </c>
      <c r="H519" s="14">
        <v>5</v>
      </c>
      <c r="I519" s="14">
        <v>2</v>
      </c>
      <c r="J519" s="14"/>
      <c r="K519" s="127"/>
    </row>
    <row r="520" spans="1:11" x14ac:dyDescent="0.25">
      <c r="A520" s="14">
        <f>IF(B520="","",COUNTA($B$4:B520))</f>
        <v>517</v>
      </c>
      <c r="B520" s="14" t="s">
        <v>1531</v>
      </c>
      <c r="C520" s="14" t="s">
        <v>287</v>
      </c>
      <c r="D520" s="14" t="s">
        <v>288</v>
      </c>
      <c r="E520" s="14" t="s">
        <v>287</v>
      </c>
      <c r="F520" s="14" t="s">
        <v>155</v>
      </c>
      <c r="G520" s="14" t="s">
        <v>156</v>
      </c>
      <c r="H520" s="14">
        <v>5</v>
      </c>
      <c r="I520" s="14"/>
      <c r="J520" s="14"/>
      <c r="K520" s="127"/>
    </row>
    <row r="521" spans="1:11" x14ac:dyDescent="0.25">
      <c r="A521" s="14">
        <f>IF(B521="","",COUNTA($B$4:B521))</f>
        <v>518</v>
      </c>
      <c r="B521" s="14" t="s">
        <v>1528</v>
      </c>
      <c r="C521" s="14" t="s">
        <v>268</v>
      </c>
      <c r="D521" s="14" t="s">
        <v>269</v>
      </c>
      <c r="E521" s="14" t="s">
        <v>268</v>
      </c>
      <c r="F521" s="14" t="s">
        <v>155</v>
      </c>
      <c r="G521" s="14" t="s">
        <v>156</v>
      </c>
      <c r="H521" s="14">
        <v>7</v>
      </c>
      <c r="I521" s="14"/>
      <c r="J521" s="14"/>
      <c r="K521" s="15"/>
    </row>
    <row r="522" spans="1:11" x14ac:dyDescent="0.25">
      <c r="A522" s="14">
        <f>IF(B522="","",COUNTA($B$4:B522))</f>
        <v>519</v>
      </c>
      <c r="B522" s="14" t="s">
        <v>1531</v>
      </c>
      <c r="C522" s="14" t="s">
        <v>292</v>
      </c>
      <c r="D522" s="14" t="s">
        <v>293</v>
      </c>
      <c r="E522" s="14" t="s">
        <v>292</v>
      </c>
      <c r="F522" s="14" t="s">
        <v>155</v>
      </c>
      <c r="G522" s="14" t="s">
        <v>156</v>
      </c>
      <c r="H522" s="14">
        <v>5</v>
      </c>
      <c r="I522" s="14"/>
      <c r="J522" s="14"/>
      <c r="K522" s="127"/>
    </row>
    <row r="523" spans="1:11" x14ac:dyDescent="0.25">
      <c r="A523" s="14">
        <f>IF(B523="","",COUNTA($B$4:B523))</f>
        <v>520</v>
      </c>
      <c r="B523" s="14" t="s">
        <v>1555</v>
      </c>
      <c r="C523" s="14" t="s">
        <v>422</v>
      </c>
      <c r="D523" s="14" t="s">
        <v>423</v>
      </c>
      <c r="E523" s="14" t="s">
        <v>422</v>
      </c>
      <c r="F523" s="14" t="s">
        <v>150</v>
      </c>
      <c r="G523" s="14" t="s">
        <v>151</v>
      </c>
      <c r="H523" s="14">
        <v>1</v>
      </c>
      <c r="I523" s="14"/>
      <c r="J523" s="15"/>
      <c r="K523" s="15"/>
    </row>
    <row r="524" spans="1:11" x14ac:dyDescent="0.25">
      <c r="A524" s="14">
        <f>IF(B524="","",COUNTA($B$4:B524))</f>
        <v>521</v>
      </c>
      <c r="B524" s="14" t="s">
        <v>1553</v>
      </c>
      <c r="C524" s="14" t="s">
        <v>1469</v>
      </c>
      <c r="D524" s="14" t="s">
        <v>1466</v>
      </c>
      <c r="E524" s="14" t="s">
        <v>1469</v>
      </c>
      <c r="F524" s="14" t="s">
        <v>150</v>
      </c>
      <c r="G524" s="14" t="s">
        <v>151</v>
      </c>
      <c r="H524" s="14">
        <v>15</v>
      </c>
      <c r="I524" s="14"/>
      <c r="J524" s="15"/>
      <c r="K524" s="127"/>
    </row>
    <row r="525" spans="1:11" x14ac:dyDescent="0.25">
      <c r="A525" s="14">
        <f>IF(B525="","",COUNTA($B$4:B525))</f>
        <v>522</v>
      </c>
      <c r="B525" s="14" t="s">
        <v>1533</v>
      </c>
      <c r="C525" s="14" t="s">
        <v>307</v>
      </c>
      <c r="D525" s="14" t="s">
        <v>308</v>
      </c>
      <c r="E525" s="14" t="s">
        <v>307</v>
      </c>
      <c r="F525" s="14" t="s">
        <v>169</v>
      </c>
      <c r="G525" s="14" t="s">
        <v>170</v>
      </c>
      <c r="H525" s="14"/>
      <c r="I525" s="14"/>
      <c r="J525" s="14"/>
      <c r="K525" s="15"/>
    </row>
    <row r="526" spans="1:11" x14ac:dyDescent="0.25">
      <c r="A526" s="14">
        <f>IF(B526="","",COUNTA($B$4:B526))</f>
        <v>523</v>
      </c>
      <c r="B526" s="14" t="s">
        <v>1534</v>
      </c>
      <c r="C526" s="14" t="s">
        <v>307</v>
      </c>
      <c r="D526" s="14" t="s">
        <v>308</v>
      </c>
      <c r="E526" s="14" t="s">
        <v>307</v>
      </c>
      <c r="F526" s="14" t="s">
        <v>169</v>
      </c>
      <c r="G526" s="14" t="s">
        <v>170</v>
      </c>
      <c r="H526" s="14"/>
      <c r="I526" s="14"/>
      <c r="J526" s="14"/>
      <c r="K526" s="127"/>
    </row>
    <row r="527" spans="1:11" x14ac:dyDescent="0.25">
      <c r="A527" s="14">
        <f>IF(B527="","",COUNTA($B$4:B527))</f>
        <v>524</v>
      </c>
      <c r="B527" s="14" t="s">
        <v>1515</v>
      </c>
      <c r="C527" s="14" t="s">
        <v>222</v>
      </c>
      <c r="D527" s="14" t="s">
        <v>223</v>
      </c>
      <c r="E527" s="14" t="s">
        <v>222</v>
      </c>
      <c r="F527" s="14" t="s">
        <v>155</v>
      </c>
      <c r="G527" s="14" t="s">
        <v>156</v>
      </c>
      <c r="H527" s="14">
        <v>5</v>
      </c>
      <c r="I527" s="14"/>
      <c r="J527" s="14"/>
      <c r="K527" s="127"/>
    </row>
    <row r="528" spans="1:11" x14ac:dyDescent="0.25">
      <c r="A528" s="14">
        <f>IF(B528="","",COUNTA($B$4:B528))</f>
        <v>525</v>
      </c>
      <c r="B528" s="14" t="s">
        <v>1555</v>
      </c>
      <c r="C528" s="14" t="s">
        <v>438</v>
      </c>
      <c r="D528" s="14" t="s">
        <v>439</v>
      </c>
      <c r="E528" s="14" t="s">
        <v>438</v>
      </c>
      <c r="F528" s="14" t="s">
        <v>150</v>
      </c>
      <c r="G528" s="14" t="s">
        <v>151</v>
      </c>
      <c r="H528" s="14">
        <v>1</v>
      </c>
      <c r="I528" s="14"/>
      <c r="J528" s="15"/>
      <c r="K528" s="15"/>
    </row>
    <row r="529" spans="1:11" x14ac:dyDescent="0.25">
      <c r="A529" s="14">
        <f>IF(B529="","",COUNTA($B$4:B529))</f>
        <v>526</v>
      </c>
      <c r="B529" s="14" t="s">
        <v>1555</v>
      </c>
      <c r="C529" s="14" t="s">
        <v>1495</v>
      </c>
      <c r="D529" s="14" t="s">
        <v>1496</v>
      </c>
      <c r="E529" s="14" t="s">
        <v>1495</v>
      </c>
      <c r="F529" s="14" t="s">
        <v>150</v>
      </c>
      <c r="G529" s="14" t="s">
        <v>151</v>
      </c>
      <c r="H529" s="14">
        <v>1</v>
      </c>
      <c r="I529" s="14"/>
      <c r="J529" s="15"/>
      <c r="K529" s="127"/>
    </row>
    <row r="530" spans="1:11" x14ac:dyDescent="0.25">
      <c r="A530" s="14">
        <f>IF(B530="","",COUNTA($B$4:B530))</f>
        <v>527</v>
      </c>
      <c r="B530" s="14" t="s">
        <v>1545</v>
      </c>
      <c r="C530" s="14" t="s">
        <v>392</v>
      </c>
      <c r="D530" s="14" t="s">
        <v>393</v>
      </c>
      <c r="E530" s="14" t="s">
        <v>392</v>
      </c>
      <c r="F530" s="14" t="s">
        <v>155</v>
      </c>
      <c r="G530" s="14" t="s">
        <v>156</v>
      </c>
      <c r="H530" s="14">
        <v>6</v>
      </c>
      <c r="I530" s="14" t="s">
        <v>1562</v>
      </c>
      <c r="J530" s="14"/>
      <c r="K530" s="15"/>
    </row>
    <row r="531" spans="1:11" x14ac:dyDescent="0.25">
      <c r="A531" s="14">
        <f>IF(B531="","",COUNTA($B$4:B531))</f>
        <v>528</v>
      </c>
      <c r="B531" s="14" t="s">
        <v>1515</v>
      </c>
      <c r="C531" s="14" t="s">
        <v>228</v>
      </c>
      <c r="D531" s="14" t="s">
        <v>229</v>
      </c>
      <c r="E531" s="14" t="s">
        <v>228</v>
      </c>
      <c r="F531" s="14" t="s">
        <v>150</v>
      </c>
      <c r="G531" s="14" t="s">
        <v>151</v>
      </c>
      <c r="H531" s="14">
        <v>1000</v>
      </c>
      <c r="I531" s="14"/>
      <c r="J531" s="14"/>
      <c r="K531" s="15"/>
    </row>
    <row r="532" spans="1:11" x14ac:dyDescent="0.25">
      <c r="A532" s="14">
        <f>IF(B532="","",COUNTA($B$4:B532))</f>
        <v>529</v>
      </c>
      <c r="B532" s="14" t="s">
        <v>1528</v>
      </c>
      <c r="C532" s="14" t="s">
        <v>228</v>
      </c>
      <c r="D532" s="14" t="s">
        <v>229</v>
      </c>
      <c r="E532" s="14" t="s">
        <v>228</v>
      </c>
      <c r="F532" s="14" t="s">
        <v>150</v>
      </c>
      <c r="G532" s="14" t="s">
        <v>151</v>
      </c>
      <c r="H532" s="14">
        <v>1000</v>
      </c>
      <c r="I532" s="14"/>
      <c r="J532" s="14"/>
      <c r="K532" s="15"/>
    </row>
    <row r="533" spans="1:11" x14ac:dyDescent="0.25">
      <c r="A533" s="14">
        <f>IF(B533="","",COUNTA($B$4:B533))</f>
        <v>530</v>
      </c>
      <c r="B533" s="14" t="s">
        <v>1529</v>
      </c>
      <c r="C533" s="14" t="s">
        <v>228</v>
      </c>
      <c r="D533" s="14" t="s">
        <v>229</v>
      </c>
      <c r="E533" s="14" t="s">
        <v>228</v>
      </c>
      <c r="F533" s="14" t="s">
        <v>150</v>
      </c>
      <c r="G533" s="14" t="s">
        <v>151</v>
      </c>
      <c r="H533" s="14">
        <v>1000</v>
      </c>
      <c r="I533" s="14"/>
      <c r="J533" s="14"/>
      <c r="K533" s="15"/>
    </row>
    <row r="534" spans="1:11" x14ac:dyDescent="0.25">
      <c r="A534" s="14">
        <f>IF(B534="","",COUNTA($B$4:B534))</f>
        <v>531</v>
      </c>
      <c r="B534" s="14" t="s">
        <v>1530</v>
      </c>
      <c r="C534" s="14" t="s">
        <v>228</v>
      </c>
      <c r="D534" s="14" t="s">
        <v>229</v>
      </c>
      <c r="E534" s="14" t="s">
        <v>228</v>
      </c>
      <c r="F534" s="14" t="s">
        <v>150</v>
      </c>
      <c r="G534" s="14" t="s">
        <v>151</v>
      </c>
      <c r="H534" s="14">
        <v>1000</v>
      </c>
      <c r="I534" s="14"/>
      <c r="J534" s="14"/>
      <c r="K534" s="127"/>
    </row>
    <row r="535" spans="1:11" x14ac:dyDescent="0.25">
      <c r="A535" s="14">
        <f>IF(B535="","",COUNTA($B$4:B535))</f>
        <v>532</v>
      </c>
      <c r="B535" s="14" t="s">
        <v>1531</v>
      </c>
      <c r="C535" s="14" t="s">
        <v>228</v>
      </c>
      <c r="D535" s="14" t="s">
        <v>229</v>
      </c>
      <c r="E535" s="14" t="s">
        <v>228</v>
      </c>
      <c r="F535" s="14" t="s">
        <v>150</v>
      </c>
      <c r="G535" s="14" t="s">
        <v>151</v>
      </c>
      <c r="H535" s="14">
        <v>1000</v>
      </c>
      <c r="I535" s="14"/>
      <c r="J535" s="14"/>
      <c r="K535" s="15"/>
    </row>
    <row r="536" spans="1:11" x14ac:dyDescent="0.25">
      <c r="A536" s="14">
        <f>IF(B536="","",COUNTA($B$4:B536))</f>
        <v>533</v>
      </c>
      <c r="B536" s="14" t="s">
        <v>1532</v>
      </c>
      <c r="C536" s="14" t="s">
        <v>228</v>
      </c>
      <c r="D536" s="14" t="s">
        <v>229</v>
      </c>
      <c r="E536" s="14" t="s">
        <v>228</v>
      </c>
      <c r="F536" s="14" t="s">
        <v>150</v>
      </c>
      <c r="G536" s="14" t="s">
        <v>151</v>
      </c>
      <c r="H536" s="14">
        <v>1000</v>
      </c>
      <c r="I536" s="14"/>
      <c r="J536" s="14"/>
      <c r="K536" s="15"/>
    </row>
    <row r="537" spans="1:11" x14ac:dyDescent="0.25">
      <c r="A537" s="14">
        <f>IF(B537="","",COUNTA($B$4:B537))</f>
        <v>534</v>
      </c>
      <c r="B537" s="14" t="s">
        <v>1533</v>
      </c>
      <c r="C537" s="14" t="s">
        <v>228</v>
      </c>
      <c r="D537" s="14" t="s">
        <v>229</v>
      </c>
      <c r="E537" s="14" t="s">
        <v>228</v>
      </c>
      <c r="F537" s="14" t="s">
        <v>150</v>
      </c>
      <c r="G537" s="14" t="s">
        <v>151</v>
      </c>
      <c r="H537" s="14">
        <v>1000</v>
      </c>
      <c r="I537" s="14"/>
      <c r="J537" s="14"/>
      <c r="K537" s="15"/>
    </row>
    <row r="538" spans="1:11" x14ac:dyDescent="0.25">
      <c r="A538" s="14">
        <f>IF(B538="","",COUNTA($B$4:B538))</f>
        <v>535</v>
      </c>
      <c r="B538" s="14" t="s">
        <v>1534</v>
      </c>
      <c r="C538" s="14" t="s">
        <v>228</v>
      </c>
      <c r="D538" s="14" t="s">
        <v>229</v>
      </c>
      <c r="E538" s="14" t="s">
        <v>228</v>
      </c>
      <c r="F538" s="14" t="s">
        <v>150</v>
      </c>
      <c r="G538" s="14" t="s">
        <v>151</v>
      </c>
      <c r="H538" s="14">
        <v>1000</v>
      </c>
      <c r="I538" s="14"/>
      <c r="J538" s="14"/>
      <c r="K538" s="15"/>
    </row>
    <row r="539" spans="1:11" x14ac:dyDescent="0.25">
      <c r="A539" s="14">
        <f>IF(B539="","",COUNTA($B$4:B539))</f>
        <v>536</v>
      </c>
      <c r="B539" s="14" t="s">
        <v>1538</v>
      </c>
      <c r="C539" s="14" t="s">
        <v>228</v>
      </c>
      <c r="D539" s="14" t="s">
        <v>229</v>
      </c>
      <c r="E539" s="14" t="s">
        <v>228</v>
      </c>
      <c r="F539" s="14" t="s">
        <v>150</v>
      </c>
      <c r="G539" s="14" t="s">
        <v>151</v>
      </c>
      <c r="H539" s="14">
        <v>1000</v>
      </c>
      <c r="I539" s="14"/>
      <c r="J539" s="14"/>
      <c r="K539" s="15"/>
    </row>
    <row r="540" spans="1:11" x14ac:dyDescent="0.25">
      <c r="A540" s="14">
        <f>IF(B540="","",COUNTA($B$4:B540))</f>
        <v>537</v>
      </c>
      <c r="B540" s="14" t="s">
        <v>1545</v>
      </c>
      <c r="C540" s="14" t="s">
        <v>228</v>
      </c>
      <c r="D540" s="14" t="s">
        <v>229</v>
      </c>
      <c r="E540" s="14" t="s">
        <v>228</v>
      </c>
      <c r="F540" s="14" t="s">
        <v>150</v>
      </c>
      <c r="G540" s="14" t="s">
        <v>151</v>
      </c>
      <c r="H540" s="14">
        <v>1000</v>
      </c>
      <c r="I540" s="14" t="s">
        <v>244</v>
      </c>
      <c r="J540" s="14"/>
      <c r="K540" s="15"/>
    </row>
    <row r="541" spans="1:11" x14ac:dyDescent="0.25">
      <c r="A541" s="14">
        <f>IF(B541="","",COUNTA($B$4:B541))</f>
        <v>538</v>
      </c>
      <c r="B541" s="14" t="s">
        <v>1546</v>
      </c>
      <c r="C541" s="14" t="s">
        <v>228</v>
      </c>
      <c r="D541" s="14" t="s">
        <v>229</v>
      </c>
      <c r="E541" s="14" t="s">
        <v>228</v>
      </c>
      <c r="F541" s="14" t="s">
        <v>150</v>
      </c>
      <c r="G541" s="14" t="s">
        <v>151</v>
      </c>
      <c r="H541" s="14">
        <v>1000</v>
      </c>
      <c r="I541" s="14"/>
      <c r="J541" s="14"/>
      <c r="K541" s="15"/>
    </row>
    <row r="542" spans="1:11" x14ac:dyDescent="0.25">
      <c r="A542" s="14">
        <f>IF(B542="","",COUNTA($B$4:B542))</f>
        <v>539</v>
      </c>
      <c r="B542" s="14" t="s">
        <v>1547</v>
      </c>
      <c r="C542" s="14" t="s">
        <v>228</v>
      </c>
      <c r="D542" s="14" t="s">
        <v>229</v>
      </c>
      <c r="E542" s="14" t="s">
        <v>228</v>
      </c>
      <c r="F542" s="14" t="s">
        <v>150</v>
      </c>
      <c r="G542" s="14" t="s">
        <v>151</v>
      </c>
      <c r="H542" s="14">
        <v>1000</v>
      </c>
      <c r="I542" s="14"/>
      <c r="J542" s="14"/>
      <c r="K542" s="127"/>
    </row>
    <row r="543" spans="1:11" x14ac:dyDescent="0.25">
      <c r="A543" s="14">
        <f>IF(B543="","",COUNTA($B$4:B543))</f>
        <v>540</v>
      </c>
      <c r="B543" s="14" t="s">
        <v>1548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5"/>
    </row>
    <row r="544" spans="1:11" x14ac:dyDescent="0.25">
      <c r="A544" s="14">
        <f>IF(B544="","",COUNTA($B$4:B544))</f>
        <v>541</v>
      </c>
      <c r="B544" s="14" t="s">
        <v>1549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 x14ac:dyDescent="0.25">
      <c r="A545" s="14">
        <f>IF(B545="","",COUNTA($B$4:B545))</f>
        <v>542</v>
      </c>
      <c r="B545" s="14" t="s">
        <v>1550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5"/>
      <c r="K545" s="15"/>
    </row>
    <row r="546" spans="1:11" x14ac:dyDescent="0.25">
      <c r="A546" s="14">
        <f>IF(B546="","",COUNTA($B$4:B546))</f>
        <v>543</v>
      </c>
      <c r="B546" s="14" t="s">
        <v>1557</v>
      </c>
      <c r="C546" s="14" t="s">
        <v>730</v>
      </c>
      <c r="D546" s="14" t="s">
        <v>1497</v>
      </c>
      <c r="E546" s="14" t="s">
        <v>730</v>
      </c>
      <c r="F546" s="14" t="s">
        <v>155</v>
      </c>
      <c r="G546" s="14" t="s">
        <v>156</v>
      </c>
      <c r="H546" s="14">
        <v>3</v>
      </c>
      <c r="I546" s="14"/>
      <c r="J546" s="15"/>
      <c r="K546" s="127"/>
    </row>
    <row r="547" spans="1:11" x14ac:dyDescent="0.25">
      <c r="A547" s="14">
        <f>IF(B547="","",COUNTA($B$4:B547))</f>
        <v>544</v>
      </c>
      <c r="B547" s="14" t="s">
        <v>1515</v>
      </c>
      <c r="C547" s="14" t="s">
        <v>199</v>
      </c>
      <c r="D547" s="14" t="s">
        <v>200</v>
      </c>
      <c r="E547" s="14" t="s">
        <v>199</v>
      </c>
      <c r="F547" s="14" t="s">
        <v>150</v>
      </c>
      <c r="G547" s="14" t="s">
        <v>151</v>
      </c>
      <c r="H547" s="14">
        <v>20</v>
      </c>
      <c r="I547" s="14"/>
      <c r="J547" s="14"/>
      <c r="K547" s="127"/>
    </row>
    <row r="548" spans="1:11" x14ac:dyDescent="0.25">
      <c r="A548" s="14">
        <f>IF(B548="","",COUNTA($B$4:B548))</f>
        <v>545</v>
      </c>
      <c r="B548" s="14" t="s">
        <v>1528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4"/>
      <c r="K548" s="127"/>
    </row>
    <row r="549" spans="1:11" x14ac:dyDescent="0.25">
      <c r="A549" s="14">
        <f>IF(B549="","",COUNTA($B$4:B549))</f>
        <v>546</v>
      </c>
      <c r="B549" s="14" t="s">
        <v>1529</v>
      </c>
      <c r="C549" s="14" t="s">
        <v>199</v>
      </c>
      <c r="D549" s="14" t="s">
        <v>200</v>
      </c>
      <c r="E549" s="14" t="s">
        <v>199</v>
      </c>
      <c r="F549" s="14" t="s">
        <v>150</v>
      </c>
      <c r="G549" s="14" t="s">
        <v>151</v>
      </c>
      <c r="H549" s="14">
        <v>100</v>
      </c>
      <c r="I549" s="14"/>
      <c r="J549" s="14"/>
      <c r="K549" s="15"/>
    </row>
    <row r="550" spans="1:11" x14ac:dyDescent="0.25">
      <c r="A550" s="14">
        <f>IF(B550="","",COUNTA($B$4:B550))</f>
        <v>547</v>
      </c>
      <c r="B550" s="14" t="s">
        <v>1530</v>
      </c>
      <c r="C550" s="14" t="s">
        <v>199</v>
      </c>
      <c r="D550" s="14" t="s">
        <v>200</v>
      </c>
      <c r="E550" s="14" t="s">
        <v>199</v>
      </c>
      <c r="F550" s="14" t="s">
        <v>150</v>
      </c>
      <c r="G550" s="14" t="s">
        <v>151</v>
      </c>
      <c r="H550" s="14">
        <v>20</v>
      </c>
      <c r="I550" s="14"/>
      <c r="J550" s="14"/>
      <c r="K550" s="15"/>
    </row>
    <row r="551" spans="1:11" x14ac:dyDescent="0.25">
      <c r="A551" s="14">
        <f>IF(B551="","",COUNTA($B$4:B551))</f>
        <v>548</v>
      </c>
      <c r="B551" s="14" t="s">
        <v>1531</v>
      </c>
      <c r="C551" s="14" t="s">
        <v>199</v>
      </c>
      <c r="D551" s="14" t="s">
        <v>200</v>
      </c>
      <c r="E551" s="14" t="s">
        <v>199</v>
      </c>
      <c r="F551" s="14" t="s">
        <v>150</v>
      </c>
      <c r="G551" s="14" t="s">
        <v>151</v>
      </c>
      <c r="H551" s="14">
        <v>20</v>
      </c>
      <c r="I551" s="14"/>
      <c r="J551" s="14"/>
      <c r="K551" s="127"/>
    </row>
    <row r="552" spans="1:11" x14ac:dyDescent="0.25">
      <c r="A552" s="14">
        <f>IF(B552="","",COUNTA($B$4:B552))</f>
        <v>549</v>
      </c>
      <c r="B552" s="14" t="s">
        <v>1532</v>
      </c>
      <c r="C552" s="14" t="s">
        <v>199</v>
      </c>
      <c r="D552" s="14" t="s">
        <v>200</v>
      </c>
      <c r="E552" s="14" t="s">
        <v>199</v>
      </c>
      <c r="F552" s="14" t="s">
        <v>150</v>
      </c>
      <c r="G552" s="14" t="s">
        <v>151</v>
      </c>
      <c r="H552" s="14">
        <v>20</v>
      </c>
      <c r="I552" s="14"/>
      <c r="J552" s="14"/>
      <c r="K552" s="127"/>
    </row>
    <row r="553" spans="1:11" x14ac:dyDescent="0.25">
      <c r="A553" s="14">
        <f>IF(B553="","",COUNTA($B$4:B553))</f>
        <v>550</v>
      </c>
      <c r="B553" s="14" t="s">
        <v>1533</v>
      </c>
      <c r="C553" s="14" t="s">
        <v>199</v>
      </c>
      <c r="D553" s="14" t="s">
        <v>200</v>
      </c>
      <c r="E553" s="14" t="s">
        <v>199</v>
      </c>
      <c r="F553" s="14" t="s">
        <v>150</v>
      </c>
      <c r="G553" s="14" t="s">
        <v>151</v>
      </c>
      <c r="H553" s="14">
        <v>20</v>
      </c>
      <c r="I553" s="14"/>
      <c r="J553" s="14"/>
      <c r="K553" s="15"/>
    </row>
    <row r="554" spans="1:11" x14ac:dyDescent="0.25">
      <c r="A554" s="14">
        <f>IF(B554="","",COUNTA($B$4:B554))</f>
        <v>551</v>
      </c>
      <c r="B554" s="14" t="s">
        <v>1534</v>
      </c>
      <c r="C554" s="14" t="s">
        <v>199</v>
      </c>
      <c r="D554" s="14" t="s">
        <v>200</v>
      </c>
      <c r="E554" s="14" t="s">
        <v>199</v>
      </c>
      <c r="F554" s="14" t="s">
        <v>150</v>
      </c>
      <c r="G554" s="14" t="s">
        <v>151</v>
      </c>
      <c r="H554" s="14">
        <v>20</v>
      </c>
      <c r="I554" s="14"/>
      <c r="J554" s="14"/>
      <c r="K554" s="15"/>
    </row>
    <row r="555" spans="1:11" x14ac:dyDescent="0.25">
      <c r="A555" s="14">
        <f>IF(B555="","",COUNTA($B$4:B555))</f>
        <v>552</v>
      </c>
      <c r="B555" s="14" t="s">
        <v>1538</v>
      </c>
      <c r="C555" s="14" t="s">
        <v>199</v>
      </c>
      <c r="D555" s="14" t="s">
        <v>200</v>
      </c>
      <c r="E555" s="14" t="s">
        <v>199</v>
      </c>
      <c r="F555" s="14" t="s">
        <v>150</v>
      </c>
      <c r="G555" s="14" t="s">
        <v>151</v>
      </c>
      <c r="H555" s="14">
        <v>20</v>
      </c>
      <c r="I555" s="14"/>
      <c r="J555" s="14"/>
      <c r="K555" s="15"/>
    </row>
    <row r="556" spans="1:11" x14ac:dyDescent="0.25">
      <c r="A556" s="14">
        <f>IF(B556="","",COUNTA($B$4:B556))</f>
        <v>553</v>
      </c>
      <c r="B556" s="14" t="s">
        <v>1545</v>
      </c>
      <c r="C556" s="14" t="s">
        <v>199</v>
      </c>
      <c r="D556" s="14" t="s">
        <v>200</v>
      </c>
      <c r="E556" s="14" t="s">
        <v>199</v>
      </c>
      <c r="F556" s="14" t="s">
        <v>150</v>
      </c>
      <c r="G556" s="14" t="s">
        <v>151</v>
      </c>
      <c r="H556" s="14">
        <v>20</v>
      </c>
      <c r="I556" s="14"/>
      <c r="J556" s="14"/>
      <c r="K556" s="127"/>
    </row>
    <row r="557" spans="1:11" x14ac:dyDescent="0.25">
      <c r="A557" s="14">
        <f>IF(B557="","",COUNTA($B$4:B557))</f>
        <v>554</v>
      </c>
      <c r="B557" s="14" t="s">
        <v>1546</v>
      </c>
      <c r="C557" s="14" t="s">
        <v>199</v>
      </c>
      <c r="D557" s="14" t="s">
        <v>200</v>
      </c>
      <c r="E557" s="14" t="s">
        <v>199</v>
      </c>
      <c r="F557" s="14" t="s">
        <v>150</v>
      </c>
      <c r="G557" s="14" t="s">
        <v>151</v>
      </c>
      <c r="H557" s="14">
        <v>20</v>
      </c>
      <c r="I557" s="14"/>
      <c r="J557" s="14"/>
      <c r="K557" s="15"/>
    </row>
    <row r="558" spans="1:11" x14ac:dyDescent="0.25">
      <c r="A558" s="14">
        <f>IF(B558="","",COUNTA($B$4:B558))</f>
        <v>555</v>
      </c>
      <c r="B558" s="14" t="s">
        <v>1547</v>
      </c>
      <c r="C558" s="14" t="s">
        <v>199</v>
      </c>
      <c r="D558" s="14" t="s">
        <v>200</v>
      </c>
      <c r="E558" s="14" t="s">
        <v>199</v>
      </c>
      <c r="F558" s="14" t="s">
        <v>150</v>
      </c>
      <c r="G558" s="14" t="s">
        <v>151</v>
      </c>
      <c r="H558" s="14">
        <v>20</v>
      </c>
      <c r="I558" s="14"/>
      <c r="J558" s="14"/>
      <c r="K558" s="15"/>
    </row>
    <row r="559" spans="1:11" x14ac:dyDescent="0.25">
      <c r="A559" s="14">
        <f>IF(B559="","",COUNTA($B$4:B559))</f>
        <v>556</v>
      </c>
      <c r="B559" s="14" t="s">
        <v>1548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5"/>
    </row>
    <row r="560" spans="1:11" x14ac:dyDescent="0.25">
      <c r="A560" s="14">
        <f>IF(B560="","",COUNTA($B$4:B560))</f>
        <v>557</v>
      </c>
      <c r="B560" s="14" t="s">
        <v>1549</v>
      </c>
      <c r="C560" s="14" t="s">
        <v>199</v>
      </c>
      <c r="D560" s="14" t="s">
        <v>200</v>
      </c>
      <c r="E560" s="14" t="s">
        <v>1425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 x14ac:dyDescent="0.25">
      <c r="A561" s="14">
        <f>IF(B561="","",COUNTA($B$4:B561))</f>
        <v>558</v>
      </c>
      <c r="B561" s="14" t="s">
        <v>1550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20</v>
      </c>
      <c r="I561" s="14"/>
      <c r="J561" s="15"/>
      <c r="K561" s="15"/>
    </row>
    <row r="562" spans="1:11" x14ac:dyDescent="0.25">
      <c r="A562" s="14">
        <f>IF(B562="","",COUNTA($B$4:B562))</f>
        <v>559</v>
      </c>
      <c r="B562" s="14" t="s">
        <v>1551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5"/>
      <c r="K562" s="15"/>
    </row>
    <row r="563" spans="1:11" x14ac:dyDescent="0.25">
      <c r="A563" s="14">
        <f>IF(B563="","",COUNTA($B$4:B563))</f>
        <v>560</v>
      </c>
      <c r="B563" s="14" t="s">
        <v>1552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5"/>
      <c r="K563" s="15"/>
    </row>
    <row r="564" spans="1:11" x14ac:dyDescent="0.25">
      <c r="A564" s="14">
        <f>IF(B564="","",COUNTA($B$4:B564))</f>
        <v>561</v>
      </c>
      <c r="B564" s="14" t="s">
        <v>1553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5"/>
      <c r="K564" s="127"/>
    </row>
    <row r="565" spans="1:11" x14ac:dyDescent="0.25">
      <c r="A565" s="14">
        <f>IF(B565="","",COUNTA($B$4:B565))</f>
        <v>562</v>
      </c>
      <c r="B565" s="14" t="s">
        <v>1515</v>
      </c>
      <c r="C565" s="14" t="s">
        <v>201</v>
      </c>
      <c r="D565" s="14" t="s">
        <v>202</v>
      </c>
      <c r="E565" s="14" t="s">
        <v>201</v>
      </c>
      <c r="F565" s="14" t="s">
        <v>150</v>
      </c>
      <c r="G565" s="14" t="s">
        <v>151</v>
      </c>
      <c r="H565" s="14">
        <v>30</v>
      </c>
      <c r="I565" s="14"/>
      <c r="J565" s="14"/>
      <c r="K565" s="127"/>
    </row>
    <row r="566" spans="1:11" x14ac:dyDescent="0.25">
      <c r="A566" s="14">
        <f>IF(B566="","",COUNTA($B$4:B566))</f>
        <v>563</v>
      </c>
      <c r="B566" s="14" t="s">
        <v>1528</v>
      </c>
      <c r="C566" s="14" t="s">
        <v>201</v>
      </c>
      <c r="D566" s="14" t="s">
        <v>202</v>
      </c>
      <c r="E566" s="14" t="s">
        <v>201</v>
      </c>
      <c r="F566" s="14" t="s">
        <v>150</v>
      </c>
      <c r="G566" s="14" t="s">
        <v>151</v>
      </c>
      <c r="H566" s="14">
        <v>30</v>
      </c>
      <c r="I566" s="14"/>
      <c r="J566" s="14"/>
      <c r="K566" s="127"/>
    </row>
    <row r="567" spans="1:11" x14ac:dyDescent="0.25">
      <c r="A567" s="14">
        <f>IF(B567="","",COUNTA($B$4:B567))</f>
        <v>564</v>
      </c>
      <c r="B567" s="14" t="s">
        <v>1529</v>
      </c>
      <c r="C567" s="14" t="s">
        <v>201</v>
      </c>
      <c r="D567" s="14" t="s">
        <v>202</v>
      </c>
      <c r="E567" s="14" t="s">
        <v>201</v>
      </c>
      <c r="F567" s="14" t="s">
        <v>150</v>
      </c>
      <c r="G567" s="14" t="s">
        <v>151</v>
      </c>
      <c r="H567" s="14">
        <v>30</v>
      </c>
      <c r="I567" s="14"/>
      <c r="J567" s="14"/>
      <c r="K567" s="15"/>
    </row>
    <row r="568" spans="1:11" x14ac:dyDescent="0.25">
      <c r="A568" s="14">
        <f>IF(B568="","",COUNTA($B$4:B568))</f>
        <v>565</v>
      </c>
      <c r="B568" s="14" t="s">
        <v>1530</v>
      </c>
      <c r="C568" s="14" t="s">
        <v>201</v>
      </c>
      <c r="D568" s="14" t="s">
        <v>202</v>
      </c>
      <c r="E568" s="14" t="s">
        <v>201</v>
      </c>
      <c r="F568" s="14" t="s">
        <v>150</v>
      </c>
      <c r="G568" s="14" t="s">
        <v>151</v>
      </c>
      <c r="H568" s="14">
        <v>30</v>
      </c>
      <c r="I568" s="14"/>
      <c r="J568" s="14"/>
      <c r="K568" s="127"/>
    </row>
    <row r="569" spans="1:11" x14ac:dyDescent="0.25">
      <c r="A569" s="14">
        <f>IF(B569="","",COUNTA($B$4:B569))</f>
        <v>566</v>
      </c>
      <c r="B569" s="14" t="s">
        <v>1531</v>
      </c>
      <c r="C569" s="14" t="s">
        <v>201</v>
      </c>
      <c r="D569" s="14" t="s">
        <v>202</v>
      </c>
      <c r="E569" s="14" t="s">
        <v>201</v>
      </c>
      <c r="F569" s="14" t="s">
        <v>150</v>
      </c>
      <c r="G569" s="14" t="s">
        <v>151</v>
      </c>
      <c r="H569" s="14">
        <v>30</v>
      </c>
      <c r="I569" s="14"/>
      <c r="J569" s="14"/>
      <c r="K569" s="15"/>
    </row>
    <row r="570" spans="1:11" x14ac:dyDescent="0.25">
      <c r="A570" s="14">
        <f>IF(B570="","",COUNTA($B$4:B570))</f>
        <v>567</v>
      </c>
      <c r="B570" s="14" t="s">
        <v>1532</v>
      </c>
      <c r="C570" s="14" t="s">
        <v>201</v>
      </c>
      <c r="D570" s="14" t="s">
        <v>202</v>
      </c>
      <c r="E570" s="14" t="s">
        <v>201</v>
      </c>
      <c r="F570" s="14" t="s">
        <v>150</v>
      </c>
      <c r="G570" s="14" t="s">
        <v>151</v>
      </c>
      <c r="H570" s="14">
        <v>30</v>
      </c>
      <c r="I570" s="14"/>
      <c r="J570" s="14"/>
      <c r="K570" s="15"/>
    </row>
    <row r="571" spans="1:11" x14ac:dyDescent="0.25">
      <c r="A571" s="14">
        <f>IF(B571="","",COUNTA($B$4:B571))</f>
        <v>568</v>
      </c>
      <c r="B571" s="14" t="s">
        <v>1533</v>
      </c>
      <c r="C571" s="14" t="s">
        <v>201</v>
      </c>
      <c r="D571" s="14" t="s">
        <v>202</v>
      </c>
      <c r="E571" s="14" t="s">
        <v>201</v>
      </c>
      <c r="F571" s="14" t="s">
        <v>150</v>
      </c>
      <c r="G571" s="14" t="s">
        <v>151</v>
      </c>
      <c r="H571" s="14">
        <v>30</v>
      </c>
      <c r="I571" s="14"/>
      <c r="J571" s="14"/>
      <c r="K571" s="15"/>
    </row>
    <row r="572" spans="1:11" x14ac:dyDescent="0.25">
      <c r="A572" s="14">
        <f>IF(B572="","",COUNTA($B$4:B572))</f>
        <v>569</v>
      </c>
      <c r="B572" s="14" t="s">
        <v>1534</v>
      </c>
      <c r="C572" s="14" t="s">
        <v>201</v>
      </c>
      <c r="D572" s="14" t="s">
        <v>202</v>
      </c>
      <c r="E572" s="14" t="s">
        <v>201</v>
      </c>
      <c r="F572" s="14" t="s">
        <v>150</v>
      </c>
      <c r="G572" s="14" t="s">
        <v>151</v>
      </c>
      <c r="H572" s="14">
        <v>30</v>
      </c>
      <c r="I572" s="14"/>
      <c r="J572" s="14"/>
      <c r="K572" s="15"/>
    </row>
    <row r="573" spans="1:11" x14ac:dyDescent="0.25">
      <c r="A573" s="14">
        <f>IF(B573="","",COUNTA($B$4:B573))</f>
        <v>570</v>
      </c>
      <c r="B573" s="14" t="s">
        <v>1538</v>
      </c>
      <c r="C573" s="14" t="s">
        <v>201</v>
      </c>
      <c r="D573" s="14" t="s">
        <v>202</v>
      </c>
      <c r="E573" s="14" t="s">
        <v>201</v>
      </c>
      <c r="F573" s="14" t="s">
        <v>150</v>
      </c>
      <c r="G573" s="14" t="s">
        <v>151</v>
      </c>
      <c r="H573" s="14">
        <v>30</v>
      </c>
      <c r="I573" s="14"/>
      <c r="J573" s="14"/>
      <c r="K573" s="15"/>
    </row>
    <row r="574" spans="1:11" x14ac:dyDescent="0.25">
      <c r="A574" s="14">
        <f>IF(B574="","",COUNTA($B$4:B574))</f>
        <v>571</v>
      </c>
      <c r="B574" s="14" t="s">
        <v>1545</v>
      </c>
      <c r="C574" s="14" t="s">
        <v>201</v>
      </c>
      <c r="D574" s="14" t="s">
        <v>202</v>
      </c>
      <c r="E574" s="14" t="s">
        <v>201</v>
      </c>
      <c r="F574" s="14" t="s">
        <v>150</v>
      </c>
      <c r="G574" s="14" t="s">
        <v>151</v>
      </c>
      <c r="H574" s="14">
        <v>30</v>
      </c>
      <c r="I574" s="14"/>
      <c r="J574" s="14"/>
      <c r="K574" s="15"/>
    </row>
    <row r="575" spans="1:11" x14ac:dyDescent="0.25">
      <c r="A575" s="14">
        <f>IF(B575="","",COUNTA($B$4:B575))</f>
        <v>572</v>
      </c>
      <c r="B575" s="14" t="s">
        <v>1546</v>
      </c>
      <c r="C575" s="14" t="s">
        <v>201</v>
      </c>
      <c r="D575" s="14" t="s">
        <v>202</v>
      </c>
      <c r="E575" s="14" t="s">
        <v>201</v>
      </c>
      <c r="F575" s="14" t="s">
        <v>150</v>
      </c>
      <c r="G575" s="14" t="s">
        <v>151</v>
      </c>
      <c r="H575" s="14">
        <v>30</v>
      </c>
      <c r="I575" s="14"/>
      <c r="J575" s="14"/>
      <c r="K575" s="15"/>
    </row>
    <row r="576" spans="1:11" x14ac:dyDescent="0.25">
      <c r="A576" s="14">
        <f>IF(B576="","",COUNTA($B$4:B576))</f>
        <v>573</v>
      </c>
      <c r="B576" s="14" t="s">
        <v>1547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4"/>
      <c r="K576" s="15"/>
    </row>
    <row r="577" spans="1:11" x14ac:dyDescent="0.25">
      <c r="A577" s="14">
        <f>IF(B577="","",COUNTA($B$4:B577))</f>
        <v>574</v>
      </c>
      <c r="B577" s="14" t="s">
        <v>1548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5"/>
    </row>
    <row r="578" spans="1:11" x14ac:dyDescent="0.25">
      <c r="A578" s="14">
        <f>IF(B578="","",COUNTA($B$4:B578))</f>
        <v>575</v>
      </c>
      <c r="B578" s="14" t="s">
        <v>1549</v>
      </c>
      <c r="C578" s="14" t="s">
        <v>201</v>
      </c>
      <c r="D578" s="14" t="s">
        <v>202</v>
      </c>
      <c r="E578" s="14" t="s">
        <v>1426</v>
      </c>
      <c r="F578" s="14" t="s">
        <v>150</v>
      </c>
      <c r="G578" s="14" t="s">
        <v>1498</v>
      </c>
      <c r="H578" s="14">
        <v>30</v>
      </c>
      <c r="I578" s="14"/>
      <c r="J578" s="14"/>
      <c r="K578" s="127"/>
    </row>
    <row r="579" spans="1:11" x14ac:dyDescent="0.25">
      <c r="A579" s="14">
        <f>IF(B579="","",COUNTA($B$4:B579))</f>
        <v>576</v>
      </c>
      <c r="B579" s="14" t="s">
        <v>1550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5"/>
      <c r="K579" s="127"/>
    </row>
    <row r="580" spans="1:11" x14ac:dyDescent="0.25">
      <c r="A580" s="14">
        <f>IF(B580="","",COUNTA($B$4:B580))</f>
        <v>577</v>
      </c>
      <c r="B580" s="14" t="s">
        <v>1551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5"/>
      <c r="K580" s="15"/>
    </row>
    <row r="581" spans="1:11" x14ac:dyDescent="0.25">
      <c r="A581" s="14">
        <f>IF(B581="","",COUNTA($B$4:B581))</f>
        <v>578</v>
      </c>
      <c r="B581" s="14" t="s">
        <v>1552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5"/>
      <c r="K581" s="15"/>
    </row>
    <row r="582" spans="1:11" x14ac:dyDescent="0.25">
      <c r="A582" s="14">
        <f>IF(B582="","",COUNTA($B$4:B582))</f>
        <v>579</v>
      </c>
      <c r="B582" s="14" t="s">
        <v>1553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5"/>
      <c r="K582" s="15"/>
    </row>
    <row r="583" spans="1:11" x14ac:dyDescent="0.25">
      <c r="A583" s="14">
        <f>IF(B583="","",COUNTA($B$4:B583))</f>
        <v>580</v>
      </c>
      <c r="B583" s="14" t="s">
        <v>1515</v>
      </c>
      <c r="C583" s="14" t="s">
        <v>205</v>
      </c>
      <c r="D583" s="14" t="s">
        <v>206</v>
      </c>
      <c r="E583" s="14" t="s">
        <v>205</v>
      </c>
      <c r="F583" s="14" t="s">
        <v>155</v>
      </c>
      <c r="G583" s="14" t="s">
        <v>156</v>
      </c>
      <c r="H583" s="14">
        <v>4</v>
      </c>
      <c r="I583" s="14"/>
      <c r="J583" s="14"/>
      <c r="K583" s="15"/>
    </row>
    <row r="584" spans="1:11" x14ac:dyDescent="0.25">
      <c r="A584" s="14">
        <f>IF(B584="","",COUNTA($B$4:B584))</f>
        <v>581</v>
      </c>
      <c r="B584" s="14" t="s">
        <v>1528</v>
      </c>
      <c r="C584" s="14" t="s">
        <v>205</v>
      </c>
      <c r="D584" s="14" t="s">
        <v>206</v>
      </c>
      <c r="E584" s="14" t="s">
        <v>205</v>
      </c>
      <c r="F584" s="14" t="s">
        <v>155</v>
      </c>
      <c r="G584" s="14" t="s">
        <v>156</v>
      </c>
      <c r="H584" s="14">
        <v>4</v>
      </c>
      <c r="I584" s="14"/>
      <c r="J584" s="14"/>
      <c r="K584" s="127"/>
    </row>
    <row r="585" spans="1:11" x14ac:dyDescent="0.25">
      <c r="A585" s="14">
        <f>IF(B585="","",COUNTA($B$4:B585))</f>
        <v>582</v>
      </c>
      <c r="B585" s="14" t="s">
        <v>1529</v>
      </c>
      <c r="C585" s="14" t="s">
        <v>205</v>
      </c>
      <c r="D585" s="14" t="s">
        <v>206</v>
      </c>
      <c r="E585" s="14" t="s">
        <v>205</v>
      </c>
      <c r="F585" s="14" t="s">
        <v>155</v>
      </c>
      <c r="G585" s="14" t="s">
        <v>156</v>
      </c>
      <c r="H585" s="14">
        <v>4</v>
      </c>
      <c r="I585" s="14"/>
      <c r="J585" s="14"/>
      <c r="K585" s="15"/>
    </row>
    <row r="586" spans="1:11" x14ac:dyDescent="0.25">
      <c r="A586" s="14">
        <f>IF(B586="","",COUNTA($B$4:B586))</f>
        <v>583</v>
      </c>
      <c r="B586" s="14" t="s">
        <v>1530</v>
      </c>
      <c r="C586" s="14" t="s">
        <v>205</v>
      </c>
      <c r="D586" s="14" t="s">
        <v>206</v>
      </c>
      <c r="E586" s="14" t="s">
        <v>205</v>
      </c>
      <c r="F586" s="14" t="s">
        <v>155</v>
      </c>
      <c r="G586" s="14" t="s">
        <v>156</v>
      </c>
      <c r="H586" s="14">
        <v>4</v>
      </c>
      <c r="I586" s="14"/>
      <c r="J586" s="14"/>
      <c r="K586" s="15"/>
    </row>
    <row r="587" spans="1:11" x14ac:dyDescent="0.25">
      <c r="A587" s="14">
        <f>IF(B587="","",COUNTA($B$4:B587))</f>
        <v>584</v>
      </c>
      <c r="B587" s="14" t="s">
        <v>1533</v>
      </c>
      <c r="C587" s="14" t="s">
        <v>205</v>
      </c>
      <c r="D587" s="14" t="s">
        <v>206</v>
      </c>
      <c r="E587" s="14" t="s">
        <v>205</v>
      </c>
      <c r="F587" s="14" t="s">
        <v>155</v>
      </c>
      <c r="G587" s="14" t="s">
        <v>156</v>
      </c>
      <c r="H587" s="14">
        <v>4</v>
      </c>
      <c r="I587" s="14"/>
      <c r="J587" s="14"/>
      <c r="K587" s="15"/>
    </row>
    <row r="588" spans="1:11" x14ac:dyDescent="0.25">
      <c r="A588" s="14">
        <f>IF(B588="","",COUNTA($B$4:B588))</f>
        <v>585</v>
      </c>
      <c r="B588" s="14" t="s">
        <v>1534</v>
      </c>
      <c r="C588" s="14" t="s">
        <v>205</v>
      </c>
      <c r="D588" s="14" t="s">
        <v>206</v>
      </c>
      <c r="E588" s="14" t="s">
        <v>205</v>
      </c>
      <c r="F588" s="14" t="s">
        <v>155</v>
      </c>
      <c r="G588" s="14" t="s">
        <v>156</v>
      </c>
      <c r="H588" s="14">
        <v>4</v>
      </c>
      <c r="I588" s="14"/>
      <c r="J588" s="14"/>
      <c r="K588" s="15"/>
    </row>
    <row r="589" spans="1:11" x14ac:dyDescent="0.25">
      <c r="A589" s="14">
        <f>IF(B589="","",COUNTA($B$4:B589))</f>
        <v>586</v>
      </c>
      <c r="B589" s="14" t="s">
        <v>1538</v>
      </c>
      <c r="C589" s="14" t="s">
        <v>205</v>
      </c>
      <c r="D589" s="14" t="s">
        <v>206</v>
      </c>
      <c r="E589" s="14" t="s">
        <v>205</v>
      </c>
      <c r="F589" s="14" t="s">
        <v>155</v>
      </c>
      <c r="G589" s="14" t="s">
        <v>156</v>
      </c>
      <c r="H589" s="14">
        <v>4</v>
      </c>
      <c r="I589" s="14"/>
      <c r="J589" s="14"/>
      <c r="K589" s="127"/>
    </row>
    <row r="590" spans="1:11" x14ac:dyDescent="0.25">
      <c r="A590" s="14">
        <f>IF(B590="","",COUNTA($B$4:B590))</f>
        <v>587</v>
      </c>
      <c r="B590" s="14" t="s">
        <v>1546</v>
      </c>
      <c r="C590" s="14" t="s">
        <v>205</v>
      </c>
      <c r="D590" s="14" t="s">
        <v>206</v>
      </c>
      <c r="E590" s="14" t="s">
        <v>205</v>
      </c>
      <c r="F590" s="14" t="s">
        <v>155</v>
      </c>
      <c r="G590" s="14" t="s">
        <v>156</v>
      </c>
      <c r="H590" s="14">
        <v>4</v>
      </c>
      <c r="I590" s="14"/>
      <c r="J590" s="14"/>
      <c r="K590" s="15"/>
    </row>
    <row r="591" spans="1:11" x14ac:dyDescent="0.25">
      <c r="A591" s="14">
        <f>IF(B591="","",COUNTA($B$4:B591))</f>
        <v>588</v>
      </c>
      <c r="B591" s="14" t="s">
        <v>1548</v>
      </c>
      <c r="C591" s="14" t="s">
        <v>205</v>
      </c>
      <c r="D591" s="14" t="s">
        <v>206</v>
      </c>
      <c r="E591" s="14" t="s">
        <v>205</v>
      </c>
      <c r="F591" s="14" t="s">
        <v>155</v>
      </c>
      <c r="G591" s="14" t="s">
        <v>156</v>
      </c>
      <c r="H591" s="14">
        <v>4</v>
      </c>
      <c r="I591" s="14"/>
      <c r="J591" s="14"/>
      <c r="K591" s="127"/>
    </row>
    <row r="592" spans="1:11" x14ac:dyDescent="0.25">
      <c r="A592" s="14">
        <f>IF(B592="","",COUNTA($B$4:B592))</f>
        <v>589</v>
      </c>
      <c r="B592" s="14" t="s">
        <v>1550</v>
      </c>
      <c r="C592" s="14" t="s">
        <v>205</v>
      </c>
      <c r="D592" s="14" t="s">
        <v>206</v>
      </c>
      <c r="E592" s="14" t="s">
        <v>205</v>
      </c>
      <c r="F592" s="14" t="s">
        <v>155</v>
      </c>
      <c r="G592" s="14" t="s">
        <v>156</v>
      </c>
      <c r="H592" s="14">
        <v>4</v>
      </c>
      <c r="I592" s="14"/>
      <c r="J592" s="15"/>
      <c r="K592" s="15"/>
    </row>
    <row r="593" spans="1:11" x14ac:dyDescent="0.25">
      <c r="A593" s="14">
        <f>IF(B593="","",COUNTA($B$4:B593))</f>
        <v>590</v>
      </c>
      <c r="B593" s="14" t="s">
        <v>1551</v>
      </c>
      <c r="C593" s="14" t="s">
        <v>205</v>
      </c>
      <c r="D593" s="14" t="s">
        <v>206</v>
      </c>
      <c r="E593" s="14" t="s">
        <v>205</v>
      </c>
      <c r="F593" s="14" t="s">
        <v>155</v>
      </c>
      <c r="G593" s="14" t="s">
        <v>156</v>
      </c>
      <c r="H593" s="14">
        <v>4</v>
      </c>
      <c r="I593" s="14"/>
      <c r="J593" s="15"/>
      <c r="K593" s="15"/>
    </row>
    <row r="594" spans="1:11" x14ac:dyDescent="0.25">
      <c r="A594" s="14">
        <f>IF(B594="","",COUNTA($B$4:B594))</f>
        <v>591</v>
      </c>
      <c r="B594" s="14" t="s">
        <v>1552</v>
      </c>
      <c r="C594" s="14" t="s">
        <v>205</v>
      </c>
      <c r="D594" s="14" t="s">
        <v>206</v>
      </c>
      <c r="E594" s="14" t="s">
        <v>205</v>
      </c>
      <c r="F594" s="14" t="s">
        <v>155</v>
      </c>
      <c r="G594" s="14" t="s">
        <v>156</v>
      </c>
      <c r="H594" s="14">
        <v>4</v>
      </c>
      <c r="I594" s="14"/>
      <c r="J594" s="15"/>
      <c r="K594" s="15"/>
    </row>
    <row r="595" spans="1:11" x14ac:dyDescent="0.25">
      <c r="A595" s="14">
        <f>IF(B595="","",COUNTA($B$4:B595))</f>
        <v>592</v>
      </c>
      <c r="B595" s="14" t="s">
        <v>1553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5"/>
      <c r="K595" s="15"/>
    </row>
    <row r="596" spans="1:11" x14ac:dyDescent="0.25">
      <c r="A596" s="14">
        <f>IF(B596="","",COUNTA($B$4:B596))</f>
        <v>593</v>
      </c>
      <c r="B596" s="14" t="s">
        <v>1545</v>
      </c>
      <c r="C596" s="14" t="s">
        <v>388</v>
      </c>
      <c r="D596" s="14" t="s">
        <v>389</v>
      </c>
      <c r="E596" s="14" t="s">
        <v>388</v>
      </c>
      <c r="F596" s="14" t="s">
        <v>155</v>
      </c>
      <c r="G596" s="14" t="s">
        <v>156</v>
      </c>
      <c r="H596" s="14">
        <v>1</v>
      </c>
      <c r="I596" s="14" t="s">
        <v>244</v>
      </c>
      <c r="J596" s="14"/>
      <c r="K596" s="15"/>
    </row>
    <row r="597" spans="1:11" x14ac:dyDescent="0.25">
      <c r="A597" s="14">
        <f>IF(B597="","",COUNTA($B$4:B597))</f>
        <v>594</v>
      </c>
      <c r="B597" s="14" t="s">
        <v>1545</v>
      </c>
      <c r="C597" s="14" t="s">
        <v>390</v>
      </c>
      <c r="D597" s="14" t="s">
        <v>391</v>
      </c>
      <c r="E597" s="14" t="s">
        <v>390</v>
      </c>
      <c r="F597" s="14" t="s">
        <v>155</v>
      </c>
      <c r="G597" s="14" t="s">
        <v>156</v>
      </c>
      <c r="H597" s="14">
        <v>1</v>
      </c>
      <c r="I597" s="14" t="s">
        <v>244</v>
      </c>
      <c r="J597" s="14"/>
      <c r="K597" s="15"/>
    </row>
    <row r="598" spans="1:11" x14ac:dyDescent="0.25">
      <c r="A598" s="14">
        <f>IF(B598="","",COUNTA($B$4:B598))</f>
        <v>595</v>
      </c>
      <c r="B598" s="14" t="s">
        <v>1515</v>
      </c>
      <c r="C598" s="14" t="s">
        <v>224</v>
      </c>
      <c r="D598" s="14" t="s">
        <v>225</v>
      </c>
      <c r="E598" s="14" t="s">
        <v>224</v>
      </c>
      <c r="F598" s="14" t="s">
        <v>150</v>
      </c>
      <c r="G598" s="14" t="s">
        <v>151</v>
      </c>
      <c r="H598" s="14">
        <v>10</v>
      </c>
      <c r="I598" s="14"/>
      <c r="J598" s="14"/>
      <c r="K598" s="15"/>
    </row>
    <row r="599" spans="1:11" x14ac:dyDescent="0.25">
      <c r="A599" s="14">
        <f>IF(B599="","",COUNTA($B$4:B599))</f>
        <v>596</v>
      </c>
      <c r="B599" s="14" t="s">
        <v>1534</v>
      </c>
      <c r="C599" s="14" t="s">
        <v>1537</v>
      </c>
      <c r="D599" s="14" t="s">
        <v>363</v>
      </c>
      <c r="E599" s="14" t="s">
        <v>1537</v>
      </c>
      <c r="F599" s="14" t="s">
        <v>150</v>
      </c>
      <c r="G599" s="14" t="s">
        <v>151</v>
      </c>
      <c r="H599" s="14">
        <v>30</v>
      </c>
      <c r="I599" s="14"/>
      <c r="J599" s="14"/>
      <c r="K599" s="15"/>
    </row>
    <row r="600" spans="1:11" x14ac:dyDescent="0.25">
      <c r="A600" s="14">
        <f>IF(B600="","",COUNTA($B$4:B600))</f>
        <v>597</v>
      </c>
      <c r="B600" s="14" t="s">
        <v>1534</v>
      </c>
      <c r="C600" s="14" t="s">
        <v>1535</v>
      </c>
      <c r="D600" s="14" t="s">
        <v>359</v>
      </c>
      <c r="E600" s="14" t="s">
        <v>1535</v>
      </c>
      <c r="F600" s="14" t="s">
        <v>150</v>
      </c>
      <c r="G600" s="14" t="s">
        <v>151</v>
      </c>
      <c r="H600" s="14">
        <v>30</v>
      </c>
      <c r="I600" s="14"/>
      <c r="J600" s="14"/>
      <c r="K600" s="15"/>
    </row>
    <row r="601" spans="1:11" x14ac:dyDescent="0.25">
      <c r="A601" s="14">
        <f>IF(B601="","",COUNTA($B$4:B601))</f>
        <v>598</v>
      </c>
      <c r="B601" s="14" t="s">
        <v>1528</v>
      </c>
      <c r="C601" s="14" t="s">
        <v>274</v>
      </c>
      <c r="D601" s="14" t="s">
        <v>275</v>
      </c>
      <c r="E601" s="14" t="s">
        <v>274</v>
      </c>
      <c r="F601" s="14" t="s">
        <v>150</v>
      </c>
      <c r="G601" s="14" t="s">
        <v>151</v>
      </c>
      <c r="H601" s="14">
        <v>1000</v>
      </c>
      <c r="I601" s="14"/>
      <c r="J601" s="14"/>
      <c r="K601" s="15"/>
    </row>
    <row r="602" spans="1:11" x14ac:dyDescent="0.25">
      <c r="A602" s="14">
        <f>IF(B602="","",COUNTA($B$4:B602))</f>
        <v>599</v>
      </c>
      <c r="B602" s="14" t="s">
        <v>1533</v>
      </c>
      <c r="C602" s="14" t="s">
        <v>311</v>
      </c>
      <c r="D602" s="14" t="s">
        <v>312</v>
      </c>
      <c r="E602" s="14" t="s">
        <v>311</v>
      </c>
      <c r="F602" s="14" t="s">
        <v>155</v>
      </c>
      <c r="G602" s="14" t="s">
        <v>156</v>
      </c>
      <c r="H602" s="14">
        <v>5</v>
      </c>
      <c r="I602" s="14"/>
      <c r="J602" s="14"/>
      <c r="K602" s="127"/>
    </row>
    <row r="603" spans="1:11" x14ac:dyDescent="0.25">
      <c r="A603" s="14">
        <f>IF(B603="","",COUNTA($B$4:B603))</f>
        <v>600</v>
      </c>
      <c r="B603" s="14" t="s">
        <v>1534</v>
      </c>
      <c r="C603" s="14" t="s">
        <v>311</v>
      </c>
      <c r="D603" s="14" t="s">
        <v>312</v>
      </c>
      <c r="E603" s="14" t="s">
        <v>311</v>
      </c>
      <c r="F603" s="14" t="s">
        <v>155</v>
      </c>
      <c r="G603" s="14" t="s">
        <v>156</v>
      </c>
      <c r="H603" s="14">
        <v>5</v>
      </c>
      <c r="I603" s="14"/>
      <c r="J603" s="14"/>
      <c r="K603" s="15"/>
    </row>
    <row r="604" spans="1:11" x14ac:dyDescent="0.25">
      <c r="A604" s="14">
        <f>IF(B604="","",COUNTA($B$4:B604))</f>
        <v>601</v>
      </c>
      <c r="B604" s="14" t="s">
        <v>1553</v>
      </c>
      <c r="C604" s="14" t="s">
        <v>311</v>
      </c>
      <c r="D604" s="14" t="s">
        <v>312</v>
      </c>
      <c r="E604" s="14" t="s">
        <v>311</v>
      </c>
      <c r="F604" s="14" t="s">
        <v>155</v>
      </c>
      <c r="G604" s="14" t="s">
        <v>156</v>
      </c>
      <c r="H604" s="14">
        <v>5</v>
      </c>
      <c r="I604" s="14"/>
      <c r="J604" s="15"/>
      <c r="K604" s="15"/>
    </row>
    <row r="605" spans="1:11" x14ac:dyDescent="0.25">
      <c r="A605" s="14">
        <f>IF(B605="","",COUNTA($B$4:B605))</f>
        <v>602</v>
      </c>
      <c r="B605" s="14" t="s">
        <v>1515</v>
      </c>
      <c r="C605" s="14" t="s">
        <v>217</v>
      </c>
      <c r="D605" s="14" t="s">
        <v>218</v>
      </c>
      <c r="E605" s="14" t="s">
        <v>219</v>
      </c>
      <c r="F605" s="14" t="s">
        <v>155</v>
      </c>
      <c r="G605" s="14" t="s">
        <v>156</v>
      </c>
      <c r="H605" s="14">
        <v>5</v>
      </c>
      <c r="I605" s="14"/>
      <c r="J605" s="14"/>
      <c r="K605" s="15"/>
    </row>
    <row r="606" spans="1:11" x14ac:dyDescent="0.25">
      <c r="A606" s="14">
        <f>IF(B606="","",COUNTA($B$4:B606))</f>
        <v>603</v>
      </c>
      <c r="B606" s="14" t="s">
        <v>1528</v>
      </c>
      <c r="C606" s="14" t="s">
        <v>217</v>
      </c>
      <c r="D606" s="14" t="s">
        <v>218</v>
      </c>
      <c r="E606" s="14" t="s">
        <v>219</v>
      </c>
      <c r="F606" s="14" t="s">
        <v>155</v>
      </c>
      <c r="G606" s="14" t="s">
        <v>156</v>
      </c>
      <c r="H606" s="14">
        <v>5</v>
      </c>
      <c r="I606" s="14"/>
      <c r="J606" s="14"/>
      <c r="K606" s="127"/>
    </row>
    <row r="607" spans="1:11" x14ac:dyDescent="0.25">
      <c r="A607" s="14">
        <f>IF(B607="","",COUNTA($B$4:B607))</f>
        <v>604</v>
      </c>
      <c r="B607" s="14" t="s">
        <v>1529</v>
      </c>
      <c r="C607" s="14" t="s">
        <v>217</v>
      </c>
      <c r="D607" s="14" t="s">
        <v>218</v>
      </c>
      <c r="E607" s="14" t="s">
        <v>219</v>
      </c>
      <c r="F607" s="14" t="s">
        <v>155</v>
      </c>
      <c r="G607" s="14" t="s">
        <v>156</v>
      </c>
      <c r="H607" s="14">
        <v>5</v>
      </c>
      <c r="I607" s="14"/>
      <c r="J607" s="14"/>
      <c r="K607" s="15"/>
    </row>
    <row r="608" spans="1:11" x14ac:dyDescent="0.25">
      <c r="A608" s="14">
        <f>IF(B608="","",COUNTA($B$4:B608))</f>
        <v>605</v>
      </c>
      <c r="B608" s="14" t="s">
        <v>1530</v>
      </c>
      <c r="C608" s="14" t="s">
        <v>217</v>
      </c>
      <c r="D608" s="14" t="s">
        <v>218</v>
      </c>
      <c r="E608" s="14" t="s">
        <v>219</v>
      </c>
      <c r="F608" s="14" t="s">
        <v>155</v>
      </c>
      <c r="G608" s="14" t="s">
        <v>156</v>
      </c>
      <c r="H608" s="14">
        <v>5</v>
      </c>
      <c r="I608" s="14"/>
      <c r="J608" s="14"/>
      <c r="K608" s="15"/>
    </row>
    <row r="609" spans="1:11" x14ac:dyDescent="0.25">
      <c r="A609" s="14">
        <f>IF(B609="","",COUNTA($B$4:B609))</f>
        <v>606</v>
      </c>
      <c r="B609" s="14" t="s">
        <v>1515</v>
      </c>
      <c r="C609" s="14" t="s">
        <v>214</v>
      </c>
      <c r="D609" s="14" t="s">
        <v>215</v>
      </c>
      <c r="E609" s="14" t="s">
        <v>1518</v>
      </c>
      <c r="F609" s="14" t="s">
        <v>155</v>
      </c>
      <c r="G609" s="14" t="s">
        <v>156</v>
      </c>
      <c r="H609" s="14">
        <v>5</v>
      </c>
      <c r="I609" s="14"/>
      <c r="J609" s="14"/>
      <c r="K609" s="127"/>
    </row>
    <row r="610" spans="1:11" x14ac:dyDescent="0.25">
      <c r="A610" s="14">
        <f>IF(B610="","",COUNTA($B$4:B610))</f>
        <v>607</v>
      </c>
      <c r="B610" s="14" t="s">
        <v>1528</v>
      </c>
      <c r="C610" s="14" t="s">
        <v>214</v>
      </c>
      <c r="D610" s="14" t="s">
        <v>215</v>
      </c>
      <c r="E610" s="14" t="s">
        <v>1518</v>
      </c>
      <c r="F610" s="14" t="s">
        <v>155</v>
      </c>
      <c r="G610" s="14" t="s">
        <v>156</v>
      </c>
      <c r="H610" s="14">
        <v>5</v>
      </c>
      <c r="I610" s="14"/>
      <c r="J610" s="14"/>
      <c r="K610" s="15"/>
    </row>
    <row r="611" spans="1:11" x14ac:dyDescent="0.25">
      <c r="A611" s="14">
        <f>IF(B611="","",COUNTA($B$4:B611))</f>
        <v>608</v>
      </c>
      <c r="B611" s="14" t="s">
        <v>1529</v>
      </c>
      <c r="C611" s="14" t="s">
        <v>214</v>
      </c>
      <c r="D611" s="14" t="s">
        <v>215</v>
      </c>
      <c r="E611" s="14" t="s">
        <v>1518</v>
      </c>
      <c r="F611" s="14" t="s">
        <v>155</v>
      </c>
      <c r="G611" s="14" t="s">
        <v>156</v>
      </c>
      <c r="H611" s="14">
        <v>5</v>
      </c>
      <c r="I611" s="14"/>
      <c r="J611" s="14"/>
      <c r="K611" s="15"/>
    </row>
    <row r="612" spans="1:11" x14ac:dyDescent="0.25">
      <c r="A612" s="14">
        <f>IF(B612="","",COUNTA($B$4:B612))</f>
        <v>609</v>
      </c>
      <c r="B612" s="14" t="s">
        <v>1530</v>
      </c>
      <c r="C612" s="14" t="s">
        <v>214</v>
      </c>
      <c r="D612" s="14" t="s">
        <v>215</v>
      </c>
      <c r="E612" s="14" t="s">
        <v>1518</v>
      </c>
      <c r="F612" s="14" t="s">
        <v>155</v>
      </c>
      <c r="G612" s="14" t="s">
        <v>156</v>
      </c>
      <c r="H612" s="14">
        <v>5</v>
      </c>
      <c r="I612" s="14"/>
      <c r="J612" s="14"/>
      <c r="K612" s="15"/>
    </row>
    <row r="613" spans="1:11" x14ac:dyDescent="0.25">
      <c r="A613" s="14">
        <f>IF(B613="","",COUNTA($B$4:B613))</f>
        <v>610</v>
      </c>
      <c r="B613" s="14" t="s">
        <v>1534</v>
      </c>
      <c r="C613" s="14" t="s">
        <v>338</v>
      </c>
      <c r="D613" s="14" t="s">
        <v>339</v>
      </c>
      <c r="E613" s="14" t="s">
        <v>338</v>
      </c>
      <c r="F613" s="14" t="s">
        <v>155</v>
      </c>
      <c r="G613" s="14" t="s">
        <v>156</v>
      </c>
      <c r="H613" s="14">
        <v>3</v>
      </c>
      <c r="I613" s="14"/>
      <c r="J613" s="14"/>
      <c r="K613" s="127"/>
    </row>
    <row r="614" spans="1:11" x14ac:dyDescent="0.25">
      <c r="A614" s="14">
        <f>IF(B614="","",COUNTA($B$4:B614))</f>
        <v>611</v>
      </c>
      <c r="B614" s="14" t="s">
        <v>1545</v>
      </c>
      <c r="C614" s="14" t="s">
        <v>338</v>
      </c>
      <c r="D614" s="14" t="s">
        <v>339</v>
      </c>
      <c r="E614" s="14" t="s">
        <v>338</v>
      </c>
      <c r="F614" s="14" t="s">
        <v>155</v>
      </c>
      <c r="G614" s="14" t="s">
        <v>156</v>
      </c>
      <c r="H614" s="14">
        <v>3</v>
      </c>
      <c r="I614" s="14"/>
      <c r="J614" s="14"/>
      <c r="K614" s="127"/>
    </row>
    <row r="615" spans="1:11" x14ac:dyDescent="0.25">
      <c r="A615" s="14">
        <f>IF(B615="","",COUNTA($B$4:B615))</f>
        <v>612</v>
      </c>
      <c r="B615" s="14" t="s">
        <v>1547</v>
      </c>
      <c r="C615" s="14" t="s">
        <v>338</v>
      </c>
      <c r="D615" s="14" t="s">
        <v>339</v>
      </c>
      <c r="E615" s="14" t="s">
        <v>338</v>
      </c>
      <c r="F615" s="14" t="s">
        <v>155</v>
      </c>
      <c r="G615" s="14" t="s">
        <v>156</v>
      </c>
      <c r="H615" s="14">
        <v>3</v>
      </c>
      <c r="I615" s="14"/>
      <c r="J615" s="14"/>
      <c r="K615" s="127"/>
    </row>
    <row r="616" spans="1:11" x14ac:dyDescent="0.25">
      <c r="A616" s="14">
        <f>IF(B616="","",COUNTA($B$4:B616))</f>
        <v>613</v>
      </c>
      <c r="B616" s="14" t="s">
        <v>1549</v>
      </c>
      <c r="C616" s="14" t="s">
        <v>338</v>
      </c>
      <c r="D616" s="14" t="s">
        <v>339</v>
      </c>
      <c r="E616" s="14" t="s">
        <v>338</v>
      </c>
      <c r="F616" s="14" t="s">
        <v>155</v>
      </c>
      <c r="G616" s="14" t="s">
        <v>156</v>
      </c>
      <c r="H616" s="14">
        <v>3</v>
      </c>
      <c r="I616" s="14"/>
      <c r="J616" s="14"/>
      <c r="K616" s="127"/>
    </row>
    <row r="617" spans="1:11" x14ac:dyDescent="0.25">
      <c r="A617" s="14">
        <f>IF(B617="","",COUNTA($B$4:B617))</f>
        <v>614</v>
      </c>
      <c r="B617" s="14" t="s">
        <v>1551</v>
      </c>
      <c r="C617" s="14" t="s">
        <v>338</v>
      </c>
      <c r="D617" s="14" t="s">
        <v>339</v>
      </c>
      <c r="E617" s="14" t="s">
        <v>338</v>
      </c>
      <c r="F617" s="14" t="s">
        <v>155</v>
      </c>
      <c r="G617" s="14" t="s">
        <v>156</v>
      </c>
      <c r="H617" s="14">
        <v>3</v>
      </c>
      <c r="I617" s="14"/>
      <c r="J617" s="15"/>
      <c r="K617" s="127"/>
    </row>
    <row r="618" spans="1:11" x14ac:dyDescent="0.25">
      <c r="A618" s="14">
        <f>IF(B618="","",COUNTA($B$4:B618))</f>
        <v>615</v>
      </c>
      <c r="B618" s="14" t="s">
        <v>1553</v>
      </c>
      <c r="C618" s="14" t="s">
        <v>338</v>
      </c>
      <c r="D618" s="14" t="s">
        <v>339</v>
      </c>
      <c r="E618" s="14" t="s">
        <v>338</v>
      </c>
      <c r="F618" s="14" t="s">
        <v>155</v>
      </c>
      <c r="G618" s="14" t="s">
        <v>156</v>
      </c>
      <c r="H618" s="14">
        <v>3</v>
      </c>
      <c r="I618" s="14"/>
      <c r="J618" s="15"/>
      <c r="K618" s="15"/>
    </row>
    <row r="619" spans="1:11" x14ac:dyDescent="0.25">
      <c r="A619" s="14">
        <f>IF(B619="","",COUNTA($B$4:B619))</f>
        <v>616</v>
      </c>
      <c r="B619" s="14" t="s">
        <v>1549</v>
      </c>
      <c r="C619" s="14" t="s">
        <v>1427</v>
      </c>
      <c r="D619" s="14" t="s">
        <v>1380</v>
      </c>
      <c r="E619" s="14" t="s">
        <v>1427</v>
      </c>
      <c r="F619" s="14" t="s">
        <v>150</v>
      </c>
      <c r="G619" s="14" t="s">
        <v>151</v>
      </c>
      <c r="H619" s="14">
        <v>3</v>
      </c>
      <c r="I619" s="14"/>
      <c r="J619" s="14"/>
      <c r="K619" s="15"/>
    </row>
    <row r="620" spans="1:11" x14ac:dyDescent="0.25">
      <c r="A620" s="14">
        <f>IF(B620="","",COUNTA($B$4:B620))</f>
        <v>617</v>
      </c>
      <c r="B620" s="14" t="s">
        <v>1534</v>
      </c>
      <c r="C620" s="14" t="s">
        <v>1536</v>
      </c>
      <c r="D620" s="14" t="s">
        <v>361</v>
      </c>
      <c r="E620" s="14" t="s">
        <v>1536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 x14ac:dyDescent="0.25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  <c r="K621" s="127"/>
    </row>
    <row r="622" spans="1:11" x14ac:dyDescent="0.25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  <c r="K622" s="15"/>
    </row>
    <row r="623" spans="1:11" x14ac:dyDescent="0.25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  <c r="K623" s="15"/>
    </row>
    <row r="624" spans="1:11" x14ac:dyDescent="0.25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  <c r="K624" s="15"/>
    </row>
    <row r="625" spans="1:11" x14ac:dyDescent="0.25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  <c r="K625" s="15"/>
    </row>
    <row r="626" spans="1:11" x14ac:dyDescent="0.25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  <c r="K626" s="15"/>
    </row>
    <row r="627" spans="1:11" x14ac:dyDescent="0.25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  <c r="K627" s="15"/>
    </row>
    <row r="628" spans="1:11" x14ac:dyDescent="0.25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  <c r="K628" s="15"/>
    </row>
    <row r="629" spans="1:11" x14ac:dyDescent="0.25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  <c r="K629" s="127"/>
    </row>
    <row r="630" spans="1:11" x14ac:dyDescent="0.25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  <c r="K630" s="15"/>
    </row>
    <row r="631" spans="1:11" x14ac:dyDescent="0.25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  <c r="K631" s="15"/>
    </row>
    <row r="632" spans="1:11" x14ac:dyDescent="0.25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  <c r="K632" s="15"/>
    </row>
    <row r="633" spans="1:11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27"/>
    </row>
    <row r="640" spans="1:11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27"/>
    </row>
    <row r="641" spans="1:11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27"/>
    </row>
    <row r="647" spans="1:11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27"/>
    </row>
    <row r="649" spans="1:11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27"/>
    </row>
    <row r="650" spans="1:11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27"/>
    </row>
    <row r="651" spans="1:11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27"/>
    </row>
    <row r="652" spans="1:11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27"/>
    </row>
    <row r="653" spans="1:11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27"/>
    </row>
    <row r="661" spans="1:11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27"/>
    </row>
    <row r="667" spans="1:11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27"/>
    </row>
    <row r="670" spans="1:11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27"/>
    </row>
    <row r="672" spans="1:11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27"/>
    </row>
    <row r="674" spans="1:11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27"/>
    </row>
    <row r="675" spans="1:11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27"/>
    </row>
    <row r="679" spans="1:11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27"/>
    </row>
    <row r="681" spans="1:11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27"/>
    </row>
    <row r="685" spans="1:11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27"/>
    </row>
    <row r="686" spans="1:11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27"/>
    </row>
    <row r="687" spans="1:11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27"/>
    </row>
    <row r="688" spans="1:11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27"/>
    </row>
    <row r="689" spans="1:11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27"/>
    </row>
    <row r="690" spans="1:11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27"/>
    </row>
    <row r="691" spans="1:11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27"/>
    </row>
    <row r="692" spans="1:11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27"/>
    </row>
    <row r="693" spans="1:11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27"/>
    </row>
    <row r="694" spans="1:11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27"/>
    </row>
    <row r="695" spans="1:11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27"/>
    </row>
    <row r="696" spans="1:11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27"/>
    </row>
    <row r="697" spans="1:11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27"/>
    </row>
    <row r="698" spans="1:11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27"/>
    </row>
    <row r="699" spans="1:11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27"/>
    </row>
    <row r="700" spans="1:11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27"/>
    </row>
    <row r="701" spans="1:11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27"/>
    </row>
    <row r="702" spans="1:11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27"/>
    </row>
    <row r="703" spans="1:11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27"/>
    </row>
    <row r="704" spans="1:11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27"/>
    </row>
    <row r="705" spans="1:11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27"/>
    </row>
    <row r="706" spans="1:11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27"/>
    </row>
    <row r="707" spans="1:11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27"/>
    </row>
    <row r="708" spans="1:11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27"/>
    </row>
    <row r="709" spans="1:11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27"/>
    </row>
    <row r="710" spans="1:11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27"/>
    </row>
    <row r="711" spans="1:11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27"/>
    </row>
    <row r="712" spans="1:11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27"/>
    </row>
    <row r="713" spans="1:11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27"/>
    </row>
    <row r="714" spans="1:11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27"/>
    </row>
    <row r="715" spans="1:11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27"/>
    </row>
    <row r="716" spans="1:11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27"/>
    </row>
    <row r="717" spans="1:11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27"/>
    </row>
    <row r="718" spans="1:11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27"/>
    </row>
    <row r="719" spans="1:11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27"/>
    </row>
    <row r="720" spans="1:11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27"/>
    </row>
    <row r="721" spans="1:11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27"/>
    </row>
    <row r="722" spans="1:11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27"/>
    </row>
    <row r="723" spans="1:11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27"/>
    </row>
    <row r="724" spans="1:11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27"/>
    </row>
    <row r="725" spans="1:11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27"/>
    </row>
    <row r="726" spans="1:11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27"/>
    </row>
    <row r="727" spans="1:11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27"/>
    </row>
    <row r="728" spans="1:11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27"/>
    </row>
    <row r="729" spans="1:11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27"/>
    </row>
    <row r="730" spans="1:11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27"/>
    </row>
    <row r="731" spans="1:11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27"/>
    </row>
    <row r="732" spans="1:11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27"/>
    </row>
    <row r="733" spans="1:11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27"/>
    </row>
    <row r="734" spans="1:11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27"/>
    </row>
    <row r="735" spans="1:11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27"/>
    </row>
    <row r="736" spans="1:11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27"/>
    </row>
    <row r="737" spans="1:11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27"/>
    </row>
    <row r="738" spans="1:11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27"/>
    </row>
    <row r="739" spans="1:11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27"/>
    </row>
    <row r="740" spans="1:11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27"/>
    </row>
    <row r="741" spans="1:11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27"/>
    </row>
    <row r="742" spans="1:11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27"/>
    </row>
    <row r="743" spans="1:11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27"/>
    </row>
    <row r="744" spans="1:11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27"/>
    </row>
    <row r="745" spans="1:11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27"/>
    </row>
    <row r="746" spans="1:11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27"/>
    </row>
    <row r="747" spans="1:11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27"/>
    </row>
    <row r="748" spans="1:11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27"/>
    </row>
    <row r="749" spans="1:11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27"/>
    </row>
    <row r="750" spans="1:11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27"/>
    </row>
    <row r="751" spans="1:11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27"/>
    </row>
    <row r="752" spans="1:11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27"/>
    </row>
    <row r="753" spans="1:11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27"/>
    </row>
    <row r="754" spans="1:11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27"/>
    </row>
    <row r="755" spans="1:11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27"/>
    </row>
    <row r="756" spans="1:11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27"/>
    </row>
    <row r="757" spans="1:11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27"/>
    </row>
    <row r="758" spans="1:11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27"/>
    </row>
    <row r="759" spans="1:11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27"/>
    </row>
    <row r="760" spans="1:11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27"/>
    </row>
    <row r="761" spans="1:11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27"/>
    </row>
    <row r="762" spans="1:11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27"/>
    </row>
    <row r="763" spans="1:11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27"/>
    </row>
    <row r="764" spans="1:11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27"/>
    </row>
    <row r="765" spans="1:11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27"/>
    </row>
    <row r="766" spans="1:11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27"/>
    </row>
    <row r="767" spans="1:11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27"/>
    </row>
    <row r="768" spans="1:11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27"/>
    </row>
    <row r="769" spans="1:11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27"/>
    </row>
    <row r="770" spans="1:11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27"/>
    </row>
    <row r="771" spans="1:11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27"/>
    </row>
    <row r="772" spans="1:11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27"/>
    </row>
    <row r="773" spans="1:11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27"/>
    </row>
    <row r="774" spans="1:11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27"/>
    </row>
    <row r="775" spans="1:11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27"/>
    </row>
    <row r="776" spans="1:11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27"/>
    </row>
    <row r="777" spans="1:11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27"/>
    </row>
    <row r="778" spans="1:11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27"/>
    </row>
    <row r="779" spans="1:11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27"/>
    </row>
    <row r="780" spans="1:11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27"/>
    </row>
    <row r="781" spans="1:11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27"/>
    </row>
    <row r="782" spans="1:11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27"/>
    </row>
    <row r="783" spans="1:11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27"/>
    </row>
    <row r="784" spans="1:11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27"/>
    </row>
    <row r="785" spans="1:11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27"/>
    </row>
    <row r="786" spans="1:11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27"/>
    </row>
    <row r="787" spans="1:11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27"/>
    </row>
    <row r="788" spans="1:11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27"/>
    </row>
    <row r="789" spans="1:11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27"/>
    </row>
    <row r="790" spans="1:11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27"/>
    </row>
    <row r="791" spans="1:11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27"/>
    </row>
    <row r="792" spans="1:11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27"/>
    </row>
    <row r="793" spans="1:11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27"/>
    </row>
    <row r="794" spans="1:11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27"/>
    </row>
    <row r="795" spans="1:11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27"/>
    </row>
    <row r="796" spans="1:11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27"/>
    </row>
    <row r="797" spans="1:11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27"/>
    </row>
    <row r="798" spans="1:11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27"/>
    </row>
    <row r="799" spans="1:11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27"/>
    </row>
    <row r="800" spans="1:11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27"/>
    </row>
    <row r="801" spans="1:11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27"/>
    </row>
    <row r="802" spans="1:11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27"/>
    </row>
    <row r="803" spans="1:11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27"/>
    </row>
    <row r="804" spans="1:11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27"/>
    </row>
    <row r="805" spans="1:11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27"/>
    </row>
    <row r="806" spans="1:11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27"/>
    </row>
    <row r="807" spans="1:11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27"/>
    </row>
    <row r="808" spans="1:11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27"/>
    </row>
    <row r="809" spans="1:11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27"/>
    </row>
    <row r="810" spans="1:11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27"/>
    </row>
    <row r="811" spans="1:11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27"/>
    </row>
    <row r="812" spans="1:11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27"/>
    </row>
    <row r="813" spans="1:11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27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5" defaultRowHeight="18.75" x14ac:dyDescent="0.25"/>
  <cols>
    <col min="1" max="1" width="27.875" style="85" customWidth="1"/>
    <col min="2" max="2" width="25.5" style="85" bestFit="1" customWidth="1"/>
    <col min="3" max="3" width="9.75" customWidth="1"/>
    <col min="4" max="16384" width="8.75" style="85"/>
  </cols>
  <sheetData>
    <row r="1" spans="1:5" x14ac:dyDescent="0.25">
      <c r="A1" s="86" t="s">
        <v>456</v>
      </c>
      <c r="B1" s="86" t="s">
        <v>457</v>
      </c>
      <c r="C1" s="93" t="s">
        <v>458</v>
      </c>
      <c r="D1" s="87"/>
      <c r="E1" s="91"/>
    </row>
    <row r="2" spans="1:5" x14ac:dyDescent="0.25">
      <c r="A2" s="87" t="s">
        <v>459</v>
      </c>
      <c r="B2" s="87" t="s">
        <v>460</v>
      </c>
      <c r="C2" s="14"/>
      <c r="D2" s="87">
        <f t="shared" ref="D2:D65" si="0">IF(B2&lt;&gt;C2,1,0)</f>
        <v>1</v>
      </c>
      <c r="E2" s="91"/>
    </row>
    <row r="3" spans="1:5" x14ac:dyDescent="0.25">
      <c r="A3" s="87" t="s">
        <v>461</v>
      </c>
      <c r="B3" s="87" t="s">
        <v>462</v>
      </c>
      <c r="C3" s="14"/>
      <c r="D3" s="87">
        <f t="shared" si="0"/>
        <v>1</v>
      </c>
      <c r="E3" s="91"/>
    </row>
    <row r="4" spans="1:5" x14ac:dyDescent="0.25">
      <c r="A4" s="87" t="s">
        <v>463</v>
      </c>
      <c r="B4" s="87" t="s">
        <v>464</v>
      </c>
      <c r="C4" s="14"/>
      <c r="D4" s="87">
        <f t="shared" si="0"/>
        <v>1</v>
      </c>
      <c r="E4" s="91"/>
    </row>
    <row r="5" spans="1:5" x14ac:dyDescent="0.25">
      <c r="A5" s="87" t="s">
        <v>420</v>
      </c>
      <c r="B5" s="87" t="s">
        <v>465</v>
      </c>
      <c r="C5" s="14"/>
      <c r="D5" s="87">
        <f t="shared" si="0"/>
        <v>1</v>
      </c>
      <c r="E5" s="91"/>
    </row>
    <row r="6" spans="1:5" x14ac:dyDescent="0.25">
      <c r="A6" s="94" t="s">
        <v>466</v>
      </c>
      <c r="B6" s="88" t="s">
        <v>467</v>
      </c>
      <c r="C6" s="14" t="s">
        <v>468</v>
      </c>
      <c r="D6" s="87">
        <f t="shared" si="0"/>
        <v>1</v>
      </c>
      <c r="E6" s="91"/>
    </row>
    <row r="7" spans="1:5" x14ac:dyDescent="0.25">
      <c r="A7" s="94" t="s">
        <v>469</v>
      </c>
      <c r="B7" s="95" t="s">
        <v>470</v>
      </c>
      <c r="C7" s="14" t="s">
        <v>468</v>
      </c>
      <c r="D7" s="87">
        <f t="shared" si="0"/>
        <v>1</v>
      </c>
      <c r="E7" s="91"/>
    </row>
    <row r="8" spans="1:5" x14ac:dyDescent="0.25">
      <c r="A8" s="87" t="s">
        <v>471</v>
      </c>
      <c r="B8" s="95" t="s">
        <v>472</v>
      </c>
      <c r="C8" s="14"/>
      <c r="D8" s="87">
        <f t="shared" si="0"/>
        <v>1</v>
      </c>
      <c r="E8" s="91"/>
    </row>
    <row r="9" spans="1:5" x14ac:dyDescent="0.25">
      <c r="A9" s="87" t="s">
        <v>473</v>
      </c>
      <c r="B9" s="87" t="s">
        <v>474</v>
      </c>
      <c r="C9" s="14"/>
      <c r="D9" s="87">
        <f t="shared" si="0"/>
        <v>1</v>
      </c>
      <c r="E9" s="91"/>
    </row>
    <row r="10" spans="1:5" x14ac:dyDescent="0.25">
      <c r="A10" s="87" t="s">
        <v>475</v>
      </c>
      <c r="B10" s="87" t="s">
        <v>476</v>
      </c>
      <c r="C10" s="14"/>
      <c r="D10" s="87">
        <f t="shared" si="0"/>
        <v>1</v>
      </c>
      <c r="E10" s="91"/>
    </row>
    <row r="11" spans="1:5" x14ac:dyDescent="0.25">
      <c r="A11" s="87" t="s">
        <v>477</v>
      </c>
      <c r="B11" s="88" t="s">
        <v>478</v>
      </c>
      <c r="C11" s="14"/>
      <c r="D11" s="87">
        <f t="shared" si="0"/>
        <v>1</v>
      </c>
      <c r="E11" s="91"/>
    </row>
    <row r="12" spans="1:5" x14ac:dyDescent="0.25">
      <c r="A12" s="87" t="s">
        <v>479</v>
      </c>
      <c r="B12" s="87" t="s">
        <v>480</v>
      </c>
      <c r="C12" s="14"/>
      <c r="D12" s="87">
        <f t="shared" si="0"/>
        <v>1</v>
      </c>
      <c r="E12" s="91"/>
    </row>
    <row r="13" spans="1:5" x14ac:dyDescent="0.25">
      <c r="A13" s="87" t="s">
        <v>481</v>
      </c>
      <c r="B13" s="88" t="s">
        <v>482</v>
      </c>
      <c r="C13" s="14"/>
      <c r="D13" s="87">
        <f t="shared" si="0"/>
        <v>1</v>
      </c>
      <c r="E13" s="91"/>
    </row>
    <row r="14" spans="1:5" x14ac:dyDescent="0.25">
      <c r="A14" s="87" t="s">
        <v>483</v>
      </c>
      <c r="B14" s="87" t="s">
        <v>484</v>
      </c>
      <c r="C14" s="14"/>
      <c r="D14" s="87">
        <f t="shared" si="0"/>
        <v>1</v>
      </c>
      <c r="E14" s="91"/>
    </row>
    <row r="15" spans="1:5" x14ac:dyDescent="0.25">
      <c r="A15" s="87" t="s">
        <v>485</v>
      </c>
      <c r="B15" s="87" t="s">
        <v>486</v>
      </c>
      <c r="C15" s="14"/>
      <c r="D15" s="87">
        <f t="shared" si="0"/>
        <v>1</v>
      </c>
      <c r="E15" s="91"/>
    </row>
    <row r="16" spans="1:5" x14ac:dyDescent="0.25">
      <c r="A16" s="87" t="s">
        <v>487</v>
      </c>
      <c r="B16" s="87" t="s">
        <v>488</v>
      </c>
      <c r="C16" s="14"/>
      <c r="D16" s="87">
        <f t="shared" si="0"/>
        <v>1</v>
      </c>
      <c r="E16" s="91"/>
    </row>
    <row r="17" spans="1:5" x14ac:dyDescent="0.25">
      <c r="A17" s="87" t="s">
        <v>489</v>
      </c>
      <c r="B17" s="87" t="s">
        <v>490</v>
      </c>
      <c r="C17" s="14"/>
      <c r="D17" s="87">
        <f t="shared" si="0"/>
        <v>1</v>
      </c>
      <c r="E17" s="91"/>
    </row>
    <row r="18" spans="1:5" x14ac:dyDescent="0.25">
      <c r="A18" s="87" t="s">
        <v>491</v>
      </c>
      <c r="B18" s="87" t="s">
        <v>492</v>
      </c>
      <c r="C18" s="14"/>
      <c r="D18" s="87">
        <f t="shared" si="0"/>
        <v>1</v>
      </c>
      <c r="E18" s="91"/>
    </row>
    <row r="19" spans="1:5" x14ac:dyDescent="0.25">
      <c r="A19" s="87" t="s">
        <v>493</v>
      </c>
      <c r="B19" s="87" t="s">
        <v>494</v>
      </c>
      <c r="C19" s="14"/>
      <c r="D19" s="87">
        <f t="shared" si="0"/>
        <v>1</v>
      </c>
      <c r="E19" s="91"/>
    </row>
    <row r="20" spans="1:5" x14ac:dyDescent="0.25">
      <c r="A20" s="87" t="s">
        <v>495</v>
      </c>
      <c r="B20" s="87" t="s">
        <v>496</v>
      </c>
      <c r="C20" s="14"/>
      <c r="D20" s="87">
        <f t="shared" si="0"/>
        <v>1</v>
      </c>
      <c r="E20" s="91"/>
    </row>
    <row r="21" spans="1:5" x14ac:dyDescent="0.25">
      <c r="A21" s="87" t="s">
        <v>497</v>
      </c>
      <c r="B21" s="87" t="s">
        <v>498</v>
      </c>
      <c r="C21" s="14"/>
      <c r="D21" s="87">
        <f t="shared" si="0"/>
        <v>1</v>
      </c>
      <c r="E21" s="91"/>
    </row>
    <row r="22" spans="1:5" x14ac:dyDescent="0.25">
      <c r="A22" s="87" t="s">
        <v>499</v>
      </c>
      <c r="B22" s="87" t="s">
        <v>500</v>
      </c>
      <c r="C22" s="14"/>
      <c r="D22" s="87">
        <f t="shared" si="0"/>
        <v>1</v>
      </c>
      <c r="E22" s="91"/>
    </row>
    <row r="23" spans="1:5" x14ac:dyDescent="0.25">
      <c r="A23" s="87" t="s">
        <v>501</v>
      </c>
      <c r="B23" s="87" t="s">
        <v>502</v>
      </c>
      <c r="C23" s="14"/>
      <c r="D23" s="87">
        <f t="shared" si="0"/>
        <v>1</v>
      </c>
      <c r="E23" s="91"/>
    </row>
    <row r="24" spans="1:5" x14ac:dyDescent="0.25">
      <c r="A24" s="87" t="s">
        <v>503</v>
      </c>
      <c r="B24" s="87" t="s">
        <v>504</v>
      </c>
      <c r="C24" s="14"/>
      <c r="D24" s="87">
        <f t="shared" si="0"/>
        <v>1</v>
      </c>
      <c r="E24" s="91"/>
    </row>
    <row r="25" spans="1:5" x14ac:dyDescent="0.25">
      <c r="A25" s="87" t="s">
        <v>505</v>
      </c>
      <c r="B25" s="88" t="s">
        <v>506</v>
      </c>
      <c r="C25" s="14"/>
      <c r="D25" s="87">
        <f t="shared" si="0"/>
        <v>1</v>
      </c>
      <c r="E25" s="91"/>
    </row>
    <row r="26" spans="1:5" x14ac:dyDescent="0.25">
      <c r="A26" s="87" t="s">
        <v>507</v>
      </c>
      <c r="B26" s="87" t="s">
        <v>508</v>
      </c>
      <c r="C26" s="14"/>
      <c r="D26" s="87">
        <f t="shared" si="0"/>
        <v>1</v>
      </c>
      <c r="E26" s="91"/>
    </row>
    <row r="27" spans="1:5" x14ac:dyDescent="0.25">
      <c r="A27" s="96" t="s">
        <v>509</v>
      </c>
      <c r="B27" s="96" t="s">
        <v>510</v>
      </c>
      <c r="C27" s="14" t="s">
        <v>468</v>
      </c>
      <c r="D27" s="87">
        <f t="shared" si="0"/>
        <v>1</v>
      </c>
      <c r="E27" s="91"/>
    </row>
    <row r="28" spans="1:5" x14ac:dyDescent="0.25">
      <c r="A28" s="87" t="s">
        <v>511</v>
      </c>
      <c r="B28" s="87" t="s">
        <v>512</v>
      </c>
      <c r="C28" s="14"/>
      <c r="D28" s="87">
        <f t="shared" si="0"/>
        <v>1</v>
      </c>
      <c r="E28" s="91"/>
    </row>
    <row r="29" spans="1:5" x14ac:dyDescent="0.25">
      <c r="A29" s="87" t="s">
        <v>513</v>
      </c>
      <c r="B29" s="87" t="s">
        <v>514</v>
      </c>
      <c r="C29" s="14"/>
      <c r="D29" s="87">
        <f t="shared" si="0"/>
        <v>1</v>
      </c>
      <c r="E29" s="91"/>
    </row>
    <row r="30" spans="1:5" x14ac:dyDescent="0.25">
      <c r="A30" s="87" t="s">
        <v>515</v>
      </c>
      <c r="B30" s="87" t="s">
        <v>516</v>
      </c>
      <c r="C30" s="14"/>
      <c r="D30" s="87">
        <f t="shared" si="0"/>
        <v>1</v>
      </c>
      <c r="E30" s="91"/>
    </row>
    <row r="31" spans="1:5" x14ac:dyDescent="0.25">
      <c r="A31" s="94" t="s">
        <v>517</v>
      </c>
      <c r="B31" s="88" t="s">
        <v>518</v>
      </c>
      <c r="C31" s="14" t="s">
        <v>468</v>
      </c>
      <c r="D31" s="87">
        <f t="shared" si="0"/>
        <v>1</v>
      </c>
      <c r="E31" s="91"/>
    </row>
    <row r="32" spans="1:5" x14ac:dyDescent="0.25">
      <c r="A32" s="94" t="s">
        <v>519</v>
      </c>
      <c r="B32" s="88" t="s">
        <v>520</v>
      </c>
      <c r="C32" s="14" t="s">
        <v>468</v>
      </c>
      <c r="D32" s="87">
        <f t="shared" si="0"/>
        <v>1</v>
      </c>
      <c r="E32" s="91"/>
    </row>
    <row r="33" spans="1:5" x14ac:dyDescent="0.25">
      <c r="A33" s="87" t="s">
        <v>521</v>
      </c>
      <c r="B33" s="95" t="s">
        <v>522</v>
      </c>
      <c r="C33" s="14"/>
      <c r="D33" s="87">
        <f t="shared" si="0"/>
        <v>1</v>
      </c>
      <c r="E33" s="91"/>
    </row>
    <row r="34" spans="1:5" x14ac:dyDescent="0.25">
      <c r="A34" s="87" t="s">
        <v>523</v>
      </c>
      <c r="B34" s="88" t="s">
        <v>524</v>
      </c>
      <c r="C34" s="14"/>
      <c r="D34" s="87">
        <f t="shared" si="0"/>
        <v>1</v>
      </c>
      <c r="E34" s="91"/>
    </row>
    <row r="35" spans="1:5" x14ac:dyDescent="0.25">
      <c r="A35" s="87" t="s">
        <v>525</v>
      </c>
      <c r="B35" s="88" t="s">
        <v>526</v>
      </c>
      <c r="C35" s="14"/>
      <c r="D35" s="87">
        <f t="shared" si="0"/>
        <v>1</v>
      </c>
      <c r="E35" s="91"/>
    </row>
    <row r="36" spans="1:5" x14ac:dyDescent="0.25">
      <c r="A36" s="87" t="s">
        <v>527</v>
      </c>
      <c r="B36" s="87" t="s">
        <v>528</v>
      </c>
      <c r="C36" s="14"/>
      <c r="D36" s="87">
        <f t="shared" si="0"/>
        <v>1</v>
      </c>
      <c r="E36" s="91"/>
    </row>
    <row r="37" spans="1:5" x14ac:dyDescent="0.25">
      <c r="A37" s="87" t="s">
        <v>529</v>
      </c>
      <c r="B37" s="87" t="s">
        <v>530</v>
      </c>
      <c r="C37" s="14"/>
      <c r="D37" s="87">
        <f t="shared" si="0"/>
        <v>1</v>
      </c>
      <c r="E37" s="91"/>
    </row>
    <row r="38" spans="1:5" x14ac:dyDescent="0.25">
      <c r="A38" s="87" t="s">
        <v>342</v>
      </c>
      <c r="B38" s="87" t="s">
        <v>531</v>
      </c>
      <c r="C38" s="14"/>
      <c r="D38" s="87">
        <f t="shared" si="0"/>
        <v>1</v>
      </c>
      <c r="E38" s="91"/>
    </row>
    <row r="39" spans="1:5" x14ac:dyDescent="0.25">
      <c r="A39" s="87" t="s">
        <v>532</v>
      </c>
      <c r="B39" s="87" t="s">
        <v>533</v>
      </c>
      <c r="C39" s="14"/>
      <c r="D39" s="87">
        <f t="shared" si="0"/>
        <v>1</v>
      </c>
      <c r="E39" s="91"/>
    </row>
    <row r="40" spans="1:5" x14ac:dyDescent="0.25">
      <c r="A40" s="87" t="s">
        <v>534</v>
      </c>
      <c r="B40" s="87" t="s">
        <v>535</v>
      </c>
      <c r="C40" s="14"/>
      <c r="D40" s="87">
        <f t="shared" si="0"/>
        <v>1</v>
      </c>
      <c r="E40" s="91"/>
    </row>
    <row r="41" spans="1:5" x14ac:dyDescent="0.25">
      <c r="A41" s="87" t="s">
        <v>536</v>
      </c>
      <c r="B41" s="87" t="s">
        <v>537</v>
      </c>
      <c r="C41" s="14"/>
      <c r="D41" s="87">
        <f t="shared" si="0"/>
        <v>1</v>
      </c>
      <c r="E41" s="91"/>
    </row>
    <row r="42" spans="1:5" x14ac:dyDescent="0.25">
      <c r="A42" s="87" t="s">
        <v>538</v>
      </c>
      <c r="B42" s="87" t="s">
        <v>539</v>
      </c>
      <c r="C42" s="14"/>
      <c r="D42" s="87">
        <f t="shared" si="0"/>
        <v>1</v>
      </c>
      <c r="E42" s="91"/>
    </row>
    <row r="43" spans="1:5" x14ac:dyDescent="0.25">
      <c r="A43" s="87" t="s">
        <v>540</v>
      </c>
      <c r="B43" s="87" t="s">
        <v>541</v>
      </c>
      <c r="C43" s="14"/>
      <c r="D43" s="87">
        <f t="shared" si="0"/>
        <v>1</v>
      </c>
      <c r="E43" s="91"/>
    </row>
    <row r="44" spans="1:5" x14ac:dyDescent="0.25">
      <c r="A44" s="87" t="s">
        <v>542</v>
      </c>
      <c r="B44" s="87" t="s">
        <v>543</v>
      </c>
      <c r="C44" s="14"/>
      <c r="D44" s="87">
        <f t="shared" si="0"/>
        <v>1</v>
      </c>
      <c r="E44" s="91"/>
    </row>
    <row r="45" spans="1:5" x14ac:dyDescent="0.25">
      <c r="A45" s="87" t="s">
        <v>544</v>
      </c>
      <c r="B45" s="87" t="s">
        <v>545</v>
      </c>
      <c r="C45" s="14"/>
      <c r="D45" s="87">
        <f t="shared" si="0"/>
        <v>1</v>
      </c>
      <c r="E45" s="91"/>
    </row>
    <row r="46" spans="1:5" x14ac:dyDescent="0.25">
      <c r="A46" s="87" t="s">
        <v>546</v>
      </c>
      <c r="B46" s="87" t="s">
        <v>547</v>
      </c>
      <c r="C46" s="14"/>
      <c r="D46" s="87">
        <f t="shared" si="0"/>
        <v>1</v>
      </c>
      <c r="E46" s="91"/>
    </row>
    <row r="47" spans="1:5" x14ac:dyDescent="0.25">
      <c r="A47" s="87" t="s">
        <v>548</v>
      </c>
      <c r="B47" s="87" t="s">
        <v>549</v>
      </c>
      <c r="C47" s="14"/>
      <c r="D47" s="87">
        <f t="shared" si="0"/>
        <v>1</v>
      </c>
      <c r="E47" s="91"/>
    </row>
    <row r="48" spans="1:5" x14ac:dyDescent="0.25">
      <c r="A48" s="87" t="s">
        <v>418</v>
      </c>
      <c r="B48" s="87" t="s">
        <v>550</v>
      </c>
      <c r="C48" s="14"/>
      <c r="D48" s="87">
        <f t="shared" si="0"/>
        <v>1</v>
      </c>
      <c r="E48" s="91"/>
    </row>
    <row r="49" spans="1:5" x14ac:dyDescent="0.25">
      <c r="A49" s="87" t="s">
        <v>551</v>
      </c>
      <c r="B49" s="87" t="s">
        <v>552</v>
      </c>
      <c r="C49" s="14"/>
      <c r="D49" s="87">
        <f t="shared" si="0"/>
        <v>1</v>
      </c>
      <c r="E49" s="91"/>
    </row>
    <row r="50" spans="1:5" x14ac:dyDescent="0.25">
      <c r="A50" s="87" t="s">
        <v>553</v>
      </c>
      <c r="B50" s="87" t="s">
        <v>554</v>
      </c>
      <c r="C50" s="14"/>
      <c r="D50" s="87">
        <f t="shared" si="0"/>
        <v>1</v>
      </c>
      <c r="E50" s="91"/>
    </row>
    <row r="51" spans="1:5" x14ac:dyDescent="0.25">
      <c r="A51" s="87" t="s">
        <v>555</v>
      </c>
      <c r="B51" s="87" t="s">
        <v>556</v>
      </c>
      <c r="C51" s="14"/>
      <c r="D51" s="87">
        <f t="shared" si="0"/>
        <v>1</v>
      </c>
      <c r="E51" s="91"/>
    </row>
    <row r="52" spans="1:5" x14ac:dyDescent="0.25">
      <c r="A52" s="87" t="s">
        <v>557</v>
      </c>
      <c r="B52" s="88" t="s">
        <v>558</v>
      </c>
      <c r="C52" s="14"/>
      <c r="D52" s="87">
        <f t="shared" si="0"/>
        <v>1</v>
      </c>
      <c r="E52" s="91"/>
    </row>
    <row r="53" spans="1:5" x14ac:dyDescent="0.25">
      <c r="A53" s="87" t="s">
        <v>159</v>
      </c>
      <c r="B53" s="88" t="s">
        <v>559</v>
      </c>
      <c r="C53" s="14"/>
      <c r="D53" s="87">
        <f t="shared" si="0"/>
        <v>1</v>
      </c>
      <c r="E53" s="91"/>
    </row>
    <row r="54" spans="1:5" x14ac:dyDescent="0.25">
      <c r="A54" s="87" t="s">
        <v>560</v>
      </c>
      <c r="B54" s="88" t="s">
        <v>561</v>
      </c>
      <c r="C54" s="14"/>
      <c r="D54" s="87">
        <f t="shared" si="0"/>
        <v>1</v>
      </c>
      <c r="E54" s="91"/>
    </row>
    <row r="55" spans="1:5" x14ac:dyDescent="0.25">
      <c r="A55" s="87" t="s">
        <v>562</v>
      </c>
      <c r="B55" s="88" t="s">
        <v>563</v>
      </c>
      <c r="C55" s="14"/>
      <c r="D55" s="87">
        <f t="shared" si="0"/>
        <v>1</v>
      </c>
      <c r="E55" s="91"/>
    </row>
    <row r="56" spans="1:5" x14ac:dyDescent="0.25">
      <c r="A56" s="87" t="s">
        <v>261</v>
      </c>
      <c r="B56" s="87" t="s">
        <v>564</v>
      </c>
      <c r="C56" s="14"/>
      <c r="D56" s="87">
        <f t="shared" si="0"/>
        <v>1</v>
      </c>
      <c r="E56" s="91"/>
    </row>
    <row r="57" spans="1:5" x14ac:dyDescent="0.25">
      <c r="A57" s="87" t="s">
        <v>565</v>
      </c>
      <c r="B57" s="87" t="s">
        <v>566</v>
      </c>
      <c r="C57" s="14"/>
      <c r="D57" s="87">
        <f t="shared" si="0"/>
        <v>1</v>
      </c>
      <c r="E57" s="91"/>
    </row>
    <row r="58" spans="1:5" x14ac:dyDescent="0.25">
      <c r="A58" s="87" t="s">
        <v>263</v>
      </c>
      <c r="B58" s="87" t="s">
        <v>454</v>
      </c>
      <c r="C58" s="14"/>
      <c r="D58" s="87">
        <f t="shared" si="0"/>
        <v>1</v>
      </c>
      <c r="E58" s="91"/>
    </row>
    <row r="59" spans="1:5" x14ac:dyDescent="0.25">
      <c r="A59" s="87" t="s">
        <v>567</v>
      </c>
      <c r="B59" s="88" t="s">
        <v>568</v>
      </c>
      <c r="C59" s="14"/>
      <c r="D59" s="87">
        <f t="shared" si="0"/>
        <v>1</v>
      </c>
      <c r="E59" s="91"/>
    </row>
    <row r="60" spans="1:5" x14ac:dyDescent="0.25">
      <c r="A60" s="87" t="s">
        <v>569</v>
      </c>
      <c r="B60" s="88" t="s">
        <v>570</v>
      </c>
      <c r="C60" s="14"/>
      <c r="D60" s="87">
        <f t="shared" si="0"/>
        <v>1</v>
      </c>
      <c r="E60" s="91"/>
    </row>
    <row r="61" spans="1:5" x14ac:dyDescent="0.25">
      <c r="A61" s="87" t="s">
        <v>571</v>
      </c>
      <c r="B61" s="87" t="s">
        <v>572</v>
      </c>
      <c r="C61" s="14"/>
      <c r="D61" s="87">
        <f t="shared" si="0"/>
        <v>1</v>
      </c>
      <c r="E61" s="91"/>
    </row>
    <row r="62" spans="1:5" x14ac:dyDescent="0.25">
      <c r="A62" s="87" t="s">
        <v>573</v>
      </c>
      <c r="B62" s="87" t="s">
        <v>574</v>
      </c>
      <c r="C62" s="14"/>
      <c r="D62" s="87">
        <f t="shared" si="0"/>
        <v>1</v>
      </c>
      <c r="E62" s="91"/>
    </row>
    <row r="63" spans="1:5" x14ac:dyDescent="0.25">
      <c r="A63" s="87" t="s">
        <v>575</v>
      </c>
      <c r="B63" s="87" t="s">
        <v>576</v>
      </c>
      <c r="C63" s="14"/>
      <c r="D63" s="87">
        <f t="shared" si="0"/>
        <v>1</v>
      </c>
      <c r="E63" s="91"/>
    </row>
    <row r="64" spans="1:5" x14ac:dyDescent="0.25">
      <c r="A64" s="87" t="s">
        <v>577</v>
      </c>
      <c r="B64" s="87" t="s">
        <v>578</v>
      </c>
      <c r="C64" s="14"/>
      <c r="D64" s="87">
        <f t="shared" si="0"/>
        <v>1</v>
      </c>
      <c r="E64" s="91"/>
    </row>
    <row r="65" spans="1:5" x14ac:dyDescent="0.25">
      <c r="A65" s="87" t="s">
        <v>441</v>
      </c>
      <c r="B65" s="87" t="s">
        <v>579</v>
      </c>
      <c r="C65" s="14"/>
      <c r="D65" s="87">
        <f t="shared" si="0"/>
        <v>1</v>
      </c>
      <c r="E65" s="91"/>
    </row>
    <row r="66" spans="1:5" x14ac:dyDescent="0.25">
      <c r="A66" s="87" t="s">
        <v>580</v>
      </c>
      <c r="B66" s="88" t="s">
        <v>581</v>
      </c>
      <c r="C66" s="14"/>
      <c r="D66" s="87">
        <f t="shared" ref="D66:D129" si="1">IF(B66&lt;&gt;C66,1,0)</f>
        <v>1</v>
      </c>
      <c r="E66" s="91"/>
    </row>
    <row r="67" spans="1:5" x14ac:dyDescent="0.25">
      <c r="A67" s="87" t="s">
        <v>582</v>
      </c>
      <c r="B67" s="87" t="s">
        <v>583</v>
      </c>
      <c r="C67" s="14"/>
      <c r="D67" s="87">
        <f t="shared" si="1"/>
        <v>1</v>
      </c>
      <c r="E67" s="91"/>
    </row>
    <row r="68" spans="1:5" x14ac:dyDescent="0.25">
      <c r="A68" s="89" t="s">
        <v>584</v>
      </c>
      <c r="B68" s="97" t="s">
        <v>585</v>
      </c>
      <c r="C68" s="14"/>
      <c r="D68" s="87">
        <f t="shared" si="1"/>
        <v>1</v>
      </c>
      <c r="E68" s="91"/>
    </row>
    <row r="69" spans="1:5" x14ac:dyDescent="0.25">
      <c r="A69" s="87" t="s">
        <v>586</v>
      </c>
      <c r="B69" s="88" t="s">
        <v>587</v>
      </c>
      <c r="C69" s="14"/>
      <c r="D69" s="87">
        <f t="shared" si="1"/>
        <v>1</v>
      </c>
      <c r="E69" s="91"/>
    </row>
    <row r="70" spans="1:5" x14ac:dyDescent="0.25">
      <c r="A70" s="87" t="s">
        <v>588</v>
      </c>
      <c r="B70" s="87" t="s">
        <v>589</v>
      </c>
      <c r="C70" s="14"/>
      <c r="D70" s="87">
        <f t="shared" si="1"/>
        <v>1</v>
      </c>
      <c r="E70" s="91"/>
    </row>
    <row r="71" spans="1:5" x14ac:dyDescent="0.25">
      <c r="A71" s="87" t="s">
        <v>590</v>
      </c>
      <c r="B71" s="87" t="s">
        <v>591</v>
      </c>
      <c r="C71" s="14"/>
      <c r="D71" s="87">
        <f t="shared" si="1"/>
        <v>1</v>
      </c>
      <c r="E71" s="91"/>
    </row>
    <row r="72" spans="1:5" x14ac:dyDescent="0.25">
      <c r="A72" s="87" t="s">
        <v>592</v>
      </c>
      <c r="B72" s="87" t="s">
        <v>593</v>
      </c>
      <c r="C72" s="14"/>
      <c r="D72" s="87">
        <f t="shared" si="1"/>
        <v>1</v>
      </c>
      <c r="E72" s="91"/>
    </row>
    <row r="73" spans="1:5" x14ac:dyDescent="0.25">
      <c r="A73" s="87" t="s">
        <v>251</v>
      </c>
      <c r="B73" s="88" t="s">
        <v>594</v>
      </c>
      <c r="C73" s="14"/>
      <c r="D73" s="87">
        <f t="shared" si="1"/>
        <v>1</v>
      </c>
      <c r="E73" s="91"/>
    </row>
    <row r="74" spans="1:5" x14ac:dyDescent="0.25">
      <c r="A74" s="87" t="s">
        <v>249</v>
      </c>
      <c r="B74" s="87" t="s">
        <v>595</v>
      </c>
      <c r="C74" s="14"/>
      <c r="D74" s="87">
        <f t="shared" si="1"/>
        <v>1</v>
      </c>
      <c r="E74" s="91"/>
    </row>
    <row r="75" spans="1:5" x14ac:dyDescent="0.25">
      <c r="A75" s="87" t="s">
        <v>596</v>
      </c>
      <c r="B75" s="87" t="s">
        <v>597</v>
      </c>
      <c r="C75" s="14"/>
      <c r="D75" s="87">
        <f t="shared" si="1"/>
        <v>1</v>
      </c>
      <c r="E75" s="91"/>
    </row>
    <row r="76" spans="1:5" x14ac:dyDescent="0.25">
      <c r="A76" s="87" t="s">
        <v>598</v>
      </c>
      <c r="B76" s="87" t="s">
        <v>599</v>
      </c>
      <c r="C76" s="14"/>
      <c r="D76" s="87">
        <f t="shared" si="1"/>
        <v>1</v>
      </c>
      <c r="E76" s="91"/>
    </row>
    <row r="77" spans="1:5" x14ac:dyDescent="0.25">
      <c r="A77" s="87" t="s">
        <v>394</v>
      </c>
      <c r="B77" s="95" t="s">
        <v>600</v>
      </c>
      <c r="C77" s="14"/>
      <c r="D77" s="87">
        <f t="shared" si="1"/>
        <v>1</v>
      </c>
      <c r="E77" s="91"/>
    </row>
    <row r="78" spans="1:5" x14ac:dyDescent="0.25">
      <c r="A78" s="87" t="s">
        <v>601</v>
      </c>
      <c r="B78" s="87" t="s">
        <v>602</v>
      </c>
      <c r="C78" s="14"/>
      <c r="D78" s="87">
        <f t="shared" si="1"/>
        <v>1</v>
      </c>
      <c r="E78" s="91"/>
    </row>
    <row r="79" spans="1:5" x14ac:dyDescent="0.25">
      <c r="A79" s="87" t="s">
        <v>603</v>
      </c>
      <c r="B79" s="87" t="s">
        <v>604</v>
      </c>
      <c r="C79" s="14"/>
      <c r="D79" s="87">
        <f t="shared" si="1"/>
        <v>1</v>
      </c>
      <c r="E79" s="91"/>
    </row>
    <row r="80" spans="1:5" x14ac:dyDescent="0.25">
      <c r="A80" s="87" t="s">
        <v>605</v>
      </c>
      <c r="B80" s="96" t="s">
        <v>606</v>
      </c>
      <c r="C80" s="14" t="s">
        <v>468</v>
      </c>
      <c r="D80" s="87">
        <f t="shared" si="1"/>
        <v>1</v>
      </c>
      <c r="E80" s="91"/>
    </row>
    <row r="81" spans="1:5" x14ac:dyDescent="0.25">
      <c r="A81" s="87" t="s">
        <v>607</v>
      </c>
      <c r="B81" s="87" t="s">
        <v>608</v>
      </c>
      <c r="C81" s="14"/>
      <c r="D81" s="87">
        <f t="shared" si="1"/>
        <v>1</v>
      </c>
      <c r="E81" s="91"/>
    </row>
    <row r="82" spans="1:5" x14ac:dyDescent="0.25">
      <c r="A82" s="96" t="s">
        <v>609</v>
      </c>
      <c r="B82" s="96" t="s">
        <v>610</v>
      </c>
      <c r="C82" s="14" t="s">
        <v>468</v>
      </c>
      <c r="D82" s="87">
        <f t="shared" si="1"/>
        <v>1</v>
      </c>
      <c r="E82" s="91"/>
    </row>
    <row r="83" spans="1:5" x14ac:dyDescent="0.25">
      <c r="A83" s="87" t="s">
        <v>611</v>
      </c>
      <c r="B83" s="87" t="s">
        <v>612</v>
      </c>
      <c r="C83" s="14"/>
      <c r="D83" s="87">
        <f t="shared" si="1"/>
        <v>1</v>
      </c>
      <c r="E83" s="91"/>
    </row>
    <row r="84" spans="1:5" x14ac:dyDescent="0.25">
      <c r="A84" s="87" t="s">
        <v>613</v>
      </c>
      <c r="B84" s="87" t="s">
        <v>614</v>
      </c>
      <c r="C84" s="14"/>
      <c r="D84" s="87">
        <f t="shared" si="1"/>
        <v>1</v>
      </c>
      <c r="E84" s="91"/>
    </row>
    <row r="85" spans="1:5" x14ac:dyDescent="0.25">
      <c r="A85" s="87" t="s">
        <v>615</v>
      </c>
      <c r="B85" s="87" t="s">
        <v>616</v>
      </c>
      <c r="C85" s="14"/>
      <c r="D85" s="87">
        <f t="shared" si="1"/>
        <v>1</v>
      </c>
      <c r="E85" s="91"/>
    </row>
    <row r="86" spans="1:5" x14ac:dyDescent="0.25">
      <c r="A86" s="87" t="s">
        <v>617</v>
      </c>
      <c r="B86" s="88" t="s">
        <v>618</v>
      </c>
      <c r="C86" s="14"/>
      <c r="D86" s="87">
        <f t="shared" si="1"/>
        <v>1</v>
      </c>
      <c r="E86" s="91"/>
    </row>
    <row r="87" spans="1:5" x14ac:dyDescent="0.25">
      <c r="A87" s="87" t="s">
        <v>619</v>
      </c>
      <c r="B87" s="87" t="s">
        <v>620</v>
      </c>
      <c r="C87" s="14"/>
      <c r="D87" s="87">
        <f t="shared" si="1"/>
        <v>1</v>
      </c>
      <c r="E87" s="91"/>
    </row>
    <row r="88" spans="1:5" x14ac:dyDescent="0.25">
      <c r="A88" s="87" t="s">
        <v>621</v>
      </c>
      <c r="B88" s="87" t="s">
        <v>622</v>
      </c>
      <c r="C88" s="14"/>
      <c r="D88" s="87">
        <f t="shared" si="1"/>
        <v>1</v>
      </c>
      <c r="E88" s="91"/>
    </row>
    <row r="89" spans="1:5" x14ac:dyDescent="0.25">
      <c r="A89" s="87" t="s">
        <v>623</v>
      </c>
      <c r="B89" s="87" t="s">
        <v>624</v>
      </c>
      <c r="C89" s="14"/>
      <c r="D89" s="87">
        <f t="shared" si="1"/>
        <v>1</v>
      </c>
      <c r="E89" s="91"/>
    </row>
    <row r="90" spans="1:5" x14ac:dyDescent="0.25">
      <c r="A90" s="87" t="s">
        <v>197</v>
      </c>
      <c r="B90" s="87" t="s">
        <v>625</v>
      </c>
      <c r="C90" s="14"/>
      <c r="D90" s="87">
        <f t="shared" si="1"/>
        <v>1</v>
      </c>
      <c r="E90" s="91"/>
    </row>
    <row r="91" spans="1:5" x14ac:dyDescent="0.25">
      <c r="A91" s="87" t="s">
        <v>626</v>
      </c>
      <c r="B91" s="87" t="s">
        <v>627</v>
      </c>
      <c r="C91" s="14"/>
      <c r="D91" s="87">
        <f t="shared" si="1"/>
        <v>1</v>
      </c>
      <c r="E91" s="91"/>
    </row>
    <row r="92" spans="1:5" x14ac:dyDescent="0.25">
      <c r="A92" s="87" t="s">
        <v>628</v>
      </c>
      <c r="B92" s="87" t="s">
        <v>629</v>
      </c>
      <c r="C92" s="14"/>
      <c r="D92" s="87">
        <f t="shared" si="1"/>
        <v>1</v>
      </c>
      <c r="E92" s="91"/>
    </row>
    <row r="93" spans="1:5" x14ac:dyDescent="0.25">
      <c r="A93" s="87" t="s">
        <v>630</v>
      </c>
      <c r="B93" s="87" t="s">
        <v>631</v>
      </c>
      <c r="C93" s="14"/>
      <c r="D93" s="87">
        <f t="shared" si="1"/>
        <v>1</v>
      </c>
      <c r="E93" s="91"/>
    </row>
    <row r="94" spans="1:5" x14ac:dyDescent="0.25">
      <c r="A94" s="87" t="s">
        <v>632</v>
      </c>
      <c r="B94" s="87" t="s">
        <v>633</v>
      </c>
      <c r="C94" s="14"/>
      <c r="D94" s="87">
        <f t="shared" si="1"/>
        <v>1</v>
      </c>
      <c r="E94" s="91"/>
    </row>
    <row r="95" spans="1:5" x14ac:dyDescent="0.25">
      <c r="A95" s="87" t="s">
        <v>634</v>
      </c>
      <c r="B95" s="87" t="s">
        <v>635</v>
      </c>
      <c r="C95" s="14"/>
      <c r="D95" s="87">
        <f t="shared" si="1"/>
        <v>1</v>
      </c>
      <c r="E95" s="91"/>
    </row>
    <row r="96" spans="1:5" x14ac:dyDescent="0.25">
      <c r="A96" s="87" t="s">
        <v>636</v>
      </c>
      <c r="B96" s="87" t="s">
        <v>637</v>
      </c>
      <c r="C96" s="14"/>
      <c r="D96" s="87">
        <f t="shared" si="1"/>
        <v>1</v>
      </c>
      <c r="E96" s="91"/>
    </row>
    <row r="97" spans="1:5" x14ac:dyDescent="0.25">
      <c r="A97" s="87" t="s">
        <v>638</v>
      </c>
      <c r="B97" s="87" t="s">
        <v>639</v>
      </c>
      <c r="C97" s="14"/>
      <c r="D97" s="87">
        <f t="shared" si="1"/>
        <v>1</v>
      </c>
      <c r="E97" s="91"/>
    </row>
    <row r="98" spans="1:5" x14ac:dyDescent="0.25">
      <c r="A98" s="87" t="s">
        <v>640</v>
      </c>
      <c r="B98" s="87" t="s">
        <v>641</v>
      </c>
      <c r="C98" s="14"/>
      <c r="D98" s="87">
        <f t="shared" si="1"/>
        <v>1</v>
      </c>
      <c r="E98" s="91"/>
    </row>
    <row r="99" spans="1:5" x14ac:dyDescent="0.25">
      <c r="A99" s="87" t="s">
        <v>642</v>
      </c>
      <c r="B99" s="87" t="s">
        <v>643</v>
      </c>
      <c r="C99" s="14"/>
      <c r="D99" s="87">
        <f t="shared" si="1"/>
        <v>1</v>
      </c>
      <c r="E99" s="91"/>
    </row>
    <row r="100" spans="1:5" x14ac:dyDescent="0.25">
      <c r="A100" s="87" t="s">
        <v>644</v>
      </c>
      <c r="B100" s="87" t="s">
        <v>645</v>
      </c>
      <c r="C100" s="14"/>
      <c r="D100" s="87">
        <f t="shared" si="1"/>
        <v>1</v>
      </c>
      <c r="E100" s="91"/>
    </row>
    <row r="101" spans="1:5" x14ac:dyDescent="0.25">
      <c r="A101" s="87" t="s">
        <v>646</v>
      </c>
      <c r="B101" s="87" t="s">
        <v>647</v>
      </c>
      <c r="C101" s="14"/>
      <c r="D101" s="87">
        <f t="shared" si="1"/>
        <v>1</v>
      </c>
      <c r="E101" s="91"/>
    </row>
    <row r="102" spans="1:5" x14ac:dyDescent="0.25">
      <c r="A102" s="87" t="s">
        <v>648</v>
      </c>
      <c r="B102" s="87" t="s">
        <v>649</v>
      </c>
      <c r="C102" s="14"/>
      <c r="D102" s="87">
        <f t="shared" si="1"/>
        <v>1</v>
      </c>
      <c r="E102" s="91"/>
    </row>
    <row r="103" spans="1:5" x14ac:dyDescent="0.25">
      <c r="A103" s="87" t="s">
        <v>650</v>
      </c>
      <c r="B103" s="87" t="s">
        <v>651</v>
      </c>
      <c r="C103" s="14"/>
      <c r="D103" s="87">
        <f t="shared" si="1"/>
        <v>1</v>
      </c>
      <c r="E103" s="91"/>
    </row>
    <row r="104" spans="1:5" x14ac:dyDescent="0.25">
      <c r="A104" s="87" t="s">
        <v>652</v>
      </c>
      <c r="B104" s="87" t="s">
        <v>653</v>
      </c>
      <c r="C104" s="14"/>
      <c r="D104" s="87">
        <f t="shared" si="1"/>
        <v>1</v>
      </c>
      <c r="E104" s="91"/>
    </row>
    <row r="105" spans="1:5" x14ac:dyDescent="0.25">
      <c r="A105" s="87" t="s">
        <v>654</v>
      </c>
      <c r="B105" s="87" t="s">
        <v>655</v>
      </c>
      <c r="C105" s="14"/>
      <c r="D105" s="87">
        <f t="shared" si="1"/>
        <v>1</v>
      </c>
      <c r="E105" s="91"/>
    </row>
    <row r="106" spans="1:5" x14ac:dyDescent="0.25">
      <c r="A106" s="87" t="s">
        <v>656</v>
      </c>
      <c r="B106" s="87" t="s">
        <v>657</v>
      </c>
      <c r="C106" s="14"/>
      <c r="D106" s="87">
        <f t="shared" si="1"/>
        <v>1</v>
      </c>
      <c r="E106" s="91"/>
    </row>
    <row r="107" spans="1:5" x14ac:dyDescent="0.25">
      <c r="A107" s="87" t="s">
        <v>658</v>
      </c>
      <c r="B107" s="87" t="s">
        <v>659</v>
      </c>
      <c r="C107" s="14"/>
      <c r="D107" s="87">
        <f t="shared" si="1"/>
        <v>1</v>
      </c>
      <c r="E107" s="91"/>
    </row>
    <row r="108" spans="1:5" x14ac:dyDescent="0.25">
      <c r="A108" s="87" t="s">
        <v>660</v>
      </c>
      <c r="B108" s="87" t="s">
        <v>661</v>
      </c>
      <c r="C108" s="14"/>
      <c r="D108" s="87">
        <f t="shared" si="1"/>
        <v>1</v>
      </c>
      <c r="E108" s="91"/>
    </row>
    <row r="109" spans="1:5" x14ac:dyDescent="0.25">
      <c r="A109" s="87" t="s">
        <v>162</v>
      </c>
      <c r="B109" s="87" t="s">
        <v>662</v>
      </c>
      <c r="C109" s="14"/>
      <c r="D109" s="87">
        <f t="shared" si="1"/>
        <v>1</v>
      </c>
      <c r="E109" s="91"/>
    </row>
    <row r="110" spans="1:5" x14ac:dyDescent="0.25">
      <c r="A110" s="87" t="s">
        <v>663</v>
      </c>
      <c r="B110" s="87" t="s">
        <v>664</v>
      </c>
      <c r="C110" s="14"/>
      <c r="D110" s="87">
        <f t="shared" si="1"/>
        <v>1</v>
      </c>
      <c r="E110" s="91"/>
    </row>
    <row r="111" spans="1:5" x14ac:dyDescent="0.25">
      <c r="A111" s="87" t="s">
        <v>665</v>
      </c>
      <c r="B111" s="87" t="s">
        <v>666</v>
      </c>
      <c r="C111" s="14"/>
      <c r="D111" s="87">
        <f t="shared" si="1"/>
        <v>1</v>
      </c>
      <c r="E111" s="91"/>
    </row>
    <row r="112" spans="1:5" x14ac:dyDescent="0.25">
      <c r="A112" s="87" t="s">
        <v>667</v>
      </c>
      <c r="B112" s="87" t="s">
        <v>668</v>
      </c>
      <c r="C112" s="14"/>
      <c r="D112" s="87">
        <f t="shared" si="1"/>
        <v>1</v>
      </c>
      <c r="E112" s="91"/>
    </row>
    <row r="113" spans="1:5" x14ac:dyDescent="0.25">
      <c r="A113" s="87" t="s">
        <v>669</v>
      </c>
      <c r="B113" s="87" t="s">
        <v>670</v>
      </c>
      <c r="C113" s="14"/>
      <c r="D113" s="87">
        <f t="shared" si="1"/>
        <v>1</v>
      </c>
      <c r="E113" s="91"/>
    </row>
    <row r="114" spans="1:5" x14ac:dyDescent="0.25">
      <c r="A114" s="88" t="s">
        <v>671</v>
      </c>
      <c r="B114" s="96" t="s">
        <v>672</v>
      </c>
      <c r="C114" s="14" t="s">
        <v>468</v>
      </c>
      <c r="D114" s="87">
        <f t="shared" si="1"/>
        <v>1</v>
      </c>
      <c r="E114" s="91"/>
    </row>
    <row r="115" spans="1:5" x14ac:dyDescent="0.25">
      <c r="A115" s="87" t="s">
        <v>673</v>
      </c>
      <c r="B115" s="87" t="s">
        <v>674</v>
      </c>
      <c r="C115" s="14"/>
      <c r="D115" s="87">
        <f t="shared" si="1"/>
        <v>1</v>
      </c>
      <c r="E115" s="91"/>
    </row>
    <row r="116" spans="1:5" x14ac:dyDescent="0.25">
      <c r="A116" s="87" t="s">
        <v>675</v>
      </c>
      <c r="B116" s="87" t="s">
        <v>676</v>
      </c>
      <c r="C116" s="14"/>
      <c r="D116" s="87">
        <f t="shared" si="1"/>
        <v>1</v>
      </c>
      <c r="E116" s="91"/>
    </row>
    <row r="117" spans="1:5" x14ac:dyDescent="0.25">
      <c r="A117" s="87" t="s">
        <v>677</v>
      </c>
      <c r="B117" s="95" t="s">
        <v>678</v>
      </c>
      <c r="C117" s="14"/>
      <c r="D117" s="87">
        <f t="shared" si="1"/>
        <v>1</v>
      </c>
      <c r="E117" s="91"/>
    </row>
    <row r="118" spans="1:5" x14ac:dyDescent="0.25">
      <c r="A118" s="87" t="s">
        <v>679</v>
      </c>
      <c r="B118" s="95" t="s">
        <v>680</v>
      </c>
      <c r="C118" s="14"/>
      <c r="D118" s="87">
        <f t="shared" si="1"/>
        <v>1</v>
      </c>
      <c r="E118" s="91"/>
    </row>
    <row r="119" spans="1:5" x14ac:dyDescent="0.25">
      <c r="A119" s="87" t="s">
        <v>681</v>
      </c>
      <c r="B119" s="87" t="s">
        <v>682</v>
      </c>
      <c r="C119" s="14"/>
      <c r="D119" s="87">
        <f t="shared" si="1"/>
        <v>1</v>
      </c>
      <c r="E119" s="91"/>
    </row>
    <row r="120" spans="1:5" x14ac:dyDescent="0.25">
      <c r="A120" s="87" t="s">
        <v>683</v>
      </c>
      <c r="B120" s="87" t="s">
        <v>684</v>
      </c>
      <c r="C120" s="14"/>
      <c r="D120" s="87">
        <f t="shared" si="1"/>
        <v>1</v>
      </c>
      <c r="E120" s="91"/>
    </row>
    <row r="121" spans="1:5" x14ac:dyDescent="0.25">
      <c r="A121" s="87" t="s">
        <v>685</v>
      </c>
      <c r="B121" s="87" t="s">
        <v>686</v>
      </c>
      <c r="C121" s="14"/>
      <c r="D121" s="87">
        <f t="shared" si="1"/>
        <v>1</v>
      </c>
      <c r="E121" s="91"/>
    </row>
    <row r="122" spans="1:5" x14ac:dyDescent="0.25">
      <c r="A122" s="87" t="s">
        <v>687</v>
      </c>
      <c r="B122" s="87" t="s">
        <v>688</v>
      </c>
      <c r="C122" s="14"/>
      <c r="D122" s="87">
        <f t="shared" si="1"/>
        <v>1</v>
      </c>
      <c r="E122" s="91"/>
    </row>
    <row r="123" spans="1:5" x14ac:dyDescent="0.25">
      <c r="A123" s="87" t="s">
        <v>689</v>
      </c>
      <c r="B123" s="87" t="s">
        <v>690</v>
      </c>
      <c r="C123" s="14"/>
      <c r="D123" s="87">
        <f t="shared" si="1"/>
        <v>1</v>
      </c>
      <c r="E123" s="91"/>
    </row>
    <row r="124" spans="1:5" x14ac:dyDescent="0.25">
      <c r="A124" s="87" t="s">
        <v>691</v>
      </c>
      <c r="B124" s="87" t="s">
        <v>692</v>
      </c>
      <c r="C124" s="14"/>
      <c r="D124" s="87">
        <f t="shared" si="1"/>
        <v>1</v>
      </c>
      <c r="E124" s="91"/>
    </row>
    <row r="125" spans="1:5" x14ac:dyDescent="0.25">
      <c r="A125" s="88" t="s">
        <v>693</v>
      </c>
      <c r="B125" s="96" t="s">
        <v>694</v>
      </c>
      <c r="C125" s="14" t="s">
        <v>468</v>
      </c>
      <c r="D125" s="87">
        <f t="shared" si="1"/>
        <v>1</v>
      </c>
      <c r="E125" s="91"/>
    </row>
    <row r="126" spans="1:5" x14ac:dyDescent="0.25">
      <c r="A126" s="87" t="s">
        <v>208</v>
      </c>
      <c r="B126" s="87" t="s">
        <v>695</v>
      </c>
      <c r="C126" s="14"/>
      <c r="D126" s="87">
        <f t="shared" si="1"/>
        <v>1</v>
      </c>
      <c r="E126" s="91"/>
    </row>
    <row r="127" spans="1:5" x14ac:dyDescent="0.25">
      <c r="A127" s="87" t="s">
        <v>696</v>
      </c>
      <c r="B127" s="87" t="s">
        <v>697</v>
      </c>
      <c r="C127" s="14"/>
      <c r="D127" s="87">
        <f t="shared" si="1"/>
        <v>1</v>
      </c>
      <c r="E127" s="91"/>
    </row>
    <row r="128" spans="1:5" x14ac:dyDescent="0.25">
      <c r="A128" s="87" t="s">
        <v>698</v>
      </c>
      <c r="B128" s="87" t="s">
        <v>699</v>
      </c>
      <c r="C128" s="14"/>
      <c r="D128" s="87">
        <f t="shared" si="1"/>
        <v>1</v>
      </c>
      <c r="E128" s="91"/>
    </row>
    <row r="129" spans="1:5" x14ac:dyDescent="0.25">
      <c r="A129" s="87" t="s">
        <v>700</v>
      </c>
      <c r="B129" s="87" t="s">
        <v>701</v>
      </c>
      <c r="C129" s="14"/>
      <c r="D129" s="87">
        <f t="shared" si="1"/>
        <v>1</v>
      </c>
      <c r="E129" s="91"/>
    </row>
    <row r="130" spans="1:5" x14ac:dyDescent="0.25">
      <c r="A130" s="87" t="s">
        <v>203</v>
      </c>
      <c r="B130" s="95" t="s">
        <v>702</v>
      </c>
      <c r="C130" s="14"/>
      <c r="D130" s="87">
        <f t="shared" ref="D130:D193" si="2">IF(B130&lt;&gt;C130,1,0)</f>
        <v>1</v>
      </c>
      <c r="E130" s="91"/>
    </row>
    <row r="131" spans="1:5" x14ac:dyDescent="0.25">
      <c r="A131" s="87" t="s">
        <v>703</v>
      </c>
      <c r="B131" s="87" t="s">
        <v>704</v>
      </c>
      <c r="C131" s="14"/>
      <c r="D131" s="87">
        <f t="shared" si="2"/>
        <v>1</v>
      </c>
      <c r="E131" s="91"/>
    </row>
    <row r="132" spans="1:5" x14ac:dyDescent="0.25">
      <c r="A132" s="94" t="s">
        <v>705</v>
      </c>
      <c r="B132" s="87" t="s">
        <v>706</v>
      </c>
      <c r="C132" s="14" t="s">
        <v>468</v>
      </c>
      <c r="D132" s="87">
        <f t="shared" si="2"/>
        <v>1</v>
      </c>
      <c r="E132" s="91"/>
    </row>
    <row r="133" spans="1:5" x14ac:dyDescent="0.25">
      <c r="A133" s="87" t="s">
        <v>707</v>
      </c>
      <c r="B133" s="95" t="s">
        <v>708</v>
      </c>
      <c r="C133" s="14"/>
      <c r="D133" s="87">
        <f t="shared" si="2"/>
        <v>1</v>
      </c>
      <c r="E133" s="91"/>
    </row>
    <row r="134" spans="1:5" x14ac:dyDescent="0.25">
      <c r="A134" s="87" t="s">
        <v>709</v>
      </c>
      <c r="B134" s="95" t="s">
        <v>710</v>
      </c>
      <c r="C134" s="14"/>
      <c r="D134" s="87">
        <f t="shared" si="2"/>
        <v>1</v>
      </c>
      <c r="E134" s="91"/>
    </row>
    <row r="135" spans="1:5" x14ac:dyDescent="0.25">
      <c r="A135" s="87" t="s">
        <v>255</v>
      </c>
      <c r="B135" s="87" t="s">
        <v>711</v>
      </c>
      <c r="C135" s="14"/>
      <c r="D135" s="87">
        <f t="shared" si="2"/>
        <v>1</v>
      </c>
      <c r="E135" s="91"/>
    </row>
    <row r="136" spans="1:5" x14ac:dyDescent="0.25">
      <c r="A136" s="87" t="s">
        <v>712</v>
      </c>
      <c r="B136" s="87" t="s">
        <v>713</v>
      </c>
      <c r="C136" s="14"/>
      <c r="D136" s="87">
        <f t="shared" si="2"/>
        <v>1</v>
      </c>
      <c r="E136" s="91"/>
    </row>
    <row r="137" spans="1:5" x14ac:dyDescent="0.25">
      <c r="A137" s="87" t="s">
        <v>257</v>
      </c>
      <c r="B137" s="87" t="s">
        <v>714</v>
      </c>
      <c r="C137" s="14"/>
      <c r="D137" s="87">
        <f t="shared" si="2"/>
        <v>1</v>
      </c>
      <c r="E137" s="91"/>
    </row>
    <row r="138" spans="1:5" x14ac:dyDescent="0.25">
      <c r="A138" s="87" t="s">
        <v>715</v>
      </c>
      <c r="B138" s="87" t="s">
        <v>716</v>
      </c>
      <c r="C138" s="14"/>
      <c r="D138" s="87">
        <f t="shared" si="2"/>
        <v>1</v>
      </c>
      <c r="E138" s="91"/>
    </row>
    <row r="139" spans="1:5" x14ac:dyDescent="0.25">
      <c r="A139" s="87" t="s">
        <v>717</v>
      </c>
      <c r="B139" s="88" t="s">
        <v>718</v>
      </c>
      <c r="C139" s="14"/>
      <c r="D139" s="87">
        <f t="shared" si="2"/>
        <v>1</v>
      </c>
      <c r="E139" s="91"/>
    </row>
    <row r="140" spans="1:5" x14ac:dyDescent="0.25">
      <c r="A140" s="87" t="s">
        <v>719</v>
      </c>
      <c r="B140" s="87" t="s">
        <v>720</v>
      </c>
      <c r="C140" s="14"/>
      <c r="D140" s="87">
        <f t="shared" si="2"/>
        <v>1</v>
      </c>
      <c r="E140" s="91"/>
    </row>
    <row r="141" spans="1:5" x14ac:dyDescent="0.25">
      <c r="A141" s="87" t="s">
        <v>721</v>
      </c>
      <c r="B141" s="87" t="s">
        <v>722</v>
      </c>
      <c r="C141" s="14"/>
      <c r="D141" s="87">
        <f t="shared" si="2"/>
        <v>1</v>
      </c>
      <c r="E141" s="91"/>
    </row>
    <row r="142" spans="1:5" x14ac:dyDescent="0.25">
      <c r="A142" s="87" t="s">
        <v>723</v>
      </c>
      <c r="B142" s="87" t="s">
        <v>724</v>
      </c>
      <c r="C142" s="14"/>
      <c r="D142" s="87">
        <f t="shared" si="2"/>
        <v>1</v>
      </c>
      <c r="E142" s="91"/>
    </row>
    <row r="143" spans="1:5" x14ac:dyDescent="0.25">
      <c r="A143" s="87" t="s">
        <v>725</v>
      </c>
      <c r="B143" s="87" t="s">
        <v>726</v>
      </c>
      <c r="C143" s="14"/>
      <c r="D143" s="87">
        <f t="shared" si="2"/>
        <v>1</v>
      </c>
      <c r="E143" s="91"/>
    </row>
    <row r="144" spans="1:5" x14ac:dyDescent="0.25">
      <c r="A144" s="87" t="s">
        <v>727</v>
      </c>
      <c r="B144" s="87" t="s">
        <v>728</v>
      </c>
      <c r="C144" s="14"/>
      <c r="D144" s="87">
        <f t="shared" si="2"/>
        <v>1</v>
      </c>
      <c r="E144" s="91"/>
    </row>
    <row r="145" spans="1:5" x14ac:dyDescent="0.25">
      <c r="A145" s="87" t="s">
        <v>392</v>
      </c>
      <c r="B145" s="87" t="s">
        <v>729</v>
      </c>
      <c r="C145" s="14"/>
      <c r="D145" s="87">
        <f t="shared" si="2"/>
        <v>1</v>
      </c>
      <c r="E145" s="91"/>
    </row>
    <row r="146" spans="1:5" x14ac:dyDescent="0.25">
      <c r="A146" s="87" t="s">
        <v>730</v>
      </c>
      <c r="B146" s="87" t="s">
        <v>731</v>
      </c>
      <c r="C146" s="14"/>
      <c r="D146" s="87">
        <f t="shared" si="2"/>
        <v>1</v>
      </c>
      <c r="E146" s="91"/>
    </row>
    <row r="147" spans="1:5" x14ac:dyDescent="0.25">
      <c r="A147" s="87" t="s">
        <v>199</v>
      </c>
      <c r="B147" s="87" t="s">
        <v>732</v>
      </c>
      <c r="C147" s="14"/>
      <c r="D147" s="87">
        <f t="shared" si="2"/>
        <v>1</v>
      </c>
      <c r="E147" s="91"/>
    </row>
    <row r="148" spans="1:5" x14ac:dyDescent="0.25">
      <c r="A148" s="87" t="s">
        <v>733</v>
      </c>
      <c r="B148" s="88" t="s">
        <v>734</v>
      </c>
      <c r="C148" s="14"/>
      <c r="D148" s="87">
        <f t="shared" si="2"/>
        <v>1</v>
      </c>
      <c r="E148" s="91"/>
    </row>
    <row r="149" spans="1:5" x14ac:dyDescent="0.25">
      <c r="A149" s="87" t="s">
        <v>735</v>
      </c>
      <c r="B149" s="88" t="s">
        <v>736</v>
      </c>
      <c r="C149" s="14"/>
      <c r="D149" s="87">
        <f t="shared" si="2"/>
        <v>1</v>
      </c>
      <c r="E149" s="91"/>
    </row>
    <row r="150" spans="1:5" x14ac:dyDescent="0.25">
      <c r="A150" s="87" t="s">
        <v>737</v>
      </c>
      <c r="B150" s="87" t="s">
        <v>738</v>
      </c>
      <c r="C150" s="14"/>
      <c r="D150" s="87">
        <f t="shared" si="2"/>
        <v>1</v>
      </c>
      <c r="E150" s="91"/>
    </row>
    <row r="151" spans="1:5" x14ac:dyDescent="0.25">
      <c r="A151" s="87" t="s">
        <v>739</v>
      </c>
      <c r="B151" s="87" t="s">
        <v>740</v>
      </c>
      <c r="C151" s="14"/>
      <c r="D151" s="87">
        <f t="shared" si="2"/>
        <v>1</v>
      </c>
      <c r="E151" s="91"/>
    </row>
    <row r="152" spans="1:5" x14ac:dyDescent="0.25">
      <c r="A152" s="87" t="s">
        <v>741</v>
      </c>
      <c r="B152" s="87" t="s">
        <v>742</v>
      </c>
      <c r="C152" s="14"/>
      <c r="D152" s="87">
        <f t="shared" si="2"/>
        <v>1</v>
      </c>
      <c r="E152" s="91"/>
    </row>
    <row r="153" spans="1:5" x14ac:dyDescent="0.25">
      <c r="A153" s="87" t="s">
        <v>743</v>
      </c>
      <c r="B153" s="88" t="s">
        <v>744</v>
      </c>
      <c r="C153" s="14"/>
      <c r="D153" s="87">
        <f t="shared" si="2"/>
        <v>1</v>
      </c>
      <c r="E153" s="91"/>
    </row>
    <row r="154" spans="1:5" x14ac:dyDescent="0.25">
      <c r="A154" s="87" t="s">
        <v>745</v>
      </c>
      <c r="B154" s="87" t="s">
        <v>746</v>
      </c>
      <c r="C154" s="14"/>
      <c r="D154" s="87">
        <f t="shared" si="2"/>
        <v>1</v>
      </c>
      <c r="E154" s="91"/>
    </row>
    <row r="155" spans="1:5" x14ac:dyDescent="0.25">
      <c r="A155" s="87" t="s">
        <v>205</v>
      </c>
      <c r="B155" s="87" t="s">
        <v>747</v>
      </c>
      <c r="C155" s="14"/>
      <c r="D155" s="87">
        <f t="shared" si="2"/>
        <v>1</v>
      </c>
      <c r="E155" s="91"/>
    </row>
    <row r="156" spans="1:5" x14ac:dyDescent="0.25">
      <c r="A156" s="87" t="s">
        <v>748</v>
      </c>
      <c r="B156" s="87" t="s">
        <v>749</v>
      </c>
      <c r="C156" s="14"/>
      <c r="D156" s="87">
        <f t="shared" si="2"/>
        <v>1</v>
      </c>
      <c r="E156" s="91"/>
    </row>
    <row r="157" spans="1:5" x14ac:dyDescent="0.25">
      <c r="A157" s="87" t="s">
        <v>750</v>
      </c>
      <c r="B157" s="87" t="s">
        <v>751</v>
      </c>
      <c r="C157" s="14"/>
      <c r="D157" s="87">
        <f t="shared" si="2"/>
        <v>1</v>
      </c>
      <c r="E157" s="91"/>
    </row>
    <row r="158" spans="1:5" x14ac:dyDescent="0.25">
      <c r="A158" s="87" t="s">
        <v>752</v>
      </c>
      <c r="B158" s="96" t="s">
        <v>753</v>
      </c>
      <c r="C158" s="14" t="s">
        <v>468</v>
      </c>
      <c r="D158" s="87">
        <f t="shared" si="2"/>
        <v>1</v>
      </c>
      <c r="E158" s="91"/>
    </row>
    <row r="159" spans="1:5" x14ac:dyDescent="0.25">
      <c r="A159" s="87" t="s">
        <v>754</v>
      </c>
      <c r="B159" s="96" t="s">
        <v>755</v>
      </c>
      <c r="C159" s="14" t="s">
        <v>468</v>
      </c>
      <c r="D159" s="87">
        <f t="shared" si="2"/>
        <v>1</v>
      </c>
      <c r="E159" s="91"/>
    </row>
    <row r="160" spans="1:5" x14ac:dyDescent="0.25">
      <c r="A160" s="87" t="s">
        <v>756</v>
      </c>
      <c r="B160" s="87" t="s">
        <v>757</v>
      </c>
      <c r="C160" s="14"/>
      <c r="D160" s="87">
        <f t="shared" si="2"/>
        <v>1</v>
      </c>
      <c r="E160" s="91"/>
    </row>
    <row r="161" spans="1:5" x14ac:dyDescent="0.25">
      <c r="A161" s="87" t="s">
        <v>758</v>
      </c>
      <c r="B161" s="87" t="s">
        <v>759</v>
      </c>
      <c r="C161" s="14"/>
      <c r="D161" s="87">
        <f t="shared" si="2"/>
        <v>1</v>
      </c>
      <c r="E161" s="91"/>
    </row>
    <row r="162" spans="1:5" x14ac:dyDescent="0.25">
      <c r="A162" s="87" t="s">
        <v>760</v>
      </c>
      <c r="B162" s="87" t="s">
        <v>761</v>
      </c>
      <c r="C162" s="14"/>
      <c r="D162" s="87">
        <f t="shared" si="2"/>
        <v>1</v>
      </c>
      <c r="E162" s="91"/>
    </row>
    <row r="163" spans="1:5" x14ac:dyDescent="0.25">
      <c r="A163" s="87" t="s">
        <v>762</v>
      </c>
      <c r="B163" s="87" t="s">
        <v>763</v>
      </c>
      <c r="C163" s="14"/>
      <c r="D163" s="87">
        <f t="shared" si="2"/>
        <v>1</v>
      </c>
      <c r="E163" s="91"/>
    </row>
    <row r="164" spans="1:5" x14ac:dyDescent="0.25">
      <c r="A164" s="87" t="s">
        <v>764</v>
      </c>
      <c r="B164" s="87" t="s">
        <v>765</v>
      </c>
      <c r="C164" s="14"/>
      <c r="D164" s="87">
        <f t="shared" si="2"/>
        <v>1</v>
      </c>
      <c r="E164" s="91"/>
    </row>
    <row r="165" spans="1:5" x14ac:dyDescent="0.25">
      <c r="A165" s="87" t="s">
        <v>766</v>
      </c>
      <c r="B165" s="87" t="s">
        <v>767</v>
      </c>
      <c r="C165" s="14"/>
      <c r="D165" s="87">
        <f t="shared" si="2"/>
        <v>1</v>
      </c>
      <c r="E165" s="91"/>
    </row>
    <row r="166" spans="1:5" x14ac:dyDescent="0.25">
      <c r="A166" s="87" t="s">
        <v>768</v>
      </c>
      <c r="B166" s="95" t="s">
        <v>769</v>
      </c>
      <c r="C166" s="14"/>
      <c r="D166" s="87">
        <f t="shared" si="2"/>
        <v>1</v>
      </c>
      <c r="E166" s="91"/>
    </row>
    <row r="167" spans="1:5" x14ac:dyDescent="0.25">
      <c r="A167" s="87" t="s">
        <v>770</v>
      </c>
      <c r="B167" s="87" t="s">
        <v>771</v>
      </c>
      <c r="C167" s="14"/>
      <c r="D167" s="87">
        <f t="shared" si="2"/>
        <v>1</v>
      </c>
      <c r="E167" s="91"/>
    </row>
    <row r="168" spans="1:5" x14ac:dyDescent="0.25">
      <c r="A168" s="87" t="s">
        <v>772</v>
      </c>
      <c r="B168" s="87" t="s">
        <v>773</v>
      </c>
      <c r="C168" s="14"/>
      <c r="D168" s="87">
        <f t="shared" si="2"/>
        <v>1</v>
      </c>
      <c r="E168" s="91"/>
    </row>
    <row r="169" spans="1:5" x14ac:dyDescent="0.25">
      <c r="A169" s="96" t="s">
        <v>774</v>
      </c>
      <c r="B169" s="87" t="s">
        <v>775</v>
      </c>
      <c r="C169" s="14" t="s">
        <v>468</v>
      </c>
      <c r="D169" s="87">
        <f t="shared" si="2"/>
        <v>1</v>
      </c>
      <c r="E169" s="91"/>
    </row>
    <row r="170" spans="1:5" x14ac:dyDescent="0.25">
      <c r="A170" s="98" t="s">
        <v>776</v>
      </c>
      <c r="B170" s="96" t="s">
        <v>777</v>
      </c>
      <c r="C170" s="14" t="s">
        <v>778</v>
      </c>
      <c r="D170" s="87">
        <f t="shared" si="2"/>
        <v>1</v>
      </c>
      <c r="E170" s="91"/>
    </row>
    <row r="171" spans="1:5" x14ac:dyDescent="0.25">
      <c r="A171" s="90" t="s">
        <v>779</v>
      </c>
      <c r="B171" s="87" t="s">
        <v>780</v>
      </c>
      <c r="C171" s="14"/>
      <c r="D171" s="87">
        <f t="shared" si="2"/>
        <v>1</v>
      </c>
      <c r="E171" s="91"/>
    </row>
    <row r="172" spans="1:5" x14ac:dyDescent="0.25">
      <c r="A172" s="99" t="s">
        <v>781</v>
      </c>
      <c r="B172" s="87" t="s">
        <v>782</v>
      </c>
      <c r="C172" s="14"/>
      <c r="D172" s="87">
        <f t="shared" si="2"/>
        <v>1</v>
      </c>
      <c r="E172" s="91"/>
    </row>
    <row r="173" spans="1:5" x14ac:dyDescent="0.25">
      <c r="A173" s="99" t="s">
        <v>783</v>
      </c>
      <c r="B173" s="87" t="s">
        <v>784</v>
      </c>
      <c r="C173" s="14"/>
      <c r="D173" s="87">
        <f t="shared" si="2"/>
        <v>1</v>
      </c>
      <c r="E173" s="91"/>
    </row>
    <row r="174" spans="1:5" x14ac:dyDescent="0.25">
      <c r="A174" s="87" t="s">
        <v>785</v>
      </c>
      <c r="B174" s="87" t="s">
        <v>786</v>
      </c>
      <c r="C174" s="14"/>
      <c r="D174" s="87">
        <f t="shared" si="2"/>
        <v>1</v>
      </c>
      <c r="E174" s="91"/>
    </row>
    <row r="175" spans="1:5" x14ac:dyDescent="0.25">
      <c r="A175" s="87" t="s">
        <v>787</v>
      </c>
      <c r="B175" s="87" t="s">
        <v>788</v>
      </c>
      <c r="C175" s="14"/>
      <c r="D175" s="87">
        <f t="shared" si="2"/>
        <v>1</v>
      </c>
      <c r="E175" s="91"/>
    </row>
    <row r="176" spans="1:5" x14ac:dyDescent="0.25">
      <c r="A176" s="87" t="s">
        <v>789</v>
      </c>
      <c r="B176" s="87" t="s">
        <v>790</v>
      </c>
      <c r="C176" s="14"/>
      <c r="D176" s="87">
        <f t="shared" si="2"/>
        <v>1</v>
      </c>
      <c r="E176" s="91"/>
    </row>
    <row r="177" spans="1:5" x14ac:dyDescent="0.25">
      <c r="A177" s="87" t="s">
        <v>791</v>
      </c>
      <c r="B177" s="87" t="s">
        <v>792</v>
      </c>
      <c r="C177" s="14"/>
      <c r="D177" s="87">
        <f t="shared" si="2"/>
        <v>1</v>
      </c>
      <c r="E177" s="91"/>
    </row>
    <row r="178" spans="1:5" x14ac:dyDescent="0.25">
      <c r="A178" s="87" t="s">
        <v>793</v>
      </c>
      <c r="B178" s="87" t="s">
        <v>794</v>
      </c>
      <c r="C178" s="14"/>
      <c r="D178" s="87">
        <f t="shared" si="2"/>
        <v>1</v>
      </c>
      <c r="E178" s="91"/>
    </row>
    <row r="179" spans="1:5" x14ac:dyDescent="0.25">
      <c r="A179" s="87" t="s">
        <v>795</v>
      </c>
      <c r="B179" s="87" t="s">
        <v>796</v>
      </c>
      <c r="C179" s="14"/>
      <c r="D179" s="87">
        <f t="shared" si="2"/>
        <v>1</v>
      </c>
      <c r="E179" s="91"/>
    </row>
    <row r="180" spans="1:5" x14ac:dyDescent="0.25">
      <c r="A180" s="87" t="s">
        <v>797</v>
      </c>
      <c r="B180" s="87" t="s">
        <v>798</v>
      </c>
      <c r="C180" s="14"/>
      <c r="D180" s="87">
        <f t="shared" si="2"/>
        <v>1</v>
      </c>
      <c r="E180" s="91"/>
    </row>
    <row r="181" spans="1:5" x14ac:dyDescent="0.25">
      <c r="A181" s="87" t="s">
        <v>799</v>
      </c>
      <c r="B181" s="87" t="s">
        <v>800</v>
      </c>
      <c r="C181" s="14"/>
      <c r="D181" s="87">
        <f t="shared" si="2"/>
        <v>1</v>
      </c>
      <c r="E181" s="91"/>
    </row>
    <row r="182" spans="1:5" x14ac:dyDescent="0.25">
      <c r="A182" s="87" t="s">
        <v>801</v>
      </c>
      <c r="B182" s="87" t="s">
        <v>802</v>
      </c>
      <c r="C182" s="14"/>
      <c r="D182" s="87">
        <f t="shared" si="2"/>
        <v>1</v>
      </c>
      <c r="E182" s="91"/>
    </row>
    <row r="183" spans="1:5" x14ac:dyDescent="0.25">
      <c r="A183" s="87" t="s">
        <v>803</v>
      </c>
      <c r="B183" s="87" t="s">
        <v>804</v>
      </c>
      <c r="C183" s="14"/>
      <c r="D183" s="87">
        <f t="shared" si="2"/>
        <v>1</v>
      </c>
      <c r="E183" s="91"/>
    </row>
    <row r="184" spans="1:5" x14ac:dyDescent="0.25">
      <c r="A184" s="87" t="s">
        <v>805</v>
      </c>
      <c r="B184" s="87" t="s">
        <v>806</v>
      </c>
      <c r="C184" s="14"/>
      <c r="D184" s="87">
        <f t="shared" si="2"/>
        <v>1</v>
      </c>
      <c r="E184" s="91"/>
    </row>
    <row r="185" spans="1:5" x14ac:dyDescent="0.25">
      <c r="A185" s="87" t="s">
        <v>807</v>
      </c>
      <c r="B185" s="87" t="s">
        <v>808</v>
      </c>
      <c r="C185" s="14"/>
      <c r="D185" s="87">
        <f t="shared" si="2"/>
        <v>1</v>
      </c>
      <c r="E185" s="91"/>
    </row>
    <row r="186" spans="1:5" x14ac:dyDescent="0.25">
      <c r="A186" s="87" t="s">
        <v>809</v>
      </c>
      <c r="B186" s="95" t="s">
        <v>810</v>
      </c>
      <c r="C186" s="14"/>
      <c r="D186" s="87">
        <f t="shared" si="2"/>
        <v>1</v>
      </c>
      <c r="E186" s="91"/>
    </row>
    <row r="187" spans="1:5" x14ac:dyDescent="0.25">
      <c r="A187" s="87" t="s">
        <v>811</v>
      </c>
      <c r="B187" s="87" t="s">
        <v>812</v>
      </c>
      <c r="C187" s="14"/>
      <c r="D187" s="87">
        <f t="shared" si="2"/>
        <v>1</v>
      </c>
      <c r="E187" s="91"/>
    </row>
    <row r="188" spans="1:5" x14ac:dyDescent="0.25">
      <c r="A188" s="87" t="s">
        <v>813</v>
      </c>
      <c r="B188" s="87" t="s">
        <v>814</v>
      </c>
      <c r="C188" s="14"/>
      <c r="D188" s="87">
        <f t="shared" si="2"/>
        <v>1</v>
      </c>
      <c r="E188" s="91"/>
    </row>
    <row r="189" spans="1:5" x14ac:dyDescent="0.25">
      <c r="A189" s="87" t="s">
        <v>815</v>
      </c>
      <c r="B189" s="88" t="s">
        <v>816</v>
      </c>
      <c r="C189" s="14"/>
      <c r="D189" s="87">
        <f t="shared" si="2"/>
        <v>1</v>
      </c>
      <c r="E189" s="91"/>
    </row>
    <row r="190" spans="1:5" x14ac:dyDescent="0.25">
      <c r="A190" s="87" t="s">
        <v>405</v>
      </c>
      <c r="B190" s="87" t="s">
        <v>817</v>
      </c>
      <c r="C190" s="14"/>
      <c r="D190" s="87">
        <f t="shared" si="2"/>
        <v>1</v>
      </c>
      <c r="E190" s="91"/>
    </row>
    <row r="191" spans="1:5" x14ac:dyDescent="0.25">
      <c r="A191" s="87" t="s">
        <v>818</v>
      </c>
      <c r="B191" s="88" t="s">
        <v>819</v>
      </c>
      <c r="C191" s="14"/>
      <c r="D191" s="87">
        <f t="shared" si="2"/>
        <v>1</v>
      </c>
      <c r="E191" s="91"/>
    </row>
    <row r="192" spans="1:5" x14ac:dyDescent="0.25">
      <c r="A192" s="87" t="s">
        <v>820</v>
      </c>
      <c r="B192" s="88" t="s">
        <v>821</v>
      </c>
      <c r="C192" s="14"/>
      <c r="D192" s="87">
        <f t="shared" si="2"/>
        <v>1</v>
      </c>
      <c r="E192" s="91"/>
    </row>
    <row r="193" spans="1:5" x14ac:dyDescent="0.25">
      <c r="A193" s="87" t="s">
        <v>822</v>
      </c>
      <c r="B193" s="87" t="s">
        <v>823</v>
      </c>
      <c r="C193" s="14"/>
      <c r="D193" s="87">
        <f t="shared" si="2"/>
        <v>1</v>
      </c>
      <c r="E193" s="91"/>
    </row>
    <row r="194" spans="1:5" x14ac:dyDescent="0.25">
      <c r="A194" s="87" t="s">
        <v>824</v>
      </c>
      <c r="B194" s="87" t="s">
        <v>825</v>
      </c>
      <c r="C194" s="14"/>
      <c r="D194" s="87">
        <f t="shared" ref="D194:D257" si="3">IF(B194&lt;&gt;C194,1,0)</f>
        <v>1</v>
      </c>
      <c r="E194" s="91"/>
    </row>
    <row r="195" spans="1:5" x14ac:dyDescent="0.25">
      <c r="A195" s="87" t="s">
        <v>826</v>
      </c>
      <c r="B195" s="87" t="s">
        <v>827</v>
      </c>
      <c r="C195" s="14"/>
      <c r="D195" s="87">
        <f t="shared" si="3"/>
        <v>1</v>
      </c>
      <c r="E195" s="91"/>
    </row>
    <row r="196" spans="1:5" x14ac:dyDescent="0.25">
      <c r="A196" s="87" t="s">
        <v>828</v>
      </c>
      <c r="B196" s="87" t="s">
        <v>829</v>
      </c>
      <c r="C196" s="14"/>
      <c r="D196" s="87">
        <f t="shared" si="3"/>
        <v>1</v>
      </c>
      <c r="E196" s="91"/>
    </row>
    <row r="197" spans="1:5" x14ac:dyDescent="0.25">
      <c r="A197" s="87" t="s">
        <v>408</v>
      </c>
      <c r="B197" s="87" t="s">
        <v>830</v>
      </c>
      <c r="C197" s="14"/>
      <c r="D197" s="87">
        <f t="shared" si="3"/>
        <v>1</v>
      </c>
      <c r="E197" s="91"/>
    </row>
    <row r="198" spans="1:5" x14ac:dyDescent="0.25">
      <c r="A198" s="87" t="s">
        <v>831</v>
      </c>
      <c r="B198" s="88" t="s">
        <v>832</v>
      </c>
      <c r="C198" s="14"/>
      <c r="D198" s="87">
        <f t="shared" si="3"/>
        <v>1</v>
      </c>
      <c r="E198" s="91"/>
    </row>
    <row r="199" spans="1:5" x14ac:dyDescent="0.25">
      <c r="A199" s="87" t="s">
        <v>833</v>
      </c>
      <c r="B199" s="88" t="s">
        <v>834</v>
      </c>
      <c r="C199" s="14"/>
      <c r="D199" s="87">
        <f t="shared" si="3"/>
        <v>1</v>
      </c>
      <c r="E199" s="91"/>
    </row>
    <row r="200" spans="1:5" x14ac:dyDescent="0.25">
      <c r="A200" s="87" t="s">
        <v>835</v>
      </c>
      <c r="B200" s="88" t="s">
        <v>836</v>
      </c>
      <c r="C200" s="14"/>
      <c r="D200" s="87">
        <f t="shared" si="3"/>
        <v>1</v>
      </c>
      <c r="E200" s="91"/>
    </row>
    <row r="201" spans="1:5" x14ac:dyDescent="0.25">
      <c r="A201" s="87" t="s">
        <v>837</v>
      </c>
      <c r="B201" s="87" t="s">
        <v>838</v>
      </c>
      <c r="C201" s="14"/>
      <c r="D201" s="87">
        <f t="shared" si="3"/>
        <v>1</v>
      </c>
      <c r="E201" s="91"/>
    </row>
    <row r="202" spans="1:5" x14ac:dyDescent="0.25">
      <c r="A202" s="87" t="s">
        <v>839</v>
      </c>
      <c r="B202" s="88" t="s">
        <v>840</v>
      </c>
      <c r="C202" s="14"/>
      <c r="D202" s="87">
        <f t="shared" si="3"/>
        <v>1</v>
      </c>
      <c r="E202" s="91"/>
    </row>
    <row r="203" spans="1:5" x14ac:dyDescent="0.25">
      <c r="A203" s="87" t="s">
        <v>841</v>
      </c>
      <c r="B203" s="88" t="s">
        <v>842</v>
      </c>
      <c r="C203" s="14"/>
      <c r="D203" s="87">
        <f t="shared" si="3"/>
        <v>1</v>
      </c>
      <c r="E203" s="91"/>
    </row>
    <row r="204" spans="1:5" x14ac:dyDescent="0.25">
      <c r="A204" s="87" t="s">
        <v>843</v>
      </c>
      <c r="B204" s="87" t="s">
        <v>844</v>
      </c>
      <c r="C204" s="14"/>
      <c r="D204" s="87">
        <f t="shared" si="3"/>
        <v>1</v>
      </c>
      <c r="E204" s="91"/>
    </row>
    <row r="205" spans="1:5" x14ac:dyDescent="0.25">
      <c r="A205" s="87" t="s">
        <v>845</v>
      </c>
      <c r="B205" s="87" t="s">
        <v>846</v>
      </c>
      <c r="C205" s="14"/>
      <c r="D205" s="87">
        <f t="shared" si="3"/>
        <v>1</v>
      </c>
      <c r="E205" s="91"/>
    </row>
    <row r="206" spans="1:5" x14ac:dyDescent="0.25">
      <c r="A206" s="87" t="s">
        <v>847</v>
      </c>
      <c r="B206" s="87" t="s">
        <v>848</v>
      </c>
      <c r="C206" s="14"/>
      <c r="D206" s="87">
        <f t="shared" si="3"/>
        <v>1</v>
      </c>
      <c r="E206" s="91"/>
    </row>
    <row r="207" spans="1:5" x14ac:dyDescent="0.25">
      <c r="A207" s="87" t="s">
        <v>849</v>
      </c>
      <c r="B207" s="87" t="s">
        <v>850</v>
      </c>
      <c r="C207" s="14"/>
      <c r="D207" s="87">
        <f t="shared" si="3"/>
        <v>1</v>
      </c>
      <c r="E207" s="91"/>
    </row>
    <row r="208" spans="1:5" x14ac:dyDescent="0.25">
      <c r="A208" s="87" t="s">
        <v>851</v>
      </c>
      <c r="B208" s="88" t="s">
        <v>852</v>
      </c>
      <c r="C208" s="14"/>
      <c r="D208" s="87">
        <f t="shared" si="3"/>
        <v>1</v>
      </c>
      <c r="E208" s="91"/>
    </row>
    <row r="209" spans="1:5" x14ac:dyDescent="0.25">
      <c r="A209" s="87" t="s">
        <v>853</v>
      </c>
      <c r="B209" s="87" t="s">
        <v>854</v>
      </c>
      <c r="C209" s="14"/>
      <c r="D209" s="87">
        <f t="shared" si="3"/>
        <v>1</v>
      </c>
      <c r="E209" s="91"/>
    </row>
    <row r="210" spans="1:5" x14ac:dyDescent="0.25">
      <c r="A210" s="87" t="s">
        <v>855</v>
      </c>
      <c r="B210" s="87" t="s">
        <v>856</v>
      </c>
      <c r="C210" s="14"/>
      <c r="D210" s="87">
        <f t="shared" si="3"/>
        <v>1</v>
      </c>
      <c r="E210" s="91"/>
    </row>
    <row r="211" spans="1:5" x14ac:dyDescent="0.25">
      <c r="A211" s="87" t="s">
        <v>857</v>
      </c>
      <c r="B211" s="87" t="s">
        <v>858</v>
      </c>
      <c r="C211" s="14"/>
      <c r="D211" s="87">
        <f t="shared" si="3"/>
        <v>1</v>
      </c>
      <c r="E211" s="91"/>
    </row>
    <row r="212" spans="1:5" x14ac:dyDescent="0.25">
      <c r="A212" s="87" t="s">
        <v>859</v>
      </c>
      <c r="B212" s="88" t="s">
        <v>860</v>
      </c>
      <c r="C212" s="14"/>
      <c r="D212" s="87">
        <f t="shared" si="3"/>
        <v>1</v>
      </c>
      <c r="E212" s="91"/>
    </row>
    <row r="213" spans="1:5" x14ac:dyDescent="0.25">
      <c r="A213" s="87" t="s">
        <v>861</v>
      </c>
      <c r="B213" s="87" t="s">
        <v>862</v>
      </c>
      <c r="C213" s="14"/>
      <c r="D213" s="87">
        <f t="shared" si="3"/>
        <v>1</v>
      </c>
      <c r="E213" s="91"/>
    </row>
    <row r="214" spans="1:5" x14ac:dyDescent="0.25">
      <c r="A214" s="87" t="s">
        <v>403</v>
      </c>
      <c r="B214" s="87" t="s">
        <v>863</v>
      </c>
      <c r="C214" s="14"/>
      <c r="D214" s="87">
        <f t="shared" si="3"/>
        <v>1</v>
      </c>
      <c r="E214" s="91"/>
    </row>
    <row r="215" spans="1:5" x14ac:dyDescent="0.25">
      <c r="A215" s="87" t="s">
        <v>864</v>
      </c>
      <c r="B215" s="87" t="s">
        <v>865</v>
      </c>
      <c r="C215" s="14"/>
      <c r="D215" s="87">
        <f t="shared" si="3"/>
        <v>1</v>
      </c>
      <c r="E215" s="91"/>
    </row>
    <row r="216" spans="1:5" x14ac:dyDescent="0.25">
      <c r="A216" s="87" t="s">
        <v>866</v>
      </c>
      <c r="B216" s="87" t="s">
        <v>867</v>
      </c>
      <c r="C216" s="14"/>
      <c r="D216" s="87">
        <f t="shared" si="3"/>
        <v>1</v>
      </c>
      <c r="E216" s="91"/>
    </row>
    <row r="217" spans="1:5" x14ac:dyDescent="0.25">
      <c r="A217" s="87" t="s">
        <v>868</v>
      </c>
      <c r="B217" s="87" t="s">
        <v>869</v>
      </c>
      <c r="C217" s="14"/>
      <c r="D217" s="87">
        <f t="shared" si="3"/>
        <v>1</v>
      </c>
      <c r="E217" s="91"/>
    </row>
    <row r="218" spans="1:5" x14ac:dyDescent="0.25">
      <c r="A218" s="87" t="s">
        <v>870</v>
      </c>
      <c r="B218" s="87" t="s">
        <v>871</v>
      </c>
      <c r="C218" s="14"/>
      <c r="D218" s="87">
        <f t="shared" si="3"/>
        <v>1</v>
      </c>
      <c r="E218" s="91"/>
    </row>
    <row r="219" spans="1:5" x14ac:dyDescent="0.25">
      <c r="A219" s="87" t="s">
        <v>872</v>
      </c>
      <c r="B219" s="87" t="s">
        <v>873</v>
      </c>
      <c r="C219" s="14"/>
      <c r="D219" s="87">
        <f t="shared" si="3"/>
        <v>1</v>
      </c>
      <c r="E219" s="91"/>
    </row>
    <row r="220" spans="1:5" x14ac:dyDescent="0.25">
      <c r="A220" s="87" t="s">
        <v>874</v>
      </c>
      <c r="B220" s="87" t="s">
        <v>395</v>
      </c>
      <c r="C220" s="14"/>
      <c r="D220" s="87">
        <f t="shared" si="3"/>
        <v>1</v>
      </c>
      <c r="E220" s="91"/>
    </row>
    <row r="221" spans="1:5" x14ac:dyDescent="0.25">
      <c r="A221" s="87" t="s">
        <v>875</v>
      </c>
      <c r="B221" s="87" t="s">
        <v>400</v>
      </c>
      <c r="C221" s="14"/>
      <c r="D221" s="87">
        <f t="shared" si="3"/>
        <v>1</v>
      </c>
      <c r="E221" s="91"/>
    </row>
    <row r="222" spans="1:5" x14ac:dyDescent="0.25">
      <c r="A222" s="87" t="s">
        <v>876</v>
      </c>
      <c r="B222" s="87" t="s">
        <v>398</v>
      </c>
      <c r="C222" s="14"/>
      <c r="D222" s="87">
        <f t="shared" si="3"/>
        <v>1</v>
      </c>
      <c r="E222" s="91"/>
    </row>
    <row r="223" spans="1:5" x14ac:dyDescent="0.25">
      <c r="A223" s="87" t="s">
        <v>877</v>
      </c>
      <c r="B223" s="88" t="s">
        <v>878</v>
      </c>
      <c r="C223" s="14"/>
      <c r="D223" s="87">
        <f t="shared" si="3"/>
        <v>1</v>
      </c>
      <c r="E223" s="91"/>
    </row>
    <row r="224" spans="1:5" x14ac:dyDescent="0.25">
      <c r="A224" s="87" t="s">
        <v>879</v>
      </c>
      <c r="B224" s="87" t="s">
        <v>880</v>
      </c>
      <c r="C224" s="14"/>
      <c r="D224" s="87">
        <f t="shared" si="3"/>
        <v>1</v>
      </c>
      <c r="E224" s="91"/>
    </row>
    <row r="225" spans="1:5" x14ac:dyDescent="0.25">
      <c r="A225" s="87" t="s">
        <v>881</v>
      </c>
      <c r="B225" s="87" t="s">
        <v>380</v>
      </c>
      <c r="C225" s="14"/>
      <c r="D225" s="87">
        <f t="shared" si="3"/>
        <v>1</v>
      </c>
      <c r="E225" s="91"/>
    </row>
    <row r="226" spans="1:5" x14ac:dyDescent="0.25">
      <c r="A226" s="87" t="s">
        <v>882</v>
      </c>
      <c r="B226" s="87" t="s">
        <v>883</v>
      </c>
      <c r="C226" s="14"/>
      <c r="D226" s="87">
        <f t="shared" si="3"/>
        <v>1</v>
      </c>
      <c r="E226" s="91"/>
    </row>
    <row r="227" spans="1:5" x14ac:dyDescent="0.25">
      <c r="A227" s="87" t="s">
        <v>406</v>
      </c>
      <c r="B227" s="87" t="s">
        <v>884</v>
      </c>
      <c r="C227" s="14"/>
      <c r="D227" s="87">
        <f t="shared" si="3"/>
        <v>1</v>
      </c>
      <c r="E227" s="91"/>
    </row>
    <row r="228" spans="1:5" x14ac:dyDescent="0.25">
      <c r="A228" s="87" t="s">
        <v>407</v>
      </c>
      <c r="B228" s="96" t="s">
        <v>885</v>
      </c>
      <c r="C228" s="14" t="s">
        <v>468</v>
      </c>
      <c r="D228" s="87">
        <f t="shared" si="3"/>
        <v>1</v>
      </c>
      <c r="E228" s="91"/>
    </row>
    <row r="229" spans="1:5" x14ac:dyDescent="0.25">
      <c r="A229" s="87" t="s">
        <v>886</v>
      </c>
      <c r="B229" s="87" t="s">
        <v>887</v>
      </c>
      <c r="C229" s="14"/>
      <c r="D229" s="87">
        <f t="shared" si="3"/>
        <v>1</v>
      </c>
      <c r="E229" s="91"/>
    </row>
    <row r="230" spans="1:5" x14ac:dyDescent="0.25">
      <c r="A230" s="87" t="s">
        <v>888</v>
      </c>
      <c r="B230" s="87" t="s">
        <v>889</v>
      </c>
      <c r="C230" s="14"/>
      <c r="D230" s="87">
        <f t="shared" si="3"/>
        <v>1</v>
      </c>
      <c r="E230" s="91"/>
    </row>
    <row r="231" spans="1:5" x14ac:dyDescent="0.25">
      <c r="A231" s="100" t="s">
        <v>296</v>
      </c>
      <c r="B231" s="100" t="s">
        <v>890</v>
      </c>
      <c r="C231" s="101">
        <v>45071</v>
      </c>
      <c r="D231" s="87">
        <f t="shared" si="3"/>
        <v>1</v>
      </c>
      <c r="E231" s="91"/>
    </row>
    <row r="232" spans="1:5" x14ac:dyDescent="0.25">
      <c r="A232" s="87" t="s">
        <v>891</v>
      </c>
      <c r="B232" s="87" t="s">
        <v>892</v>
      </c>
      <c r="C232" s="14"/>
      <c r="D232" s="87">
        <f t="shared" si="3"/>
        <v>1</v>
      </c>
      <c r="E232" s="91"/>
    </row>
    <row r="233" spans="1:5" x14ac:dyDescent="0.25">
      <c r="A233" s="87" t="s">
        <v>893</v>
      </c>
      <c r="B233" s="87" t="s">
        <v>894</v>
      </c>
      <c r="C233" s="14"/>
      <c r="D233" s="87">
        <f t="shared" si="3"/>
        <v>1</v>
      </c>
      <c r="E233" s="91"/>
    </row>
    <row r="234" spans="1:5" x14ac:dyDescent="0.25">
      <c r="A234" s="100" t="s">
        <v>895</v>
      </c>
      <c r="B234" s="100" t="s">
        <v>896</v>
      </c>
      <c r="C234" s="101">
        <v>45071</v>
      </c>
      <c r="D234" s="87">
        <f t="shared" si="3"/>
        <v>1</v>
      </c>
      <c r="E234" s="91"/>
    </row>
    <row r="235" spans="1:5" x14ac:dyDescent="0.25">
      <c r="A235" s="14" t="s">
        <v>897</v>
      </c>
      <c r="B235" s="87" t="s">
        <v>898</v>
      </c>
      <c r="C235" s="14"/>
      <c r="D235" s="87">
        <f t="shared" si="3"/>
        <v>1</v>
      </c>
      <c r="E235" s="91"/>
    </row>
    <row r="236" spans="1:5" x14ac:dyDescent="0.25">
      <c r="A236" s="102" t="s">
        <v>899</v>
      </c>
      <c r="B236" s="102" t="s">
        <v>900</v>
      </c>
      <c r="C236" s="101">
        <v>45071</v>
      </c>
      <c r="D236" s="87">
        <f t="shared" si="3"/>
        <v>1</v>
      </c>
      <c r="E236" s="91"/>
    </row>
    <row r="237" spans="1:5" x14ac:dyDescent="0.25">
      <c r="A237" s="102" t="s">
        <v>901</v>
      </c>
      <c r="B237" s="103" t="s">
        <v>902</v>
      </c>
      <c r="C237" s="101">
        <v>45071</v>
      </c>
      <c r="D237" s="87">
        <f t="shared" si="3"/>
        <v>1</v>
      </c>
      <c r="E237" s="91"/>
    </row>
    <row r="238" spans="1:5" x14ac:dyDescent="0.25">
      <c r="A238" s="103" t="s">
        <v>903</v>
      </c>
      <c r="B238" s="103" t="s">
        <v>904</v>
      </c>
      <c r="C238" s="101">
        <v>45071</v>
      </c>
      <c r="D238" s="87">
        <f t="shared" si="3"/>
        <v>1</v>
      </c>
      <c r="E238" s="91"/>
    </row>
    <row r="239" spans="1:5" x14ac:dyDescent="0.25">
      <c r="A239" s="103" t="s">
        <v>905</v>
      </c>
      <c r="B239" s="103" t="s">
        <v>906</v>
      </c>
      <c r="C239" s="101">
        <v>45071</v>
      </c>
      <c r="D239" s="87">
        <f t="shared" si="3"/>
        <v>1</v>
      </c>
      <c r="E239" s="91"/>
    </row>
    <row r="240" spans="1:5" x14ac:dyDescent="0.25">
      <c r="A240" s="100" t="s">
        <v>907</v>
      </c>
      <c r="B240" s="103" t="s">
        <v>908</v>
      </c>
      <c r="C240" s="101">
        <v>45071</v>
      </c>
      <c r="D240" s="87">
        <f t="shared" si="3"/>
        <v>1</v>
      </c>
      <c r="E240" s="91"/>
    </row>
    <row r="241" spans="1:5" x14ac:dyDescent="0.25">
      <c r="A241" s="100" t="s">
        <v>909</v>
      </c>
      <c r="B241" s="103" t="s">
        <v>910</v>
      </c>
      <c r="C241" s="101">
        <v>45071</v>
      </c>
      <c r="D241" s="87">
        <f t="shared" si="3"/>
        <v>1</v>
      </c>
      <c r="E241" s="91"/>
    </row>
    <row r="242" spans="1:5" x14ac:dyDescent="0.25">
      <c r="A242" s="14" t="s">
        <v>911</v>
      </c>
      <c r="B242" s="87" t="s">
        <v>912</v>
      </c>
      <c r="C242" s="14"/>
      <c r="D242" s="87">
        <f t="shared" si="3"/>
        <v>1</v>
      </c>
      <c r="E242" s="91"/>
    </row>
    <row r="243" spans="1:5" x14ac:dyDescent="0.25">
      <c r="A243" s="14" t="s">
        <v>913</v>
      </c>
      <c r="B243" s="87" t="s">
        <v>914</v>
      </c>
      <c r="C243" s="14"/>
      <c r="D243" s="87">
        <f t="shared" si="3"/>
        <v>1</v>
      </c>
      <c r="E243" s="91"/>
    </row>
    <row r="244" spans="1:5" x14ac:dyDescent="0.25">
      <c r="A244" s="14" t="s">
        <v>915</v>
      </c>
      <c r="B244" s="87" t="s">
        <v>916</v>
      </c>
      <c r="C244" s="14"/>
      <c r="D244" s="87">
        <f t="shared" si="3"/>
        <v>1</v>
      </c>
      <c r="E244" s="91"/>
    </row>
    <row r="245" spans="1:5" x14ac:dyDescent="0.25">
      <c r="A245" s="103" t="s">
        <v>917</v>
      </c>
      <c r="B245" s="103" t="s">
        <v>918</v>
      </c>
      <c r="C245" s="101">
        <v>45071</v>
      </c>
      <c r="D245" s="87">
        <f t="shared" si="3"/>
        <v>1</v>
      </c>
      <c r="E245" s="91"/>
    </row>
    <row r="246" spans="1:5" x14ac:dyDescent="0.25">
      <c r="A246" s="103" t="s">
        <v>919</v>
      </c>
      <c r="B246" s="103" t="s">
        <v>920</v>
      </c>
      <c r="C246" s="101">
        <v>45071</v>
      </c>
      <c r="D246" s="87">
        <f t="shared" si="3"/>
        <v>1</v>
      </c>
      <c r="E246" s="91"/>
    </row>
    <row r="247" spans="1:5" x14ac:dyDescent="0.25">
      <c r="A247" s="87" t="s">
        <v>921</v>
      </c>
      <c r="B247" s="87" t="s">
        <v>922</v>
      </c>
      <c r="C247" s="14"/>
      <c r="D247" s="87">
        <f t="shared" si="3"/>
        <v>1</v>
      </c>
      <c r="E247" s="91"/>
    </row>
    <row r="248" spans="1:5" x14ac:dyDescent="0.25">
      <c r="A248" s="87" t="s">
        <v>923</v>
      </c>
      <c r="B248" s="87" t="s">
        <v>924</v>
      </c>
      <c r="C248" s="14"/>
      <c r="D248" s="87">
        <f t="shared" si="3"/>
        <v>1</v>
      </c>
      <c r="E248" s="91"/>
    </row>
    <row r="249" spans="1:5" x14ac:dyDescent="0.25">
      <c r="A249" s="87" t="s">
        <v>925</v>
      </c>
      <c r="B249" s="87" t="s">
        <v>926</v>
      </c>
      <c r="C249" s="14"/>
      <c r="D249" s="87">
        <f t="shared" si="3"/>
        <v>1</v>
      </c>
      <c r="E249" s="91"/>
    </row>
    <row r="250" spans="1:5" x14ac:dyDescent="0.25">
      <c r="A250" s="87" t="s">
        <v>927</v>
      </c>
      <c r="B250" s="87" t="s">
        <v>928</v>
      </c>
      <c r="C250" s="14"/>
      <c r="D250" s="87">
        <f t="shared" si="3"/>
        <v>1</v>
      </c>
      <c r="E250" s="91"/>
    </row>
    <row r="251" spans="1:5" x14ac:dyDescent="0.25">
      <c r="A251" s="87" t="s">
        <v>929</v>
      </c>
      <c r="B251" s="87" t="s">
        <v>930</v>
      </c>
      <c r="C251" s="14"/>
      <c r="D251" s="87">
        <f t="shared" si="3"/>
        <v>1</v>
      </c>
      <c r="E251" s="91"/>
    </row>
    <row r="252" spans="1:5" x14ac:dyDescent="0.25">
      <c r="A252" s="87" t="s">
        <v>931</v>
      </c>
      <c r="B252" s="87" t="s">
        <v>932</v>
      </c>
      <c r="C252" s="14"/>
      <c r="D252" s="87">
        <f t="shared" si="3"/>
        <v>1</v>
      </c>
      <c r="E252" s="91" t="s">
        <v>933</v>
      </c>
    </row>
    <row r="253" spans="1:5" x14ac:dyDescent="0.25">
      <c r="A253" s="87" t="s">
        <v>934</v>
      </c>
      <c r="B253" s="87" t="s">
        <v>935</v>
      </c>
      <c r="C253" s="14"/>
      <c r="D253" s="87">
        <f t="shared" si="3"/>
        <v>1</v>
      </c>
      <c r="E253" s="91" t="s">
        <v>933</v>
      </c>
    </row>
    <row r="254" spans="1:5" x14ac:dyDescent="0.25">
      <c r="A254" s="87" t="s">
        <v>936</v>
      </c>
      <c r="B254" s="87" t="s">
        <v>937</v>
      </c>
      <c r="C254" s="14"/>
      <c r="D254" s="87">
        <f t="shared" si="3"/>
        <v>1</v>
      </c>
      <c r="E254" s="136" t="s">
        <v>938</v>
      </c>
    </row>
    <row r="255" spans="1:5" x14ac:dyDescent="0.25">
      <c r="A255" s="87" t="s">
        <v>939</v>
      </c>
      <c r="B255" s="87" t="s">
        <v>188</v>
      </c>
      <c r="C255" s="14"/>
      <c r="D255" s="87">
        <f t="shared" si="3"/>
        <v>1</v>
      </c>
      <c r="E255" s="136" t="s">
        <v>940</v>
      </c>
    </row>
    <row r="256" spans="1:5" x14ac:dyDescent="0.25">
      <c r="A256" s="87" t="s">
        <v>941</v>
      </c>
      <c r="B256" s="87" t="s">
        <v>212</v>
      </c>
      <c r="C256" s="14"/>
      <c r="D256" s="87">
        <f t="shared" si="3"/>
        <v>1</v>
      </c>
      <c r="E256" s="136" t="s">
        <v>942</v>
      </c>
    </row>
    <row r="257" spans="1:5" x14ac:dyDescent="0.25">
      <c r="A257" s="87" t="s">
        <v>943</v>
      </c>
      <c r="B257" s="87" t="s">
        <v>944</v>
      </c>
      <c r="C257" s="14"/>
      <c r="D257" s="87">
        <f t="shared" si="3"/>
        <v>1</v>
      </c>
      <c r="E257" s="91" t="s">
        <v>933</v>
      </c>
    </row>
    <row r="258" spans="1:5" x14ac:dyDescent="0.25">
      <c r="A258" s="87" t="s">
        <v>945</v>
      </c>
      <c r="B258" s="87" t="s">
        <v>946</v>
      </c>
      <c r="C258" s="14"/>
      <c r="D258" s="87">
        <f t="shared" ref="D258:D321" si="4">IF(B258&lt;&gt;C258,1,0)</f>
        <v>1</v>
      </c>
      <c r="E258" s="91" t="s">
        <v>933</v>
      </c>
    </row>
    <row r="259" spans="1:5" x14ac:dyDescent="0.25">
      <c r="A259" s="87" t="s">
        <v>947</v>
      </c>
      <c r="B259" s="87" t="s">
        <v>948</v>
      </c>
      <c r="C259" s="14"/>
      <c r="D259" s="87">
        <f t="shared" si="4"/>
        <v>1</v>
      </c>
      <c r="E259" s="136" t="s">
        <v>949</v>
      </c>
    </row>
    <row r="260" spans="1:5" x14ac:dyDescent="0.25">
      <c r="A260" s="87" t="s">
        <v>950</v>
      </c>
      <c r="B260" s="87" t="s">
        <v>951</v>
      </c>
      <c r="C260" s="14"/>
      <c r="D260" s="87">
        <f t="shared" si="4"/>
        <v>1</v>
      </c>
      <c r="E260" s="91" t="s">
        <v>933</v>
      </c>
    </row>
    <row r="261" spans="1:5" x14ac:dyDescent="0.25">
      <c r="A261" s="87" t="s">
        <v>952</v>
      </c>
      <c r="B261" s="87" t="s">
        <v>953</v>
      </c>
      <c r="C261" s="14"/>
      <c r="D261" s="87">
        <f t="shared" si="4"/>
        <v>1</v>
      </c>
      <c r="E261" s="91" t="s">
        <v>933</v>
      </c>
    </row>
    <row r="262" spans="1:5" x14ac:dyDescent="0.25">
      <c r="A262" s="87" t="s">
        <v>954</v>
      </c>
      <c r="B262" s="87" t="s">
        <v>955</v>
      </c>
      <c r="C262" s="14"/>
      <c r="D262" s="87">
        <f t="shared" si="4"/>
        <v>1</v>
      </c>
      <c r="E262" s="136" t="s">
        <v>956</v>
      </c>
    </row>
    <row r="263" spans="1:5" x14ac:dyDescent="0.25">
      <c r="A263" s="87" t="s">
        <v>957</v>
      </c>
      <c r="B263" s="87" t="s">
        <v>958</v>
      </c>
      <c r="C263" s="14"/>
      <c r="D263" s="87">
        <f t="shared" si="4"/>
        <v>1</v>
      </c>
      <c r="E263" s="91" t="s">
        <v>933</v>
      </c>
    </row>
    <row r="264" spans="1:5" x14ac:dyDescent="0.25">
      <c r="A264" s="87" t="s">
        <v>959</v>
      </c>
      <c r="B264" s="87" t="s">
        <v>960</v>
      </c>
      <c r="C264" s="14"/>
      <c r="D264" s="87">
        <f t="shared" si="4"/>
        <v>1</v>
      </c>
      <c r="E264" s="91" t="s">
        <v>933</v>
      </c>
    </row>
    <row r="265" spans="1:5" x14ac:dyDescent="0.25">
      <c r="A265" s="87" t="s">
        <v>961</v>
      </c>
      <c r="B265" s="87" t="s">
        <v>962</v>
      </c>
      <c r="C265" s="14"/>
      <c r="D265" s="87">
        <f t="shared" si="4"/>
        <v>1</v>
      </c>
      <c r="E265" s="91" t="s">
        <v>963</v>
      </c>
    </row>
    <row r="266" spans="1:5" x14ac:dyDescent="0.25">
      <c r="A266" s="87" t="s">
        <v>964</v>
      </c>
      <c r="B266" s="87" t="s">
        <v>965</v>
      </c>
      <c r="C266" s="14"/>
      <c r="D266" s="92">
        <f t="shared" si="4"/>
        <v>1</v>
      </c>
      <c r="E266" s="91" t="s">
        <v>966</v>
      </c>
    </row>
    <row r="267" spans="1:5" x14ac:dyDescent="0.25">
      <c r="A267" s="87" t="s">
        <v>967</v>
      </c>
      <c r="B267" s="87" t="s">
        <v>968</v>
      </c>
      <c r="C267" s="14"/>
      <c r="D267" s="87">
        <f t="shared" si="4"/>
        <v>1</v>
      </c>
      <c r="E267" s="91" t="s">
        <v>933</v>
      </c>
    </row>
    <row r="268" spans="1:5" x14ac:dyDescent="0.25">
      <c r="A268" s="87" t="s">
        <v>969</v>
      </c>
      <c r="B268" s="87" t="s">
        <v>970</v>
      </c>
      <c r="C268" s="14"/>
      <c r="D268" s="87">
        <f t="shared" si="4"/>
        <v>1</v>
      </c>
      <c r="E268" s="91" t="s">
        <v>933</v>
      </c>
    </row>
    <row r="269" spans="1:5" x14ac:dyDescent="0.25">
      <c r="A269" s="87" t="s">
        <v>971</v>
      </c>
      <c r="B269" s="87" t="s">
        <v>972</v>
      </c>
      <c r="C269" s="14"/>
      <c r="D269" s="87">
        <f t="shared" si="4"/>
        <v>1</v>
      </c>
      <c r="E269" s="91" t="s">
        <v>933</v>
      </c>
    </row>
    <row r="270" spans="1:5" x14ac:dyDescent="0.25">
      <c r="A270" s="87" t="s">
        <v>973</v>
      </c>
      <c r="B270" s="87" t="s">
        <v>974</v>
      </c>
      <c r="C270" s="14"/>
      <c r="D270" s="87">
        <f t="shared" si="4"/>
        <v>1</v>
      </c>
      <c r="E270" s="91" t="s">
        <v>933</v>
      </c>
    </row>
    <row r="271" spans="1:5" x14ac:dyDescent="0.25">
      <c r="A271" s="87" t="s">
        <v>975</v>
      </c>
      <c r="B271" s="87" t="s">
        <v>976</v>
      </c>
      <c r="C271" s="14"/>
      <c r="D271" s="87">
        <f t="shared" si="4"/>
        <v>1</v>
      </c>
      <c r="E271" s="91" t="s">
        <v>933</v>
      </c>
    </row>
    <row r="272" spans="1:5" x14ac:dyDescent="0.25">
      <c r="A272" s="87" t="s">
        <v>977</v>
      </c>
      <c r="B272" s="87" t="s">
        <v>978</v>
      </c>
      <c r="C272" s="14"/>
      <c r="D272" s="87">
        <f t="shared" si="4"/>
        <v>1</v>
      </c>
      <c r="E272" s="91" t="s">
        <v>979</v>
      </c>
    </row>
    <row r="273" spans="1:5" x14ac:dyDescent="0.25">
      <c r="A273" s="88" t="s">
        <v>980</v>
      </c>
      <c r="B273" s="96" t="s">
        <v>981</v>
      </c>
      <c r="C273" s="14" t="s">
        <v>468</v>
      </c>
      <c r="D273" s="87">
        <f t="shared" si="4"/>
        <v>1</v>
      </c>
      <c r="E273" s="91" t="s">
        <v>979</v>
      </c>
    </row>
    <row r="274" spans="1:5" x14ac:dyDescent="0.25">
      <c r="A274" s="87" t="s">
        <v>982</v>
      </c>
      <c r="B274" s="87" t="s">
        <v>983</v>
      </c>
      <c r="C274" s="14"/>
      <c r="D274" s="87">
        <f t="shared" si="4"/>
        <v>1</v>
      </c>
      <c r="E274" s="91" t="s">
        <v>979</v>
      </c>
    </row>
    <row r="275" spans="1:5" x14ac:dyDescent="0.25">
      <c r="A275" s="87" t="s">
        <v>984</v>
      </c>
      <c r="B275" s="87" t="s">
        <v>985</v>
      </c>
      <c r="C275" s="14"/>
      <c r="D275" s="87">
        <f t="shared" si="4"/>
        <v>1</v>
      </c>
      <c r="E275" s="91" t="s">
        <v>979</v>
      </c>
    </row>
    <row r="276" spans="1:5" x14ac:dyDescent="0.25">
      <c r="A276" s="87" t="s">
        <v>986</v>
      </c>
      <c r="B276" s="87" t="s">
        <v>987</v>
      </c>
      <c r="C276" s="14"/>
      <c r="D276" s="87">
        <f t="shared" si="4"/>
        <v>1</v>
      </c>
      <c r="E276" s="91" t="s">
        <v>979</v>
      </c>
    </row>
    <row r="277" spans="1:5" x14ac:dyDescent="0.25">
      <c r="A277" s="87" t="s">
        <v>988</v>
      </c>
      <c r="B277" s="87" t="s">
        <v>989</v>
      </c>
      <c r="C277" s="14"/>
      <c r="D277" s="87">
        <f t="shared" si="4"/>
        <v>1</v>
      </c>
      <c r="E277" s="91" t="s">
        <v>979</v>
      </c>
    </row>
    <row r="278" spans="1:5" x14ac:dyDescent="0.25">
      <c r="A278" s="87" t="s">
        <v>990</v>
      </c>
      <c r="B278" s="87" t="s">
        <v>991</v>
      </c>
      <c r="C278" s="14"/>
      <c r="D278" s="87">
        <f t="shared" si="4"/>
        <v>1</v>
      </c>
      <c r="E278" s="91" t="s">
        <v>979</v>
      </c>
    </row>
    <row r="279" spans="1:5" x14ac:dyDescent="0.25">
      <c r="A279" s="87" t="s">
        <v>992</v>
      </c>
      <c r="B279" s="87" t="s">
        <v>558</v>
      </c>
      <c r="C279" s="14"/>
      <c r="D279" s="87">
        <f t="shared" si="4"/>
        <v>1</v>
      </c>
      <c r="E279" s="91" t="s">
        <v>979</v>
      </c>
    </row>
    <row r="280" spans="1:5" x14ac:dyDescent="0.25">
      <c r="A280" s="87" t="s">
        <v>993</v>
      </c>
      <c r="B280" s="87" t="s">
        <v>994</v>
      </c>
      <c r="C280" s="14"/>
      <c r="D280" s="87">
        <f t="shared" si="4"/>
        <v>1</v>
      </c>
      <c r="E280" s="91" t="s">
        <v>979</v>
      </c>
    </row>
    <row r="281" spans="1:5" x14ac:dyDescent="0.25">
      <c r="A281" s="87" t="s">
        <v>995</v>
      </c>
      <c r="B281" s="87" t="s">
        <v>996</v>
      </c>
      <c r="C281" s="14"/>
      <c r="D281" s="87">
        <f t="shared" si="4"/>
        <v>1</v>
      </c>
      <c r="E281" s="91" t="s">
        <v>979</v>
      </c>
    </row>
    <row r="282" spans="1:5" x14ac:dyDescent="0.25">
      <c r="A282" s="87" t="s">
        <v>997</v>
      </c>
      <c r="B282" s="87" t="s">
        <v>998</v>
      </c>
      <c r="C282" s="14"/>
      <c r="D282" s="87">
        <f t="shared" si="4"/>
        <v>1</v>
      </c>
      <c r="E282" s="91" t="s">
        <v>979</v>
      </c>
    </row>
    <row r="283" spans="1:5" x14ac:dyDescent="0.25">
      <c r="A283" s="87" t="s">
        <v>999</v>
      </c>
      <c r="B283" s="87" t="s">
        <v>1000</v>
      </c>
      <c r="C283" s="14"/>
      <c r="D283" s="87">
        <f t="shared" si="4"/>
        <v>1</v>
      </c>
      <c r="E283" s="91" t="s">
        <v>979</v>
      </c>
    </row>
    <row r="284" spans="1:5" x14ac:dyDescent="0.25">
      <c r="A284" s="87" t="s">
        <v>1001</v>
      </c>
      <c r="B284" s="87" t="s">
        <v>1002</v>
      </c>
      <c r="C284" s="14"/>
      <c r="D284" s="87">
        <f t="shared" si="4"/>
        <v>1</v>
      </c>
      <c r="E284" s="91" t="s">
        <v>979</v>
      </c>
    </row>
    <row r="285" spans="1:5" x14ac:dyDescent="0.25">
      <c r="A285" s="87" t="s">
        <v>1003</v>
      </c>
      <c r="B285" s="87" t="s">
        <v>1004</v>
      </c>
      <c r="C285" s="14"/>
      <c r="D285" s="87">
        <f t="shared" si="4"/>
        <v>1</v>
      </c>
      <c r="E285" s="91" t="s">
        <v>979</v>
      </c>
    </row>
    <row r="286" spans="1:5" x14ac:dyDescent="0.25">
      <c r="A286" s="87" t="s">
        <v>1005</v>
      </c>
      <c r="B286" s="87" t="s">
        <v>1006</v>
      </c>
      <c r="C286" s="14"/>
      <c r="D286" s="87">
        <f t="shared" si="4"/>
        <v>1</v>
      </c>
      <c r="E286" s="91" t="s">
        <v>979</v>
      </c>
    </row>
    <row r="287" spans="1:5" x14ac:dyDescent="0.25">
      <c r="A287" s="87" t="s">
        <v>1007</v>
      </c>
      <c r="B287" s="87" t="s">
        <v>996</v>
      </c>
      <c r="C287" s="14"/>
      <c r="D287" s="87">
        <f t="shared" si="4"/>
        <v>1</v>
      </c>
      <c r="E287" s="91" t="s">
        <v>979</v>
      </c>
    </row>
    <row r="288" spans="1:5" x14ac:dyDescent="0.25">
      <c r="A288" s="87" t="s">
        <v>1008</v>
      </c>
      <c r="B288" s="87" t="s">
        <v>1009</v>
      </c>
      <c r="C288" s="14"/>
      <c r="D288" s="87">
        <f t="shared" si="4"/>
        <v>1</v>
      </c>
      <c r="E288" s="91" t="s">
        <v>979</v>
      </c>
    </row>
    <row r="289" spans="1:5" x14ac:dyDescent="0.25">
      <c r="A289" s="87" t="s">
        <v>1010</v>
      </c>
      <c r="B289" s="87" t="s">
        <v>1011</v>
      </c>
      <c r="C289" s="14"/>
      <c r="D289" s="87">
        <f t="shared" si="4"/>
        <v>1</v>
      </c>
      <c r="E289" s="91" t="s">
        <v>979</v>
      </c>
    </row>
    <row r="290" spans="1:5" x14ac:dyDescent="0.25">
      <c r="A290" s="87" t="s">
        <v>1012</v>
      </c>
      <c r="B290" s="87" t="s">
        <v>1013</v>
      </c>
      <c r="C290" s="14"/>
      <c r="D290" s="87">
        <f t="shared" si="4"/>
        <v>1</v>
      </c>
      <c r="E290" s="91" t="s">
        <v>979</v>
      </c>
    </row>
    <row r="291" spans="1:5" x14ac:dyDescent="0.25">
      <c r="A291" s="87" t="s">
        <v>1014</v>
      </c>
      <c r="B291" s="87" t="s">
        <v>1015</v>
      </c>
      <c r="C291" s="14"/>
      <c r="D291" s="87">
        <f t="shared" si="4"/>
        <v>1</v>
      </c>
      <c r="E291" s="91" t="s">
        <v>979</v>
      </c>
    </row>
    <row r="292" spans="1:5" x14ac:dyDescent="0.25">
      <c r="A292" s="87" t="s">
        <v>1016</v>
      </c>
      <c r="B292" s="87" t="s">
        <v>1017</v>
      </c>
      <c r="C292" s="14"/>
      <c r="D292" s="87">
        <f t="shared" si="4"/>
        <v>1</v>
      </c>
      <c r="E292" s="91" t="s">
        <v>979</v>
      </c>
    </row>
    <row r="293" spans="1:5" x14ac:dyDescent="0.25">
      <c r="A293" s="87" t="s">
        <v>1018</v>
      </c>
      <c r="B293" s="87" t="s">
        <v>1019</v>
      </c>
      <c r="C293" s="14"/>
      <c r="D293" s="87">
        <f t="shared" si="4"/>
        <v>1</v>
      </c>
      <c r="E293" s="91" t="s">
        <v>979</v>
      </c>
    </row>
    <row r="294" spans="1:5" x14ac:dyDescent="0.25">
      <c r="A294" s="87" t="s">
        <v>1020</v>
      </c>
      <c r="B294" s="87" t="s">
        <v>1021</v>
      </c>
      <c r="C294" s="14"/>
      <c r="D294" s="87">
        <f t="shared" si="4"/>
        <v>1</v>
      </c>
      <c r="E294" s="91" t="s">
        <v>979</v>
      </c>
    </row>
    <row r="295" spans="1:5" x14ac:dyDescent="0.25">
      <c r="A295" s="87" t="s">
        <v>1022</v>
      </c>
      <c r="B295" s="87" t="s">
        <v>1023</v>
      </c>
      <c r="C295" s="14"/>
      <c r="D295" s="87">
        <f t="shared" si="4"/>
        <v>1</v>
      </c>
      <c r="E295" s="91" t="s">
        <v>979</v>
      </c>
    </row>
    <row r="296" spans="1:5" x14ac:dyDescent="0.25">
      <c r="A296" s="87" t="s">
        <v>1024</v>
      </c>
      <c r="B296" s="87" t="s">
        <v>1025</v>
      </c>
      <c r="C296" s="14"/>
      <c r="D296" s="87">
        <f t="shared" si="4"/>
        <v>1</v>
      </c>
      <c r="E296" s="91" t="s">
        <v>979</v>
      </c>
    </row>
    <row r="297" spans="1:5" x14ac:dyDescent="0.25">
      <c r="A297" s="87" t="s">
        <v>1026</v>
      </c>
      <c r="B297" s="87" t="s">
        <v>1027</v>
      </c>
      <c r="C297" s="14"/>
      <c r="D297" s="87">
        <f t="shared" si="4"/>
        <v>1</v>
      </c>
      <c r="E297" s="91" t="s">
        <v>979</v>
      </c>
    </row>
    <row r="298" spans="1:5" x14ac:dyDescent="0.25">
      <c r="A298" s="87" t="s">
        <v>1028</v>
      </c>
      <c r="B298" s="87" t="s">
        <v>1029</v>
      </c>
      <c r="C298" s="14"/>
      <c r="D298" s="87">
        <f t="shared" si="4"/>
        <v>1</v>
      </c>
      <c r="E298" s="91" t="s">
        <v>979</v>
      </c>
    </row>
    <row r="299" spans="1:5" x14ac:dyDescent="0.25">
      <c r="A299" s="87" t="s">
        <v>1030</v>
      </c>
      <c r="B299" s="87" t="s">
        <v>1031</v>
      </c>
      <c r="C299" s="14"/>
      <c r="D299" s="87">
        <f t="shared" si="4"/>
        <v>1</v>
      </c>
      <c r="E299" s="91" t="s">
        <v>979</v>
      </c>
    </row>
    <row r="300" spans="1:5" x14ac:dyDescent="0.25">
      <c r="A300" s="87" t="s">
        <v>1032</v>
      </c>
      <c r="B300" s="87" t="s">
        <v>1033</v>
      </c>
      <c r="C300" s="14"/>
      <c r="D300" s="87">
        <f t="shared" si="4"/>
        <v>1</v>
      </c>
      <c r="E300" s="91" t="s">
        <v>979</v>
      </c>
    </row>
    <row r="301" spans="1:5" x14ac:dyDescent="0.25">
      <c r="A301" s="87" t="s">
        <v>1034</v>
      </c>
      <c r="B301" s="87" t="s">
        <v>1035</v>
      </c>
      <c r="C301" s="14"/>
      <c r="D301" s="87">
        <f t="shared" si="4"/>
        <v>1</v>
      </c>
      <c r="E301" s="91" t="s">
        <v>979</v>
      </c>
    </row>
    <row r="302" spans="1:5" x14ac:dyDescent="0.25">
      <c r="A302" s="87" t="s">
        <v>1036</v>
      </c>
      <c r="B302" s="87" t="s">
        <v>1037</v>
      </c>
      <c r="C302" s="14"/>
      <c r="D302" s="87">
        <f t="shared" si="4"/>
        <v>1</v>
      </c>
      <c r="E302" s="91" t="s">
        <v>979</v>
      </c>
    </row>
    <row r="303" spans="1:5" x14ac:dyDescent="0.25">
      <c r="A303" s="87" t="s">
        <v>1038</v>
      </c>
      <c r="B303" s="87" t="s">
        <v>1039</v>
      </c>
      <c r="C303" s="14"/>
      <c r="D303" s="87">
        <f t="shared" si="4"/>
        <v>1</v>
      </c>
      <c r="E303" s="91" t="s">
        <v>979</v>
      </c>
    </row>
    <row r="304" spans="1:5" x14ac:dyDescent="0.25">
      <c r="A304" s="87" t="s">
        <v>1040</v>
      </c>
      <c r="B304" s="87" t="s">
        <v>1041</v>
      </c>
      <c r="C304" s="14"/>
      <c r="D304" s="87">
        <f t="shared" si="4"/>
        <v>1</v>
      </c>
      <c r="E304" s="91" t="s">
        <v>979</v>
      </c>
    </row>
    <row r="305" spans="1:5" x14ac:dyDescent="0.25">
      <c r="A305" s="87" t="s">
        <v>1042</v>
      </c>
      <c r="B305" s="87" t="s">
        <v>1043</v>
      </c>
      <c r="C305" s="14"/>
      <c r="D305" s="87">
        <f t="shared" si="4"/>
        <v>1</v>
      </c>
      <c r="E305" s="91" t="s">
        <v>979</v>
      </c>
    </row>
    <row r="306" spans="1:5" x14ac:dyDescent="0.25">
      <c r="A306" s="87" t="s">
        <v>1044</v>
      </c>
      <c r="B306" s="87" t="s">
        <v>1045</v>
      </c>
      <c r="C306" s="14"/>
      <c r="D306" s="87">
        <f t="shared" si="4"/>
        <v>1</v>
      </c>
      <c r="E306" s="91" t="s">
        <v>979</v>
      </c>
    </row>
    <row r="307" spans="1:5" x14ac:dyDescent="0.25">
      <c r="A307" s="87" t="s">
        <v>1046</v>
      </c>
      <c r="B307" s="87" t="s">
        <v>1047</v>
      </c>
      <c r="C307" s="14"/>
      <c r="D307" s="87">
        <f t="shared" si="4"/>
        <v>1</v>
      </c>
      <c r="E307" s="91" t="s">
        <v>979</v>
      </c>
    </row>
    <row r="308" spans="1:5" x14ac:dyDescent="0.25">
      <c r="A308" s="87" t="s">
        <v>1048</v>
      </c>
      <c r="B308" s="87" t="s">
        <v>1049</v>
      </c>
      <c r="C308" s="14"/>
      <c r="D308" s="87">
        <f t="shared" si="4"/>
        <v>1</v>
      </c>
      <c r="E308" s="91" t="s">
        <v>979</v>
      </c>
    </row>
    <row r="309" spans="1:5" x14ac:dyDescent="0.25">
      <c r="A309" s="87" t="s">
        <v>1050</v>
      </c>
      <c r="B309" s="87" t="s">
        <v>1051</v>
      </c>
      <c r="C309" s="14"/>
      <c r="D309" s="87">
        <f t="shared" si="4"/>
        <v>1</v>
      </c>
      <c r="E309" s="91" t="s">
        <v>979</v>
      </c>
    </row>
    <row r="310" spans="1:5" x14ac:dyDescent="0.25">
      <c r="A310" s="87" t="s">
        <v>1052</v>
      </c>
      <c r="B310" s="87" t="s">
        <v>1053</v>
      </c>
      <c r="C310" s="14"/>
      <c r="D310" s="87">
        <f t="shared" si="4"/>
        <v>1</v>
      </c>
      <c r="E310" s="91" t="s">
        <v>979</v>
      </c>
    </row>
    <row r="311" spans="1:5" x14ac:dyDescent="0.25">
      <c r="A311" s="87" t="s">
        <v>1054</v>
      </c>
      <c r="B311" s="87" t="s">
        <v>1055</v>
      </c>
      <c r="C311" s="14"/>
      <c r="D311" s="87">
        <f t="shared" si="4"/>
        <v>1</v>
      </c>
      <c r="E311" s="91" t="s">
        <v>979</v>
      </c>
    </row>
    <row r="312" spans="1:5" x14ac:dyDescent="0.25">
      <c r="A312" s="87" t="s">
        <v>1056</v>
      </c>
      <c r="B312" s="87" t="s">
        <v>1057</v>
      </c>
      <c r="C312" s="14"/>
      <c r="D312" s="87">
        <f t="shared" si="4"/>
        <v>1</v>
      </c>
      <c r="E312" s="91" t="s">
        <v>979</v>
      </c>
    </row>
    <row r="313" spans="1:5" x14ac:dyDescent="0.25">
      <c r="A313" s="87" t="s">
        <v>1058</v>
      </c>
      <c r="B313" s="87" t="s">
        <v>1059</v>
      </c>
      <c r="C313" s="14"/>
      <c r="D313" s="87">
        <f t="shared" si="4"/>
        <v>1</v>
      </c>
      <c r="E313" s="91" t="s">
        <v>979</v>
      </c>
    </row>
    <row r="314" spans="1:5" x14ac:dyDescent="0.25">
      <c r="A314" s="87" t="s">
        <v>1060</v>
      </c>
      <c r="B314" s="87" t="s">
        <v>1061</v>
      </c>
      <c r="C314" s="14"/>
      <c r="D314" s="87">
        <f t="shared" si="4"/>
        <v>1</v>
      </c>
      <c r="E314" s="91" t="s">
        <v>979</v>
      </c>
    </row>
    <row r="315" spans="1:5" x14ac:dyDescent="0.25">
      <c r="A315" s="87" t="s">
        <v>1062</v>
      </c>
      <c r="B315" s="87" t="s">
        <v>1063</v>
      </c>
      <c r="C315" s="14"/>
      <c r="D315" s="87">
        <f t="shared" si="4"/>
        <v>1</v>
      </c>
      <c r="E315" s="91" t="s">
        <v>979</v>
      </c>
    </row>
    <row r="316" spans="1:5" x14ac:dyDescent="0.25">
      <c r="A316" s="87" t="s">
        <v>1064</v>
      </c>
      <c r="B316" s="87" t="s">
        <v>1065</v>
      </c>
      <c r="C316" s="14"/>
      <c r="D316" s="87">
        <f t="shared" si="4"/>
        <v>1</v>
      </c>
      <c r="E316" s="91" t="s">
        <v>979</v>
      </c>
    </row>
    <row r="317" spans="1:5" x14ac:dyDescent="0.25">
      <c r="A317" s="87" t="s">
        <v>1066</v>
      </c>
      <c r="B317" s="87" t="s">
        <v>1067</v>
      </c>
      <c r="C317" s="14"/>
      <c r="D317" s="87">
        <f t="shared" si="4"/>
        <v>1</v>
      </c>
      <c r="E317" s="91" t="s">
        <v>979</v>
      </c>
    </row>
    <row r="318" spans="1:5" x14ac:dyDescent="0.25">
      <c r="A318" s="87" t="s">
        <v>1068</v>
      </c>
      <c r="B318" s="87" t="s">
        <v>1069</v>
      </c>
      <c r="C318" s="14"/>
      <c r="D318" s="87">
        <f t="shared" si="4"/>
        <v>1</v>
      </c>
      <c r="E318" s="91" t="s">
        <v>979</v>
      </c>
    </row>
    <row r="319" spans="1:5" x14ac:dyDescent="0.25">
      <c r="A319" s="104" t="s">
        <v>1070</v>
      </c>
      <c r="B319" s="87" t="s">
        <v>1071</v>
      </c>
      <c r="C319" s="14" t="s">
        <v>468</v>
      </c>
      <c r="D319" s="87">
        <f t="shared" si="4"/>
        <v>1</v>
      </c>
      <c r="E319" s="91" t="s">
        <v>979</v>
      </c>
    </row>
    <row r="320" spans="1:5" x14ac:dyDescent="0.25">
      <c r="A320" s="87" t="s">
        <v>1072</v>
      </c>
      <c r="B320" s="87" t="s">
        <v>1073</v>
      </c>
      <c r="C320" s="14"/>
      <c r="D320" s="87">
        <f t="shared" si="4"/>
        <v>1</v>
      </c>
      <c r="E320" s="91" t="s">
        <v>979</v>
      </c>
    </row>
    <row r="321" spans="1:5" x14ac:dyDescent="0.25">
      <c r="A321" s="87" t="s">
        <v>1074</v>
      </c>
      <c r="B321" s="87" t="s">
        <v>1075</v>
      </c>
      <c r="C321" s="14"/>
      <c r="D321" s="87">
        <f t="shared" si="4"/>
        <v>1</v>
      </c>
      <c r="E321" s="91" t="s">
        <v>979</v>
      </c>
    </row>
    <row r="322" spans="1:5" x14ac:dyDescent="0.25">
      <c r="A322" s="87" t="s">
        <v>1076</v>
      </c>
      <c r="B322" s="87" t="s">
        <v>1077</v>
      </c>
      <c r="C322" s="14"/>
      <c r="D322" s="87">
        <f t="shared" ref="D322:D385" si="5">IF(B322&lt;&gt;C322,1,0)</f>
        <v>1</v>
      </c>
      <c r="E322" s="91" t="s">
        <v>979</v>
      </c>
    </row>
    <row r="323" spans="1:5" x14ac:dyDescent="0.25">
      <c r="A323" s="87" t="s">
        <v>1078</v>
      </c>
      <c r="B323" s="87" t="s">
        <v>1079</v>
      </c>
      <c r="C323" s="14"/>
      <c r="D323" s="87">
        <f t="shared" si="5"/>
        <v>1</v>
      </c>
      <c r="E323" s="91" t="s">
        <v>979</v>
      </c>
    </row>
    <row r="324" spans="1:5" x14ac:dyDescent="0.25">
      <c r="A324" s="87" t="s">
        <v>1080</v>
      </c>
      <c r="B324" s="87" t="s">
        <v>1081</v>
      </c>
      <c r="C324" s="14"/>
      <c r="D324" s="87">
        <f t="shared" si="5"/>
        <v>1</v>
      </c>
      <c r="E324" s="91" t="s">
        <v>979</v>
      </c>
    </row>
    <row r="325" spans="1:5" x14ac:dyDescent="0.25">
      <c r="A325" s="87" t="s">
        <v>1082</v>
      </c>
      <c r="B325" s="87" t="s">
        <v>1083</v>
      </c>
      <c r="C325" s="14"/>
      <c r="D325" s="87">
        <f t="shared" si="5"/>
        <v>1</v>
      </c>
      <c r="E325" s="91" t="s">
        <v>979</v>
      </c>
    </row>
    <row r="326" spans="1:5" x14ac:dyDescent="0.25">
      <c r="A326" s="87" t="s">
        <v>1084</v>
      </c>
      <c r="B326" s="87" t="s">
        <v>1085</v>
      </c>
      <c r="C326" s="14"/>
      <c r="D326" s="87">
        <f t="shared" si="5"/>
        <v>1</v>
      </c>
      <c r="E326" s="91" t="s">
        <v>979</v>
      </c>
    </row>
    <row r="327" spans="1:5" x14ac:dyDescent="0.25">
      <c r="A327" s="87" t="s">
        <v>1086</v>
      </c>
      <c r="B327" s="87" t="s">
        <v>1087</v>
      </c>
      <c r="C327" s="14"/>
      <c r="D327" s="87">
        <f t="shared" si="5"/>
        <v>1</v>
      </c>
      <c r="E327" s="91" t="s">
        <v>979</v>
      </c>
    </row>
    <row r="328" spans="1:5" x14ac:dyDescent="0.25">
      <c r="A328" s="87" t="s">
        <v>1088</v>
      </c>
      <c r="B328" s="87" t="s">
        <v>1089</v>
      </c>
      <c r="C328" s="14"/>
      <c r="D328" s="87">
        <f t="shared" si="5"/>
        <v>1</v>
      </c>
      <c r="E328" s="91" t="s">
        <v>979</v>
      </c>
    </row>
    <row r="329" spans="1:5" x14ac:dyDescent="0.25">
      <c r="A329" s="87" t="s">
        <v>1090</v>
      </c>
      <c r="B329" s="87" t="s">
        <v>1091</v>
      </c>
      <c r="C329" s="14"/>
      <c r="D329" s="87">
        <f t="shared" si="5"/>
        <v>1</v>
      </c>
      <c r="E329" s="91" t="s">
        <v>979</v>
      </c>
    </row>
    <row r="330" spans="1:5" x14ac:dyDescent="0.25">
      <c r="A330" s="87" t="s">
        <v>1092</v>
      </c>
      <c r="B330" s="87" t="s">
        <v>1093</v>
      </c>
      <c r="C330" s="14"/>
      <c r="D330" s="87">
        <f t="shared" si="5"/>
        <v>1</v>
      </c>
      <c r="E330" s="91" t="s">
        <v>979</v>
      </c>
    </row>
    <row r="331" spans="1:5" x14ac:dyDescent="0.25">
      <c r="A331" s="87" t="s">
        <v>1094</v>
      </c>
      <c r="B331" s="87" t="s">
        <v>1095</v>
      </c>
      <c r="C331" s="14"/>
      <c r="D331" s="87">
        <f t="shared" si="5"/>
        <v>1</v>
      </c>
      <c r="E331" s="91" t="s">
        <v>979</v>
      </c>
    </row>
    <row r="332" spans="1:5" x14ac:dyDescent="0.25">
      <c r="A332" s="87" t="s">
        <v>1096</v>
      </c>
      <c r="B332" s="87" t="s">
        <v>1097</v>
      </c>
      <c r="C332" s="14"/>
      <c r="D332" s="87">
        <f t="shared" si="5"/>
        <v>1</v>
      </c>
      <c r="E332" s="91" t="s">
        <v>979</v>
      </c>
    </row>
    <row r="333" spans="1:5" x14ac:dyDescent="0.25">
      <c r="A333" s="87" t="s">
        <v>1098</v>
      </c>
      <c r="B333" s="87" t="s">
        <v>1099</v>
      </c>
      <c r="C333" s="14"/>
      <c r="D333" s="87">
        <f t="shared" si="5"/>
        <v>1</v>
      </c>
      <c r="E333" s="91" t="s">
        <v>979</v>
      </c>
    </row>
    <row r="334" spans="1:5" x14ac:dyDescent="0.25">
      <c r="A334" s="87" t="s">
        <v>1100</v>
      </c>
      <c r="B334" s="87" t="s">
        <v>1101</v>
      </c>
      <c r="C334" s="14"/>
      <c r="D334" s="87">
        <f t="shared" si="5"/>
        <v>1</v>
      </c>
      <c r="E334" s="91" t="s">
        <v>979</v>
      </c>
    </row>
    <row r="335" spans="1:5" x14ac:dyDescent="0.25">
      <c r="A335" s="87" t="s">
        <v>1102</v>
      </c>
      <c r="B335" s="87" t="s">
        <v>1103</v>
      </c>
      <c r="C335" s="14"/>
      <c r="D335" s="87">
        <f t="shared" si="5"/>
        <v>1</v>
      </c>
      <c r="E335" s="91" t="s">
        <v>979</v>
      </c>
    </row>
    <row r="336" spans="1:5" x14ac:dyDescent="0.25">
      <c r="A336" s="87" t="s">
        <v>1104</v>
      </c>
      <c r="B336" s="87" t="s">
        <v>1105</v>
      </c>
      <c r="C336" s="14"/>
      <c r="D336" s="87">
        <f t="shared" si="5"/>
        <v>1</v>
      </c>
      <c r="E336" s="91" t="s">
        <v>979</v>
      </c>
    </row>
    <row r="337" spans="1:5" x14ac:dyDescent="0.25">
      <c r="A337" s="87" t="s">
        <v>1106</v>
      </c>
      <c r="B337" s="87" t="s">
        <v>1107</v>
      </c>
      <c r="C337" s="14"/>
      <c r="D337" s="87">
        <f t="shared" si="5"/>
        <v>1</v>
      </c>
      <c r="E337" s="91" t="s">
        <v>979</v>
      </c>
    </row>
    <row r="338" spans="1:5" x14ac:dyDescent="0.25">
      <c r="A338" s="87" t="s">
        <v>1108</v>
      </c>
      <c r="B338" s="87" t="s">
        <v>1109</v>
      </c>
      <c r="C338" s="14"/>
      <c r="D338" s="87">
        <f t="shared" si="5"/>
        <v>1</v>
      </c>
      <c r="E338" s="91" t="s">
        <v>979</v>
      </c>
    </row>
    <row r="339" spans="1:5" x14ac:dyDescent="0.25">
      <c r="A339" s="87" t="s">
        <v>1110</v>
      </c>
      <c r="B339" s="87" t="s">
        <v>1111</v>
      </c>
      <c r="C339" s="14"/>
      <c r="D339" s="87">
        <f t="shared" si="5"/>
        <v>1</v>
      </c>
      <c r="E339" s="91" t="s">
        <v>979</v>
      </c>
    </row>
    <row r="340" spans="1:5" x14ac:dyDescent="0.25">
      <c r="A340" s="87" t="s">
        <v>1112</v>
      </c>
      <c r="B340" s="87" t="s">
        <v>1113</v>
      </c>
      <c r="C340" s="14"/>
      <c r="D340" s="87">
        <f t="shared" si="5"/>
        <v>1</v>
      </c>
      <c r="E340" s="91" t="s">
        <v>979</v>
      </c>
    </row>
    <row r="341" spans="1:5" x14ac:dyDescent="0.25">
      <c r="A341" s="87" t="s">
        <v>1114</v>
      </c>
      <c r="B341" s="87" t="s">
        <v>1115</v>
      </c>
      <c r="C341" s="14"/>
      <c r="D341" s="87">
        <f t="shared" si="5"/>
        <v>1</v>
      </c>
      <c r="E341" s="91" t="s">
        <v>979</v>
      </c>
    </row>
    <row r="342" spans="1:5" x14ac:dyDescent="0.25">
      <c r="A342" s="87" t="s">
        <v>1116</v>
      </c>
      <c r="B342" s="87" t="s">
        <v>1117</v>
      </c>
      <c r="C342" s="14"/>
      <c r="D342" s="87">
        <f t="shared" si="5"/>
        <v>1</v>
      </c>
      <c r="E342" s="91" t="s">
        <v>979</v>
      </c>
    </row>
    <row r="343" spans="1:5" x14ac:dyDescent="0.25">
      <c r="A343" s="87" t="s">
        <v>1118</v>
      </c>
      <c r="B343" s="87" t="s">
        <v>1119</v>
      </c>
      <c r="C343" s="14"/>
      <c r="D343" s="87">
        <f t="shared" si="5"/>
        <v>1</v>
      </c>
      <c r="E343" s="91" t="s">
        <v>979</v>
      </c>
    </row>
    <row r="344" spans="1:5" x14ac:dyDescent="0.25">
      <c r="A344" s="87" t="s">
        <v>1120</v>
      </c>
      <c r="B344" s="87" t="s">
        <v>1121</v>
      </c>
      <c r="C344" s="14"/>
      <c r="D344" s="87">
        <f t="shared" si="5"/>
        <v>1</v>
      </c>
      <c r="E344" s="91" t="s">
        <v>979</v>
      </c>
    </row>
    <row r="345" spans="1:5" x14ac:dyDescent="0.25">
      <c r="A345" s="87" t="s">
        <v>1122</v>
      </c>
      <c r="B345" s="87" t="s">
        <v>1123</v>
      </c>
      <c r="C345" s="14"/>
      <c r="D345" s="87">
        <f t="shared" si="5"/>
        <v>1</v>
      </c>
      <c r="E345" s="91" t="s">
        <v>979</v>
      </c>
    </row>
    <row r="346" spans="1:5" x14ac:dyDescent="0.25">
      <c r="A346" s="87" t="s">
        <v>1124</v>
      </c>
      <c r="B346" s="87" t="s">
        <v>1125</v>
      </c>
      <c r="C346" s="14"/>
      <c r="D346" s="87">
        <f t="shared" si="5"/>
        <v>1</v>
      </c>
      <c r="E346" s="91" t="s">
        <v>979</v>
      </c>
    </row>
    <row r="347" spans="1:5" x14ac:dyDescent="0.25">
      <c r="A347" s="87" t="s">
        <v>1126</v>
      </c>
      <c r="B347" s="87" t="s">
        <v>1127</v>
      </c>
      <c r="C347" s="14"/>
      <c r="D347" s="87">
        <f t="shared" si="5"/>
        <v>1</v>
      </c>
      <c r="E347" s="91" t="s">
        <v>979</v>
      </c>
    </row>
    <row r="348" spans="1:5" x14ac:dyDescent="0.25">
      <c r="A348" s="87" t="s">
        <v>1128</v>
      </c>
      <c r="B348" s="87" t="s">
        <v>1129</v>
      </c>
      <c r="C348" s="14"/>
      <c r="D348" s="87">
        <f t="shared" si="5"/>
        <v>1</v>
      </c>
      <c r="E348" s="91" t="s">
        <v>1130</v>
      </c>
    </row>
    <row r="349" spans="1:5" x14ac:dyDescent="0.25">
      <c r="A349" s="87" t="s">
        <v>1131</v>
      </c>
      <c r="B349" s="87" t="s">
        <v>1132</v>
      </c>
      <c r="C349" s="14"/>
      <c r="D349" s="87">
        <f t="shared" si="5"/>
        <v>1</v>
      </c>
      <c r="E349" s="91" t="s">
        <v>1130</v>
      </c>
    </row>
    <row r="350" spans="1:5" x14ac:dyDescent="0.25">
      <c r="A350" s="87" t="s">
        <v>1133</v>
      </c>
      <c r="B350" s="87" t="s">
        <v>1134</v>
      </c>
      <c r="C350" s="14"/>
      <c r="D350" s="87">
        <f t="shared" si="5"/>
        <v>1</v>
      </c>
      <c r="E350" s="91" t="s">
        <v>1130</v>
      </c>
    </row>
    <row r="351" spans="1:5" x14ac:dyDescent="0.25">
      <c r="A351" s="87" t="s">
        <v>1135</v>
      </c>
      <c r="B351" s="87" t="s">
        <v>1136</v>
      </c>
      <c r="C351" s="14"/>
      <c r="D351" s="87">
        <f t="shared" si="5"/>
        <v>1</v>
      </c>
      <c r="E351" s="91" t="s">
        <v>1130</v>
      </c>
    </row>
    <row r="352" spans="1:5" x14ac:dyDescent="0.25">
      <c r="A352" s="87" t="s">
        <v>1137</v>
      </c>
      <c r="B352" s="87" t="s">
        <v>1138</v>
      </c>
      <c r="C352" s="14"/>
      <c r="D352" s="87">
        <f t="shared" si="5"/>
        <v>1</v>
      </c>
      <c r="E352" s="91" t="s">
        <v>1130</v>
      </c>
    </row>
    <row r="353" spans="1:5" x14ac:dyDescent="0.25">
      <c r="A353" s="87" t="s">
        <v>1139</v>
      </c>
      <c r="B353" s="87" t="s">
        <v>1140</v>
      </c>
      <c r="C353" s="14"/>
      <c r="D353" s="87">
        <f t="shared" si="5"/>
        <v>1</v>
      </c>
      <c r="E353" s="91" t="s">
        <v>1130</v>
      </c>
    </row>
    <row r="354" spans="1:5" x14ac:dyDescent="0.25">
      <c r="A354" s="87" t="s">
        <v>1141</v>
      </c>
      <c r="B354" s="87" t="s">
        <v>1142</v>
      </c>
      <c r="C354" s="14"/>
      <c r="D354" s="87">
        <f t="shared" si="5"/>
        <v>1</v>
      </c>
      <c r="E354" s="91" t="s">
        <v>1143</v>
      </c>
    </row>
    <row r="355" spans="1:5" x14ac:dyDescent="0.25">
      <c r="A355" s="87" t="s">
        <v>1144</v>
      </c>
      <c r="B355" s="87" t="s">
        <v>1145</v>
      </c>
      <c r="C355" s="14"/>
      <c r="D355" s="87">
        <f t="shared" si="5"/>
        <v>1</v>
      </c>
      <c r="E355" s="91" t="s">
        <v>1143</v>
      </c>
    </row>
    <row r="356" spans="1:5" x14ac:dyDescent="0.25">
      <c r="A356" s="87" t="s">
        <v>1146</v>
      </c>
      <c r="B356" s="87" t="s">
        <v>1147</v>
      </c>
      <c r="C356" s="14"/>
      <c r="D356" s="87">
        <f t="shared" si="5"/>
        <v>1</v>
      </c>
      <c r="E356" s="91" t="s">
        <v>1130</v>
      </c>
    </row>
    <row r="357" spans="1:5" x14ac:dyDescent="0.25">
      <c r="A357" s="87" t="s">
        <v>1148</v>
      </c>
      <c r="B357" s="87" t="s">
        <v>1149</v>
      </c>
      <c r="C357" s="14"/>
      <c r="D357" s="87">
        <f t="shared" si="5"/>
        <v>1</v>
      </c>
      <c r="E357" s="91" t="s">
        <v>1130</v>
      </c>
    </row>
    <row r="358" spans="1:5" x14ac:dyDescent="0.25">
      <c r="A358" s="87" t="s">
        <v>1150</v>
      </c>
      <c r="B358" s="87" t="s">
        <v>1151</v>
      </c>
      <c r="C358" s="14"/>
      <c r="D358" s="87">
        <f t="shared" si="5"/>
        <v>1</v>
      </c>
      <c r="E358" s="91" t="s">
        <v>1130</v>
      </c>
    </row>
    <row r="359" spans="1:5" x14ac:dyDescent="0.25">
      <c r="A359" s="87" t="s">
        <v>1152</v>
      </c>
      <c r="B359" s="87" t="s">
        <v>1153</v>
      </c>
      <c r="C359" s="14"/>
      <c r="D359" s="87">
        <f t="shared" si="5"/>
        <v>1</v>
      </c>
      <c r="E359" s="91" t="s">
        <v>1130</v>
      </c>
    </row>
    <row r="360" spans="1:5" x14ac:dyDescent="0.25">
      <c r="A360" s="87" t="s">
        <v>1154</v>
      </c>
      <c r="B360" s="87" t="s">
        <v>1155</v>
      </c>
      <c r="C360" s="14"/>
      <c r="D360" s="87">
        <f t="shared" si="5"/>
        <v>1</v>
      </c>
      <c r="E360" s="91" t="s">
        <v>1130</v>
      </c>
    </row>
    <row r="361" spans="1:5" x14ac:dyDescent="0.25">
      <c r="A361" s="87" t="s">
        <v>1156</v>
      </c>
      <c r="B361" s="87" t="s">
        <v>1157</v>
      </c>
      <c r="C361" s="14"/>
      <c r="D361" s="87">
        <f t="shared" si="5"/>
        <v>1</v>
      </c>
      <c r="E361" s="91" t="s">
        <v>1130</v>
      </c>
    </row>
    <row r="362" spans="1:5" x14ac:dyDescent="0.25">
      <c r="A362" s="87" t="s">
        <v>1158</v>
      </c>
      <c r="B362" s="87" t="s">
        <v>1159</v>
      </c>
      <c r="C362" s="14"/>
      <c r="D362" s="87">
        <f t="shared" si="5"/>
        <v>1</v>
      </c>
      <c r="E362" s="91" t="s">
        <v>1130</v>
      </c>
    </row>
    <row r="363" spans="1:5" x14ac:dyDescent="0.25">
      <c r="A363" s="87" t="s">
        <v>1160</v>
      </c>
      <c r="B363" s="87" t="s">
        <v>1161</v>
      </c>
      <c r="C363" s="14"/>
      <c r="D363" s="87">
        <f t="shared" si="5"/>
        <v>1</v>
      </c>
      <c r="E363" s="91" t="s">
        <v>1130</v>
      </c>
    </row>
    <row r="364" spans="1:5" x14ac:dyDescent="0.25">
      <c r="A364" s="87" t="s">
        <v>1162</v>
      </c>
      <c r="B364" s="87" t="s">
        <v>1163</v>
      </c>
      <c r="C364" s="14"/>
      <c r="D364" s="87">
        <f t="shared" si="5"/>
        <v>1</v>
      </c>
      <c r="E364" s="91" t="s">
        <v>1130</v>
      </c>
    </row>
    <row r="365" spans="1:5" x14ac:dyDescent="0.25">
      <c r="A365" s="87" t="s">
        <v>1164</v>
      </c>
      <c r="B365" s="87" t="s">
        <v>1165</v>
      </c>
      <c r="C365" s="14"/>
      <c r="D365" s="87">
        <f t="shared" si="5"/>
        <v>1</v>
      </c>
      <c r="E365" s="91" t="s">
        <v>1130</v>
      </c>
    </row>
    <row r="366" spans="1:5" x14ac:dyDescent="0.25">
      <c r="A366" s="87" t="s">
        <v>1166</v>
      </c>
      <c r="B366" s="87" t="s">
        <v>1167</v>
      </c>
      <c r="C366" s="14"/>
      <c r="D366" s="87">
        <f t="shared" si="5"/>
        <v>1</v>
      </c>
      <c r="E366" s="91" t="s">
        <v>1130</v>
      </c>
    </row>
    <row r="367" spans="1:5" x14ac:dyDescent="0.25">
      <c r="A367" s="87" t="s">
        <v>1168</v>
      </c>
      <c r="B367" s="87" t="s">
        <v>1169</v>
      </c>
      <c r="C367" s="14"/>
      <c r="D367" s="87">
        <f t="shared" si="5"/>
        <v>1</v>
      </c>
      <c r="E367" s="91" t="s">
        <v>1130</v>
      </c>
    </row>
    <row r="368" spans="1:5" x14ac:dyDescent="0.25">
      <c r="A368" s="87" t="s">
        <v>1170</v>
      </c>
      <c r="B368" s="87" t="s">
        <v>1171</v>
      </c>
      <c r="C368" s="14"/>
      <c r="D368" s="87">
        <f t="shared" si="5"/>
        <v>1</v>
      </c>
      <c r="E368" s="91" t="s">
        <v>1130</v>
      </c>
    </row>
    <row r="369" spans="1:5" x14ac:dyDescent="0.25">
      <c r="A369" s="88" t="s">
        <v>1172</v>
      </c>
      <c r="B369" s="87" t="s">
        <v>1173</v>
      </c>
      <c r="C369" s="14"/>
      <c r="D369" s="87">
        <f t="shared" si="5"/>
        <v>1</v>
      </c>
      <c r="E369" s="91" t="s">
        <v>1130</v>
      </c>
    </row>
    <row r="370" spans="1:5" x14ac:dyDescent="0.25">
      <c r="A370" s="87" t="s">
        <v>1174</v>
      </c>
      <c r="B370" s="87" t="s">
        <v>1175</v>
      </c>
      <c r="C370" s="14"/>
      <c r="D370" s="87">
        <f t="shared" si="5"/>
        <v>1</v>
      </c>
      <c r="E370" s="91" t="s">
        <v>1130</v>
      </c>
    </row>
    <row r="371" spans="1:5" x14ac:dyDescent="0.25">
      <c r="A371" s="87" t="s">
        <v>1176</v>
      </c>
      <c r="B371" s="87" t="s">
        <v>1177</v>
      </c>
      <c r="C371" s="14"/>
      <c r="D371" s="87">
        <f t="shared" si="5"/>
        <v>1</v>
      </c>
      <c r="E371" s="91" t="s">
        <v>1130</v>
      </c>
    </row>
    <row r="372" spans="1:5" x14ac:dyDescent="0.25">
      <c r="A372" s="87" t="s">
        <v>1178</v>
      </c>
      <c r="B372" s="87" t="s">
        <v>1179</v>
      </c>
      <c r="C372" s="14"/>
      <c r="D372" s="87">
        <f t="shared" si="5"/>
        <v>1</v>
      </c>
      <c r="E372" s="91" t="s">
        <v>1130</v>
      </c>
    </row>
    <row r="373" spans="1:5" x14ac:dyDescent="0.25">
      <c r="A373" s="87" t="s">
        <v>1180</v>
      </c>
      <c r="B373" s="87" t="s">
        <v>1181</v>
      </c>
      <c r="C373" s="14"/>
      <c r="D373" s="87">
        <f t="shared" si="5"/>
        <v>1</v>
      </c>
      <c r="E373" s="91" t="s">
        <v>1130</v>
      </c>
    </row>
    <row r="374" spans="1:5" x14ac:dyDescent="0.25">
      <c r="A374" s="87" t="s">
        <v>1182</v>
      </c>
      <c r="B374" s="87" t="s">
        <v>1183</v>
      </c>
      <c r="C374" s="14"/>
      <c r="D374" s="87">
        <f t="shared" si="5"/>
        <v>1</v>
      </c>
      <c r="E374" s="91" t="s">
        <v>1130</v>
      </c>
    </row>
    <row r="375" spans="1:5" x14ac:dyDescent="0.25">
      <c r="A375" s="87" t="s">
        <v>1184</v>
      </c>
      <c r="B375" s="87" t="s">
        <v>1185</v>
      </c>
      <c r="C375" s="14"/>
      <c r="D375" s="87">
        <f t="shared" si="5"/>
        <v>1</v>
      </c>
      <c r="E375" s="91" t="s">
        <v>1130</v>
      </c>
    </row>
    <row r="376" spans="1:5" x14ac:dyDescent="0.25">
      <c r="A376" s="87" t="s">
        <v>1186</v>
      </c>
      <c r="B376" s="87" t="s">
        <v>1187</v>
      </c>
      <c r="C376" s="14"/>
      <c r="D376" s="87">
        <f t="shared" si="5"/>
        <v>1</v>
      </c>
      <c r="E376" s="91" t="s">
        <v>1130</v>
      </c>
    </row>
    <row r="377" spans="1:5" x14ac:dyDescent="0.25">
      <c r="A377" s="87" t="s">
        <v>1188</v>
      </c>
      <c r="B377" s="87" t="s">
        <v>1189</v>
      </c>
      <c r="C377" s="14"/>
      <c r="D377" s="87">
        <f t="shared" si="5"/>
        <v>1</v>
      </c>
      <c r="E377" s="91" t="s">
        <v>1130</v>
      </c>
    </row>
    <row r="378" spans="1:5" x14ac:dyDescent="0.25">
      <c r="A378" s="87" t="s">
        <v>1190</v>
      </c>
      <c r="B378" s="87" t="s">
        <v>1191</v>
      </c>
      <c r="C378" s="14"/>
      <c r="D378" s="87">
        <f t="shared" si="5"/>
        <v>1</v>
      </c>
      <c r="E378" s="91" t="s">
        <v>1130</v>
      </c>
    </row>
    <row r="379" spans="1:5" x14ac:dyDescent="0.25">
      <c r="A379" s="87" t="s">
        <v>1192</v>
      </c>
      <c r="B379" s="87" t="s">
        <v>1193</v>
      </c>
      <c r="C379" s="14"/>
      <c r="D379" s="87">
        <f t="shared" si="5"/>
        <v>1</v>
      </c>
      <c r="E379" s="91" t="s">
        <v>1130</v>
      </c>
    </row>
    <row r="380" spans="1:5" x14ac:dyDescent="0.25">
      <c r="A380" s="87" t="s">
        <v>1194</v>
      </c>
      <c r="B380" s="87" t="s">
        <v>1195</v>
      </c>
      <c r="C380" s="14"/>
      <c r="D380" s="87">
        <f t="shared" si="5"/>
        <v>1</v>
      </c>
      <c r="E380" s="91" t="s">
        <v>1130</v>
      </c>
    </row>
    <row r="381" spans="1:5" x14ac:dyDescent="0.25">
      <c r="A381" s="87" t="s">
        <v>1196</v>
      </c>
      <c r="B381" s="87" t="s">
        <v>1197</v>
      </c>
      <c r="C381" s="14"/>
      <c r="D381" s="87">
        <f t="shared" si="5"/>
        <v>1</v>
      </c>
      <c r="E381" s="91" t="s">
        <v>1130</v>
      </c>
    </row>
    <row r="382" spans="1:5" x14ac:dyDescent="0.25">
      <c r="A382" s="87" t="s">
        <v>1198</v>
      </c>
      <c r="B382" s="87" t="s">
        <v>1199</v>
      </c>
      <c r="C382" s="14"/>
      <c r="D382" s="87">
        <f t="shared" si="5"/>
        <v>1</v>
      </c>
      <c r="E382" s="91" t="s">
        <v>1130</v>
      </c>
    </row>
    <row r="383" spans="1:5" x14ac:dyDescent="0.25">
      <c r="A383" s="87" t="s">
        <v>1200</v>
      </c>
      <c r="B383" s="87" t="s">
        <v>1201</v>
      </c>
      <c r="C383" s="14"/>
      <c r="D383" s="87">
        <f t="shared" si="5"/>
        <v>1</v>
      </c>
      <c r="E383" s="91" t="s">
        <v>1130</v>
      </c>
    </row>
    <row r="384" spans="1:5" x14ac:dyDescent="0.25">
      <c r="A384" s="87" t="s">
        <v>1202</v>
      </c>
      <c r="B384" s="87" t="s">
        <v>1203</v>
      </c>
      <c r="C384" s="14"/>
      <c r="D384" s="87">
        <f t="shared" si="5"/>
        <v>1</v>
      </c>
      <c r="E384" s="91" t="s">
        <v>1130</v>
      </c>
    </row>
    <row r="385" spans="1:5" x14ac:dyDescent="0.25">
      <c r="A385" s="87" t="s">
        <v>1204</v>
      </c>
      <c r="B385" s="87" t="s">
        <v>1205</v>
      </c>
      <c r="C385" s="14"/>
      <c r="D385" s="87">
        <f t="shared" si="5"/>
        <v>1</v>
      </c>
      <c r="E385" s="91" t="s">
        <v>1130</v>
      </c>
    </row>
    <row r="386" spans="1:5" x14ac:dyDescent="0.25">
      <c r="A386" s="87" t="s">
        <v>1206</v>
      </c>
      <c r="B386" s="87" t="s">
        <v>1207</v>
      </c>
      <c r="C386" s="14"/>
      <c r="D386" s="87">
        <f t="shared" ref="D386:D449" si="6">IF(B386&lt;&gt;C386,1,0)</f>
        <v>1</v>
      </c>
      <c r="E386" s="91" t="s">
        <v>1130</v>
      </c>
    </row>
    <row r="387" spans="1:5" x14ac:dyDescent="0.25">
      <c r="A387" s="87" t="s">
        <v>1208</v>
      </c>
      <c r="B387" s="87" t="s">
        <v>1209</v>
      </c>
      <c r="C387" s="14"/>
      <c r="D387" s="87">
        <f t="shared" si="6"/>
        <v>1</v>
      </c>
      <c r="E387" s="91" t="s">
        <v>1130</v>
      </c>
    </row>
    <row r="388" spans="1:5" x14ac:dyDescent="0.25">
      <c r="A388" s="87" t="s">
        <v>1210</v>
      </c>
      <c r="B388" s="87" t="s">
        <v>1211</v>
      </c>
      <c r="C388" s="14"/>
      <c r="D388" s="87">
        <f t="shared" si="6"/>
        <v>1</v>
      </c>
      <c r="E388" s="91" t="s">
        <v>1130</v>
      </c>
    </row>
    <row r="389" spans="1:5" x14ac:dyDescent="0.25">
      <c r="A389" s="87" t="s">
        <v>1212</v>
      </c>
      <c r="B389" s="87" t="s">
        <v>1213</v>
      </c>
      <c r="C389" s="14"/>
      <c r="D389" s="87">
        <f t="shared" si="6"/>
        <v>1</v>
      </c>
      <c r="E389" s="91" t="s">
        <v>1130</v>
      </c>
    </row>
    <row r="390" spans="1:5" x14ac:dyDescent="0.25">
      <c r="A390" s="87" t="s">
        <v>1214</v>
      </c>
      <c r="B390" s="87" t="s">
        <v>1215</v>
      </c>
      <c r="C390" s="14"/>
      <c r="D390" s="87">
        <f t="shared" si="6"/>
        <v>1</v>
      </c>
      <c r="E390" s="91" t="s">
        <v>1130</v>
      </c>
    </row>
    <row r="391" spans="1:5" x14ac:dyDescent="0.25">
      <c r="A391" s="87" t="s">
        <v>1216</v>
      </c>
      <c r="B391" s="87" t="s">
        <v>1217</v>
      </c>
      <c r="C391" s="14"/>
      <c r="D391" s="87">
        <f t="shared" si="6"/>
        <v>1</v>
      </c>
      <c r="E391" s="91" t="s">
        <v>1130</v>
      </c>
    </row>
    <row r="392" spans="1:5" x14ac:dyDescent="0.25">
      <c r="A392" s="87" t="s">
        <v>1218</v>
      </c>
      <c r="B392" s="87" t="s">
        <v>1219</v>
      </c>
      <c r="C392" s="14"/>
      <c r="D392" s="87">
        <f t="shared" si="6"/>
        <v>1</v>
      </c>
      <c r="E392" s="91" t="s">
        <v>1130</v>
      </c>
    </row>
    <row r="393" spans="1:5" x14ac:dyDescent="0.25">
      <c r="A393" s="87" t="s">
        <v>1220</v>
      </c>
      <c r="B393" s="87" t="s">
        <v>1221</v>
      </c>
      <c r="C393" s="14"/>
      <c r="D393" s="87">
        <f t="shared" si="6"/>
        <v>1</v>
      </c>
      <c r="E393" s="91" t="s">
        <v>1130</v>
      </c>
    </row>
    <row r="394" spans="1:5" x14ac:dyDescent="0.25">
      <c r="A394" s="87" t="s">
        <v>1222</v>
      </c>
      <c r="B394" s="87" t="s">
        <v>1223</v>
      </c>
      <c r="C394" s="14"/>
      <c r="D394" s="87">
        <f t="shared" si="6"/>
        <v>1</v>
      </c>
      <c r="E394" s="91" t="s">
        <v>1130</v>
      </c>
    </row>
    <row r="395" spans="1:5" x14ac:dyDescent="0.25">
      <c r="A395" s="87" t="s">
        <v>1224</v>
      </c>
      <c r="B395" s="87" t="s">
        <v>1225</v>
      </c>
      <c r="C395" s="14"/>
      <c r="D395" s="87">
        <f t="shared" si="6"/>
        <v>1</v>
      </c>
      <c r="E395" s="91" t="s">
        <v>1130</v>
      </c>
    </row>
    <row r="396" spans="1:5" x14ac:dyDescent="0.25">
      <c r="A396" s="87" t="s">
        <v>1226</v>
      </c>
      <c r="B396" s="87" t="s">
        <v>1227</v>
      </c>
      <c r="C396" s="14"/>
      <c r="D396" s="87">
        <f t="shared" si="6"/>
        <v>1</v>
      </c>
      <c r="E396" s="91" t="s">
        <v>1130</v>
      </c>
    </row>
    <row r="397" spans="1:5" x14ac:dyDescent="0.25">
      <c r="A397" s="87" t="s">
        <v>1228</v>
      </c>
      <c r="B397" s="87" t="s">
        <v>1229</v>
      </c>
      <c r="C397" s="14"/>
      <c r="D397" s="87">
        <f t="shared" si="6"/>
        <v>1</v>
      </c>
      <c r="E397" s="91" t="s">
        <v>1130</v>
      </c>
    </row>
    <row r="398" spans="1:5" x14ac:dyDescent="0.25">
      <c r="A398" s="87" t="s">
        <v>1230</v>
      </c>
      <c r="B398" s="87" t="s">
        <v>1231</v>
      </c>
      <c r="C398" s="14"/>
      <c r="D398" s="87">
        <f t="shared" si="6"/>
        <v>1</v>
      </c>
      <c r="E398" s="91" t="s">
        <v>1130</v>
      </c>
    </row>
    <row r="399" spans="1:5" x14ac:dyDescent="0.25">
      <c r="A399" s="87" t="s">
        <v>1232</v>
      </c>
      <c r="B399" s="87" t="s">
        <v>1233</v>
      </c>
      <c r="C399" s="14"/>
      <c r="D399" s="87">
        <f t="shared" si="6"/>
        <v>1</v>
      </c>
      <c r="E399" s="91" t="s">
        <v>1130</v>
      </c>
    </row>
    <row r="400" spans="1:5" x14ac:dyDescent="0.25">
      <c r="A400" s="87" t="s">
        <v>1234</v>
      </c>
      <c r="B400" s="87" t="s">
        <v>1235</v>
      </c>
      <c r="C400" s="14"/>
      <c r="D400" s="87">
        <f t="shared" si="6"/>
        <v>1</v>
      </c>
      <c r="E400" s="91" t="s">
        <v>1130</v>
      </c>
    </row>
    <row r="401" spans="1:5" x14ac:dyDescent="0.25">
      <c r="A401" s="87" t="s">
        <v>1236</v>
      </c>
      <c r="B401" s="87" t="s">
        <v>1237</v>
      </c>
      <c r="C401" s="14"/>
      <c r="D401" s="87">
        <f t="shared" si="6"/>
        <v>1</v>
      </c>
      <c r="E401" s="91" t="s">
        <v>1130</v>
      </c>
    </row>
    <row r="402" spans="1:5" x14ac:dyDescent="0.25">
      <c r="A402" s="87" t="s">
        <v>1238</v>
      </c>
      <c r="B402" s="87" t="s">
        <v>1239</v>
      </c>
      <c r="C402" s="14"/>
      <c r="D402" s="87">
        <f t="shared" si="6"/>
        <v>1</v>
      </c>
      <c r="E402" s="136" t="s">
        <v>1240</v>
      </c>
    </row>
    <row r="403" spans="1:5" x14ac:dyDescent="0.25">
      <c r="A403" s="87" t="s">
        <v>1241</v>
      </c>
      <c r="B403" s="87" t="s">
        <v>1242</v>
      </c>
      <c r="C403" s="14"/>
      <c r="D403" s="87">
        <f t="shared" si="6"/>
        <v>1</v>
      </c>
      <c r="E403" s="91" t="s">
        <v>1130</v>
      </c>
    </row>
    <row r="404" spans="1:5" x14ac:dyDescent="0.25">
      <c r="A404" s="87" t="s">
        <v>1243</v>
      </c>
      <c r="B404" s="87" t="s">
        <v>1244</v>
      </c>
      <c r="C404" s="14"/>
      <c r="D404" s="87">
        <f t="shared" si="6"/>
        <v>1</v>
      </c>
      <c r="E404" s="91" t="s">
        <v>1130</v>
      </c>
    </row>
    <row r="405" spans="1:5" x14ac:dyDescent="0.25">
      <c r="A405" s="87" t="s">
        <v>1245</v>
      </c>
      <c r="B405" s="87" t="s">
        <v>1246</v>
      </c>
      <c r="C405" s="14"/>
      <c r="D405" s="87">
        <f t="shared" si="6"/>
        <v>1</v>
      </c>
      <c r="E405" s="91" t="s">
        <v>1130</v>
      </c>
    </row>
    <row r="406" spans="1:5" x14ac:dyDescent="0.25">
      <c r="A406" s="87" t="s">
        <v>1247</v>
      </c>
      <c r="B406" s="87" t="s">
        <v>1248</v>
      </c>
      <c r="C406" s="14"/>
      <c r="D406" s="87">
        <f t="shared" si="6"/>
        <v>1</v>
      </c>
      <c r="E406" s="91" t="s">
        <v>1130</v>
      </c>
    </row>
    <row r="407" spans="1:5" x14ac:dyDescent="0.25">
      <c r="A407" s="87" t="s">
        <v>1249</v>
      </c>
      <c r="B407" s="87" t="s">
        <v>1250</v>
      </c>
      <c r="C407" s="14"/>
      <c r="D407" s="87">
        <f t="shared" si="6"/>
        <v>1</v>
      </c>
      <c r="E407" s="91" t="s">
        <v>1130</v>
      </c>
    </row>
    <row r="408" spans="1:5" x14ac:dyDescent="0.25">
      <c r="A408" s="87" t="s">
        <v>1251</v>
      </c>
      <c r="B408" s="87" t="s">
        <v>1252</v>
      </c>
      <c r="C408" s="14"/>
      <c r="D408" s="87">
        <f t="shared" si="6"/>
        <v>1</v>
      </c>
      <c r="E408" s="91" t="s">
        <v>1130</v>
      </c>
    </row>
    <row r="409" spans="1:5" x14ac:dyDescent="0.25">
      <c r="A409" s="87" t="s">
        <v>1253</v>
      </c>
      <c r="B409" s="87" t="s">
        <v>1254</v>
      </c>
      <c r="C409" s="14"/>
      <c r="D409" s="87">
        <f t="shared" si="6"/>
        <v>1</v>
      </c>
      <c r="E409" s="91" t="s">
        <v>1130</v>
      </c>
    </row>
    <row r="410" spans="1:5" x14ac:dyDescent="0.25">
      <c r="A410" s="87" t="s">
        <v>1255</v>
      </c>
      <c r="B410" s="87" t="s">
        <v>1256</v>
      </c>
      <c r="C410" s="14"/>
      <c r="D410" s="87">
        <f t="shared" si="6"/>
        <v>1</v>
      </c>
      <c r="E410" s="91" t="s">
        <v>1130</v>
      </c>
    </row>
    <row r="411" spans="1:5" x14ac:dyDescent="0.25">
      <c r="A411" s="87" t="s">
        <v>1257</v>
      </c>
      <c r="B411" s="87" t="s">
        <v>1258</v>
      </c>
      <c r="C411" s="14"/>
      <c r="D411" s="87">
        <f t="shared" si="6"/>
        <v>1</v>
      </c>
      <c r="E411" s="91" t="s">
        <v>1130</v>
      </c>
    </row>
    <row r="412" spans="1:5" x14ac:dyDescent="0.25">
      <c r="A412" s="87" t="s">
        <v>1259</v>
      </c>
      <c r="B412" s="87" t="s">
        <v>1260</v>
      </c>
      <c r="C412" s="14"/>
      <c r="D412" s="87">
        <f t="shared" si="6"/>
        <v>1</v>
      </c>
      <c r="E412" s="91" t="s">
        <v>1130</v>
      </c>
    </row>
    <row r="413" spans="1:5" x14ac:dyDescent="0.25">
      <c r="A413" s="87" t="s">
        <v>1261</v>
      </c>
      <c r="B413" s="87" t="s">
        <v>1262</v>
      </c>
      <c r="C413" s="14"/>
      <c r="D413" s="87">
        <f t="shared" si="6"/>
        <v>1</v>
      </c>
      <c r="E413" s="91" t="s">
        <v>1130</v>
      </c>
    </row>
    <row r="414" spans="1:5" x14ac:dyDescent="0.25">
      <c r="A414" s="87" t="s">
        <v>1263</v>
      </c>
      <c r="B414" s="87" t="s">
        <v>1264</v>
      </c>
      <c r="C414" s="14"/>
      <c r="D414" s="87">
        <f t="shared" si="6"/>
        <v>1</v>
      </c>
      <c r="E414" s="91" t="s">
        <v>1130</v>
      </c>
    </row>
    <row r="415" spans="1:5" x14ac:dyDescent="0.25">
      <c r="A415" s="87" t="s">
        <v>1265</v>
      </c>
      <c r="B415" s="87" t="s">
        <v>1266</v>
      </c>
      <c r="C415" s="14"/>
      <c r="D415" s="87">
        <f t="shared" si="6"/>
        <v>1</v>
      </c>
      <c r="E415" s="91" t="s">
        <v>1130</v>
      </c>
    </row>
    <row r="416" spans="1:5" x14ac:dyDescent="0.25">
      <c r="A416" s="87" t="s">
        <v>1267</v>
      </c>
      <c r="B416" s="87" t="s">
        <v>1268</v>
      </c>
      <c r="C416" s="14"/>
      <c r="D416" s="87">
        <f t="shared" si="6"/>
        <v>1</v>
      </c>
      <c r="E416" s="91" t="s">
        <v>1130</v>
      </c>
    </row>
    <row r="417" spans="1:5" x14ac:dyDescent="0.25">
      <c r="A417" s="87" t="s">
        <v>1269</v>
      </c>
      <c r="B417" s="87" t="s">
        <v>1270</v>
      </c>
      <c r="C417" s="14"/>
      <c r="D417" s="87">
        <f t="shared" si="6"/>
        <v>1</v>
      </c>
      <c r="E417" s="91" t="s">
        <v>1130</v>
      </c>
    </row>
    <row r="418" spans="1:5" x14ac:dyDescent="0.25">
      <c r="A418" s="87" t="s">
        <v>1271</v>
      </c>
      <c r="B418" s="87" t="s">
        <v>1272</v>
      </c>
      <c r="C418" s="14"/>
      <c r="D418" s="87">
        <f t="shared" si="6"/>
        <v>1</v>
      </c>
      <c r="E418" s="91" t="s">
        <v>1130</v>
      </c>
    </row>
    <row r="419" spans="1:5" x14ac:dyDescent="0.25">
      <c r="A419" s="87" t="s">
        <v>1273</v>
      </c>
      <c r="B419" s="87" t="s">
        <v>1274</v>
      </c>
      <c r="C419" s="14"/>
      <c r="D419" s="87">
        <f t="shared" si="6"/>
        <v>1</v>
      </c>
      <c r="E419" s="91" t="s">
        <v>1130</v>
      </c>
    </row>
    <row r="420" spans="1:5" x14ac:dyDescent="0.25">
      <c r="A420" s="87" t="s">
        <v>1275</v>
      </c>
      <c r="B420" s="87" t="s">
        <v>1276</v>
      </c>
      <c r="C420" s="14"/>
      <c r="D420" s="87">
        <f t="shared" si="6"/>
        <v>1</v>
      </c>
      <c r="E420" s="91" t="s">
        <v>1130</v>
      </c>
    </row>
    <row r="421" spans="1:5" x14ac:dyDescent="0.25">
      <c r="A421" s="87" t="s">
        <v>1277</v>
      </c>
      <c r="B421" s="87" t="s">
        <v>1278</v>
      </c>
      <c r="C421" s="14"/>
      <c r="D421" s="87">
        <f t="shared" si="6"/>
        <v>1</v>
      </c>
      <c r="E421" s="91" t="s">
        <v>1130</v>
      </c>
    </row>
    <row r="422" spans="1:5" x14ac:dyDescent="0.25">
      <c r="A422" s="87" t="s">
        <v>1279</v>
      </c>
      <c r="B422" s="87" t="s">
        <v>1280</v>
      </c>
      <c r="C422" s="14"/>
      <c r="D422" s="87">
        <f t="shared" si="6"/>
        <v>1</v>
      </c>
      <c r="E422" s="91" t="s">
        <v>1130</v>
      </c>
    </row>
    <row r="423" spans="1:5" x14ac:dyDescent="0.25">
      <c r="A423" s="87" t="s">
        <v>1281</v>
      </c>
      <c r="B423" s="87" t="s">
        <v>1282</v>
      </c>
      <c r="C423" s="14"/>
      <c r="D423" s="87">
        <f t="shared" si="6"/>
        <v>1</v>
      </c>
      <c r="E423" s="91" t="s">
        <v>1130</v>
      </c>
    </row>
    <row r="424" spans="1:5" x14ac:dyDescent="0.25">
      <c r="A424" s="87" t="s">
        <v>1283</v>
      </c>
      <c r="B424" s="87" t="s">
        <v>1284</v>
      </c>
      <c r="C424" s="14"/>
      <c r="D424" s="87">
        <f t="shared" si="6"/>
        <v>1</v>
      </c>
      <c r="E424" s="91" t="s">
        <v>1130</v>
      </c>
    </row>
    <row r="425" spans="1:5" x14ac:dyDescent="0.25">
      <c r="A425" s="87" t="s">
        <v>1285</v>
      </c>
      <c r="B425" s="87" t="s">
        <v>1286</v>
      </c>
      <c r="C425" s="14"/>
      <c r="D425" s="87">
        <f t="shared" si="6"/>
        <v>1</v>
      </c>
      <c r="E425" s="91" t="s">
        <v>1130</v>
      </c>
    </row>
    <row r="426" spans="1:5" x14ac:dyDescent="0.25">
      <c r="A426" s="87" t="s">
        <v>1287</v>
      </c>
      <c r="B426" s="87" t="s">
        <v>1288</v>
      </c>
      <c r="C426" s="14"/>
      <c r="D426" s="87">
        <f t="shared" si="6"/>
        <v>1</v>
      </c>
      <c r="E426" s="91" t="s">
        <v>1130</v>
      </c>
    </row>
    <row r="427" spans="1:5" x14ac:dyDescent="0.25">
      <c r="A427" s="87" t="s">
        <v>1289</v>
      </c>
      <c r="B427" s="87" t="s">
        <v>1290</v>
      </c>
      <c r="C427" s="14"/>
      <c r="D427" s="87">
        <f t="shared" si="6"/>
        <v>1</v>
      </c>
      <c r="E427" s="91" t="s">
        <v>1130</v>
      </c>
    </row>
    <row r="428" spans="1:5" x14ac:dyDescent="0.25">
      <c r="A428" s="87" t="s">
        <v>1291</v>
      </c>
      <c r="B428" s="87" t="s">
        <v>1292</v>
      </c>
      <c r="C428" s="14"/>
      <c r="D428" s="87">
        <f t="shared" si="6"/>
        <v>1</v>
      </c>
      <c r="E428" s="91" t="s">
        <v>1130</v>
      </c>
    </row>
    <row r="429" spans="1:5" x14ac:dyDescent="0.25">
      <c r="A429" s="87" t="s">
        <v>1293</v>
      </c>
      <c r="B429" s="87" t="s">
        <v>1294</v>
      </c>
      <c r="C429" s="14"/>
      <c r="D429" s="87">
        <f t="shared" si="6"/>
        <v>1</v>
      </c>
      <c r="E429" s="91" t="s">
        <v>1130</v>
      </c>
    </row>
    <row r="430" spans="1:5" x14ac:dyDescent="0.25">
      <c r="A430" s="87" t="s">
        <v>1295</v>
      </c>
      <c r="B430" s="87" t="s">
        <v>1296</v>
      </c>
      <c r="C430" s="14"/>
      <c r="D430" s="87">
        <f t="shared" si="6"/>
        <v>1</v>
      </c>
      <c r="E430" s="91" t="s">
        <v>1130</v>
      </c>
    </row>
    <row r="431" spans="1:5" x14ac:dyDescent="0.25">
      <c r="A431" s="87" t="s">
        <v>1297</v>
      </c>
      <c r="B431" s="87" t="s">
        <v>1298</v>
      </c>
      <c r="C431" s="14"/>
      <c r="D431" s="87">
        <f t="shared" si="6"/>
        <v>1</v>
      </c>
      <c r="E431" s="91" t="s">
        <v>1130</v>
      </c>
    </row>
    <row r="432" spans="1:5" x14ac:dyDescent="0.25">
      <c r="A432" s="87" t="s">
        <v>1299</v>
      </c>
      <c r="B432" s="87" t="s">
        <v>1300</v>
      </c>
      <c r="C432" s="14"/>
      <c r="D432" s="87">
        <f t="shared" si="6"/>
        <v>1</v>
      </c>
      <c r="E432" s="91" t="s">
        <v>1130</v>
      </c>
    </row>
    <row r="433" spans="1:5" x14ac:dyDescent="0.25">
      <c r="A433" s="87" t="s">
        <v>1301</v>
      </c>
      <c r="B433" s="87" t="s">
        <v>1302</v>
      </c>
      <c r="C433" s="14"/>
      <c r="D433" s="87">
        <f t="shared" si="6"/>
        <v>1</v>
      </c>
      <c r="E433" s="91" t="s">
        <v>1130</v>
      </c>
    </row>
    <row r="434" spans="1:5" x14ac:dyDescent="0.25">
      <c r="A434" s="87" t="s">
        <v>1303</v>
      </c>
      <c r="B434" s="87" t="s">
        <v>1304</v>
      </c>
      <c r="C434" s="14"/>
      <c r="D434" s="87">
        <f t="shared" si="6"/>
        <v>1</v>
      </c>
      <c r="E434" s="91" t="s">
        <v>1130</v>
      </c>
    </row>
    <row r="435" spans="1:5" x14ac:dyDescent="0.25">
      <c r="A435" s="87" t="s">
        <v>1305</v>
      </c>
      <c r="B435" s="87" t="s">
        <v>1306</v>
      </c>
      <c r="C435" s="14"/>
      <c r="D435" s="87">
        <f t="shared" si="6"/>
        <v>1</v>
      </c>
      <c r="E435" s="91" t="s">
        <v>1130</v>
      </c>
    </row>
    <row r="436" spans="1:5" x14ac:dyDescent="0.25">
      <c r="A436" s="87" t="s">
        <v>1307</v>
      </c>
      <c r="B436" s="87" t="s">
        <v>816</v>
      </c>
      <c r="C436" s="14"/>
      <c r="D436" s="87">
        <f t="shared" si="6"/>
        <v>1</v>
      </c>
      <c r="E436" s="91" t="s">
        <v>1130</v>
      </c>
    </row>
    <row r="437" spans="1:5" x14ac:dyDescent="0.25">
      <c r="A437" s="94" t="s">
        <v>1308</v>
      </c>
      <c r="B437" s="87" t="s">
        <v>1309</v>
      </c>
      <c r="C437" s="14" t="s">
        <v>468</v>
      </c>
      <c r="D437" s="87">
        <f t="shared" si="6"/>
        <v>1</v>
      </c>
      <c r="E437" s="91" t="s">
        <v>1130</v>
      </c>
    </row>
    <row r="438" spans="1:5" x14ac:dyDescent="0.25">
      <c r="A438" s="105" t="s">
        <v>1310</v>
      </c>
      <c r="B438" s="105" t="s">
        <v>1311</v>
      </c>
      <c r="C438" s="14" t="s">
        <v>468</v>
      </c>
      <c r="D438" s="87">
        <f t="shared" si="6"/>
        <v>1</v>
      </c>
      <c r="E438" s="91" t="s">
        <v>1130</v>
      </c>
    </row>
    <row r="439" spans="1:5" x14ac:dyDescent="0.25">
      <c r="A439" s="87" t="s">
        <v>1312</v>
      </c>
      <c r="B439" s="87" t="s">
        <v>1313</v>
      </c>
      <c r="C439" s="14"/>
      <c r="D439" s="87">
        <f t="shared" si="6"/>
        <v>1</v>
      </c>
      <c r="E439" s="91" t="s">
        <v>1130</v>
      </c>
    </row>
    <row r="440" spans="1:5" x14ac:dyDescent="0.25">
      <c r="A440" s="87" t="s">
        <v>1314</v>
      </c>
      <c r="B440" s="95" t="s">
        <v>1315</v>
      </c>
      <c r="C440" s="14"/>
      <c r="D440" s="87">
        <f t="shared" si="6"/>
        <v>1</v>
      </c>
      <c r="E440" s="91" t="s">
        <v>1130</v>
      </c>
    </row>
    <row r="441" spans="1:5" x14ac:dyDescent="0.25">
      <c r="A441" s="87" t="s">
        <v>1316</v>
      </c>
      <c r="B441" s="87" t="s">
        <v>1317</v>
      </c>
      <c r="C441" s="14"/>
      <c r="D441" s="87">
        <f t="shared" si="6"/>
        <v>1</v>
      </c>
      <c r="E441" s="91" t="s">
        <v>1130</v>
      </c>
    </row>
    <row r="442" spans="1:5" x14ac:dyDescent="0.25">
      <c r="A442" s="87" t="s">
        <v>1318</v>
      </c>
      <c r="B442" s="87" t="s">
        <v>1319</v>
      </c>
      <c r="C442" s="14"/>
      <c r="D442" s="87">
        <f t="shared" si="6"/>
        <v>1</v>
      </c>
      <c r="E442" s="91" t="s">
        <v>1130</v>
      </c>
    </row>
    <row r="443" spans="1:5" x14ac:dyDescent="0.25">
      <c r="A443" s="87" t="s">
        <v>1320</v>
      </c>
      <c r="B443" s="87" t="s">
        <v>1321</v>
      </c>
      <c r="C443" s="14"/>
      <c r="D443" s="87">
        <f t="shared" si="6"/>
        <v>1</v>
      </c>
      <c r="E443" s="91" t="s">
        <v>1130</v>
      </c>
    </row>
    <row r="444" spans="1:5" x14ac:dyDescent="0.25">
      <c r="A444" s="87" t="s">
        <v>1322</v>
      </c>
      <c r="B444" s="87" t="s">
        <v>1323</v>
      </c>
      <c r="C444" s="14"/>
      <c r="D444" s="87">
        <f t="shared" si="6"/>
        <v>1</v>
      </c>
      <c r="E444" s="91" t="s">
        <v>1130</v>
      </c>
    </row>
    <row r="445" spans="1:5" x14ac:dyDescent="0.25">
      <c r="A445" s="87" t="s">
        <v>1324</v>
      </c>
      <c r="B445" s="87" t="s">
        <v>1325</v>
      </c>
      <c r="C445" s="14"/>
      <c r="D445" s="87">
        <f t="shared" si="6"/>
        <v>1</v>
      </c>
      <c r="E445" s="91" t="s">
        <v>1130</v>
      </c>
    </row>
    <row r="446" spans="1:5" x14ac:dyDescent="0.25">
      <c r="A446" s="87" t="s">
        <v>1326</v>
      </c>
      <c r="B446" s="87" t="s">
        <v>1327</v>
      </c>
      <c r="C446" s="14"/>
      <c r="D446" s="87">
        <f t="shared" si="6"/>
        <v>1</v>
      </c>
      <c r="E446" s="91" t="s">
        <v>1130</v>
      </c>
    </row>
    <row r="447" spans="1:5" x14ac:dyDescent="0.25">
      <c r="A447" s="87" t="s">
        <v>1328</v>
      </c>
      <c r="B447" s="87" t="s">
        <v>1329</v>
      </c>
      <c r="C447" s="14"/>
      <c r="D447" s="87">
        <f t="shared" si="6"/>
        <v>1</v>
      </c>
      <c r="E447" s="91" t="s">
        <v>1130</v>
      </c>
    </row>
    <row r="448" spans="1:5" x14ac:dyDescent="0.25">
      <c r="A448" s="87" t="s">
        <v>1330</v>
      </c>
      <c r="B448" s="87" t="s">
        <v>1331</v>
      </c>
      <c r="C448" s="14"/>
      <c r="D448" s="87">
        <f t="shared" si="6"/>
        <v>1</v>
      </c>
      <c r="E448" s="91" t="s">
        <v>1130</v>
      </c>
    </row>
    <row r="449" spans="1:5" x14ac:dyDescent="0.25">
      <c r="A449" s="87" t="s">
        <v>1332</v>
      </c>
      <c r="B449" s="87" t="s">
        <v>1333</v>
      </c>
      <c r="C449" s="14"/>
      <c r="D449" s="87">
        <f t="shared" si="6"/>
        <v>1</v>
      </c>
      <c r="E449" s="91" t="s">
        <v>1130</v>
      </c>
    </row>
    <row r="450" spans="1:5" x14ac:dyDescent="0.25">
      <c r="A450" s="87" t="s">
        <v>1334</v>
      </c>
      <c r="B450" s="87" t="s">
        <v>1335</v>
      </c>
      <c r="C450" s="14"/>
      <c r="D450" s="87">
        <f t="shared" ref="D450:D503" si="7">IF(B450&lt;&gt;C450,1,0)</f>
        <v>1</v>
      </c>
      <c r="E450" s="91" t="s">
        <v>1130</v>
      </c>
    </row>
    <row r="451" spans="1:5" x14ac:dyDescent="0.25">
      <c r="A451" s="87" t="s">
        <v>1336</v>
      </c>
      <c r="B451" s="87" t="s">
        <v>1337</v>
      </c>
      <c r="C451" s="14"/>
      <c r="D451" s="87">
        <f t="shared" si="7"/>
        <v>1</v>
      </c>
      <c r="E451" s="91" t="s">
        <v>1130</v>
      </c>
    </row>
    <row r="452" spans="1:5" x14ac:dyDescent="0.25">
      <c r="A452" s="87" t="s">
        <v>1338</v>
      </c>
      <c r="B452" s="87" t="s">
        <v>1339</v>
      </c>
      <c r="C452" s="14"/>
      <c r="D452" s="87">
        <f t="shared" si="7"/>
        <v>1</v>
      </c>
      <c r="E452" s="91" t="s">
        <v>1130</v>
      </c>
    </row>
    <row r="453" spans="1:5" x14ac:dyDescent="0.25">
      <c r="A453" s="87" t="s">
        <v>1340</v>
      </c>
      <c r="B453" s="87" t="s">
        <v>1341</v>
      </c>
      <c r="C453" s="14"/>
      <c r="D453" s="87">
        <f t="shared" si="7"/>
        <v>1</v>
      </c>
      <c r="E453" s="91" t="s">
        <v>1130</v>
      </c>
    </row>
    <row r="454" spans="1:5" x14ac:dyDescent="0.25">
      <c r="A454" s="87" t="s">
        <v>1342</v>
      </c>
      <c r="B454" s="87" t="s">
        <v>1343</v>
      </c>
      <c r="C454" s="14"/>
      <c r="D454" s="87">
        <f t="shared" si="7"/>
        <v>1</v>
      </c>
      <c r="E454" s="91" t="s">
        <v>1130</v>
      </c>
    </row>
    <row r="455" spans="1:5" x14ac:dyDescent="0.25">
      <c r="A455" s="87" t="s">
        <v>1344</v>
      </c>
      <c r="B455" s="87" t="s">
        <v>1345</v>
      </c>
      <c r="C455" s="14"/>
      <c r="D455" s="87">
        <f t="shared" si="7"/>
        <v>1</v>
      </c>
      <c r="E455" s="91" t="s">
        <v>1130</v>
      </c>
    </row>
    <row r="456" spans="1:5" x14ac:dyDescent="0.25">
      <c r="A456" s="87" t="s">
        <v>1346</v>
      </c>
      <c r="B456" s="87" t="s">
        <v>1347</v>
      </c>
      <c r="C456" s="14"/>
      <c r="D456" s="87">
        <f t="shared" si="7"/>
        <v>1</v>
      </c>
      <c r="E456" s="91" t="s">
        <v>1130</v>
      </c>
    </row>
    <row r="457" spans="1:5" x14ac:dyDescent="0.25">
      <c r="A457" s="87" t="s">
        <v>1348</v>
      </c>
      <c r="B457" s="87" t="s">
        <v>1349</v>
      </c>
      <c r="C457" s="14"/>
      <c r="D457" s="87">
        <f t="shared" si="7"/>
        <v>1</v>
      </c>
      <c r="E457" s="91" t="s">
        <v>1130</v>
      </c>
    </row>
    <row r="458" spans="1:5" x14ac:dyDescent="0.25">
      <c r="A458" s="87" t="s">
        <v>1350</v>
      </c>
      <c r="B458" s="87" t="s">
        <v>1351</v>
      </c>
      <c r="C458" s="14"/>
      <c r="D458" s="87">
        <f t="shared" si="7"/>
        <v>1</v>
      </c>
      <c r="E458" s="91" t="s">
        <v>1130</v>
      </c>
    </row>
    <row r="459" spans="1:5" x14ac:dyDescent="0.25">
      <c r="A459" s="87" t="s">
        <v>1352</v>
      </c>
      <c r="B459" s="87" t="s">
        <v>1353</v>
      </c>
      <c r="C459" s="14"/>
      <c r="D459" s="87">
        <f t="shared" si="7"/>
        <v>1</v>
      </c>
      <c r="E459" s="91" t="s">
        <v>1130</v>
      </c>
    </row>
    <row r="460" spans="1:5" x14ac:dyDescent="0.25">
      <c r="A460" s="87" t="s">
        <v>1354</v>
      </c>
      <c r="B460" s="87" t="s">
        <v>1355</v>
      </c>
      <c r="C460" s="14"/>
      <c r="D460" s="87">
        <f t="shared" si="7"/>
        <v>1</v>
      </c>
      <c r="E460" s="91" t="s">
        <v>1130</v>
      </c>
    </row>
    <row r="461" spans="1:5" x14ac:dyDescent="0.25">
      <c r="A461" s="88" t="s">
        <v>1356</v>
      </c>
      <c r="B461" s="87" t="s">
        <v>1357</v>
      </c>
      <c r="C461" s="14"/>
      <c r="D461" s="87">
        <f t="shared" si="7"/>
        <v>1</v>
      </c>
      <c r="E461" s="91" t="s">
        <v>1130</v>
      </c>
    </row>
    <row r="462" spans="1:5" x14ac:dyDescent="0.25">
      <c r="A462" s="88" t="s">
        <v>1358</v>
      </c>
      <c r="B462" s="88" t="s">
        <v>1359</v>
      </c>
      <c r="C462" s="14"/>
      <c r="D462" s="87">
        <f t="shared" si="7"/>
        <v>1</v>
      </c>
      <c r="E462" s="91" t="s">
        <v>1130</v>
      </c>
    </row>
    <row r="463" spans="1:5" x14ac:dyDescent="0.25">
      <c r="A463" s="88" t="s">
        <v>1360</v>
      </c>
      <c r="B463" s="88" t="s">
        <v>1361</v>
      </c>
      <c r="C463" s="14"/>
      <c r="D463" s="87">
        <f t="shared" si="7"/>
        <v>1</v>
      </c>
      <c r="E463" s="91" t="s">
        <v>1130</v>
      </c>
    </row>
    <row r="464" spans="1:5" x14ac:dyDescent="0.25">
      <c r="A464" s="88" t="s">
        <v>1362</v>
      </c>
      <c r="B464" s="88" t="s">
        <v>1363</v>
      </c>
      <c r="C464" s="14"/>
      <c r="D464" s="87">
        <f t="shared" si="7"/>
        <v>1</v>
      </c>
      <c r="E464" s="91" t="s">
        <v>1130</v>
      </c>
    </row>
    <row r="465" spans="1:5" x14ac:dyDescent="0.25">
      <c r="A465" s="88" t="s">
        <v>1364</v>
      </c>
      <c r="B465" s="88" t="s">
        <v>1365</v>
      </c>
      <c r="C465" s="14"/>
      <c r="D465" s="87">
        <f t="shared" si="7"/>
        <v>1</v>
      </c>
      <c r="E465" s="91" t="s">
        <v>1130</v>
      </c>
    </row>
    <row r="466" spans="1:5" x14ac:dyDescent="0.25">
      <c r="A466" s="88" t="s">
        <v>1366</v>
      </c>
      <c r="B466" s="88" t="s">
        <v>1367</v>
      </c>
      <c r="C466" s="14"/>
      <c r="D466" s="87">
        <f t="shared" si="7"/>
        <v>1</v>
      </c>
      <c r="E466" s="91" t="s">
        <v>1130</v>
      </c>
    </row>
    <row r="467" spans="1:5" x14ac:dyDescent="0.25">
      <c r="A467" s="88" t="s">
        <v>1368</v>
      </c>
      <c r="B467" s="88" t="s">
        <v>1369</v>
      </c>
      <c r="C467" s="14"/>
      <c r="D467" s="87">
        <f t="shared" si="7"/>
        <v>1</v>
      </c>
      <c r="E467" s="91" t="s">
        <v>1130</v>
      </c>
    </row>
    <row r="468" spans="1:5" x14ac:dyDescent="0.25">
      <c r="A468" s="88" t="s">
        <v>1370</v>
      </c>
      <c r="B468" s="88" t="s">
        <v>1371</v>
      </c>
      <c r="C468" s="14"/>
      <c r="D468" s="87">
        <f t="shared" si="7"/>
        <v>1</v>
      </c>
      <c r="E468" s="91" t="s">
        <v>1130</v>
      </c>
    </row>
    <row r="469" spans="1:5" x14ac:dyDescent="0.25">
      <c r="A469" s="88" t="s">
        <v>1372</v>
      </c>
      <c r="B469" s="88" t="s">
        <v>1373</v>
      </c>
      <c r="C469" s="14"/>
      <c r="D469" s="87">
        <f t="shared" si="7"/>
        <v>1</v>
      </c>
      <c r="E469" s="91" t="s">
        <v>1130</v>
      </c>
    </row>
    <row r="470" spans="1:5" x14ac:dyDescent="0.25">
      <c r="A470" s="88" t="s">
        <v>1374</v>
      </c>
      <c r="B470" s="88" t="s">
        <v>1375</v>
      </c>
      <c r="C470" s="14"/>
      <c r="D470" s="87">
        <f t="shared" si="7"/>
        <v>1</v>
      </c>
      <c r="E470" s="91" t="s">
        <v>1130</v>
      </c>
    </row>
    <row r="471" spans="1:5" x14ac:dyDescent="0.25">
      <c r="A471" s="88" t="s">
        <v>1376</v>
      </c>
      <c r="B471" s="88" t="s">
        <v>1377</v>
      </c>
      <c r="C471" s="14"/>
      <c r="D471" s="87">
        <f t="shared" si="7"/>
        <v>1</v>
      </c>
      <c r="E471" s="91" t="s">
        <v>1130</v>
      </c>
    </row>
    <row r="472" spans="1:5" x14ac:dyDescent="0.25">
      <c r="B472" s="106"/>
      <c r="D472" s="87">
        <f t="shared" si="7"/>
        <v>0</v>
      </c>
      <c r="E472" s="91" t="s">
        <v>1130</v>
      </c>
    </row>
    <row r="473" spans="1:5" x14ac:dyDescent="0.25">
      <c r="D473" s="87">
        <f t="shared" si="7"/>
        <v>0</v>
      </c>
      <c r="E473" s="91" t="s">
        <v>1130</v>
      </c>
    </row>
    <row r="474" spans="1:5" x14ac:dyDescent="0.25">
      <c r="D474" s="87">
        <f t="shared" si="7"/>
        <v>0</v>
      </c>
      <c r="E474" s="91" t="s">
        <v>1130</v>
      </c>
    </row>
    <row r="475" spans="1:5" x14ac:dyDescent="0.25">
      <c r="D475" s="87">
        <f t="shared" si="7"/>
        <v>0</v>
      </c>
      <c r="E475" s="91" t="s">
        <v>1130</v>
      </c>
    </row>
    <row r="476" spans="1:5" x14ac:dyDescent="0.25">
      <c r="D476" s="87">
        <f t="shared" si="7"/>
        <v>0</v>
      </c>
      <c r="E476" s="91" t="s">
        <v>1130</v>
      </c>
    </row>
    <row r="477" spans="1:5" x14ac:dyDescent="0.25">
      <c r="D477" s="87">
        <f t="shared" si="7"/>
        <v>0</v>
      </c>
      <c r="E477" s="91" t="s">
        <v>1130</v>
      </c>
    </row>
    <row r="478" spans="1:5" x14ac:dyDescent="0.25">
      <c r="D478" s="87">
        <f t="shared" si="7"/>
        <v>0</v>
      </c>
      <c r="E478" s="91" t="s">
        <v>1130</v>
      </c>
    </row>
    <row r="479" spans="1:5" x14ac:dyDescent="0.25">
      <c r="D479" s="87">
        <f t="shared" si="7"/>
        <v>0</v>
      </c>
      <c r="E479" s="91" t="s">
        <v>1130</v>
      </c>
    </row>
    <row r="480" spans="1:5" x14ac:dyDescent="0.25">
      <c r="D480" s="87">
        <f t="shared" si="7"/>
        <v>0</v>
      </c>
      <c r="E480" s="91" t="s">
        <v>1130</v>
      </c>
    </row>
    <row r="481" spans="4:5" x14ac:dyDescent="0.25">
      <c r="D481" s="87">
        <f t="shared" si="7"/>
        <v>0</v>
      </c>
      <c r="E481" s="91" t="s">
        <v>1130</v>
      </c>
    </row>
    <row r="482" spans="4:5" x14ac:dyDescent="0.25">
      <c r="D482" s="87">
        <f t="shared" si="7"/>
        <v>0</v>
      </c>
      <c r="E482" s="91" t="s">
        <v>1130</v>
      </c>
    </row>
    <row r="483" spans="4:5" x14ac:dyDescent="0.25">
      <c r="D483" s="87">
        <f t="shared" si="7"/>
        <v>0</v>
      </c>
      <c r="E483" s="91" t="s">
        <v>1130</v>
      </c>
    </row>
    <row r="484" spans="4:5" x14ac:dyDescent="0.25">
      <c r="D484" s="87">
        <f t="shared" si="7"/>
        <v>0</v>
      </c>
      <c r="E484" s="91" t="s">
        <v>1130</v>
      </c>
    </row>
    <row r="485" spans="4:5" x14ac:dyDescent="0.25">
      <c r="D485" s="87">
        <f t="shared" si="7"/>
        <v>0</v>
      </c>
      <c r="E485" s="91" t="s">
        <v>1130</v>
      </c>
    </row>
    <row r="486" spans="4:5" x14ac:dyDescent="0.25">
      <c r="D486" s="87">
        <f t="shared" si="7"/>
        <v>0</v>
      </c>
    </row>
    <row r="487" spans="4:5" x14ac:dyDescent="0.25">
      <c r="D487" s="87">
        <f t="shared" si="7"/>
        <v>0</v>
      </c>
    </row>
    <row r="488" spans="4:5" x14ac:dyDescent="0.25">
      <c r="D488" s="87">
        <f t="shared" si="7"/>
        <v>0</v>
      </c>
    </row>
    <row r="489" spans="4:5" x14ac:dyDescent="0.25">
      <c r="D489" s="87">
        <f t="shared" si="7"/>
        <v>0</v>
      </c>
    </row>
    <row r="490" spans="4:5" x14ac:dyDescent="0.25">
      <c r="D490" s="87">
        <f t="shared" si="7"/>
        <v>0</v>
      </c>
    </row>
    <row r="491" spans="4:5" x14ac:dyDescent="0.25">
      <c r="D491" s="87">
        <f t="shared" si="7"/>
        <v>0</v>
      </c>
    </row>
    <row r="492" spans="4:5" x14ac:dyDescent="0.25">
      <c r="D492" s="87">
        <f t="shared" si="7"/>
        <v>0</v>
      </c>
    </row>
    <row r="493" spans="4:5" x14ac:dyDescent="0.25">
      <c r="D493" s="87">
        <f t="shared" si="7"/>
        <v>0</v>
      </c>
    </row>
    <row r="494" spans="4:5" x14ac:dyDescent="0.25">
      <c r="D494" s="87">
        <f t="shared" si="7"/>
        <v>0</v>
      </c>
    </row>
    <row r="495" spans="4:5" x14ac:dyDescent="0.25">
      <c r="D495" s="87">
        <f t="shared" si="7"/>
        <v>0</v>
      </c>
    </row>
    <row r="496" spans="4:5" x14ac:dyDescent="0.25">
      <c r="D496" s="87">
        <f t="shared" si="7"/>
        <v>0</v>
      </c>
    </row>
    <row r="497" spans="4:4" x14ac:dyDescent="0.25">
      <c r="D497" s="87">
        <f t="shared" si="7"/>
        <v>0</v>
      </c>
    </row>
    <row r="498" spans="4:4" x14ac:dyDescent="0.25">
      <c r="D498" s="87">
        <f t="shared" si="7"/>
        <v>0</v>
      </c>
    </row>
    <row r="499" spans="4:4" x14ac:dyDescent="0.25">
      <c r="D499" s="87">
        <f t="shared" si="7"/>
        <v>0</v>
      </c>
    </row>
    <row r="500" spans="4:4" x14ac:dyDescent="0.25">
      <c r="D500" s="87">
        <f t="shared" si="7"/>
        <v>0</v>
      </c>
    </row>
    <row r="501" spans="4:4" x14ac:dyDescent="0.25">
      <c r="D501" s="87">
        <f t="shared" si="7"/>
        <v>0</v>
      </c>
    </row>
    <row r="502" spans="4:4" x14ac:dyDescent="0.25">
      <c r="D502" s="87">
        <f t="shared" si="7"/>
        <v>0</v>
      </c>
    </row>
    <row r="503" spans="4:4" x14ac:dyDescent="0.25">
      <c r="D503" s="87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827095-F4DC-40BC-87FD-822AB94057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吉浦（AOS）</cp:lastModifiedBy>
  <cp:revision/>
  <cp:lastPrinted>2023-12-20T03:58:12Z</cp:lastPrinted>
  <dcterms:created xsi:type="dcterms:W3CDTF">2020-07-03T02:02:56Z</dcterms:created>
  <dcterms:modified xsi:type="dcterms:W3CDTF">2024-01-16T05:23:18Z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